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bookViews>
    <workbookView xWindow="0" yWindow="0" windowWidth="21600" windowHeight="9180" tabRatio="761" activeTab="2"/>
  </bookViews>
  <sheets>
    <sheet name="TAHAP 1" sheetId="5" r:id="rId1"/>
    <sheet name="TAPAH 2.2 (Rincian)" sheetId="15" r:id="rId2"/>
    <sheet name="TAHAP 2.1 (SPD)" sheetId="16" r:id="rId3"/>
    <sheet name="Sheet1" sheetId="17" r:id="rId4"/>
  </sheets>
  <definedNames>
    <definedName name="_xlnm.Print_Area" localSheetId="0">'TAHAP 1'!$A$1:$V$86</definedName>
    <definedName name="_xlnm.Print_Area" localSheetId="2">'TAHAP 2.1 (SPD)'!$A$1:$W$62</definedName>
    <definedName name="_xlnm.Print_Area" localSheetId="1">'TAPAH 2.2 (Rincian)'!$A$1:$O$92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4" i="15" l="1"/>
  <c r="D83" i="15"/>
  <c r="L40" i="16"/>
  <c r="L39" i="16"/>
  <c r="L38" i="16"/>
  <c r="L37" i="16"/>
  <c r="L36" i="16"/>
  <c r="C39" i="16"/>
  <c r="C38" i="16"/>
  <c r="C37" i="16"/>
  <c r="C36" i="16"/>
  <c r="S39" i="16"/>
  <c r="O39" i="16"/>
  <c r="G39" i="16"/>
  <c r="S38" i="16"/>
  <c r="O38" i="16"/>
  <c r="G38" i="16"/>
  <c r="AB22" i="16"/>
  <c r="M22" i="16"/>
  <c r="K22" i="16"/>
  <c r="AA22" i="16" s="1"/>
  <c r="I22" i="16"/>
  <c r="Z22" i="16" s="1"/>
  <c r="G22" i="16"/>
  <c r="Y22" i="16" s="1"/>
  <c r="F22" i="16"/>
  <c r="C22" i="16"/>
  <c r="M21" i="16"/>
  <c r="AB21" i="16" s="1"/>
  <c r="K21" i="16"/>
  <c r="AA21" i="16" s="1"/>
  <c r="I21" i="16"/>
  <c r="Z21" i="16" s="1"/>
  <c r="G21" i="16"/>
  <c r="Y21" i="16" s="1"/>
  <c r="F21" i="16"/>
  <c r="C21" i="16"/>
  <c r="B84" i="15" l="1"/>
  <c r="B83" i="15"/>
  <c r="B82" i="15"/>
  <c r="B81" i="15"/>
  <c r="G84" i="15"/>
  <c r="H84" i="15" s="1"/>
  <c r="G83" i="15"/>
  <c r="H83" i="15" s="1"/>
  <c r="H32" i="15"/>
  <c r="H31" i="15"/>
  <c r="H30" i="15"/>
  <c r="G30" i="15"/>
  <c r="E32" i="15"/>
  <c r="I32" i="15" s="1"/>
  <c r="E31" i="15"/>
  <c r="I31" i="15" s="1"/>
  <c r="E30" i="15"/>
  <c r="I30" i="15" s="1"/>
  <c r="I33" i="15" s="1"/>
  <c r="G37" i="15" s="1"/>
  <c r="B30" i="15"/>
  <c r="B31" i="15" s="1"/>
  <c r="B32" i="15" s="1"/>
  <c r="H29" i="15"/>
  <c r="G29" i="15"/>
  <c r="F29" i="15"/>
  <c r="E29" i="15"/>
  <c r="H63" i="15" l="1"/>
  <c r="F36" i="15"/>
  <c r="B39" i="15"/>
  <c r="B38" i="15"/>
  <c r="B37" i="15"/>
  <c r="B36" i="15"/>
  <c r="G23" i="15"/>
  <c r="H23" i="15"/>
  <c r="E23" i="15"/>
  <c r="I23" i="15" s="1"/>
  <c r="F28" i="5"/>
  <c r="C28" i="5"/>
  <c r="F16" i="5"/>
  <c r="C16" i="5"/>
  <c r="F15" i="5"/>
  <c r="C15" i="5"/>
  <c r="K20" i="16"/>
  <c r="K19" i="16"/>
  <c r="O37" i="16" l="1"/>
  <c r="O36" i="16"/>
  <c r="M20" i="16"/>
  <c r="I20" i="16"/>
  <c r="G20" i="16"/>
  <c r="G82" i="15"/>
  <c r="G81" i="15"/>
  <c r="D82" i="15"/>
  <c r="F14" i="5"/>
  <c r="F20" i="16" s="1"/>
  <c r="C14" i="5"/>
  <c r="C20" i="16" s="1"/>
  <c r="H25" i="15" l="1"/>
  <c r="E25" i="15"/>
  <c r="I25" i="15" s="1"/>
  <c r="AA20" i="16" l="1"/>
  <c r="B36" i="16" l="1"/>
  <c r="G37" i="16"/>
  <c r="F19" i="16"/>
  <c r="C19" i="16"/>
  <c r="AB20" i="16"/>
  <c r="Z20" i="16"/>
  <c r="Y20" i="16"/>
  <c r="G67" i="15" l="1"/>
  <c r="H24" i="15" l="1"/>
  <c r="R70" i="5"/>
  <c r="R73" i="5" l="1"/>
  <c r="H81" i="15" l="1"/>
  <c r="S36" i="16" s="1"/>
  <c r="D81" i="15"/>
  <c r="E24" i="15"/>
  <c r="I24" i="15" s="1"/>
  <c r="I26" i="15" s="1"/>
  <c r="G39" i="15" s="1"/>
  <c r="F77" i="15" l="1"/>
  <c r="S29" i="16" s="1"/>
  <c r="B23" i="15" l="1"/>
  <c r="B24" i="15" s="1"/>
  <c r="B25" i="15" s="1"/>
  <c r="B76" i="15" l="1"/>
  <c r="D76" i="15"/>
  <c r="G38" i="15" l="1"/>
  <c r="G36" i="15"/>
  <c r="H82" i="15"/>
  <c r="S37" i="16" s="1"/>
  <c r="S40" i="16" s="1"/>
  <c r="L41" i="16" s="1"/>
  <c r="I10" i="16" l="1"/>
  <c r="G36" i="16" l="1"/>
  <c r="I9" i="16" l="1"/>
  <c r="H61" i="15" l="1"/>
  <c r="H62" i="15"/>
  <c r="H65" i="15"/>
  <c r="H66" i="15"/>
  <c r="H68" i="15"/>
  <c r="H57" i="15"/>
  <c r="H64" i="15"/>
  <c r="H22" i="15"/>
  <c r="G22" i="15"/>
  <c r="F22" i="15"/>
  <c r="E22" i="15"/>
  <c r="M19" i="16"/>
  <c r="AB19" i="16" s="1"/>
  <c r="AA19" i="16"/>
  <c r="I19" i="16"/>
  <c r="Z19" i="16" s="1"/>
  <c r="G19" i="16"/>
  <c r="Y19" i="16" s="1"/>
  <c r="H69" i="15" l="1"/>
  <c r="H71" i="15" s="1"/>
  <c r="Q40" i="16"/>
  <c r="R78" i="5"/>
  <c r="R77" i="5"/>
  <c r="R76" i="5"/>
  <c r="R75" i="5"/>
  <c r="R72" i="5"/>
  <c r="R71" i="5"/>
  <c r="O40" i="16" l="1"/>
  <c r="G40" i="15"/>
  <c r="T58" i="16"/>
  <c r="E8" i="15"/>
  <c r="N89" i="15"/>
</calcChain>
</file>

<file path=xl/sharedStrings.xml><?xml version="1.0" encoding="utf-8"?>
<sst xmlns="http://schemas.openxmlformats.org/spreadsheetml/2006/main" count="513" uniqueCount="266">
  <si>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</si>
  <si>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</si>
  <si>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</si>
  <si>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</si>
  <si>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</si>
  <si>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</si>
  <si>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</si>
  <si>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</si>
  <si>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</si>
  <si>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</si>
  <si>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</si>
  <si>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</si>
  <si>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</si>
  <si>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</si>
  <si>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</si>
  <si>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</si>
  <si>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</si>
  <si>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</si>
  <si>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</si>
  <si>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</si>
  <si>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</si>
  <si>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</si>
  <si>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</si>
  <si>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</si>
  <si>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</si>
  <si>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</si>
  <si>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</si>
  <si>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</si>
  <si>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</si>
  <si>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</si>
  <si>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</si>
  <si>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</si>
  <si>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</si>
  <si>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</si>
  <si>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</si>
  <si>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</si>
  <si>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</si>
  <si>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</si>
  <si>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</si>
  <si>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</si>
  <si>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</si>
  <si>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</si>
  <si>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</si>
  <si>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</si>
  <si>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</si>
  <si>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</si>
  <si>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</si>
  <si>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</si>
  <si>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</si>
  <si>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</si>
  <si>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</si>
  <si>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</si>
  <si>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</si>
  <si>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</si>
  <si>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</si>
  <si>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</si>
  <si>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</si>
  <si>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</si>
  <si>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</si>
  <si>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</si>
  <si>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</si>
  <si>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</si>
  <si>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</si>
  <si>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</si>
  <si>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</si>
  <si>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</si>
  <si>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</si>
  <si>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</si>
  <si>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</si>
  <si>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</si>
  <si>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</si>
  <si>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</si>
  <si>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</si>
  <si>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</si>
  <si>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</si>
  <si>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</si>
  <si>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</si>
  <si>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</si>
  <si>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</si>
  <si>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</si>
  <si>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</si>
  <si>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</si>
  <si>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</si>
  <si>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</si>
  <si>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</si>
  <si>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</si>
  <si>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</si>
  <si>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</si>
  <si>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</si>
  <si>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</si>
  <si>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</si>
  <si>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</si>
  <si>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</si>
  <si>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</si>
  <si>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</si>
  <si>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</si>
  <si>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</si>
  <si>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</si>
  <si>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</si>
  <si>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</si>
  <si>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</si>
  <si>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</si>
  <si>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</si>
  <si>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</si>
  <si>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</si>
  <si>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</si>
  <si>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</si>
  <si>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</si>
  <si>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</si>
  <si>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</si>
  <si>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</si>
  <si>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</si>
  <si>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</si>
  <si>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</si>
  <si>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</si>
  <si>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</si>
  <si>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</si>
  <si>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</si>
  <si>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</si>
  <si>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</si>
  <si>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</si>
  <si>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</si>
  <si>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</si>
  <si>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</si>
  <si>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</si>
  <si>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</si>
  <si>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</si>
  <si>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</si>
  <si>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</si>
  <si>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</si>
  <si>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</si>
  <si>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</si>
  <si>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</si>
  <si>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</si>
  <si>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</si>
  <si>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</si>
  <si>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</si>
  <si>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</si>
  <si>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</si>
  <si>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</si>
  <si>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</si>
  <si>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</si>
  <si>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</si>
  <si>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</si>
  <si>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</si>
  <si>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</si>
  <si>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</si>
  <si>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</si>
  <si>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</si>
  <si>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</si>
  <si>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</si>
  <si>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</si>
  <si>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</si>
  <si>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</si>
  <si>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</si>
  <si>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</si>
  <si>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</si>
  <si>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</si>
  <si>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</si>
  <si>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</si>
  <si>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</si>
  <si>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</si>
  <si>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</si>
  <si>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</si>
  <si>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</si>
  <si>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</si>
  <si>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</si>
  <si>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</si>
  <si>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</si>
  <si>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</si>
  <si>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</si>
  <si>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</si>
  <si>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</si>
  <si>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</si>
  <si>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</si>
  <si>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</si>
  <si>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</si>
  <si>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</si>
  <si>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</si>
  <si>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</si>
  <si>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</si>
  <si>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</si>
  <si>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</si>
  <si>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</si>
  <si>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</si>
  <si>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</si>
  <si>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</si>
  <si>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</si>
  <si>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</si>
  <si>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</si>
  <si>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</si>
  <si>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</si>
  <si>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</si>
  <si>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</si>
  <si>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</si>
  <si>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</si>
  <si>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</si>
  <si>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</si>
  <si>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</si>
  <si>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</si>
  <si>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</si>
  <si>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</si>
  <si>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</si>
  <si>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</si>
  <si>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</si>
  <si>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</si>
  <si>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</si>
  <si>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</si>
  <si>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</si>
  <si>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</si>
  <si>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</si>
  <si>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</si>
  <si>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</si>
  <si>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</si>
  <si>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</si>
  <si>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</si>
  <si>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</si>
  <si>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</si>
  <si>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</si>
  <si>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</si>
  <si>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di Hotel</t>
  </si>
  <si>
    <t>Yes</t>
  </si>
  <si>
    <t>2.2 MOBIL / LOCAL TRANSPORT</t>
  </si>
  <si>
    <t>di JAI</t>
  </si>
  <si>
    <t>di Rumah</t>
  </si>
  <si>
    <t>: BENCHMARK</t>
  </si>
  <si>
    <t>CSPV</t>
  </si>
  <si>
    <t>ABDUL KARIS</t>
  </si>
  <si>
    <t>AGUS FREDDY KURNIAWAN</t>
  </si>
  <si>
    <t>KERETA</t>
  </si>
  <si>
    <t>Deluxe</t>
  </si>
  <si>
    <t>NKA</t>
  </si>
  <si>
    <t>SCHEDULE</t>
  </si>
  <si>
    <t>BY : KERETA</t>
  </si>
  <si>
    <t>UANG CADANGAN</t>
  </si>
  <si>
    <t>* Laundry : 100.000/day</t>
  </si>
  <si>
    <t>* Lokal Transport : 200.000/orang</t>
  </si>
  <si>
    <t>DATE</t>
  </si>
  <si>
    <t>TUJUAN</t>
  </si>
  <si>
    <t>SAI</t>
  </si>
  <si>
    <t>JAI</t>
  </si>
  <si>
    <r>
      <t xml:space="preserve">HARINA 125,
</t>
    </r>
    <r>
      <rPr>
        <b/>
        <sz val="11"/>
        <color theme="1"/>
        <rFont val="Times New Roman"/>
        <family val="1"/>
      </rPr>
      <t>SBI (18:10)</t>
    </r>
    <r>
      <rPr>
        <sz val="11"/>
        <color theme="1"/>
        <rFont val="Times New Roman"/>
        <family val="1"/>
      </rPr>
      <t xml:space="preserve">  -  SMT (22:06)    </t>
    </r>
  </si>
  <si>
    <r>
      <t xml:space="preserve">ARGO BROMO ANGGREK 4,
SMT (01:22)  -  </t>
    </r>
    <r>
      <rPr>
        <b/>
        <sz val="11"/>
        <color theme="1"/>
        <rFont val="Times New Roman"/>
        <family val="1"/>
      </rPr>
      <t xml:space="preserve">SBI (04:35)   </t>
    </r>
  </si>
  <si>
    <t>ASTON SIDOARJO</t>
  </si>
  <si>
    <t>PENGATURAN PENJEMPUTAN</t>
  </si>
  <si>
    <t>PUDJI IDAYANI</t>
  </si>
  <si>
    <t>NYS / JSN</t>
  </si>
  <si>
    <t>NYS / KBN</t>
  </si>
  <si>
    <t>LL</t>
  </si>
  <si>
    <t>GEDE WIJI SANTOSO</t>
  </si>
  <si>
    <t>PRD</t>
  </si>
  <si>
    <t>WIDODO PRASETIO</t>
  </si>
  <si>
    <t>SUSANTI</t>
  </si>
  <si>
    <t>: SAI - JAI</t>
  </si>
  <si>
    <t>SAMI TF</t>
  </si>
  <si>
    <t>Hi Ace Dari SAMI-JF</t>
  </si>
  <si>
    <r>
      <t xml:space="preserve">ASTON Sidoarjo City Hotel &amp; Conference Center
</t>
    </r>
    <r>
      <rPr>
        <sz val="12"/>
        <color rgb="FF0000CC"/>
        <rFont val="Calibri"/>
        <family val="2"/>
        <scheme val="minor"/>
      </rPr>
      <t xml:space="preserve"> Jl. Kahuripan Raya Kav. 14, Entalsewu, Kec Buduran, Kab Sidoarjo 61252 Sidoarjo Indonesia, Entalsewu, Surabaya</t>
    </r>
  </si>
  <si>
    <t>PIY</t>
  </si>
  <si>
    <t>GWS</t>
  </si>
  <si>
    <t>WPR</t>
  </si>
  <si>
    <t>SUS</t>
  </si>
  <si>
    <t>PAN</t>
  </si>
  <si>
    <t>YSU</t>
  </si>
  <si>
    <t>MIS</t>
  </si>
  <si>
    <t>ASA</t>
  </si>
  <si>
    <t>JPU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</si>
</sst>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
      <sz val="10"/>
      <color rgb="FF0000CC"/>
      <name val="Times New Roman"/>
      <family val="1"/>
    </font>
    <font>
      <b/>
      <sz val="11"/>
      <color theme="1"/>
      <name val="Times New Roman"/>
      <family val="1"/>
    </font>
    <font>
      <sz val="11"/>
      <color rgb="FFFF0000"/>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803">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6" fillId="0" borderId="49" xfId="0"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39" xfId="0" applyNumberFormat="1" applyFont="1" applyBorder="1" applyAlignment="1">
      <alignment vertical="center"/>
    </xf>
    <xf numFmtId="165" fontId="37" fillId="0" borderId="6" xfId="1" applyNumberFormat="1" applyFont="1" applyBorder="1" applyAlignment="1">
      <alignmen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0" fontId="36" fillId="0" borderId="1" xfId="0" applyFont="1" applyBorder="1" applyAlignment="1">
      <alignment horizontal="center" vertical="center" wrapText="1"/>
    </xf>
    <xf numFmtId="165" fontId="37"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7" fontId="49" fillId="0" borderId="3"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5" fillId="0" borderId="1" xfId="0" applyNumberFormat="1" applyFont="1" applyBorder="1" applyAlignment="1">
      <alignment vertical="center" wrapText="1"/>
    </xf>
    <xf numFmtId="0" fontId="38" fillId="0" borderId="16" xfId="0" applyFont="1" applyBorder="1" applyAlignment="1">
      <alignment vertical="center"/>
    </xf>
    <xf numFmtId="0" fontId="53" fillId="0" borderId="17" xfId="0" applyFont="1" applyBorder="1" applyAlignment="1">
      <alignment horizontal="center" vertical="center" wrapText="1"/>
    </xf>
    <xf numFmtId="0" fontId="53"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4"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5" xfId="0" applyFont="1" applyBorder="1" applyAlignment="1">
      <alignment horizontal="center" vertical="center"/>
    </xf>
    <xf numFmtId="0" fontId="44" fillId="0" borderId="25" xfId="0" applyFont="1" applyBorder="1" applyAlignment="1">
      <alignment horizontal="left" vertical="center"/>
    </xf>
    <xf numFmtId="0" fontId="44" fillId="0" borderId="25" xfId="0" applyFont="1" applyBorder="1" applyAlignment="1">
      <alignment vertical="center"/>
    </xf>
    <xf numFmtId="16" fontId="56" fillId="0" borderId="25"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29"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5" fillId="0" borderId="17" xfId="0" applyNumberFormat="1" applyFont="1" applyBorder="1" applyAlignment="1">
      <alignment vertical="center" wrapText="1"/>
    </xf>
    <xf numFmtId="0" fontId="23" fillId="0" borderId="6" xfId="0"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0" fontId="53" fillId="8" borderId="1" xfId="0" applyFont="1" applyFill="1" applyBorder="1" applyAlignment="1">
      <alignment vertical="center" wrapText="1"/>
    </xf>
    <xf numFmtId="0" fontId="53" fillId="8" borderId="17" xfId="0" applyFont="1" applyFill="1" applyBorder="1" applyAlignment="1">
      <alignment vertical="center" wrapText="1"/>
    </xf>
    <xf numFmtId="165" fontId="36" fillId="0" borderId="1" xfId="1" applyNumberFormat="1" applyFont="1" applyBorder="1" applyAlignment="1">
      <alignment horizontal="center" vertical="center"/>
    </xf>
    <xf numFmtId="20" fontId="23" fillId="0" borderId="0" xfId="0" applyNumberFormat="1" applyFont="1" applyAlignment="1">
      <alignment vertical="center"/>
    </xf>
    <xf numFmtId="166" fontId="53" fillId="7" borderId="13" xfId="0" applyNumberFormat="1" applyFont="1" applyFill="1" applyBorder="1" applyAlignment="1">
      <alignment horizontal="right" vertical="top" wrapText="1"/>
    </xf>
    <xf numFmtId="166"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37" fillId="0" borderId="4" xfId="0" applyNumberFormat="1" applyFont="1" applyBorder="1" applyAlignment="1">
      <alignment horizontal="left" vertical="center"/>
    </xf>
    <xf numFmtId="165" fontId="5" fillId="0" borderId="0" xfId="0" applyNumberFormat="1" applyFont="1" applyAlignment="1">
      <alignment horizontal="left" vertical="center"/>
    </xf>
    <xf numFmtId="165" fontId="36" fillId="0" borderId="1" xfId="1" applyNumberFormat="1" applyFont="1" applyFill="1" applyBorder="1" applyAlignment="1">
      <alignment vertical="center"/>
    </xf>
    <xf numFmtId="165" fontId="37" fillId="0" borderId="39" xfId="0" applyNumberFormat="1" applyFont="1" applyFill="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23" fillId="6" borderId="0" xfId="0" applyFont="1" applyFill="1" applyAlignment="1">
      <alignment horizontal="center" vertical="center"/>
    </xf>
    <xf numFmtId="171" fontId="49" fillId="0" borderId="8" xfId="0" applyNumberFormat="1" applyFont="1" applyBorder="1" applyAlignment="1">
      <alignment horizontal="center" vertical="center"/>
    </xf>
    <xf numFmtId="0" fontId="63" fillId="8" borderId="1" xfId="0" applyFont="1" applyFill="1" applyBorder="1" applyAlignment="1">
      <alignment horizontal="center"/>
    </xf>
    <xf numFmtId="0" fontId="53" fillId="0" borderId="44" xfId="0" applyFont="1" applyBorder="1" applyAlignment="1">
      <alignment vertical="center"/>
    </xf>
    <xf numFmtId="0" fontId="53" fillId="0" borderId="22" xfId="0" applyFont="1" applyBorder="1" applyAlignment="1">
      <alignment vertical="center"/>
    </xf>
    <xf numFmtId="172" fontId="55" fillId="0" borderId="1" xfId="0" applyNumberFormat="1" applyFont="1" applyBorder="1" applyAlignment="1">
      <alignment vertical="center" wrapText="1"/>
    </xf>
    <xf numFmtId="0" fontId="51" fillId="0" borderId="1" xfId="0" applyFont="1" applyBorder="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 fontId="53" fillId="8"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53" fillId="8" borderId="17" xfId="0" applyFont="1" applyFill="1" applyBorder="1" applyAlignment="1">
      <alignment horizontal="center" vertical="center"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0" xfId="0" applyFont="1" applyFill="1" applyBorder="1" applyAlignment="1">
      <alignment horizontal="center" vertical="top" wrapText="1"/>
    </xf>
    <xf numFmtId="165" fontId="36" fillId="0" borderId="1" xfId="1" applyNumberFormat="1" applyFont="1" applyFill="1" applyBorder="1" applyAlignment="1">
      <alignment horizontal="left" vertical="center"/>
    </xf>
    <xf numFmtId="171" fontId="49" fillId="0" borderId="2" xfId="0" applyNumberFormat="1" applyFont="1" applyBorder="1" applyAlignment="1">
      <alignment horizontal="center" vertical="center"/>
    </xf>
    <xf numFmtId="172" fontId="55" fillId="0" borderId="17" xfId="0" applyNumberFormat="1" applyFont="1" applyBorder="1" applyAlignment="1">
      <alignment vertical="center" wrapText="1"/>
    </xf>
    <xf numFmtId="0" fontId="39" fillId="7" borderId="13" xfId="0" applyFont="1" applyFill="1" applyBorder="1" applyAlignment="1">
      <alignment vertical="top" wrapText="1"/>
    </xf>
    <xf numFmtId="0" fontId="39" fillId="7" borderId="16" xfId="0" applyFont="1" applyFill="1" applyBorder="1" applyAlignment="1">
      <alignment vertical="top" wrapText="1"/>
    </xf>
    <xf numFmtId="0" fontId="39" fillId="7" borderId="10" xfId="0" applyFont="1" applyFill="1" applyBorder="1" applyAlignment="1">
      <alignment vertical="top" wrapText="1"/>
    </xf>
    <xf numFmtId="0" fontId="39" fillId="7" borderId="12" xfId="0" applyFont="1" applyFill="1" applyBorder="1" applyAlignment="1">
      <alignment vertical="top"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165" fontId="37" fillId="0" borderId="4" xfId="0" applyNumberFormat="1" applyFont="1" applyBorder="1" applyAlignment="1">
      <alignment horizontal="left" vertical="center"/>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65" fillId="0" borderId="0" xfId="0" applyFont="1" applyAlignment="1">
      <alignment horizontal="center" vertical="center"/>
    </xf>
    <xf numFmtId="0" fontId="43" fillId="0" borderId="1" xfId="0" applyFont="1" applyBorder="1" applyAlignment="1">
      <alignment horizontal="center" vertical="center"/>
    </xf>
    <xf numFmtId="0" fontId="43" fillId="0" borderId="1" xfId="0" applyFont="1" applyBorder="1" applyAlignment="1">
      <alignment vertical="center"/>
    </xf>
    <xf numFmtId="166" fontId="43" fillId="0" borderId="0" xfId="0" applyNumberFormat="1" applyFont="1" applyAlignment="1">
      <alignment vertical="center"/>
    </xf>
    <xf numFmtId="0" fontId="43" fillId="0" borderId="1" xfId="0" applyFont="1" applyBorder="1" applyAlignment="1">
      <alignment horizontal="center" vertical="center" wrapText="1"/>
    </xf>
    <xf numFmtId="0" fontId="43" fillId="0" borderId="6" xfId="0" applyFont="1" applyBorder="1" applyAlignment="1">
      <alignment horizontal="center" vertical="center"/>
    </xf>
    <xf numFmtId="0" fontId="43" fillId="0" borderId="6" xfId="0" applyFont="1" applyBorder="1" applyAlignment="1">
      <alignment horizontal="center" vertical="center" wrapText="1"/>
    </xf>
    <xf numFmtId="0" fontId="65" fillId="0" borderId="17" xfId="0" applyFont="1" applyBorder="1" applyAlignment="1">
      <alignment horizontal="center" vertical="center"/>
    </xf>
    <xf numFmtId="0" fontId="43" fillId="0" borderId="6" xfId="0" applyFont="1" applyBorder="1" applyAlignment="1">
      <alignment vertical="center"/>
    </xf>
    <xf numFmtId="0" fontId="65" fillId="0" borderId="17" xfId="0" applyFont="1" applyBorder="1" applyAlignment="1">
      <alignment horizontal="center" vertical="center" wrapText="1"/>
    </xf>
    <xf numFmtId="0" fontId="66" fillId="0" borderId="1" xfId="0" applyFont="1" applyBorder="1" applyAlignment="1">
      <alignment horizontal="center" vertical="center"/>
    </xf>
    <xf numFmtId="0" fontId="66" fillId="0" borderId="1" xfId="0" applyFont="1" applyBorder="1" applyAlignment="1">
      <alignment vertical="center" wrapText="1"/>
    </xf>
    <xf numFmtId="0" fontId="66" fillId="0" borderId="0" xfId="0" applyFont="1" applyAlignment="1">
      <alignment vertical="center"/>
    </xf>
    <xf numFmtId="166" fontId="43" fillId="0" borderId="6" xfId="0" applyNumberFormat="1" applyFont="1" applyBorder="1" applyAlignment="1">
      <alignment horizontal="right" vertical="center"/>
    </xf>
    <xf numFmtId="166" fontId="43" fillId="0" borderId="1" xfId="0" applyNumberFormat="1" applyFont="1" applyBorder="1" applyAlignment="1">
      <alignment horizontal="right" vertical="center"/>
    </xf>
    <xf numFmtId="166" fontId="66" fillId="0" borderId="1" xfId="0" applyNumberFormat="1" applyFont="1" applyBorder="1" applyAlignment="1">
      <alignment horizontal="right" vertical="center"/>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0" fontId="36" fillId="0" borderId="3" xfId="0" applyFont="1" applyBorder="1" applyAlignment="1">
      <alignment vertical="center"/>
    </xf>
    <xf numFmtId="0" fontId="36" fillId="0" borderId="2" xfId="0" applyFont="1" applyBorder="1" applyAlignment="1">
      <alignment vertical="center"/>
    </xf>
    <xf numFmtId="0" fontId="36" fillId="0" borderId="4" xfId="0" applyFont="1" applyBorder="1" applyAlignment="1">
      <alignment vertical="center"/>
    </xf>
    <xf numFmtId="0" fontId="36" fillId="0" borderId="21" xfId="0" applyFont="1" applyBorder="1" applyAlignment="1">
      <alignment vertical="center"/>
    </xf>
    <xf numFmtId="0" fontId="36" fillId="0" borderId="44" xfId="0" applyFont="1" applyBorder="1" applyAlignment="1">
      <alignment vertical="center"/>
    </xf>
    <xf numFmtId="0" fontId="36" fillId="0" borderId="22" xfId="0" applyFont="1" applyBorder="1" applyAlignment="1">
      <alignment vertical="center"/>
    </xf>
    <xf numFmtId="0" fontId="28"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164"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1" xfId="0" applyFont="1" applyFill="1" applyBorder="1" applyAlignment="1">
      <alignment horizontal="lef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4" xfId="0"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3" xfId="0" applyNumberFormat="1" applyFont="1" applyBorder="1" applyAlignment="1">
      <alignment horizontal="center" vertical="center"/>
    </xf>
    <xf numFmtId="170" fontId="4" fillId="0" borderId="4"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50"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8" xfId="0" applyFont="1" applyFill="1" applyBorder="1" applyAlignment="1">
      <alignment horizontal="center" vertical="center" wrapText="1"/>
    </xf>
    <xf numFmtId="0" fontId="5" fillId="7" borderId="1" xfId="0"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6" fillId="0" borderId="3" xfId="0" applyNumberFormat="1" applyFont="1" applyBorder="1" applyAlignment="1">
      <alignment horizontal="center" vertical="center"/>
    </xf>
    <xf numFmtId="165" fontId="36" fillId="0" borderId="2" xfId="0" applyNumberFormat="1" applyFont="1" applyBorder="1" applyAlignment="1">
      <alignment horizontal="center" vertical="center"/>
    </xf>
    <xf numFmtId="165" fontId="36" fillId="0" borderId="4" xfId="0" applyNumberFormat="1" applyFont="1" applyBorder="1" applyAlignment="1">
      <alignment horizontal="center" vertical="center"/>
    </xf>
    <xf numFmtId="165" fontId="36" fillId="0" borderId="38" xfId="1" applyNumberFormat="1" applyFont="1" applyBorder="1" applyAlignment="1">
      <alignment horizontal="center" vertical="center"/>
    </xf>
    <xf numFmtId="165" fontId="36" fillId="0" borderId="39" xfId="1" applyNumberFormat="1" applyFont="1" applyBorder="1" applyAlignment="1">
      <alignment horizontal="center"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0" borderId="38" xfId="0" applyFont="1" applyBorder="1" applyAlignment="1">
      <alignment horizontal="center" vertical="center"/>
    </xf>
    <xf numFmtId="0" fontId="5" fillId="0" borderId="45" xfId="0" applyFont="1" applyBorder="1" applyAlignment="1">
      <alignment horizontal="center" vertical="center"/>
    </xf>
    <xf numFmtId="0" fontId="5" fillId="0" borderId="39" xfId="0"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7" fillId="0" borderId="4" xfId="0" applyNumberFormat="1"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6"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1"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38" xfId="0" applyNumberFormat="1" applyFont="1" applyBorder="1" applyAlignment="1">
      <alignment horizontal="center" vertical="center"/>
    </xf>
    <xf numFmtId="171" fontId="36" fillId="0" borderId="39" xfId="0" applyNumberFormat="1" applyFont="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63" fillId="8" borderId="1" xfId="0" applyFont="1" applyFill="1" applyBorder="1" applyAlignment="1">
      <alignment horizontal="center"/>
    </xf>
    <xf numFmtId="0" fontId="50" fillId="0" borderId="2" xfId="0" applyFont="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3" xfId="0" applyFont="1" applyBorder="1" applyAlignment="1">
      <alignment horizontal="left" vertical="center" wrapText="1"/>
    </xf>
    <xf numFmtId="0" fontId="51" fillId="0" borderId="2" xfId="0" applyFont="1" applyBorder="1" applyAlignment="1">
      <alignment horizontal="left" vertical="center" wrapText="1"/>
    </xf>
    <xf numFmtId="0" fontId="51" fillId="0" borderId="4" xfId="0" applyFont="1" applyBorder="1" applyAlignment="1">
      <alignment horizontal="left" vertical="center" wrapText="1"/>
    </xf>
    <xf numFmtId="0" fontId="63" fillId="8" borderId="5" xfId="0" applyFont="1" applyFill="1" applyBorder="1" applyAlignment="1">
      <alignment horizontal="center"/>
    </xf>
    <xf numFmtId="0" fontId="63" fillId="8" borderId="23" xfId="0" applyFont="1" applyFill="1" applyBorder="1" applyAlignment="1">
      <alignment horizontal="center"/>
    </xf>
    <xf numFmtId="0" fontId="63" fillId="8" borderId="6" xfId="0" applyFont="1" applyFill="1" applyBorder="1" applyAlignment="1">
      <alignment horizontal="center"/>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3" xfId="0" applyFont="1" applyFill="1" applyBorder="1" applyAlignment="1">
      <alignment horizontal="center"/>
    </xf>
    <xf numFmtId="0" fontId="63" fillId="8" borderId="16"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50" fillId="0" borderId="8" xfId="0" applyFont="1" applyBorder="1" applyAlignment="1">
      <alignment horizontal="center" vertical="center"/>
    </xf>
    <xf numFmtId="0" fontId="51" fillId="0" borderId="7" xfId="0" applyFont="1" applyBorder="1" applyAlignment="1">
      <alignment horizontal="center" vertical="center"/>
    </xf>
    <xf numFmtId="0" fontId="51" fillId="0" borderId="9" xfId="0" applyFont="1" applyBorder="1" applyAlignment="1">
      <alignment horizontal="center" vertical="center"/>
    </xf>
    <xf numFmtId="0" fontId="51" fillId="0" borderId="7" xfId="0" applyFont="1" applyBorder="1" applyAlignment="1">
      <alignment horizontal="left" vertical="center" wrapText="1"/>
    </xf>
    <xf numFmtId="0" fontId="51" fillId="0" borderId="8" xfId="0" applyFont="1" applyBorder="1" applyAlignment="1">
      <alignment horizontal="left" vertical="center" wrapText="1"/>
    </xf>
    <xf numFmtId="0" fontId="51" fillId="0" borderId="9" xfId="0" applyFont="1" applyBorder="1" applyAlignment="1">
      <alignment horizontal="left"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3"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0" xfId="0" applyFont="1" applyFill="1" applyAlignment="1">
      <alignment horizontal="center"/>
    </xf>
    <xf numFmtId="0" fontId="63" fillId="8" borderId="11" xfId="0" applyFont="1" applyFill="1" applyBorder="1" applyAlignment="1">
      <alignment horizontal="center"/>
    </xf>
    <xf numFmtId="0" fontId="38" fillId="7" borderId="1" xfId="0" applyFont="1" applyFill="1" applyBorder="1" applyAlignment="1">
      <alignment horizontal="center" vertical="top" wrapText="1"/>
    </xf>
    <xf numFmtId="0" fontId="64" fillId="7" borderId="7" xfId="0" applyFont="1" applyFill="1" applyBorder="1" applyAlignment="1">
      <alignment horizontal="center" vertical="center" wrapText="1"/>
    </xf>
    <xf numFmtId="0" fontId="64" fillId="7" borderId="8"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4" fillId="7" borderId="13" xfId="0" applyFont="1" applyFill="1" applyBorder="1" applyAlignment="1">
      <alignment horizontal="center" vertical="center" wrapText="1"/>
    </xf>
    <xf numFmtId="0" fontId="64" fillId="7" borderId="0" xfId="0" applyFont="1" applyFill="1" applyBorder="1" applyAlignment="1">
      <alignment horizontal="center" vertical="center" wrapText="1"/>
    </xf>
    <xf numFmtId="0" fontId="64" fillId="7" borderId="16" xfId="0" applyFont="1" applyFill="1" applyBorder="1" applyAlignment="1">
      <alignment horizontal="center" vertical="center" wrapText="1"/>
    </xf>
    <xf numFmtId="0" fontId="47" fillId="7" borderId="13" xfId="0" applyFont="1" applyFill="1" applyBorder="1" applyAlignment="1">
      <alignment horizontal="center" vertical="top" wrapText="1"/>
    </xf>
    <xf numFmtId="0" fontId="47" fillId="7" borderId="16" xfId="0" applyFont="1" applyFill="1" applyBorder="1" applyAlignment="1">
      <alignment horizontal="center" vertical="top" wrapText="1"/>
    </xf>
    <xf numFmtId="0" fontId="41" fillId="0" borderId="1" xfId="0" applyFont="1" applyBorder="1" applyAlignment="1">
      <alignment horizontal="left" vertical="center"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3"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3" xfId="0" applyFont="1" applyFill="1" applyBorder="1" applyAlignment="1">
      <alignment horizontal="center" vertical="top"/>
    </xf>
    <xf numFmtId="0" fontId="39"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1" fillId="0" borderId="6" xfId="0" applyFont="1" applyBorder="1" applyAlignment="1">
      <alignment horizontal="left" vertical="center" wrapText="1"/>
    </xf>
    <xf numFmtId="169" fontId="51" fillId="0" borderId="6" xfId="0" applyNumberFormat="1" applyFont="1" applyBorder="1" applyAlignment="1">
      <alignment horizontal="center"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169" fontId="49" fillId="0" borderId="21" xfId="0" applyNumberFormat="1" applyFont="1" applyBorder="1" applyAlignment="1">
      <alignment horizontal="center" vertical="center" wrapText="1"/>
    </xf>
    <xf numFmtId="169" fontId="49" fillId="0" borderId="22" xfId="0" applyNumberFormat="1" applyFont="1" applyBorder="1" applyAlignment="1">
      <alignment horizontal="center" vertical="center" wrapText="1"/>
    </xf>
    <xf numFmtId="166" fontId="60" fillId="7" borderId="13" xfId="0" applyNumberFormat="1" applyFont="1" applyFill="1" applyBorder="1" applyAlignment="1">
      <alignment horizontal="center" vertical="top" wrapText="1"/>
    </xf>
    <xf numFmtId="166"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38" fillId="7" borderId="2" xfId="0" applyFont="1" applyFill="1" applyBorder="1" applyAlignment="1">
      <alignment horizontal="center" vertical="top"/>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38" fillId="7" borderId="0" xfId="0" applyFont="1" applyFill="1" applyBorder="1" applyAlignment="1">
      <alignment horizontal="center" vertical="top" wrapText="1"/>
    </xf>
    <xf numFmtId="0" fontId="53" fillId="8" borderId="1" xfId="0" applyFont="1" applyFill="1" applyBorder="1" applyAlignment="1">
      <alignment horizontal="center" vertical="center" wrapText="1"/>
    </xf>
    <xf numFmtId="0" fontId="45" fillId="7" borderId="1" xfId="0" applyFont="1" applyFill="1" applyBorder="1" applyAlignment="1">
      <alignment horizontal="center" vertical="top" wrapText="1"/>
    </xf>
    <xf numFmtId="0" fontId="53" fillId="8" borderId="3" xfId="0" applyFont="1" applyFill="1" applyBorder="1" applyAlignment="1">
      <alignment horizontal="center" vertical="center" wrapText="1"/>
    </xf>
    <xf numFmtId="0" fontId="53" fillId="8" borderId="2" xfId="0" applyFont="1" applyFill="1" applyBorder="1" applyAlignment="1">
      <alignment horizontal="center" vertical="center" wrapText="1"/>
    </xf>
    <xf numFmtId="0" fontId="53" fillId="8" borderId="4" xfId="0" applyFont="1" applyFill="1" applyBorder="1" applyAlignment="1">
      <alignment horizontal="center" vertical="center" wrapText="1"/>
    </xf>
    <xf numFmtId="0" fontId="53" fillId="8" borderId="21" xfId="0" applyFont="1" applyFill="1" applyBorder="1" applyAlignment="1">
      <alignment horizontal="center" vertical="center" wrapText="1"/>
    </xf>
    <xf numFmtId="0" fontId="53" fillId="8" borderId="44" xfId="0" applyFont="1" applyFill="1" applyBorder="1" applyAlignment="1">
      <alignment horizontal="center" vertical="center" wrapText="1"/>
    </xf>
    <xf numFmtId="0" fontId="53" fillId="8" borderId="22" xfId="0" applyFont="1" applyFill="1" applyBorder="1" applyAlignment="1">
      <alignment horizontal="center" vertical="center" wrapText="1"/>
    </xf>
    <xf numFmtId="0" fontId="43" fillId="0" borderId="23" xfId="0" applyFont="1" applyBorder="1" applyAlignment="1">
      <alignment horizontal="center" vertical="center" wrapText="1"/>
    </xf>
    <xf numFmtId="0" fontId="43" fillId="0" borderId="6" xfId="0" applyFont="1" applyBorder="1" applyAlignment="1">
      <alignment horizontal="center" vertical="center" wrapText="1"/>
    </xf>
    <xf numFmtId="0" fontId="43" fillId="0" borderId="1" xfId="0" applyFont="1" applyBorder="1" applyAlignment="1">
      <alignment horizontal="center" vertical="center" wrapText="1"/>
    </xf>
    <xf numFmtId="0" fontId="36" fillId="0" borderId="5" xfId="0" applyFont="1" applyBorder="1" applyAlignment="1">
      <alignment horizontal="center" vertical="center"/>
    </xf>
    <xf numFmtId="0" fontId="36" fillId="0" borderId="6" xfId="0" applyFont="1" applyBorder="1" applyAlignment="1">
      <alignment horizontal="center" vertical="center"/>
    </xf>
    <xf numFmtId="165" fontId="36" fillId="0" borderId="5" xfId="1" applyNumberFormat="1" applyFont="1" applyFill="1" applyBorder="1" applyAlignment="1">
      <alignment horizontal="center" vertical="center"/>
    </xf>
    <xf numFmtId="165" fontId="36" fillId="0" borderId="6" xfId="1" applyNumberFormat="1" applyFont="1" applyFill="1" applyBorder="1" applyAlignment="1">
      <alignment horizontal="center" vertical="center"/>
    </xf>
  </cellXfs>
  <cellStyles count="4">
    <cellStyle name="Comma" xfId="1" builtinId="3"/>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79</xdr:row>
      <xdr:rowOff>126999</xdr:rowOff>
    </xdr:from>
    <xdr:to>
      <xdr:col>6</xdr:col>
      <xdr:colOff>952500</xdr:colOff>
      <xdr:row>84</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102099</xdr:colOff>
      <xdr:row>86</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56</xdr:row>
      <xdr:rowOff>14552</xdr:rowOff>
    </xdr:from>
    <xdr:to>
      <xdr:col>7</xdr:col>
      <xdr:colOff>234157</xdr:colOff>
      <xdr:row>59</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B1:Z91"/>
  <sheetViews>
    <sheetView showGridLines="0" zoomScale="90" zoomScaleNormal="90" workbookViewId="0">
      <selection activeCell="S14" sqref="S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5" t="s">
        <v>0</v>
      </c>
      <c r="C2" s="19"/>
      <c r="D2" s="19"/>
      <c r="E2" s="19"/>
      <c r="F2" s="19"/>
      <c r="G2" s="76"/>
      <c r="H2" s="77" t="s">
        <v>61</v>
      </c>
      <c r="I2" s="66" t="s">
        <v>62</v>
      </c>
      <c r="J2" s="67" t="s">
        <v>157</v>
      </c>
      <c r="K2" s="67"/>
      <c r="L2" s="67"/>
      <c r="M2" s="68"/>
      <c r="N2" s="501" t="s">
        <v>67</v>
      </c>
      <c r="O2" s="502"/>
      <c r="P2" s="501" t="s">
        <v>66</v>
      </c>
      <c r="Q2" s="502"/>
      <c r="R2" s="501" t="s">
        <v>54</v>
      </c>
      <c r="S2" s="502"/>
      <c r="T2" s="501" t="s">
        <v>53</v>
      </c>
      <c r="U2" s="502"/>
    </row>
    <row r="3" spans="2:26" ht="15" customHeight="1" x14ac:dyDescent="0.25">
      <c r="B3" s="518" t="s">
        <v>58</v>
      </c>
      <c r="C3" s="519"/>
      <c r="D3" s="519"/>
      <c r="E3" s="519"/>
      <c r="F3" s="519"/>
      <c r="G3" s="519"/>
      <c r="H3" s="520"/>
      <c r="I3" s="69" t="s">
        <v>63</v>
      </c>
      <c r="J3" s="70" t="s">
        <v>69</v>
      </c>
      <c r="K3" s="70"/>
      <c r="L3" s="70"/>
      <c r="M3" s="71"/>
      <c r="N3" s="509" t="s">
        <v>161</v>
      </c>
      <c r="O3" s="510"/>
      <c r="P3" s="510"/>
      <c r="Q3" s="510"/>
      <c r="R3" s="510"/>
      <c r="S3" s="510"/>
      <c r="T3" s="510"/>
      <c r="U3" s="511"/>
    </row>
    <row r="4" spans="2:26" ht="15" customHeight="1" x14ac:dyDescent="0.25">
      <c r="B4" s="521"/>
      <c r="C4" s="522"/>
      <c r="D4" s="522"/>
      <c r="E4" s="522"/>
      <c r="F4" s="522"/>
      <c r="G4" s="522"/>
      <c r="H4" s="523"/>
      <c r="I4" s="69" t="s">
        <v>5</v>
      </c>
      <c r="J4" s="70" t="s">
        <v>70</v>
      </c>
      <c r="K4" s="70"/>
      <c r="L4" s="70"/>
      <c r="M4" s="71"/>
      <c r="N4" s="512"/>
      <c r="O4" s="513"/>
      <c r="P4" s="513"/>
      <c r="Q4" s="513"/>
      <c r="R4" s="513"/>
      <c r="S4" s="513"/>
      <c r="T4" s="513"/>
      <c r="U4" s="514"/>
    </row>
    <row r="5" spans="2:26" ht="15" customHeight="1" x14ac:dyDescent="0.25">
      <c r="B5" s="521"/>
      <c r="C5" s="522"/>
      <c r="D5" s="522"/>
      <c r="E5" s="522"/>
      <c r="F5" s="522"/>
      <c r="G5" s="522"/>
      <c r="H5" s="523"/>
      <c r="I5" s="69" t="s">
        <v>64</v>
      </c>
      <c r="J5" s="70" t="s">
        <v>71</v>
      </c>
      <c r="K5" s="70"/>
      <c r="L5" s="70"/>
      <c r="M5" s="71"/>
      <c r="N5" s="515"/>
      <c r="O5" s="516"/>
      <c r="P5" s="516"/>
      <c r="Q5" s="516"/>
      <c r="R5" s="516"/>
      <c r="S5" s="516"/>
      <c r="T5" s="516"/>
      <c r="U5" s="517"/>
    </row>
    <row r="6" spans="2:26" ht="15" customHeight="1" x14ac:dyDescent="0.25">
      <c r="B6" s="524"/>
      <c r="C6" s="525"/>
      <c r="D6" s="525"/>
      <c r="E6" s="525"/>
      <c r="F6" s="525"/>
      <c r="G6" s="525"/>
      <c r="H6" s="526"/>
      <c r="I6" s="72" t="s">
        <v>65</v>
      </c>
      <c r="J6" s="73" t="s">
        <v>175</v>
      </c>
      <c r="K6" s="73"/>
      <c r="L6" s="73"/>
      <c r="M6" s="74"/>
      <c r="N6" s="501" t="s">
        <v>68</v>
      </c>
      <c r="O6" s="502"/>
      <c r="P6" s="501" t="s">
        <v>57</v>
      </c>
      <c r="Q6" s="502"/>
      <c r="R6" s="501" t="s">
        <v>56</v>
      </c>
      <c r="S6" s="502"/>
      <c r="T6" s="501" t="s">
        <v>55</v>
      </c>
      <c r="U6" s="502"/>
    </row>
    <row r="7" spans="2:26" ht="15" customHeight="1" x14ac:dyDescent="0.25">
      <c r="B7" s="49"/>
      <c r="U7" s="20"/>
    </row>
    <row r="8" spans="2:26" s="5" customFormat="1" ht="21.95" customHeight="1" x14ac:dyDescent="0.25">
      <c r="B8" s="50" t="s">
        <v>8</v>
      </c>
      <c r="C8" s="41"/>
      <c r="D8" s="41"/>
      <c r="E8" s="41"/>
      <c r="F8" s="41"/>
      <c r="G8" s="43" t="s">
        <v>253</v>
      </c>
      <c r="H8" s="6"/>
      <c r="I8" s="6"/>
      <c r="J8" s="6"/>
      <c r="U8" s="22"/>
    </row>
    <row r="9" spans="2:26" s="5" customFormat="1" ht="21.95" customHeight="1" x14ac:dyDescent="0.25">
      <c r="B9" s="51" t="s">
        <v>9</v>
      </c>
      <c r="C9" s="42"/>
      <c r="D9" s="42"/>
      <c r="E9" s="42"/>
      <c r="F9" s="42"/>
      <c r="G9" s="44" t="s">
        <v>225</v>
      </c>
      <c r="H9" s="7"/>
      <c r="I9" s="7"/>
      <c r="J9" s="7"/>
      <c r="U9" s="22"/>
    </row>
    <row r="10" spans="2:26" s="5" customFormat="1" ht="15" customHeight="1" x14ac:dyDescent="0.25">
      <c r="B10" s="21"/>
      <c r="C10" s="27"/>
      <c r="D10" s="27"/>
      <c r="E10" s="27"/>
      <c r="F10" s="27"/>
      <c r="G10" s="13"/>
      <c r="U10" s="22"/>
    </row>
    <row r="11" spans="2:26" ht="24.95" customHeight="1" x14ac:dyDescent="0.25">
      <c r="B11" s="52" t="s">
        <v>72</v>
      </c>
      <c r="U11" s="20"/>
    </row>
    <row r="12" spans="2:26" s="8" customFormat="1" ht="24.95" customHeight="1" x14ac:dyDescent="0.25">
      <c r="B12" s="40" t="s">
        <v>1</v>
      </c>
      <c r="C12" s="497" t="s">
        <v>5</v>
      </c>
      <c r="D12" s="531"/>
      <c r="E12" s="531"/>
      <c r="F12" s="498"/>
      <c r="G12" s="475" t="s">
        <v>4</v>
      </c>
      <c r="H12" s="479"/>
      <c r="I12" s="475" t="s">
        <v>60</v>
      </c>
      <c r="J12" s="476"/>
      <c r="K12" s="475" t="s">
        <v>2</v>
      </c>
      <c r="L12" s="479"/>
      <c r="M12" s="482" t="s">
        <v>3</v>
      </c>
      <c r="N12" s="482"/>
      <c r="O12" s="482"/>
      <c r="P12" s="482"/>
      <c r="Q12" s="482"/>
      <c r="R12" s="17"/>
      <c r="S12" s="17"/>
      <c r="T12" s="17"/>
      <c r="U12" s="23"/>
      <c r="V12" s="17"/>
      <c r="W12" s="17"/>
      <c r="X12" s="17"/>
      <c r="Y12" s="490"/>
      <c r="Z12" s="490"/>
    </row>
    <row r="13" spans="2:26" ht="24.95" customHeight="1" x14ac:dyDescent="0.25">
      <c r="B13" s="16">
        <v>1</v>
      </c>
      <c r="C13" s="161">
        <v>45502</v>
      </c>
      <c r="D13" s="374" t="s">
        <v>6</v>
      </c>
      <c r="E13" s="374"/>
      <c r="F13" s="162">
        <v>45504</v>
      </c>
      <c r="G13" s="375" t="s">
        <v>246</v>
      </c>
      <c r="H13" s="376"/>
      <c r="I13" s="375" t="s">
        <v>194</v>
      </c>
      <c r="J13" s="376"/>
      <c r="K13" s="377">
        <v>1170</v>
      </c>
      <c r="L13" s="376"/>
      <c r="M13" s="163" t="s">
        <v>245</v>
      </c>
      <c r="N13" s="164"/>
      <c r="O13" s="164"/>
      <c r="P13" s="164"/>
      <c r="Q13" s="165"/>
      <c r="U13" s="20"/>
    </row>
    <row r="14" spans="2:26" ht="24.95" customHeight="1" x14ac:dyDescent="0.25">
      <c r="B14" s="296">
        <v>2</v>
      </c>
      <c r="C14" s="161">
        <f>+C13</f>
        <v>45502</v>
      </c>
      <c r="D14" s="374" t="s">
        <v>6</v>
      </c>
      <c r="E14" s="374"/>
      <c r="F14" s="162">
        <f>+F13</f>
        <v>45504</v>
      </c>
      <c r="G14" s="375" t="s">
        <v>247</v>
      </c>
      <c r="H14" s="376"/>
      <c r="I14" s="375" t="s">
        <v>248</v>
      </c>
      <c r="J14" s="376"/>
      <c r="K14" s="377">
        <v>6113</v>
      </c>
      <c r="L14" s="376"/>
      <c r="M14" s="163" t="s">
        <v>249</v>
      </c>
      <c r="N14" s="164"/>
      <c r="O14" s="164"/>
      <c r="P14" s="164"/>
      <c r="Q14" s="165"/>
      <c r="U14" s="20"/>
    </row>
    <row r="15" spans="2:26" ht="24.95" customHeight="1" x14ac:dyDescent="0.25">
      <c r="B15" s="337">
        <v>3</v>
      </c>
      <c r="C15" s="161">
        <f>C13</f>
        <v>45502</v>
      </c>
      <c r="D15" s="374" t="s">
        <v>6</v>
      </c>
      <c r="E15" s="374"/>
      <c r="F15" s="162">
        <f>F13</f>
        <v>45504</v>
      </c>
      <c r="G15" s="375" t="s">
        <v>250</v>
      </c>
      <c r="H15" s="376"/>
      <c r="I15" s="375" t="s">
        <v>194</v>
      </c>
      <c r="J15" s="376"/>
      <c r="K15" s="377">
        <v>13645</v>
      </c>
      <c r="L15" s="376"/>
      <c r="M15" s="163" t="s">
        <v>251</v>
      </c>
      <c r="N15" s="164"/>
      <c r="O15" s="164"/>
      <c r="P15" s="164"/>
      <c r="Q15" s="165"/>
      <c r="U15" s="20"/>
    </row>
    <row r="16" spans="2:26" ht="24.95" customHeight="1" x14ac:dyDescent="0.25">
      <c r="B16" s="337">
        <v>4</v>
      </c>
      <c r="C16" s="161">
        <f>C13</f>
        <v>45502</v>
      </c>
      <c r="D16" s="374" t="s">
        <v>6</v>
      </c>
      <c r="E16" s="374"/>
      <c r="F16" s="162">
        <f>F13</f>
        <v>45504</v>
      </c>
      <c r="G16" s="375" t="s">
        <v>250</v>
      </c>
      <c r="H16" s="376"/>
      <c r="I16" s="375" t="s">
        <v>194</v>
      </c>
      <c r="J16" s="376"/>
      <c r="K16" s="377">
        <v>121</v>
      </c>
      <c r="L16" s="376"/>
      <c r="M16" s="163" t="s">
        <v>252</v>
      </c>
      <c r="N16" s="164"/>
      <c r="O16" s="164"/>
      <c r="P16" s="164"/>
      <c r="Q16" s="165"/>
      <c r="U16" s="20"/>
    </row>
    <row r="17" spans="2:23" ht="15" customHeight="1" x14ac:dyDescent="0.25">
      <c r="B17" s="11"/>
      <c r="U17" s="20"/>
    </row>
    <row r="18" spans="2:23" ht="20.100000000000001" customHeight="1" x14ac:dyDescent="0.25">
      <c r="B18" s="52" t="s">
        <v>106</v>
      </c>
      <c r="U18" s="20"/>
    </row>
    <row r="19" spans="2:23" ht="20.100000000000001" customHeight="1" x14ac:dyDescent="0.25">
      <c r="B19" s="53" t="s">
        <v>76</v>
      </c>
      <c r="K19" s="24" t="s">
        <v>77</v>
      </c>
      <c r="L19" s="24"/>
      <c r="U19" s="20"/>
    </row>
    <row r="20" spans="2:23" s="3" customFormat="1" ht="20.100000000000001" customHeight="1" thickBot="1" x14ac:dyDescent="0.3">
      <c r="B20" s="386" t="s">
        <v>1</v>
      </c>
      <c r="C20" s="527" t="s">
        <v>5</v>
      </c>
      <c r="D20" s="528"/>
      <c r="E20" s="475" t="s">
        <v>153</v>
      </c>
      <c r="F20" s="476"/>
      <c r="G20" s="479"/>
      <c r="H20" s="475" t="s">
        <v>59</v>
      </c>
      <c r="I20" s="479"/>
      <c r="J20" s="5"/>
      <c r="K20" s="393" t="s">
        <v>1</v>
      </c>
      <c r="L20" s="399" t="s">
        <v>5</v>
      </c>
      <c r="M20" s="401"/>
      <c r="N20" s="503" t="s">
        <v>13</v>
      </c>
      <c r="O20" s="504"/>
      <c r="P20" s="504"/>
      <c r="Q20" s="505"/>
      <c r="R20" s="503" t="s">
        <v>59</v>
      </c>
      <c r="S20" s="504"/>
      <c r="T20" s="504"/>
      <c r="U20" s="505"/>
      <c r="V20" s="9"/>
      <c r="W20" s="9"/>
    </row>
    <row r="21" spans="2:23" s="3" customFormat="1" ht="20.100000000000001" customHeight="1" thickTop="1" x14ac:dyDescent="0.25">
      <c r="B21" s="496"/>
      <c r="C21" s="529"/>
      <c r="D21" s="530"/>
      <c r="E21" s="497" t="s">
        <v>35</v>
      </c>
      <c r="F21" s="498"/>
      <c r="G21" s="360" t="s">
        <v>36</v>
      </c>
      <c r="H21" s="361" t="s">
        <v>35</v>
      </c>
      <c r="I21" s="362" t="s">
        <v>36</v>
      </c>
      <c r="J21" s="5"/>
      <c r="K21" s="508"/>
      <c r="L21" s="506"/>
      <c r="M21" s="507"/>
      <c r="N21" s="399" t="s">
        <v>35</v>
      </c>
      <c r="O21" s="401"/>
      <c r="P21" s="399" t="s">
        <v>36</v>
      </c>
      <c r="Q21" s="401"/>
      <c r="R21" s="399" t="s">
        <v>35</v>
      </c>
      <c r="S21" s="401"/>
      <c r="T21" s="399" t="s">
        <v>36</v>
      </c>
      <c r="U21" s="401"/>
      <c r="V21" s="9"/>
      <c r="W21" s="9"/>
    </row>
    <row r="22" spans="2:23" ht="24.95" customHeight="1" x14ac:dyDescent="0.25">
      <c r="B22" s="337">
        <v>1</v>
      </c>
      <c r="C22" s="491"/>
      <c r="D22" s="492"/>
      <c r="E22" s="395"/>
      <c r="F22" s="472"/>
      <c r="G22" s="363"/>
      <c r="H22" s="364"/>
      <c r="I22" s="337"/>
      <c r="J22" s="13"/>
      <c r="K22" s="337">
        <v>1</v>
      </c>
      <c r="L22" s="477"/>
      <c r="M22" s="478"/>
      <c r="N22" s="473"/>
      <c r="O22" s="472"/>
      <c r="P22" s="473"/>
      <c r="Q22" s="474"/>
      <c r="R22" s="473"/>
      <c r="S22" s="474"/>
      <c r="T22" s="473"/>
      <c r="U22" s="474"/>
      <c r="V22" s="9"/>
      <c r="W22" s="9"/>
    </row>
    <row r="23" spans="2:23" ht="24.95" customHeight="1" x14ac:dyDescent="0.25">
      <c r="B23" s="337">
        <v>2</v>
      </c>
      <c r="C23" s="491"/>
      <c r="D23" s="492"/>
      <c r="E23" s="395"/>
      <c r="F23" s="472"/>
      <c r="G23" s="363"/>
      <c r="H23" s="364"/>
      <c r="I23" s="363"/>
      <c r="J23" s="13"/>
      <c r="K23" s="337">
        <v>2</v>
      </c>
      <c r="L23" s="477"/>
      <c r="M23" s="478"/>
      <c r="N23" s="473"/>
      <c r="O23" s="474"/>
      <c r="P23" s="395"/>
      <c r="Q23" s="472"/>
      <c r="R23" s="395"/>
      <c r="S23" s="472"/>
      <c r="T23" s="395"/>
      <c r="U23" s="472"/>
    </row>
    <row r="24" spans="2:23" ht="15" customHeight="1" x14ac:dyDescent="0.25">
      <c r="B24" s="11"/>
      <c r="U24" s="20"/>
    </row>
    <row r="25" spans="2:23" ht="20.100000000000001" customHeight="1" x14ac:dyDescent="0.25">
      <c r="B25" s="21" t="s">
        <v>78</v>
      </c>
      <c r="C25" s="14"/>
      <c r="D25" s="14"/>
      <c r="E25" s="14"/>
      <c r="F25" s="14"/>
      <c r="G25" s="13"/>
      <c r="H25" s="13"/>
      <c r="I25" s="13"/>
      <c r="J25" s="13"/>
      <c r="K25" s="13"/>
      <c r="L25" s="13"/>
      <c r="M25" s="13"/>
      <c r="N25" s="13"/>
      <c r="O25" s="13"/>
      <c r="P25" s="13"/>
      <c r="Q25" s="13"/>
      <c r="R25" s="13"/>
      <c r="S25" s="13"/>
      <c r="T25" s="13"/>
      <c r="U25" s="54"/>
    </row>
    <row r="26" spans="2:23" s="3" customFormat="1" ht="20.100000000000001" customHeight="1" x14ac:dyDescent="0.25">
      <c r="B26" s="393" t="s">
        <v>1</v>
      </c>
      <c r="C26" s="399" t="s">
        <v>5</v>
      </c>
      <c r="D26" s="400"/>
      <c r="E26" s="400"/>
      <c r="F26" s="401"/>
      <c r="G26" s="497" t="s">
        <v>14</v>
      </c>
      <c r="H26" s="498"/>
      <c r="I26" s="482" t="s">
        <v>74</v>
      </c>
      <c r="J26" s="475" t="s">
        <v>15</v>
      </c>
      <c r="K26" s="476"/>
      <c r="L26" s="476"/>
      <c r="M26" s="479"/>
      <c r="N26" s="494" t="s">
        <v>73</v>
      </c>
      <c r="O26" s="494"/>
      <c r="P26" s="494"/>
      <c r="Q26" s="494"/>
      <c r="R26" s="494"/>
      <c r="S26" s="494"/>
      <c r="T26" s="494"/>
      <c r="U26" s="494"/>
      <c r="V26" s="9"/>
      <c r="W26" s="9"/>
    </row>
    <row r="27" spans="2:23" s="3" customFormat="1" ht="20.100000000000001" customHeight="1" thickBot="1" x14ac:dyDescent="0.3">
      <c r="B27" s="394"/>
      <c r="C27" s="402"/>
      <c r="D27" s="403"/>
      <c r="E27" s="403"/>
      <c r="F27" s="404"/>
      <c r="G27" s="499"/>
      <c r="H27" s="500"/>
      <c r="I27" s="483"/>
      <c r="J27" s="484" t="s">
        <v>17</v>
      </c>
      <c r="K27" s="485"/>
      <c r="L27" s="484" t="s">
        <v>16</v>
      </c>
      <c r="M27" s="485"/>
      <c r="N27" s="495"/>
      <c r="O27" s="495"/>
      <c r="P27" s="495"/>
      <c r="Q27" s="495"/>
      <c r="R27" s="495"/>
      <c r="S27" s="495"/>
      <c r="T27" s="495"/>
      <c r="U27" s="495"/>
      <c r="V27" s="9"/>
      <c r="W27" s="9"/>
    </row>
    <row r="28" spans="2:23" ht="50.1" customHeight="1" thickTop="1" x14ac:dyDescent="0.25">
      <c r="B28" s="38">
        <v>1</v>
      </c>
      <c r="C28" s="158">
        <f>C13</f>
        <v>45502</v>
      </c>
      <c r="D28" s="486" t="s">
        <v>6</v>
      </c>
      <c r="E28" s="486"/>
      <c r="F28" s="159">
        <f>F13</f>
        <v>45504</v>
      </c>
      <c r="G28" s="488" t="s">
        <v>84</v>
      </c>
      <c r="H28" s="489"/>
      <c r="I28" s="160"/>
      <c r="J28" s="480" t="s">
        <v>254</v>
      </c>
      <c r="K28" s="481"/>
      <c r="L28" s="480"/>
      <c r="M28" s="489"/>
      <c r="N28" s="493" t="s">
        <v>255</v>
      </c>
      <c r="O28" s="493"/>
      <c r="P28" s="493"/>
      <c r="Q28" s="493"/>
      <c r="R28" s="493"/>
      <c r="S28" s="493"/>
      <c r="T28" s="493"/>
      <c r="U28" s="493"/>
      <c r="V28" s="9"/>
      <c r="W28" s="9"/>
    </row>
    <row r="29" spans="2:23" ht="24.95" customHeight="1" x14ac:dyDescent="0.25">
      <c r="B29" s="55" t="s">
        <v>105</v>
      </c>
      <c r="C29" s="14"/>
      <c r="D29" s="14"/>
      <c r="E29" s="14"/>
      <c r="F29" s="14"/>
      <c r="G29" s="13"/>
      <c r="H29" s="13"/>
      <c r="I29" s="13"/>
      <c r="J29" s="13"/>
      <c r="K29" s="13"/>
      <c r="L29" s="13"/>
      <c r="M29" s="13"/>
      <c r="N29" s="13"/>
      <c r="O29" s="13"/>
      <c r="U29" s="20"/>
    </row>
    <row r="30" spans="2:23" s="10" customFormat="1" ht="20.100000000000001" customHeight="1" x14ac:dyDescent="0.25">
      <c r="B30" s="29" t="s">
        <v>82</v>
      </c>
      <c r="C30" s="409" t="s">
        <v>127</v>
      </c>
      <c r="D30" s="409"/>
      <c r="E30" s="409"/>
      <c r="F30" s="409"/>
      <c r="G30" s="409"/>
      <c r="H30" s="409"/>
      <c r="I30" s="409"/>
      <c r="J30" s="428" t="s">
        <v>83</v>
      </c>
      <c r="K30" s="455"/>
      <c r="L30" s="429"/>
      <c r="M30" s="428" t="s">
        <v>84</v>
      </c>
      <c r="N30" s="455"/>
      <c r="O30" s="429"/>
      <c r="P30" s="409" t="s">
        <v>33</v>
      </c>
      <c r="Q30" s="409"/>
      <c r="R30" s="409"/>
      <c r="U30" s="25"/>
    </row>
    <row r="31" spans="2:23" s="28" customFormat="1" ht="17.100000000000001" customHeight="1" x14ac:dyDescent="0.25">
      <c r="B31" s="39">
        <v>1</v>
      </c>
      <c r="C31" s="408" t="s">
        <v>18</v>
      </c>
      <c r="D31" s="408"/>
      <c r="E31" s="408"/>
      <c r="F31" s="408"/>
      <c r="G31" s="408"/>
      <c r="H31" s="408"/>
      <c r="I31" s="408"/>
      <c r="J31" s="467" t="s">
        <v>30</v>
      </c>
      <c r="K31" s="468"/>
      <c r="L31" s="469"/>
      <c r="M31" s="467" t="s">
        <v>30</v>
      </c>
      <c r="N31" s="468"/>
      <c r="O31" s="469"/>
      <c r="P31" s="470" t="s">
        <v>30</v>
      </c>
      <c r="Q31" s="470"/>
      <c r="R31" s="470"/>
      <c r="U31" s="56"/>
    </row>
    <row r="32" spans="2:23" s="28" customFormat="1" ht="17.100000000000001" customHeight="1" x14ac:dyDescent="0.25">
      <c r="B32" s="39">
        <v>2</v>
      </c>
      <c r="C32" s="408" t="s">
        <v>19</v>
      </c>
      <c r="D32" s="408"/>
      <c r="E32" s="408"/>
      <c r="F32" s="408"/>
      <c r="G32" s="408"/>
      <c r="H32" s="408"/>
      <c r="I32" s="408"/>
      <c r="J32" s="467" t="s">
        <v>30</v>
      </c>
      <c r="K32" s="468"/>
      <c r="L32" s="469"/>
      <c r="M32" s="467" t="s">
        <v>30</v>
      </c>
      <c r="N32" s="468"/>
      <c r="O32" s="469"/>
      <c r="P32" s="470" t="s">
        <v>30</v>
      </c>
      <c r="Q32" s="470"/>
      <c r="R32" s="470"/>
      <c r="U32" s="56"/>
    </row>
    <row r="33" spans="2:21" s="28" customFormat="1" ht="17.100000000000001" customHeight="1" x14ac:dyDescent="0.25">
      <c r="B33" s="39">
        <v>3</v>
      </c>
      <c r="C33" s="487" t="s">
        <v>122</v>
      </c>
      <c r="D33" s="487"/>
      <c r="E33" s="487"/>
      <c r="F33" s="487"/>
      <c r="G33" s="487"/>
      <c r="H33" s="487"/>
      <c r="I33" s="487"/>
      <c r="J33" s="467" t="s">
        <v>30</v>
      </c>
      <c r="K33" s="468"/>
      <c r="L33" s="469"/>
      <c r="M33" s="467" t="s">
        <v>30</v>
      </c>
      <c r="N33" s="468"/>
      <c r="O33" s="469"/>
      <c r="P33" s="470" t="s">
        <v>30</v>
      </c>
      <c r="Q33" s="470"/>
      <c r="R33" s="470"/>
      <c r="U33" s="56"/>
    </row>
    <row r="34" spans="2:21" s="28" customFormat="1" ht="17.100000000000001" customHeight="1" x14ac:dyDescent="0.25">
      <c r="B34" s="39">
        <v>4</v>
      </c>
      <c r="C34" s="408" t="s">
        <v>20</v>
      </c>
      <c r="D34" s="408"/>
      <c r="E34" s="408"/>
      <c r="F34" s="408"/>
      <c r="G34" s="408"/>
      <c r="H34" s="408"/>
      <c r="I34" s="408"/>
      <c r="J34" s="467" t="s">
        <v>30</v>
      </c>
      <c r="K34" s="468"/>
      <c r="L34" s="469"/>
      <c r="M34" s="467" t="s">
        <v>30</v>
      </c>
      <c r="N34" s="468"/>
      <c r="O34" s="469"/>
      <c r="P34" s="470" t="s">
        <v>30</v>
      </c>
      <c r="Q34" s="470"/>
      <c r="R34" s="470"/>
      <c r="U34" s="56"/>
    </row>
    <row r="35" spans="2:21" s="28" customFormat="1" ht="17.100000000000001" customHeight="1" x14ac:dyDescent="0.25">
      <c r="B35" s="39">
        <v>5</v>
      </c>
      <c r="C35" s="408" t="s">
        <v>21</v>
      </c>
      <c r="D35" s="408"/>
      <c r="E35" s="408"/>
      <c r="F35" s="408"/>
      <c r="G35" s="408"/>
      <c r="H35" s="408"/>
      <c r="I35" s="408"/>
      <c r="J35" s="467" t="s">
        <v>30</v>
      </c>
      <c r="K35" s="468"/>
      <c r="L35" s="469"/>
      <c r="M35" s="467" t="s">
        <v>30</v>
      </c>
      <c r="N35" s="468"/>
      <c r="O35" s="469"/>
      <c r="P35" s="470" t="s">
        <v>30</v>
      </c>
      <c r="Q35" s="470"/>
      <c r="R35" s="470"/>
      <c r="U35" s="56"/>
    </row>
    <row r="36" spans="2:21" s="28" customFormat="1" ht="17.100000000000001" customHeight="1" x14ac:dyDescent="0.25">
      <c r="B36" s="39">
        <v>6</v>
      </c>
      <c r="C36" s="487" t="s">
        <v>123</v>
      </c>
      <c r="D36" s="487"/>
      <c r="E36" s="487"/>
      <c r="F36" s="487"/>
      <c r="G36" s="487"/>
      <c r="H36" s="487"/>
      <c r="I36" s="487"/>
      <c r="J36" s="467" t="s">
        <v>30</v>
      </c>
      <c r="K36" s="468"/>
      <c r="L36" s="469"/>
      <c r="M36" s="467" t="s">
        <v>30</v>
      </c>
      <c r="N36" s="468"/>
      <c r="O36" s="469"/>
      <c r="P36" s="470" t="s">
        <v>30</v>
      </c>
      <c r="Q36" s="470"/>
      <c r="R36" s="470"/>
      <c r="U36" s="56"/>
    </row>
    <row r="37" spans="2:21" s="28" customFormat="1" ht="35.1" customHeight="1" x14ac:dyDescent="0.25">
      <c r="B37" s="39">
        <v>7</v>
      </c>
      <c r="C37" s="408" t="s">
        <v>22</v>
      </c>
      <c r="D37" s="408"/>
      <c r="E37" s="408"/>
      <c r="F37" s="408"/>
      <c r="G37" s="408"/>
      <c r="H37" s="408"/>
      <c r="I37" s="408"/>
      <c r="J37" s="410" t="s">
        <v>124</v>
      </c>
      <c r="K37" s="411"/>
      <c r="L37" s="412"/>
      <c r="M37" s="410" t="s">
        <v>125</v>
      </c>
      <c r="N37" s="411"/>
      <c r="O37" s="412"/>
      <c r="P37" s="471" t="s">
        <v>125</v>
      </c>
      <c r="Q37" s="471"/>
      <c r="R37" s="471"/>
      <c r="U37" s="56"/>
    </row>
    <row r="38" spans="2:21" s="28" customFormat="1" ht="35.1" customHeight="1" x14ac:dyDescent="0.25">
      <c r="B38" s="39">
        <v>8</v>
      </c>
      <c r="C38" s="408" t="s">
        <v>23</v>
      </c>
      <c r="D38" s="408"/>
      <c r="E38" s="408"/>
      <c r="F38" s="408"/>
      <c r="G38" s="408"/>
      <c r="H38" s="408"/>
      <c r="I38" s="408"/>
      <c r="J38" s="405" t="s">
        <v>31</v>
      </c>
      <c r="K38" s="406"/>
      <c r="L38" s="407"/>
      <c r="M38" s="410" t="s">
        <v>126</v>
      </c>
      <c r="N38" s="411"/>
      <c r="O38" s="412"/>
      <c r="P38" s="471" t="s">
        <v>126</v>
      </c>
      <c r="Q38" s="471"/>
      <c r="R38" s="471"/>
      <c r="U38" s="56"/>
    </row>
    <row r="39" spans="2:21" s="28" customFormat="1" ht="17.100000000000001" customHeight="1" x14ac:dyDescent="0.25">
      <c r="B39" s="39">
        <v>9</v>
      </c>
      <c r="C39" s="408" t="s">
        <v>24</v>
      </c>
      <c r="D39" s="408"/>
      <c r="E39" s="408"/>
      <c r="F39" s="408"/>
      <c r="G39" s="408"/>
      <c r="H39" s="408"/>
      <c r="I39" s="408"/>
      <c r="J39" s="405" t="s">
        <v>31</v>
      </c>
      <c r="K39" s="406"/>
      <c r="L39" s="407"/>
      <c r="M39" s="405" t="s">
        <v>31</v>
      </c>
      <c r="N39" s="406"/>
      <c r="O39" s="407"/>
      <c r="P39" s="398" t="s">
        <v>31</v>
      </c>
      <c r="Q39" s="398"/>
      <c r="R39" s="398"/>
      <c r="U39" s="56"/>
    </row>
    <row r="40" spans="2:21" s="28" customFormat="1" ht="17.100000000000001" customHeight="1" x14ac:dyDescent="0.25">
      <c r="B40" s="39">
        <v>10</v>
      </c>
      <c r="C40" s="408" t="s">
        <v>25</v>
      </c>
      <c r="D40" s="408"/>
      <c r="E40" s="408"/>
      <c r="F40" s="408"/>
      <c r="G40" s="408"/>
      <c r="H40" s="408"/>
      <c r="I40" s="408"/>
      <c r="J40" s="405" t="s">
        <v>31</v>
      </c>
      <c r="K40" s="406"/>
      <c r="L40" s="407"/>
      <c r="M40" s="405" t="s">
        <v>31</v>
      </c>
      <c r="N40" s="406"/>
      <c r="O40" s="407"/>
      <c r="P40" s="398" t="s">
        <v>31</v>
      </c>
      <c r="Q40" s="398"/>
      <c r="R40" s="398"/>
      <c r="U40" s="56"/>
    </row>
    <row r="41" spans="2:21" s="28" customFormat="1" ht="17.100000000000001" customHeight="1" x14ac:dyDescent="0.25">
      <c r="B41" s="39">
        <v>11</v>
      </c>
      <c r="C41" s="408" t="s">
        <v>26</v>
      </c>
      <c r="D41" s="408"/>
      <c r="E41" s="408"/>
      <c r="F41" s="408"/>
      <c r="G41" s="408"/>
      <c r="H41" s="408"/>
      <c r="I41" s="408"/>
      <c r="J41" s="405" t="s">
        <v>31</v>
      </c>
      <c r="K41" s="406"/>
      <c r="L41" s="407"/>
      <c r="M41" s="405" t="s">
        <v>31</v>
      </c>
      <c r="N41" s="406"/>
      <c r="O41" s="407"/>
      <c r="P41" s="398" t="s">
        <v>31</v>
      </c>
      <c r="Q41" s="398"/>
      <c r="R41" s="398"/>
      <c r="U41" s="56"/>
    </row>
    <row r="42" spans="2:21" s="28" customFormat="1" ht="17.100000000000001" customHeight="1" x14ac:dyDescent="0.25">
      <c r="B42" s="39">
        <v>12</v>
      </c>
      <c r="C42" s="408" t="s">
        <v>27</v>
      </c>
      <c r="D42" s="408"/>
      <c r="E42" s="408"/>
      <c r="F42" s="408"/>
      <c r="G42" s="408"/>
      <c r="H42" s="408"/>
      <c r="I42" s="408"/>
      <c r="J42" s="405" t="s">
        <v>31</v>
      </c>
      <c r="K42" s="406"/>
      <c r="L42" s="407"/>
      <c r="M42" s="405" t="s">
        <v>31</v>
      </c>
      <c r="N42" s="406"/>
      <c r="O42" s="407"/>
      <c r="P42" s="398" t="s">
        <v>31</v>
      </c>
      <c r="Q42" s="398"/>
      <c r="R42" s="398"/>
      <c r="U42" s="56"/>
    </row>
    <row r="43" spans="2:21" s="28" customFormat="1" ht="17.100000000000001" customHeight="1" x14ac:dyDescent="0.25">
      <c r="B43" s="39">
        <v>13</v>
      </c>
      <c r="C43" s="408" t="s">
        <v>28</v>
      </c>
      <c r="D43" s="408"/>
      <c r="E43" s="408"/>
      <c r="F43" s="408"/>
      <c r="G43" s="408"/>
      <c r="H43" s="408"/>
      <c r="I43" s="408"/>
      <c r="J43" s="405" t="s">
        <v>32</v>
      </c>
      <c r="K43" s="406"/>
      <c r="L43" s="407"/>
      <c r="M43" s="405" t="s">
        <v>32</v>
      </c>
      <c r="N43" s="406"/>
      <c r="O43" s="407"/>
      <c r="P43" s="398" t="s">
        <v>32</v>
      </c>
      <c r="Q43" s="398"/>
      <c r="R43" s="398"/>
      <c r="U43" s="56"/>
    </row>
    <row r="44" spans="2:21" s="28" customFormat="1" ht="17.100000000000001" customHeight="1" x14ac:dyDescent="0.25">
      <c r="B44" s="39">
        <v>14</v>
      </c>
      <c r="C44" s="408" t="s">
        <v>29</v>
      </c>
      <c r="D44" s="408"/>
      <c r="E44" s="408"/>
      <c r="F44" s="408"/>
      <c r="G44" s="408"/>
      <c r="H44" s="408"/>
      <c r="I44" s="408"/>
      <c r="J44" s="405" t="s">
        <v>31</v>
      </c>
      <c r="K44" s="406"/>
      <c r="L44" s="407"/>
      <c r="M44" s="405" t="s">
        <v>31</v>
      </c>
      <c r="N44" s="406"/>
      <c r="O44" s="407"/>
      <c r="P44" s="398" t="s">
        <v>31</v>
      </c>
      <c r="Q44" s="398"/>
      <c r="R44" s="398"/>
      <c r="U44" s="56"/>
    </row>
    <row r="45" spans="2:21" ht="24.95" customHeight="1" x14ac:dyDescent="0.25">
      <c r="B45" s="55" t="s">
        <v>154</v>
      </c>
      <c r="C45" s="14"/>
      <c r="D45" s="14"/>
      <c r="E45" s="14"/>
      <c r="F45" s="14"/>
      <c r="G45" s="13"/>
      <c r="H45" s="13"/>
      <c r="I45" s="13"/>
      <c r="J45" s="13"/>
      <c r="K45" s="13"/>
      <c r="L45" s="13"/>
      <c r="M45" s="13"/>
      <c r="N45" s="13"/>
      <c r="O45" s="13"/>
      <c r="U45" s="20"/>
    </row>
    <row r="46" spans="2:21" s="32" customFormat="1" ht="17.100000000000001" customHeight="1" x14ac:dyDescent="0.25">
      <c r="B46" s="409" t="s">
        <v>50</v>
      </c>
      <c r="C46" s="409"/>
      <c r="D46" s="409" t="s">
        <v>97</v>
      </c>
      <c r="E46" s="409"/>
      <c r="F46" s="409"/>
      <c r="G46" s="409"/>
      <c r="H46" s="416" t="s">
        <v>102</v>
      </c>
      <c r="I46" s="416"/>
      <c r="J46" s="416"/>
      <c r="K46" s="416" t="s">
        <v>103</v>
      </c>
      <c r="L46" s="416"/>
      <c r="M46" s="416"/>
      <c r="N46" s="416"/>
      <c r="O46" s="416"/>
      <c r="U46" s="57"/>
    </row>
    <row r="47" spans="2:21" s="12" customFormat="1" ht="17.100000000000001" customHeight="1" x14ac:dyDescent="0.25">
      <c r="B47" s="420" t="s">
        <v>98</v>
      </c>
      <c r="C47" s="420"/>
      <c r="D47" s="420" t="s">
        <v>100</v>
      </c>
      <c r="E47" s="420"/>
      <c r="F47" s="420"/>
      <c r="G47" s="420"/>
      <c r="H47" s="414" t="s">
        <v>100</v>
      </c>
      <c r="I47" s="414"/>
      <c r="J47" s="414"/>
      <c r="K47" s="414" t="s">
        <v>104</v>
      </c>
      <c r="L47" s="414"/>
      <c r="M47" s="414"/>
      <c r="N47" s="414"/>
      <c r="O47" s="414"/>
      <c r="U47" s="58"/>
    </row>
    <row r="48" spans="2:21" s="12" customFormat="1" ht="17.100000000000001" customHeight="1" x14ac:dyDescent="0.25">
      <c r="B48" s="420" t="s">
        <v>99</v>
      </c>
      <c r="C48" s="420"/>
      <c r="D48" s="420" t="s">
        <v>101</v>
      </c>
      <c r="E48" s="420"/>
      <c r="F48" s="420"/>
      <c r="G48" s="420"/>
      <c r="H48" s="414" t="s">
        <v>100</v>
      </c>
      <c r="I48" s="414"/>
      <c r="J48" s="414"/>
      <c r="K48" s="414" t="s">
        <v>100</v>
      </c>
      <c r="L48" s="414"/>
      <c r="M48" s="414"/>
      <c r="N48" s="414"/>
      <c r="O48" s="414"/>
      <c r="U48" s="58"/>
    </row>
    <row r="49" spans="2:21" s="28" customFormat="1" ht="15" customHeight="1" x14ac:dyDescent="0.25">
      <c r="B49" s="37"/>
      <c r="C49" s="31"/>
      <c r="D49" s="31"/>
      <c r="E49" s="31"/>
      <c r="F49" s="31"/>
      <c r="G49" s="31"/>
      <c r="H49" s="31"/>
      <c r="I49" s="31"/>
      <c r="J49" s="30"/>
      <c r="K49" s="30"/>
      <c r="L49" s="30"/>
      <c r="M49" s="30"/>
      <c r="N49" s="30"/>
      <c r="O49" s="30"/>
      <c r="U49" s="56"/>
    </row>
    <row r="50" spans="2:21" ht="20.100000000000001" customHeight="1" x14ac:dyDescent="0.25">
      <c r="B50" s="52" t="s">
        <v>75</v>
      </c>
      <c r="U50" s="20"/>
    </row>
    <row r="51" spans="2:21" s="27" customFormat="1" ht="20.100000000000001" customHeight="1" x14ac:dyDescent="0.25">
      <c r="B51" s="393" t="s">
        <v>1</v>
      </c>
      <c r="C51" s="399" t="s">
        <v>51</v>
      </c>
      <c r="D51" s="400"/>
      <c r="E51" s="400"/>
      <c r="F51" s="401"/>
      <c r="G51" s="399" t="s">
        <v>52</v>
      </c>
      <c r="H51" s="400"/>
      <c r="I51" s="400"/>
      <c r="J51" s="400"/>
      <c r="K51" s="401"/>
      <c r="L51" s="413" t="s">
        <v>121</v>
      </c>
      <c r="M51" s="413"/>
      <c r="N51" s="413"/>
      <c r="O51" s="413"/>
      <c r="P51" s="413"/>
      <c r="Q51" s="413"/>
      <c r="R51" s="413"/>
      <c r="S51" s="413"/>
      <c r="U51" s="59"/>
    </row>
    <row r="52" spans="2:21" s="27" customFormat="1" ht="20.100000000000001" customHeight="1" thickBot="1" x14ac:dyDescent="0.3">
      <c r="B52" s="394"/>
      <c r="C52" s="402"/>
      <c r="D52" s="403"/>
      <c r="E52" s="403"/>
      <c r="F52" s="404"/>
      <c r="G52" s="402"/>
      <c r="H52" s="403"/>
      <c r="I52" s="403"/>
      <c r="J52" s="403"/>
      <c r="K52" s="404"/>
      <c r="L52" s="386" t="s">
        <v>79</v>
      </c>
      <c r="M52" s="386"/>
      <c r="N52" s="386" t="s">
        <v>80</v>
      </c>
      <c r="O52" s="386"/>
      <c r="P52" s="386" t="s">
        <v>81</v>
      </c>
      <c r="Q52" s="386"/>
      <c r="R52" s="386" t="s">
        <v>116</v>
      </c>
      <c r="S52" s="386"/>
      <c r="U52" s="59"/>
    </row>
    <row r="53" spans="2:21" ht="27.75" customHeight="1" thickTop="1" x14ac:dyDescent="0.25">
      <c r="B53" s="38">
        <v>1</v>
      </c>
      <c r="C53" s="421"/>
      <c r="D53" s="421"/>
      <c r="E53" s="421"/>
      <c r="F53" s="421"/>
      <c r="G53" s="415"/>
      <c r="H53" s="415"/>
      <c r="I53" s="415"/>
      <c r="J53" s="415"/>
      <c r="K53" s="415"/>
      <c r="L53" s="392"/>
      <c r="M53" s="392"/>
      <c r="N53" s="392"/>
      <c r="O53" s="392"/>
      <c r="P53" s="392"/>
      <c r="Q53" s="392"/>
      <c r="R53" s="392"/>
      <c r="S53" s="392"/>
      <c r="U53" s="20"/>
    </row>
    <row r="54" spans="2:21" ht="24.95" customHeight="1" x14ac:dyDescent="0.25">
      <c r="B54" s="16">
        <v>2</v>
      </c>
      <c r="C54" s="372"/>
      <c r="D54" s="372"/>
      <c r="E54" s="372"/>
      <c r="F54" s="372"/>
      <c r="G54" s="373"/>
      <c r="H54" s="373"/>
      <c r="I54" s="373"/>
      <c r="J54" s="373"/>
      <c r="K54" s="373"/>
      <c r="L54" s="371"/>
      <c r="M54" s="371"/>
      <c r="N54" s="371"/>
      <c r="O54" s="371"/>
      <c r="P54" s="371"/>
      <c r="Q54" s="371"/>
      <c r="R54" s="371"/>
      <c r="S54" s="371"/>
      <c r="U54" s="20"/>
    </row>
    <row r="55" spans="2:21" ht="24.95" customHeight="1" x14ac:dyDescent="0.25">
      <c r="B55" s="337">
        <v>3</v>
      </c>
      <c r="C55" s="372"/>
      <c r="D55" s="372"/>
      <c r="E55" s="372"/>
      <c r="F55" s="372"/>
      <c r="G55" s="373"/>
      <c r="H55" s="373"/>
      <c r="I55" s="373"/>
      <c r="J55" s="373"/>
      <c r="K55" s="373"/>
      <c r="L55" s="371"/>
      <c r="M55" s="371"/>
      <c r="N55" s="371"/>
      <c r="O55" s="371"/>
      <c r="P55" s="371"/>
      <c r="Q55" s="371"/>
      <c r="R55" s="371"/>
      <c r="S55" s="371"/>
      <c r="U55" s="20"/>
    </row>
    <row r="56" spans="2:21" ht="24.95" customHeight="1" x14ac:dyDescent="0.25">
      <c r="B56" s="337">
        <v>4</v>
      </c>
      <c r="C56" s="372"/>
      <c r="D56" s="372"/>
      <c r="E56" s="372"/>
      <c r="F56" s="372"/>
      <c r="G56" s="373"/>
      <c r="H56" s="373"/>
      <c r="I56" s="373"/>
      <c r="J56" s="373"/>
      <c r="K56" s="373"/>
      <c r="L56" s="371"/>
      <c r="M56" s="371"/>
      <c r="N56" s="371"/>
      <c r="O56" s="371"/>
      <c r="P56" s="371"/>
      <c r="Q56" s="371"/>
      <c r="R56" s="371"/>
      <c r="S56" s="371"/>
      <c r="U56" s="20"/>
    </row>
    <row r="57" spans="2:21" ht="24.95" customHeight="1" x14ac:dyDescent="0.25">
      <c r="B57" s="55" t="s">
        <v>155</v>
      </c>
      <c r="U57" s="20"/>
    </row>
    <row r="58" spans="2:21" s="28" customFormat="1" ht="20.100000000000001" customHeight="1" x14ac:dyDescent="0.25">
      <c r="B58" s="428" t="s">
        <v>86</v>
      </c>
      <c r="C58" s="429"/>
      <c r="D58" s="428" t="s">
        <v>85</v>
      </c>
      <c r="E58" s="455"/>
      <c r="F58" s="455"/>
      <c r="G58" s="429"/>
      <c r="H58" s="409" t="s">
        <v>115</v>
      </c>
      <c r="I58" s="409"/>
      <c r="J58" s="409"/>
      <c r="K58" s="409"/>
      <c r="L58" s="30"/>
      <c r="M58" s="30"/>
      <c r="N58" s="30"/>
      <c r="O58" s="30"/>
      <c r="P58" s="30"/>
      <c r="Q58" s="30"/>
      <c r="U58" s="56"/>
    </row>
    <row r="59" spans="2:21" s="28" customFormat="1" ht="17.100000000000001" customHeight="1" x14ac:dyDescent="0.25">
      <c r="B59" s="390" t="s">
        <v>87</v>
      </c>
      <c r="C59" s="391"/>
      <c r="D59" s="387" t="s">
        <v>94</v>
      </c>
      <c r="E59" s="388"/>
      <c r="F59" s="388"/>
      <c r="G59" s="389"/>
      <c r="H59" s="448" t="s">
        <v>120</v>
      </c>
      <c r="I59" s="448"/>
      <c r="J59" s="448"/>
      <c r="K59" s="448"/>
      <c r="L59" s="30"/>
      <c r="M59" s="30"/>
      <c r="N59" s="30"/>
      <c r="O59" s="449" t="s">
        <v>118</v>
      </c>
      <c r="P59" s="450"/>
      <c r="Q59" s="451"/>
      <c r="U59" s="56"/>
    </row>
    <row r="60" spans="2:21" s="28" customFormat="1" ht="17.100000000000001" customHeight="1" x14ac:dyDescent="0.2">
      <c r="B60" s="390" t="s">
        <v>88</v>
      </c>
      <c r="C60" s="391"/>
      <c r="D60" s="387" t="s">
        <v>94</v>
      </c>
      <c r="E60" s="388"/>
      <c r="F60" s="388"/>
      <c r="G60" s="389"/>
      <c r="H60" s="448"/>
      <c r="I60" s="448"/>
      <c r="J60" s="448"/>
      <c r="K60" s="448"/>
      <c r="L60" s="30"/>
      <c r="M60" s="30"/>
      <c r="N60" s="30"/>
      <c r="O60" s="452"/>
      <c r="P60" s="453"/>
      <c r="Q60" s="454"/>
      <c r="U60" s="56"/>
    </row>
    <row r="61" spans="2:21" s="28" customFormat="1" ht="17.100000000000001" customHeight="1" x14ac:dyDescent="0.25">
      <c r="B61" s="390" t="s">
        <v>89</v>
      </c>
      <c r="C61" s="391"/>
      <c r="D61" s="387" t="s">
        <v>94</v>
      </c>
      <c r="E61" s="388"/>
      <c r="F61" s="388"/>
      <c r="G61" s="389"/>
      <c r="H61" s="448"/>
      <c r="I61" s="448"/>
      <c r="J61" s="448"/>
      <c r="K61" s="448"/>
      <c r="L61" s="30"/>
      <c r="M61" s="30"/>
      <c r="N61" s="30"/>
      <c r="O61" s="442"/>
      <c r="P61" s="443"/>
      <c r="Q61" s="444"/>
      <c r="U61" s="56"/>
    </row>
    <row r="62" spans="2:21" s="28" customFormat="1" ht="17.100000000000001" customHeight="1" x14ac:dyDescent="0.2">
      <c r="B62" s="390" t="s">
        <v>90</v>
      </c>
      <c r="C62" s="391"/>
      <c r="D62" s="387" t="s">
        <v>95</v>
      </c>
      <c r="E62" s="388"/>
      <c r="F62" s="388"/>
      <c r="G62" s="389"/>
      <c r="H62" s="448"/>
      <c r="I62" s="448"/>
      <c r="J62" s="448"/>
      <c r="K62" s="448"/>
      <c r="L62" s="30"/>
      <c r="M62" s="30"/>
      <c r="N62" s="30"/>
      <c r="O62" s="445"/>
      <c r="P62" s="446"/>
      <c r="Q62" s="447"/>
      <c r="U62" s="56"/>
    </row>
    <row r="63" spans="2:21" s="28" customFormat="1" ht="17.100000000000001" customHeight="1" x14ac:dyDescent="0.25">
      <c r="B63" s="390" t="s">
        <v>91</v>
      </c>
      <c r="C63" s="391"/>
      <c r="D63" s="387" t="s">
        <v>95</v>
      </c>
      <c r="E63" s="388"/>
      <c r="F63" s="388"/>
      <c r="G63" s="389"/>
      <c r="H63" s="448"/>
      <c r="I63" s="448"/>
      <c r="J63" s="448"/>
      <c r="K63" s="448"/>
      <c r="L63" s="30"/>
      <c r="M63" s="30"/>
      <c r="N63" s="30"/>
      <c r="O63" s="79" t="s">
        <v>117</v>
      </c>
      <c r="P63" s="106"/>
      <c r="Q63" s="80"/>
      <c r="U63" s="56"/>
    </row>
    <row r="64" spans="2:21" s="28" customFormat="1" ht="17.100000000000001" customHeight="1" x14ac:dyDescent="0.25">
      <c r="B64" s="390" t="s">
        <v>92</v>
      </c>
      <c r="C64" s="391"/>
      <c r="D64" s="387" t="s">
        <v>96</v>
      </c>
      <c r="E64" s="388"/>
      <c r="F64" s="388"/>
      <c r="G64" s="389"/>
      <c r="H64" s="448"/>
      <c r="I64" s="448"/>
      <c r="J64" s="448"/>
      <c r="K64" s="448"/>
      <c r="L64" s="30"/>
      <c r="M64" s="30"/>
      <c r="N64" s="30"/>
      <c r="O64" s="79" t="s">
        <v>158</v>
      </c>
      <c r="P64" s="166"/>
      <c r="Q64" s="105"/>
      <c r="U64" s="56"/>
    </row>
    <row r="65" spans="2:21" s="28" customFormat="1" ht="17.100000000000001" customHeight="1" x14ac:dyDescent="0.25">
      <c r="B65" s="390" t="s">
        <v>93</v>
      </c>
      <c r="C65" s="391"/>
      <c r="D65" s="387" t="s">
        <v>96</v>
      </c>
      <c r="E65" s="388"/>
      <c r="F65" s="388"/>
      <c r="G65" s="389"/>
      <c r="H65" s="448"/>
      <c r="I65" s="448"/>
      <c r="J65" s="448"/>
      <c r="K65" s="448"/>
      <c r="L65" s="30"/>
      <c r="M65" s="30"/>
      <c r="N65" s="30"/>
      <c r="O65" s="30"/>
      <c r="P65" s="30"/>
      <c r="U65" s="56"/>
    </row>
    <row r="66" spans="2:21" s="28" customFormat="1" ht="9.9499999999999993" customHeight="1" thickBot="1" x14ac:dyDescent="0.3">
      <c r="B66" s="60"/>
      <c r="C66" s="45"/>
      <c r="D66" s="45"/>
      <c r="E66" s="45"/>
      <c r="F66" s="45"/>
      <c r="G66" s="46"/>
      <c r="H66" s="46"/>
      <c r="I66" s="46"/>
      <c r="J66" s="46"/>
      <c r="K66" s="46"/>
      <c r="L66" s="47"/>
      <c r="M66" s="47"/>
      <c r="N66" s="47"/>
      <c r="O66" s="47"/>
      <c r="P66" s="47"/>
      <c r="Q66" s="47"/>
      <c r="R66" s="48"/>
      <c r="S66" s="48"/>
      <c r="T66" s="48"/>
      <c r="U66" s="61"/>
    </row>
    <row r="67" spans="2:21" s="13" customFormat="1" ht="17.100000000000001" customHeight="1" thickTop="1" x14ac:dyDescent="0.25">
      <c r="B67" s="424" t="s">
        <v>140</v>
      </c>
      <c r="C67" s="425"/>
      <c r="D67" s="425"/>
      <c r="E67" s="425"/>
      <c r="F67" s="425"/>
      <c r="G67" s="425"/>
      <c r="H67" s="425"/>
      <c r="I67" s="425"/>
      <c r="J67" s="62"/>
      <c r="K67" s="62"/>
      <c r="L67" s="63"/>
      <c r="M67" s="63"/>
      <c r="N67" s="63"/>
      <c r="O67" s="63"/>
      <c r="P67" s="63"/>
      <c r="Q67" s="63"/>
      <c r="R67" s="380" t="s">
        <v>149</v>
      </c>
      <c r="S67" s="381"/>
      <c r="T67" s="381"/>
      <c r="U67" s="382"/>
    </row>
    <row r="68" spans="2:21" s="13" customFormat="1" ht="17.100000000000001" customHeight="1" x14ac:dyDescent="0.25">
      <c r="B68" s="426"/>
      <c r="C68" s="427"/>
      <c r="D68" s="427"/>
      <c r="E68" s="427"/>
      <c r="F68" s="427"/>
      <c r="G68" s="427"/>
      <c r="H68" s="427"/>
      <c r="I68" s="427"/>
      <c r="J68" s="62"/>
      <c r="K68" s="62"/>
      <c r="L68" s="63"/>
      <c r="M68" s="63"/>
      <c r="N68" s="63"/>
      <c r="O68" s="63"/>
      <c r="P68" s="63"/>
      <c r="Q68" s="63"/>
      <c r="R68" s="379" t="s">
        <v>141</v>
      </c>
      <c r="S68" s="379"/>
      <c r="T68" s="379"/>
      <c r="U68" s="379"/>
    </row>
    <row r="69" spans="2:21" s="27" customFormat="1" ht="17.100000000000001" customHeight="1" x14ac:dyDescent="0.25">
      <c r="B69" s="65" t="s">
        <v>128</v>
      </c>
      <c r="C69" s="417" t="s">
        <v>129</v>
      </c>
      <c r="D69" s="418"/>
      <c r="E69" s="418"/>
      <c r="F69" s="418"/>
      <c r="G69" s="418"/>
      <c r="H69" s="418"/>
      <c r="I69" s="418"/>
      <c r="J69" s="418"/>
      <c r="K69" s="419"/>
      <c r="L69" s="65" t="s">
        <v>136</v>
      </c>
      <c r="M69" s="417" t="s">
        <v>142</v>
      </c>
      <c r="N69" s="418"/>
      <c r="O69" s="418"/>
      <c r="P69" s="418"/>
      <c r="Q69" s="419"/>
      <c r="R69" s="379" t="s">
        <v>151</v>
      </c>
      <c r="S69" s="379"/>
      <c r="T69" s="379" t="s">
        <v>152</v>
      </c>
      <c r="U69" s="379"/>
    </row>
    <row r="70" spans="2:21" s="13" customFormat="1" ht="17.100000000000001" customHeight="1" x14ac:dyDescent="0.25">
      <c r="B70" s="16">
        <v>1</v>
      </c>
      <c r="C70" s="383" t="s">
        <v>130</v>
      </c>
      <c r="D70" s="384"/>
      <c r="E70" s="384"/>
      <c r="F70" s="384"/>
      <c r="G70" s="384"/>
      <c r="H70" s="384"/>
      <c r="I70" s="384"/>
      <c r="J70" s="384"/>
      <c r="K70" s="385"/>
      <c r="L70" s="16" t="s">
        <v>137</v>
      </c>
      <c r="M70" s="395" t="s">
        <v>145</v>
      </c>
      <c r="N70" s="374"/>
      <c r="O70" s="374"/>
      <c r="P70" s="374"/>
      <c r="Q70" s="374"/>
      <c r="R70" s="378">
        <f>+C13-15</f>
        <v>45487</v>
      </c>
      <c r="S70" s="396"/>
      <c r="T70" s="378">
        <v>45485</v>
      </c>
      <c r="U70" s="378"/>
    </row>
    <row r="71" spans="2:21" s="13" customFormat="1" ht="17.100000000000001" customHeight="1" x14ac:dyDescent="0.25">
      <c r="B71" s="16">
        <v>2</v>
      </c>
      <c r="C71" s="383" t="s">
        <v>131</v>
      </c>
      <c r="D71" s="384"/>
      <c r="E71" s="384"/>
      <c r="F71" s="384"/>
      <c r="G71" s="384"/>
      <c r="H71" s="384"/>
      <c r="I71" s="384"/>
      <c r="J71" s="384"/>
      <c r="K71" s="385"/>
      <c r="L71" s="16" t="s">
        <v>138</v>
      </c>
      <c r="M71" s="395" t="s">
        <v>144</v>
      </c>
      <c r="N71" s="374"/>
      <c r="O71" s="374"/>
      <c r="P71" s="374"/>
      <c r="Q71" s="374"/>
      <c r="R71" s="378">
        <f>+C13-13</f>
        <v>45489</v>
      </c>
      <c r="S71" s="396"/>
      <c r="T71" s="378"/>
      <c r="U71" s="378"/>
    </row>
    <row r="72" spans="2:21" s="13" customFormat="1" ht="17.100000000000001" customHeight="1" x14ac:dyDescent="0.25">
      <c r="B72" s="16">
        <v>3</v>
      </c>
      <c r="C72" s="383" t="s">
        <v>156</v>
      </c>
      <c r="D72" s="384"/>
      <c r="E72" s="384"/>
      <c r="F72" s="384"/>
      <c r="G72" s="384"/>
      <c r="H72" s="384"/>
      <c r="I72" s="384"/>
      <c r="J72" s="384"/>
      <c r="K72" s="385"/>
      <c r="L72" s="16" t="s">
        <v>137</v>
      </c>
      <c r="M72" s="395" t="s">
        <v>143</v>
      </c>
      <c r="N72" s="374"/>
      <c r="O72" s="374"/>
      <c r="P72" s="374"/>
      <c r="Q72" s="374"/>
      <c r="R72" s="378">
        <f>+C13-10</f>
        <v>45492</v>
      </c>
      <c r="S72" s="396"/>
      <c r="T72" s="378"/>
      <c r="U72" s="378"/>
    </row>
    <row r="73" spans="2:21" s="13" customFormat="1" ht="17.100000000000001" customHeight="1" x14ac:dyDescent="0.25">
      <c r="B73" s="16">
        <v>4</v>
      </c>
      <c r="C73" s="383" t="s">
        <v>132</v>
      </c>
      <c r="D73" s="384"/>
      <c r="E73" s="384"/>
      <c r="F73" s="384"/>
      <c r="G73" s="384"/>
      <c r="H73" s="384"/>
      <c r="I73" s="384"/>
      <c r="J73" s="384"/>
      <c r="K73" s="385"/>
      <c r="L73" s="16" t="s">
        <v>138</v>
      </c>
      <c r="M73" s="395" t="s">
        <v>148</v>
      </c>
      <c r="N73" s="374"/>
      <c r="O73" s="374"/>
      <c r="P73" s="374"/>
      <c r="Q73" s="374"/>
      <c r="R73" s="378">
        <f>+C13-8</f>
        <v>45494</v>
      </c>
      <c r="S73" s="396"/>
      <c r="T73" s="378"/>
      <c r="U73" s="378"/>
    </row>
    <row r="74" spans="2:21" s="13" customFormat="1" ht="17.100000000000001" customHeight="1" x14ac:dyDescent="0.25">
      <c r="B74" s="16">
        <v>5</v>
      </c>
      <c r="C74" s="383" t="s">
        <v>133</v>
      </c>
      <c r="D74" s="384"/>
      <c r="E74" s="384"/>
      <c r="F74" s="384"/>
      <c r="G74" s="384"/>
      <c r="H74" s="384"/>
      <c r="I74" s="384"/>
      <c r="J74" s="384"/>
      <c r="K74" s="385"/>
      <c r="L74" s="16" t="s">
        <v>137</v>
      </c>
      <c r="M74" s="395" t="s">
        <v>188</v>
      </c>
      <c r="N74" s="374"/>
      <c r="O74" s="374"/>
      <c r="P74" s="374"/>
      <c r="Q74" s="374"/>
      <c r="R74" s="397">
        <v>45495</v>
      </c>
      <c r="S74" s="397"/>
      <c r="T74" s="378"/>
      <c r="U74" s="378"/>
    </row>
    <row r="75" spans="2:21" s="13" customFormat="1" ht="17.100000000000001" customHeight="1" x14ac:dyDescent="0.25">
      <c r="B75" s="16">
        <v>6</v>
      </c>
      <c r="C75" s="383" t="s">
        <v>134</v>
      </c>
      <c r="D75" s="384"/>
      <c r="E75" s="384"/>
      <c r="F75" s="384"/>
      <c r="G75" s="384"/>
      <c r="H75" s="384"/>
      <c r="I75" s="384"/>
      <c r="J75" s="384"/>
      <c r="K75" s="385"/>
      <c r="L75" s="16" t="s">
        <v>137</v>
      </c>
      <c r="M75" s="395" t="s">
        <v>159</v>
      </c>
      <c r="N75" s="374"/>
      <c r="O75" s="374"/>
      <c r="P75" s="374"/>
      <c r="Q75" s="374"/>
      <c r="R75" s="378">
        <f>+R73+7</f>
        <v>45501</v>
      </c>
      <c r="S75" s="396"/>
      <c r="T75" s="378"/>
      <c r="U75" s="378"/>
    </row>
    <row r="76" spans="2:21" s="13" customFormat="1" ht="17.100000000000001" customHeight="1" x14ac:dyDescent="0.25">
      <c r="B76" s="16">
        <v>7</v>
      </c>
      <c r="C76" s="383" t="s">
        <v>139</v>
      </c>
      <c r="D76" s="384"/>
      <c r="E76" s="384"/>
      <c r="F76" s="384"/>
      <c r="G76" s="384"/>
      <c r="H76" s="384"/>
      <c r="I76" s="384"/>
      <c r="J76" s="384"/>
      <c r="K76" s="385"/>
      <c r="L76" s="16" t="s">
        <v>138</v>
      </c>
      <c r="M76" s="395" t="s">
        <v>147</v>
      </c>
      <c r="N76" s="374"/>
      <c r="O76" s="374"/>
      <c r="P76" s="374"/>
      <c r="Q76" s="374"/>
      <c r="R76" s="378">
        <f>+C13-7</f>
        <v>45495</v>
      </c>
      <c r="S76" s="396"/>
      <c r="T76" s="378"/>
      <c r="U76" s="378"/>
    </row>
    <row r="77" spans="2:21" s="13" customFormat="1" ht="17.100000000000001" customHeight="1" x14ac:dyDescent="0.25">
      <c r="B77" s="16">
        <v>8</v>
      </c>
      <c r="C77" s="383" t="s">
        <v>135</v>
      </c>
      <c r="D77" s="384"/>
      <c r="E77" s="384"/>
      <c r="F77" s="384"/>
      <c r="G77" s="384"/>
      <c r="H77" s="384"/>
      <c r="I77" s="384"/>
      <c r="J77" s="384"/>
      <c r="K77" s="385"/>
      <c r="L77" s="16" t="s">
        <v>138</v>
      </c>
      <c r="M77" s="395" t="s">
        <v>146</v>
      </c>
      <c r="N77" s="374"/>
      <c r="O77" s="374"/>
      <c r="P77" s="374"/>
      <c r="Q77" s="374"/>
      <c r="R77" s="378">
        <f>+C13-1</f>
        <v>45501</v>
      </c>
      <c r="S77" s="396"/>
      <c r="T77" s="378"/>
      <c r="U77" s="378"/>
    </row>
    <row r="78" spans="2:21" s="13" customFormat="1" ht="17.100000000000001" customHeight="1" x14ac:dyDescent="0.25">
      <c r="B78" s="16">
        <v>9</v>
      </c>
      <c r="C78" s="383" t="s">
        <v>150</v>
      </c>
      <c r="D78" s="384"/>
      <c r="E78" s="384"/>
      <c r="F78" s="384"/>
      <c r="G78" s="384"/>
      <c r="H78" s="384"/>
      <c r="I78" s="384"/>
      <c r="J78" s="384"/>
      <c r="K78" s="385"/>
      <c r="L78" s="16" t="s">
        <v>138</v>
      </c>
      <c r="M78" s="395" t="s">
        <v>146</v>
      </c>
      <c r="N78" s="374"/>
      <c r="O78" s="374"/>
      <c r="P78" s="374"/>
      <c r="Q78" s="374"/>
      <c r="R78" s="378">
        <f>+C13-1</f>
        <v>45501</v>
      </c>
      <c r="S78" s="396"/>
      <c r="T78" s="378"/>
      <c r="U78" s="378"/>
    </row>
    <row r="79" spans="2:21" s="13" customFormat="1" ht="17.100000000000001" customHeight="1" x14ac:dyDescent="0.25">
      <c r="B79" s="64"/>
      <c r="C79" s="62"/>
      <c r="D79" s="62"/>
      <c r="E79" s="62"/>
      <c r="F79" s="62"/>
      <c r="G79" s="62"/>
      <c r="H79" s="62"/>
      <c r="I79" s="62"/>
      <c r="J79" s="62"/>
      <c r="K79" s="62"/>
      <c r="L79" s="63"/>
      <c r="M79" s="63"/>
      <c r="N79" s="63"/>
      <c r="O79" s="63"/>
      <c r="P79" s="63"/>
      <c r="Q79" s="63"/>
      <c r="U79" s="54"/>
    </row>
    <row r="80" spans="2:21" s="12" customFormat="1" ht="15" customHeight="1" x14ac:dyDescent="0.25">
      <c r="B80" s="430" t="s">
        <v>113</v>
      </c>
      <c r="C80" s="431"/>
      <c r="D80" s="431"/>
      <c r="E80" s="431"/>
      <c r="F80" s="432"/>
      <c r="G80" s="456"/>
      <c r="H80" s="459" t="s">
        <v>114</v>
      </c>
      <c r="I80" s="460"/>
      <c r="J80" s="26"/>
      <c r="K80" s="422"/>
      <c r="L80" s="466"/>
      <c r="M80" s="466"/>
      <c r="N80" s="423"/>
      <c r="O80" s="422"/>
      <c r="P80" s="423"/>
      <c r="Q80" s="26"/>
      <c r="R80" s="26"/>
      <c r="S80" s="422"/>
      <c r="T80" s="423"/>
      <c r="U80" s="26"/>
    </row>
    <row r="81" spans="2:21" s="12" customFormat="1" ht="15" customHeight="1" x14ac:dyDescent="0.25">
      <c r="B81" s="433"/>
      <c r="C81" s="434"/>
      <c r="D81" s="434"/>
      <c r="E81" s="434"/>
      <c r="F81" s="435"/>
      <c r="G81" s="457"/>
      <c r="H81" s="461"/>
      <c r="I81" s="462"/>
      <c r="J81" s="26"/>
      <c r="K81" s="422"/>
      <c r="L81" s="466"/>
      <c r="M81" s="466"/>
      <c r="N81" s="423"/>
      <c r="O81" s="422"/>
      <c r="P81" s="423"/>
      <c r="Q81" s="26"/>
      <c r="R81" s="26"/>
      <c r="S81" s="422"/>
      <c r="T81" s="423"/>
      <c r="U81" s="26"/>
    </row>
    <row r="82" spans="2:21" s="12" customFormat="1" ht="15" customHeight="1" x14ac:dyDescent="0.25">
      <c r="B82" s="433"/>
      <c r="C82" s="434"/>
      <c r="D82" s="434"/>
      <c r="E82" s="434"/>
      <c r="F82" s="435"/>
      <c r="G82" s="457"/>
      <c r="H82" s="461"/>
      <c r="I82" s="462"/>
      <c r="J82" s="26"/>
      <c r="K82" s="34"/>
      <c r="L82" s="35"/>
      <c r="M82" s="35"/>
      <c r="N82" s="36"/>
      <c r="O82" s="34"/>
      <c r="P82" s="36"/>
      <c r="Q82" s="26"/>
      <c r="R82" s="26"/>
      <c r="S82" s="34"/>
      <c r="T82" s="36"/>
      <c r="U82" s="26"/>
    </row>
    <row r="83" spans="2:21" s="12" customFormat="1" ht="15" customHeight="1" x14ac:dyDescent="0.25">
      <c r="B83" s="433"/>
      <c r="C83" s="434"/>
      <c r="D83" s="434"/>
      <c r="E83" s="434"/>
      <c r="F83" s="435"/>
      <c r="G83" s="457"/>
      <c r="H83" s="461"/>
      <c r="I83" s="462"/>
      <c r="J83" s="26"/>
      <c r="K83" s="422"/>
      <c r="L83" s="466"/>
      <c r="M83" s="466"/>
      <c r="N83" s="423"/>
      <c r="O83" s="422"/>
      <c r="P83" s="423"/>
      <c r="Q83" s="26"/>
      <c r="R83" s="26"/>
      <c r="S83" s="422"/>
      <c r="T83" s="423"/>
      <c r="U83" s="26"/>
    </row>
    <row r="84" spans="2:21" s="12" customFormat="1" ht="15" customHeight="1" x14ac:dyDescent="0.25">
      <c r="B84" s="433"/>
      <c r="C84" s="434"/>
      <c r="D84" s="434"/>
      <c r="E84" s="434"/>
      <c r="F84" s="435"/>
      <c r="G84" s="457"/>
      <c r="H84" s="461"/>
      <c r="I84" s="462"/>
      <c r="J84" s="26">
        <v>0</v>
      </c>
      <c r="K84" s="422" t="s">
        <v>112</v>
      </c>
      <c r="L84" s="466"/>
      <c r="M84" s="466"/>
      <c r="N84" s="423"/>
      <c r="O84" s="439">
        <v>45112</v>
      </c>
      <c r="P84" s="423"/>
      <c r="Q84" s="26" t="s">
        <v>55</v>
      </c>
      <c r="R84" s="26" t="s">
        <v>7</v>
      </c>
      <c r="S84" s="422" t="s">
        <v>7</v>
      </c>
      <c r="T84" s="423"/>
      <c r="U84" s="26" t="s">
        <v>7</v>
      </c>
    </row>
    <row r="85" spans="2:21" s="3" customFormat="1" ht="15" customHeight="1" x14ac:dyDescent="0.25">
      <c r="B85" s="436"/>
      <c r="C85" s="437"/>
      <c r="D85" s="437"/>
      <c r="E85" s="437"/>
      <c r="F85" s="438"/>
      <c r="G85" s="458"/>
      <c r="H85" s="463"/>
      <c r="I85" s="464"/>
      <c r="J85" s="33" t="s">
        <v>111</v>
      </c>
      <c r="K85" s="440" t="s">
        <v>110</v>
      </c>
      <c r="L85" s="465"/>
      <c r="M85" s="465"/>
      <c r="N85" s="441"/>
      <c r="O85" s="440" t="s">
        <v>5</v>
      </c>
      <c r="P85" s="441"/>
      <c r="Q85" s="33" t="s">
        <v>107</v>
      </c>
      <c r="R85" s="33" t="s">
        <v>108</v>
      </c>
      <c r="S85" s="440" t="s">
        <v>109</v>
      </c>
      <c r="T85" s="441"/>
      <c r="U85" s="33" t="s">
        <v>107</v>
      </c>
    </row>
    <row r="86" spans="2:21" ht="20.100000000000001" customHeight="1" x14ac:dyDescent="0.25"/>
    <row r="87" spans="2:21" ht="20.100000000000001" customHeight="1" x14ac:dyDescent="0.25"/>
    <row r="88" spans="2:21" ht="20.100000000000001" customHeight="1" x14ac:dyDescent="0.25"/>
    <row r="89" spans="2:21" ht="20.100000000000001" customHeight="1" x14ac:dyDescent="0.25"/>
    <row r="90" spans="2:21" ht="20.100000000000001" customHeight="1" x14ac:dyDescent="0.25"/>
    <row r="91" spans="2:21" ht="20.100000000000001" customHeight="1" x14ac:dyDescent="0.25"/>
  </sheetData>
  <mergeCells count="259">
    <mergeCell ref="T2:U2"/>
    <mergeCell ref="R6:S6"/>
    <mergeCell ref="R2:S2"/>
    <mergeCell ref="P6:Q6"/>
    <mergeCell ref="P2:Q2"/>
    <mergeCell ref="E22:F22"/>
    <mergeCell ref="N6:O6"/>
    <mergeCell ref="R21:S21"/>
    <mergeCell ref="R20:U20"/>
    <mergeCell ref="P21:Q21"/>
    <mergeCell ref="L20:M21"/>
    <mergeCell ref="K20:K21"/>
    <mergeCell ref="T6:U6"/>
    <mergeCell ref="N3:U5"/>
    <mergeCell ref="N2:O2"/>
    <mergeCell ref="N21:O21"/>
    <mergeCell ref="N20:Q20"/>
    <mergeCell ref="N22:O22"/>
    <mergeCell ref="B3:H6"/>
    <mergeCell ref="G12:H12"/>
    <mergeCell ref="C20:D21"/>
    <mergeCell ref="D13:E13"/>
    <mergeCell ref="C12:F12"/>
    <mergeCell ref="T22:U22"/>
    <mergeCell ref="B26:B27"/>
    <mergeCell ref="C26:F27"/>
    <mergeCell ref="Y12:Z12"/>
    <mergeCell ref="C23:D23"/>
    <mergeCell ref="E23:F23"/>
    <mergeCell ref="C22:D22"/>
    <mergeCell ref="L28:M28"/>
    <mergeCell ref="N28:U28"/>
    <mergeCell ref="L27:M27"/>
    <mergeCell ref="N26:U27"/>
    <mergeCell ref="L23:M23"/>
    <mergeCell ref="B20:B21"/>
    <mergeCell ref="E21:F21"/>
    <mergeCell ref="E20:G20"/>
    <mergeCell ref="H20:I20"/>
    <mergeCell ref="G13:H13"/>
    <mergeCell ref="T23:U23"/>
    <mergeCell ref="R23:S23"/>
    <mergeCell ref="K12:L12"/>
    <mergeCell ref="M12:Q12"/>
    <mergeCell ref="I13:J13"/>
    <mergeCell ref="T21:U21"/>
    <mergeCell ref="G26:H27"/>
    <mergeCell ref="R22:S22"/>
    <mergeCell ref="P38:R38"/>
    <mergeCell ref="C34:I34"/>
    <mergeCell ref="C35:I35"/>
    <mergeCell ref="J31:L31"/>
    <mergeCell ref="J32:L32"/>
    <mergeCell ref="P30:R30"/>
    <mergeCell ref="J35:L35"/>
    <mergeCell ref="P35:R35"/>
    <mergeCell ref="D28:E28"/>
    <mergeCell ref="C38:I38"/>
    <mergeCell ref="J33:L33"/>
    <mergeCell ref="J34:L34"/>
    <mergeCell ref="C30:I30"/>
    <mergeCell ref="C31:I31"/>
    <mergeCell ref="C32:I32"/>
    <mergeCell ref="C33:I33"/>
    <mergeCell ref="J36:L36"/>
    <mergeCell ref="J37:L37"/>
    <mergeCell ref="J38:L38"/>
    <mergeCell ref="M36:O36"/>
    <mergeCell ref="M37:O37"/>
    <mergeCell ref="C36:I36"/>
    <mergeCell ref="C37:I37"/>
    <mergeCell ref="G28:H28"/>
    <mergeCell ref="M34:O34"/>
    <mergeCell ref="M35:O35"/>
    <mergeCell ref="J30:L30"/>
    <mergeCell ref="P36:R36"/>
    <mergeCell ref="P37:R37"/>
    <mergeCell ref="P23:Q23"/>
    <mergeCell ref="P22:Q22"/>
    <mergeCell ref="I12:J12"/>
    <mergeCell ref="P31:R31"/>
    <mergeCell ref="P32:R32"/>
    <mergeCell ref="P33:R33"/>
    <mergeCell ref="P34:R34"/>
    <mergeCell ref="L22:M22"/>
    <mergeCell ref="J26:M26"/>
    <mergeCell ref="J28:K28"/>
    <mergeCell ref="N23:O23"/>
    <mergeCell ref="M30:O30"/>
    <mergeCell ref="M31:O31"/>
    <mergeCell ref="M32:O32"/>
    <mergeCell ref="M33:O33"/>
    <mergeCell ref="I26:I27"/>
    <mergeCell ref="J27:K27"/>
    <mergeCell ref="K13:L13"/>
    <mergeCell ref="S80:T80"/>
    <mergeCell ref="S81:T81"/>
    <mergeCell ref="S83:T83"/>
    <mergeCell ref="S84:T84"/>
    <mergeCell ref="G80:G85"/>
    <mergeCell ref="C78:K78"/>
    <mergeCell ref="H80:I85"/>
    <mergeCell ref="S85:T85"/>
    <mergeCell ref="T78:U78"/>
    <mergeCell ref="R78:S78"/>
    <mergeCell ref="M78:Q78"/>
    <mergeCell ref="K85:N85"/>
    <mergeCell ref="K80:N80"/>
    <mergeCell ref="K81:N81"/>
    <mergeCell ref="K83:N83"/>
    <mergeCell ref="K84:N84"/>
    <mergeCell ref="C77:K77"/>
    <mergeCell ref="C69:K69"/>
    <mergeCell ref="O81:P81"/>
    <mergeCell ref="C74:K74"/>
    <mergeCell ref="D62:G62"/>
    <mergeCell ref="B67:I68"/>
    <mergeCell ref="C71:K71"/>
    <mergeCell ref="B58:C58"/>
    <mergeCell ref="B59:C59"/>
    <mergeCell ref="B60:C60"/>
    <mergeCell ref="B61:C61"/>
    <mergeCell ref="B62:C62"/>
    <mergeCell ref="B80:F85"/>
    <mergeCell ref="O83:P83"/>
    <mergeCell ref="O84:P84"/>
    <mergeCell ref="O85:P85"/>
    <mergeCell ref="O80:P80"/>
    <mergeCell ref="O61:Q61"/>
    <mergeCell ref="O62:Q62"/>
    <mergeCell ref="H59:K65"/>
    <mergeCell ref="B65:C65"/>
    <mergeCell ref="O59:Q59"/>
    <mergeCell ref="O60:Q60"/>
    <mergeCell ref="D58:G58"/>
    <mergeCell ref="C75:K75"/>
    <mergeCell ref="C76:K76"/>
    <mergeCell ref="C72:K72"/>
    <mergeCell ref="C73:K73"/>
    <mergeCell ref="M69:Q69"/>
    <mergeCell ref="M72:Q72"/>
    <mergeCell ref="M73:Q73"/>
    <mergeCell ref="D63:G63"/>
    <mergeCell ref="D64:G64"/>
    <mergeCell ref="D65:G65"/>
    <mergeCell ref="M38:O38"/>
    <mergeCell ref="J39:L39"/>
    <mergeCell ref="J40:L40"/>
    <mergeCell ref="H58:K58"/>
    <mergeCell ref="C39:I39"/>
    <mergeCell ref="C40:I40"/>
    <mergeCell ref="M44:O44"/>
    <mergeCell ref="C42:I42"/>
    <mergeCell ref="L51:S51"/>
    <mergeCell ref="L53:M53"/>
    <mergeCell ref="L54:M54"/>
    <mergeCell ref="N53:O53"/>
    <mergeCell ref="N54:O54"/>
    <mergeCell ref="C54:F54"/>
    <mergeCell ref="K48:O48"/>
    <mergeCell ref="G53:K53"/>
    <mergeCell ref="M39:O39"/>
    <mergeCell ref="M40:O40"/>
    <mergeCell ref="M41:O41"/>
    <mergeCell ref="K46:O46"/>
    <mergeCell ref="J42:L42"/>
    <mergeCell ref="B47:C47"/>
    <mergeCell ref="B48:C48"/>
    <mergeCell ref="D46:G46"/>
    <mergeCell ref="N52:O52"/>
    <mergeCell ref="M42:O42"/>
    <mergeCell ref="C41:I41"/>
    <mergeCell ref="J41:L41"/>
    <mergeCell ref="M43:O43"/>
    <mergeCell ref="C44:I44"/>
    <mergeCell ref="P39:R39"/>
    <mergeCell ref="B63:C63"/>
    <mergeCell ref="B46:C46"/>
    <mergeCell ref="D61:G61"/>
    <mergeCell ref="D47:G47"/>
    <mergeCell ref="D48:G48"/>
    <mergeCell ref="G54:K54"/>
    <mergeCell ref="C43:I43"/>
    <mergeCell ref="K47:O47"/>
    <mergeCell ref="C53:F53"/>
    <mergeCell ref="H46:J46"/>
    <mergeCell ref="H47:J47"/>
    <mergeCell ref="H48:J48"/>
    <mergeCell ref="J43:L43"/>
    <mergeCell ref="J44:L44"/>
    <mergeCell ref="T77:U77"/>
    <mergeCell ref="M75:Q75"/>
    <mergeCell ref="M76:Q76"/>
    <mergeCell ref="M77:Q77"/>
    <mergeCell ref="R70:S70"/>
    <mergeCell ref="R71:S71"/>
    <mergeCell ref="R72:S72"/>
    <mergeCell ref="R73:S73"/>
    <mergeCell ref="M70:Q70"/>
    <mergeCell ref="M71:Q71"/>
    <mergeCell ref="R74:S74"/>
    <mergeCell ref="R75:S75"/>
    <mergeCell ref="R76:S76"/>
    <mergeCell ref="R77:S77"/>
    <mergeCell ref="M74:Q74"/>
    <mergeCell ref="T70:U70"/>
    <mergeCell ref="T71:U71"/>
    <mergeCell ref="T72:U72"/>
    <mergeCell ref="T73:U73"/>
    <mergeCell ref="T74:U74"/>
    <mergeCell ref="T75:U75"/>
    <mergeCell ref="D14:E14"/>
    <mergeCell ref="G14:H14"/>
    <mergeCell ref="I14:J14"/>
    <mergeCell ref="K14:L14"/>
    <mergeCell ref="T76:U76"/>
    <mergeCell ref="R68:U68"/>
    <mergeCell ref="R67:U67"/>
    <mergeCell ref="C70:K70"/>
    <mergeCell ref="R69:S69"/>
    <mergeCell ref="T69:U69"/>
    <mergeCell ref="P52:Q52"/>
    <mergeCell ref="D59:G59"/>
    <mergeCell ref="D60:G60"/>
    <mergeCell ref="B64:C64"/>
    <mergeCell ref="P53:Q53"/>
    <mergeCell ref="P54:Q54"/>
    <mergeCell ref="R52:S52"/>
    <mergeCell ref="R53:S53"/>
    <mergeCell ref="R54:S54"/>
    <mergeCell ref="B51:B52"/>
    <mergeCell ref="P40:R40"/>
    <mergeCell ref="P41:R41"/>
    <mergeCell ref="P42:R42"/>
    <mergeCell ref="P43:R43"/>
    <mergeCell ref="R55:S55"/>
    <mergeCell ref="C56:F56"/>
    <mergeCell ref="G56:K56"/>
    <mergeCell ref="L56:M56"/>
    <mergeCell ref="N56:O56"/>
    <mergeCell ref="P56:Q56"/>
    <mergeCell ref="R56:S56"/>
    <mergeCell ref="D15:E15"/>
    <mergeCell ref="G15:H15"/>
    <mergeCell ref="I15:J15"/>
    <mergeCell ref="K15:L15"/>
    <mergeCell ref="C55:F55"/>
    <mergeCell ref="G55:K55"/>
    <mergeCell ref="L55:M55"/>
    <mergeCell ref="N55:O55"/>
    <mergeCell ref="P55:Q55"/>
    <mergeCell ref="D16:E16"/>
    <mergeCell ref="G16:H16"/>
    <mergeCell ref="I16:J16"/>
    <mergeCell ref="K16:L16"/>
    <mergeCell ref="P44:R44"/>
    <mergeCell ref="C51:F52"/>
    <mergeCell ref="G51:K52"/>
    <mergeCell ref="L52:M52"/>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S92"/>
  <sheetViews>
    <sheetView showGridLines="0" view="pageBreakPreview" topLeftCell="A32" zoomScale="85" zoomScaleNormal="85" zoomScaleSheetLayoutView="85" workbookViewId="0">
      <selection activeCell="A42" sqref="A42:O43"/>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97" t="s">
        <v>119</v>
      </c>
    </row>
    <row r="2" spans="1:15" ht="15" customHeight="1" x14ac:dyDescent="0.25">
      <c r="A2" s="85" t="s">
        <v>38</v>
      </c>
      <c r="B2" s="78"/>
      <c r="C2" s="78"/>
      <c r="D2" s="78"/>
      <c r="E2" s="78"/>
      <c r="F2" s="86"/>
      <c r="G2" s="86"/>
      <c r="H2" s="87" t="s">
        <v>61</v>
      </c>
      <c r="I2" s="89" t="s">
        <v>62</v>
      </c>
      <c r="J2" s="89" t="s">
        <v>167</v>
      </c>
      <c r="K2" s="90"/>
      <c r="L2" s="4" t="s">
        <v>67</v>
      </c>
      <c r="M2" s="4" t="s">
        <v>66</v>
      </c>
      <c r="N2" s="4" t="s">
        <v>54</v>
      </c>
      <c r="O2" s="4" t="s">
        <v>53</v>
      </c>
    </row>
    <row r="3" spans="1:15" ht="15" customHeight="1" x14ac:dyDescent="0.25">
      <c r="A3" s="571" t="s">
        <v>168</v>
      </c>
      <c r="B3" s="572"/>
      <c r="C3" s="572"/>
      <c r="D3" s="572"/>
      <c r="E3" s="572"/>
      <c r="F3" s="572"/>
      <c r="G3" s="572"/>
      <c r="H3" s="573"/>
      <c r="I3" s="92" t="s">
        <v>5</v>
      </c>
      <c r="J3" s="92" t="s">
        <v>189</v>
      </c>
      <c r="K3" s="93"/>
      <c r="L3" s="509" t="s">
        <v>161</v>
      </c>
      <c r="M3" s="510"/>
      <c r="N3" s="510"/>
      <c r="O3" s="511"/>
    </row>
    <row r="4" spans="1:15" ht="15" customHeight="1" x14ac:dyDescent="0.25">
      <c r="A4" s="574"/>
      <c r="B4" s="575"/>
      <c r="C4" s="575"/>
      <c r="D4" s="575"/>
      <c r="E4" s="575"/>
      <c r="F4" s="575"/>
      <c r="G4" s="575"/>
      <c r="H4" s="576"/>
      <c r="I4" s="92" t="s">
        <v>63</v>
      </c>
      <c r="J4" s="92" t="s">
        <v>166</v>
      </c>
      <c r="K4" s="93"/>
      <c r="L4" s="512"/>
      <c r="M4" s="513"/>
      <c r="N4" s="513"/>
      <c r="O4" s="514"/>
    </row>
    <row r="5" spans="1:15" ht="15" customHeight="1" x14ac:dyDescent="0.25">
      <c r="A5" s="574"/>
      <c r="B5" s="575"/>
      <c r="C5" s="575"/>
      <c r="D5" s="575"/>
      <c r="E5" s="575"/>
      <c r="F5" s="575"/>
      <c r="G5" s="575"/>
      <c r="H5" s="576"/>
      <c r="I5" s="92" t="s">
        <v>162</v>
      </c>
      <c r="J5" s="92" t="s">
        <v>205</v>
      </c>
      <c r="K5" s="93"/>
      <c r="L5" s="515"/>
      <c r="M5" s="516"/>
      <c r="N5" s="516"/>
      <c r="O5" s="517"/>
    </row>
    <row r="6" spans="1:15" ht="15" customHeight="1" x14ac:dyDescent="0.25">
      <c r="A6" s="574"/>
      <c r="B6" s="575"/>
      <c r="C6" s="575"/>
      <c r="D6" s="575"/>
      <c r="E6" s="575"/>
      <c r="F6" s="575"/>
      <c r="G6" s="575"/>
      <c r="H6" s="576"/>
      <c r="I6" s="107" t="s">
        <v>65</v>
      </c>
      <c r="J6" s="107" t="s">
        <v>190</v>
      </c>
      <c r="K6" s="108"/>
      <c r="L6" s="109" t="s">
        <v>68</v>
      </c>
      <c r="M6" s="109" t="s">
        <v>57</v>
      </c>
      <c r="N6" s="109" t="s">
        <v>56</v>
      </c>
      <c r="O6" s="109" t="s">
        <v>176</v>
      </c>
    </row>
    <row r="7" spans="1:15" ht="9.9499999999999993" customHeight="1" x14ac:dyDescent="0.25">
      <c r="A7" s="101"/>
      <c r="B7" s="19"/>
      <c r="C7" s="19"/>
      <c r="D7" s="19"/>
      <c r="E7" s="19"/>
      <c r="F7" s="76"/>
      <c r="G7" s="76"/>
      <c r="H7" s="76"/>
      <c r="I7" s="76"/>
      <c r="J7" s="76"/>
      <c r="K7" s="76"/>
      <c r="L7" s="76"/>
      <c r="M7" s="76"/>
      <c r="N7" s="76"/>
      <c r="O7" s="81"/>
    </row>
    <row r="8" spans="1:15" ht="24.95" customHeight="1" x14ac:dyDescent="0.25">
      <c r="A8" s="104" t="s">
        <v>177</v>
      </c>
      <c r="E8" s="2" t="str">
        <f>+'TAHAP 1'!G9</f>
        <v>: BENCHMARK</v>
      </c>
      <c r="O8" s="20"/>
    </row>
    <row r="9" spans="1:15" ht="9.9499999999999993" customHeight="1" thickBot="1" x14ac:dyDescent="0.3">
      <c r="A9" s="110"/>
      <c r="B9" s="111"/>
      <c r="C9" s="111"/>
      <c r="D9" s="111"/>
      <c r="E9" s="111"/>
      <c r="F9" s="112"/>
      <c r="G9" s="112"/>
      <c r="H9" s="112"/>
      <c r="I9" s="112"/>
      <c r="J9" s="112"/>
      <c r="K9" s="112"/>
      <c r="L9" s="112"/>
      <c r="M9" s="112"/>
      <c r="N9" s="112"/>
      <c r="O9" s="113"/>
    </row>
    <row r="10" spans="1:15" ht="24.95" customHeight="1" thickTop="1" x14ac:dyDescent="0.25">
      <c r="A10" s="577" t="s">
        <v>192</v>
      </c>
      <c r="B10" s="578"/>
      <c r="C10" s="578"/>
      <c r="L10" s="579"/>
      <c r="M10" s="579"/>
      <c r="N10" s="579"/>
      <c r="O10" s="580"/>
    </row>
    <row r="11" spans="1:15" s="115" customFormat="1" ht="20.100000000000001" customHeight="1" x14ac:dyDescent="0.3">
      <c r="A11" s="169" t="s">
        <v>164</v>
      </c>
      <c r="B11" s="129"/>
      <c r="C11" s="129"/>
      <c r="D11" s="129"/>
      <c r="E11" s="129"/>
      <c r="L11" s="146"/>
      <c r="M11" s="146"/>
      <c r="O11" s="116"/>
    </row>
    <row r="12" spans="1:15" s="115" customFormat="1" ht="15" customHeight="1" x14ac:dyDescent="0.25">
      <c r="A12" s="170" t="s">
        <v>86</v>
      </c>
      <c r="B12" s="171"/>
      <c r="C12" s="171"/>
      <c r="D12" s="172"/>
      <c r="E12" s="173" t="s">
        <v>11</v>
      </c>
      <c r="F12" s="174" t="s">
        <v>80</v>
      </c>
      <c r="G12" s="174" t="s">
        <v>197</v>
      </c>
      <c r="H12" s="173" t="s">
        <v>198</v>
      </c>
      <c r="L12" s="146"/>
      <c r="M12" s="146"/>
      <c r="O12" s="116"/>
    </row>
    <row r="13" spans="1:15" s="115" customFormat="1" ht="15" customHeight="1" x14ac:dyDescent="0.25">
      <c r="A13" s="175" t="s">
        <v>87</v>
      </c>
      <c r="B13" s="176"/>
      <c r="C13" s="176"/>
      <c r="D13" s="177"/>
      <c r="E13" s="178">
        <v>30000</v>
      </c>
      <c r="F13" s="179">
        <v>12500</v>
      </c>
      <c r="G13" s="179">
        <v>20000</v>
      </c>
      <c r="H13" s="178">
        <v>20000</v>
      </c>
      <c r="L13" s="146"/>
      <c r="M13" s="146"/>
      <c r="O13" s="116"/>
    </row>
    <row r="14" spans="1:15" s="115" customFormat="1" ht="15" customHeight="1" x14ac:dyDescent="0.25">
      <c r="A14" s="175" t="s">
        <v>88</v>
      </c>
      <c r="B14" s="176"/>
      <c r="C14" s="176"/>
      <c r="D14" s="177"/>
      <c r="E14" s="178">
        <v>30000</v>
      </c>
      <c r="F14" s="179">
        <v>12500</v>
      </c>
      <c r="G14" s="179">
        <v>20000</v>
      </c>
      <c r="H14" s="178">
        <v>20000</v>
      </c>
      <c r="O14" s="116"/>
    </row>
    <row r="15" spans="1:15" s="115" customFormat="1" ht="15" customHeight="1" x14ac:dyDescent="0.25">
      <c r="A15" s="175" t="s">
        <v>89</v>
      </c>
      <c r="B15" s="176"/>
      <c r="C15" s="176"/>
      <c r="D15" s="177"/>
      <c r="E15" s="178">
        <v>35000</v>
      </c>
      <c r="F15" s="179">
        <v>12500</v>
      </c>
      <c r="G15" s="179">
        <v>20000</v>
      </c>
      <c r="H15" s="178">
        <v>20000</v>
      </c>
      <c r="O15" s="116"/>
    </row>
    <row r="16" spans="1:15" s="115" customFormat="1" ht="15" customHeight="1" x14ac:dyDescent="0.25">
      <c r="A16" s="175" t="s">
        <v>90</v>
      </c>
      <c r="B16" s="176"/>
      <c r="C16" s="176"/>
      <c r="D16" s="177"/>
      <c r="E16" s="178">
        <v>40000</v>
      </c>
      <c r="F16" s="179">
        <v>12500</v>
      </c>
      <c r="G16" s="179">
        <v>27500</v>
      </c>
      <c r="H16" s="178">
        <v>27500</v>
      </c>
      <c r="O16" s="116"/>
    </row>
    <row r="17" spans="1:15" s="115" customFormat="1" ht="15" customHeight="1" x14ac:dyDescent="0.25">
      <c r="A17" s="175" t="s">
        <v>91</v>
      </c>
      <c r="B17" s="176"/>
      <c r="C17" s="176"/>
      <c r="D17" s="177"/>
      <c r="E17" s="178">
        <v>50000</v>
      </c>
      <c r="F17" s="179">
        <v>22500</v>
      </c>
      <c r="G17" s="179">
        <v>30000</v>
      </c>
      <c r="H17" s="178">
        <v>30000</v>
      </c>
      <c r="O17" s="116"/>
    </row>
    <row r="18" spans="1:15" s="115" customFormat="1" ht="15" customHeight="1" x14ac:dyDescent="0.25">
      <c r="A18" s="175" t="s">
        <v>92</v>
      </c>
      <c r="B18" s="176"/>
      <c r="C18" s="176"/>
      <c r="D18" s="177"/>
      <c r="E18" s="178">
        <v>60000</v>
      </c>
      <c r="F18" s="179">
        <v>22500</v>
      </c>
      <c r="G18" s="179">
        <v>50000</v>
      </c>
      <c r="H18" s="178">
        <v>50000</v>
      </c>
      <c r="O18" s="116"/>
    </row>
    <row r="19" spans="1:15" s="115" customFormat="1" ht="15" customHeight="1" x14ac:dyDescent="0.25">
      <c r="A19" s="175" t="s">
        <v>93</v>
      </c>
      <c r="B19" s="176"/>
      <c r="C19" s="176"/>
      <c r="D19" s="177"/>
      <c r="E19" s="178">
        <v>70000</v>
      </c>
      <c r="F19" s="179">
        <v>22500</v>
      </c>
      <c r="G19" s="179">
        <v>60000</v>
      </c>
      <c r="H19" s="178">
        <v>60000</v>
      </c>
      <c r="O19" s="116"/>
    </row>
    <row r="20" spans="1:15" s="115" customFormat="1" ht="20.100000000000001" customHeight="1" x14ac:dyDescent="0.25">
      <c r="A20" s="274"/>
      <c r="B20" s="275"/>
      <c r="C20" s="275"/>
      <c r="D20" s="276"/>
      <c r="E20" s="129"/>
      <c r="O20" s="116"/>
    </row>
    <row r="21" spans="1:15" s="115" customFormat="1" ht="20.100000000000001" customHeight="1" x14ac:dyDescent="0.25">
      <c r="A21" s="137"/>
      <c r="B21" s="139" t="s">
        <v>196</v>
      </c>
      <c r="C21" s="138" t="s">
        <v>10</v>
      </c>
      <c r="D21" s="138" t="s">
        <v>90</v>
      </c>
      <c r="E21" s="138"/>
      <c r="F21" s="138"/>
      <c r="G21" s="138"/>
      <c r="H21" s="138"/>
      <c r="I21" s="138"/>
      <c r="O21" s="116"/>
    </row>
    <row r="22" spans="1:15" s="123" customFormat="1" ht="17.100000000000001" customHeight="1" x14ac:dyDescent="0.25">
      <c r="A22" s="321" t="s">
        <v>34</v>
      </c>
      <c r="B22" s="532" t="s">
        <v>5</v>
      </c>
      <c r="C22" s="532"/>
      <c r="D22" s="532"/>
      <c r="E22" s="321" t="str">
        <f>+$E$12</f>
        <v>UANG SAKU</v>
      </c>
      <c r="F22" s="321" t="str">
        <f>+$F$12</f>
        <v>BREAKFAST</v>
      </c>
      <c r="G22" s="321" t="str">
        <f>+$G$12</f>
        <v>LUNCH</v>
      </c>
      <c r="H22" s="321" t="str">
        <f>+$H$12</f>
        <v>DINNER</v>
      </c>
      <c r="I22" s="321" t="s">
        <v>41</v>
      </c>
      <c r="O22" s="128"/>
    </row>
    <row r="23" spans="1:15" s="115" customFormat="1" ht="17.100000000000001" customHeight="1" x14ac:dyDescent="0.25">
      <c r="A23" s="122">
        <v>1</v>
      </c>
      <c r="B23" s="533">
        <f>+'TAHAP 1'!$C$13</f>
        <v>45502</v>
      </c>
      <c r="C23" s="533"/>
      <c r="D23" s="533"/>
      <c r="E23" s="292">
        <f>VLOOKUP($D$21,A12:$H$19,5,0)</f>
        <v>40000</v>
      </c>
      <c r="F23" s="292" t="s">
        <v>224</v>
      </c>
      <c r="G23" s="292">
        <f>VLOOKUP($D$21,A12:$H$19,8,0)</f>
        <v>27500</v>
      </c>
      <c r="H23" s="292">
        <f>VLOOKUP($D$21,A12:$H$19,8,0)</f>
        <v>27500</v>
      </c>
      <c r="I23" s="194">
        <f>SUM(E23:H23)</f>
        <v>95000</v>
      </c>
      <c r="K23" s="293"/>
      <c r="O23" s="116"/>
    </row>
    <row r="24" spans="1:15" s="115" customFormat="1" ht="17.100000000000001" customHeight="1" x14ac:dyDescent="0.25">
      <c r="A24" s="122">
        <v>2</v>
      </c>
      <c r="B24" s="533">
        <f>+B23+1</f>
        <v>45503</v>
      </c>
      <c r="C24" s="533"/>
      <c r="D24" s="533"/>
      <c r="E24" s="292">
        <f>VLOOKUP($D$21,A13:$H$19,5,0)</f>
        <v>40000</v>
      </c>
      <c r="F24" s="292" t="s">
        <v>220</v>
      </c>
      <c r="G24" s="292" t="s">
        <v>223</v>
      </c>
      <c r="H24" s="292">
        <f>VLOOKUP($D$21,A13:$H$19,8,0)</f>
        <v>27500</v>
      </c>
      <c r="I24" s="194">
        <f>SUM(E24:H24)</f>
        <v>67500</v>
      </c>
      <c r="O24" s="116"/>
    </row>
    <row r="25" spans="1:15" s="115" customFormat="1" ht="17.100000000000001" customHeight="1" x14ac:dyDescent="0.25">
      <c r="A25" s="122">
        <v>3</v>
      </c>
      <c r="B25" s="533">
        <f>+B24+1</f>
        <v>45504</v>
      </c>
      <c r="C25" s="533"/>
      <c r="D25" s="533"/>
      <c r="E25" s="292">
        <f>VLOOKUP($D$21,A14:$H$19,5,0)</f>
        <v>40000</v>
      </c>
      <c r="F25" s="292" t="s">
        <v>220</v>
      </c>
      <c r="G25" s="292" t="s">
        <v>223</v>
      </c>
      <c r="H25" s="292">
        <f>VLOOKUP($D$21,A14:$H$19,8,0)</f>
        <v>27500</v>
      </c>
      <c r="I25" s="194">
        <f>SUM(E25:H25)</f>
        <v>67500</v>
      </c>
      <c r="O25" s="116"/>
    </row>
    <row r="26" spans="1:15" s="115" customFormat="1" ht="16.5" customHeight="1" x14ac:dyDescent="0.25">
      <c r="A26" s="534" t="s">
        <v>12</v>
      </c>
      <c r="B26" s="534"/>
      <c r="C26" s="534"/>
      <c r="D26" s="534"/>
      <c r="E26" s="535"/>
      <c r="F26" s="536"/>
      <c r="G26" s="536"/>
      <c r="H26" s="537"/>
      <c r="I26" s="201">
        <f>SUM(I23:I25)</f>
        <v>230000</v>
      </c>
      <c r="O26" s="116"/>
    </row>
    <row r="27" spans="1:15" s="13" customFormat="1" ht="20.100000000000001" customHeight="1" x14ac:dyDescent="0.25">
      <c r="A27" s="102"/>
      <c r="B27" s="103"/>
      <c r="C27" s="103"/>
      <c r="D27" s="103"/>
      <c r="E27" s="103"/>
      <c r="F27" s="103"/>
      <c r="G27" s="103"/>
      <c r="H27" s="103"/>
      <c r="I27" s="103"/>
      <c r="J27" s="117"/>
      <c r="K27" s="118"/>
      <c r="L27" s="118"/>
      <c r="M27" s="118"/>
      <c r="N27" s="118"/>
      <c r="O27" s="119"/>
    </row>
    <row r="28" spans="1:15" s="115" customFormat="1" ht="20.100000000000001" customHeight="1" x14ac:dyDescent="0.25">
      <c r="A28" s="137"/>
      <c r="B28" s="139" t="s">
        <v>196</v>
      </c>
      <c r="C28" s="138" t="s">
        <v>10</v>
      </c>
      <c r="D28" s="138" t="s">
        <v>88</v>
      </c>
      <c r="E28" s="138"/>
      <c r="F28" s="138"/>
      <c r="G28" s="138"/>
      <c r="H28" s="138"/>
      <c r="I28" s="138"/>
      <c r="O28" s="116"/>
    </row>
    <row r="29" spans="1:15" s="335" customFormat="1" ht="17.100000000000001" customHeight="1" x14ac:dyDescent="0.25">
      <c r="A29" s="338" t="s">
        <v>34</v>
      </c>
      <c r="B29" s="532" t="s">
        <v>5</v>
      </c>
      <c r="C29" s="532"/>
      <c r="D29" s="532"/>
      <c r="E29" s="338" t="str">
        <f>+$E$12</f>
        <v>UANG SAKU</v>
      </c>
      <c r="F29" s="338" t="str">
        <f>+$F$12</f>
        <v>BREAKFAST</v>
      </c>
      <c r="G29" s="338" t="str">
        <f>+$G$12</f>
        <v>LUNCH</v>
      </c>
      <c r="H29" s="338" t="str">
        <f>+$H$12</f>
        <v>DINNER</v>
      </c>
      <c r="I29" s="338" t="s">
        <v>41</v>
      </c>
      <c r="O29" s="336"/>
    </row>
    <row r="30" spans="1:15" s="115" customFormat="1" ht="17.100000000000001" customHeight="1" x14ac:dyDescent="0.25">
      <c r="A30" s="122">
        <v>1</v>
      </c>
      <c r="B30" s="533">
        <f>+'TAHAP 1'!$C$13</f>
        <v>45502</v>
      </c>
      <c r="C30" s="533"/>
      <c r="D30" s="533"/>
      <c r="E30" s="292">
        <f>VLOOKUP($D$28,A12:$H$19,5,0)</f>
        <v>30000</v>
      </c>
      <c r="F30" s="292" t="s">
        <v>224</v>
      </c>
      <c r="G30" s="292">
        <f>VLOOKUP($D$28,A12:$H$19,8,0)</f>
        <v>20000</v>
      </c>
      <c r="H30" s="292">
        <f>VLOOKUP($D$28,A12:$H$19,8,0)</f>
        <v>20000</v>
      </c>
      <c r="I30" s="194">
        <f>SUM(E30:H30)</f>
        <v>70000</v>
      </c>
      <c r="K30" s="293"/>
      <c r="O30" s="116"/>
    </row>
    <row r="31" spans="1:15" s="115" customFormat="1" ht="17.100000000000001" customHeight="1" x14ac:dyDescent="0.25">
      <c r="A31" s="122">
        <v>2</v>
      </c>
      <c r="B31" s="533">
        <f>+B30+1</f>
        <v>45503</v>
      </c>
      <c r="C31" s="533"/>
      <c r="D31" s="533"/>
      <c r="E31" s="292">
        <f>VLOOKUP($D$28,A$12:$H19,5,0)</f>
        <v>30000</v>
      </c>
      <c r="F31" s="292" t="s">
        <v>220</v>
      </c>
      <c r="G31" s="292" t="s">
        <v>223</v>
      </c>
      <c r="H31" s="292">
        <f>VLOOKUP($D$28,A$12:$H19,8,0)</f>
        <v>20000</v>
      </c>
      <c r="I31" s="194">
        <f>SUM(E31:H31)</f>
        <v>50000</v>
      </c>
      <c r="O31" s="116"/>
    </row>
    <row r="32" spans="1:15" s="115" customFormat="1" ht="17.100000000000001" customHeight="1" x14ac:dyDescent="0.25">
      <c r="A32" s="122">
        <v>3</v>
      </c>
      <c r="B32" s="533">
        <f>+B31+1</f>
        <v>45504</v>
      </c>
      <c r="C32" s="533"/>
      <c r="D32" s="533"/>
      <c r="E32" s="292">
        <f>VLOOKUP($D$28,A$12:$H19,5,0)</f>
        <v>30000</v>
      </c>
      <c r="F32" s="292" t="s">
        <v>220</v>
      </c>
      <c r="G32" s="292" t="s">
        <v>223</v>
      </c>
      <c r="H32" s="292">
        <f>VLOOKUP($D$28,A$12:$H19,8,0)</f>
        <v>20000</v>
      </c>
      <c r="I32" s="194">
        <f>SUM(E32:H32)</f>
        <v>50000</v>
      </c>
      <c r="O32" s="116"/>
    </row>
    <row r="33" spans="1:15" s="115" customFormat="1" ht="16.5" customHeight="1" x14ac:dyDescent="0.25">
      <c r="A33" s="534" t="s">
        <v>12</v>
      </c>
      <c r="B33" s="534"/>
      <c r="C33" s="534"/>
      <c r="D33" s="534"/>
      <c r="E33" s="535"/>
      <c r="F33" s="536"/>
      <c r="G33" s="536"/>
      <c r="H33" s="537"/>
      <c r="I33" s="201">
        <f>SUM(I30:I32)</f>
        <v>170000</v>
      </c>
      <c r="O33" s="116"/>
    </row>
    <row r="34" spans="1:15" s="13" customFormat="1" ht="20.100000000000001" customHeight="1" x14ac:dyDescent="0.25">
      <c r="A34" s="277" t="s">
        <v>185</v>
      </c>
      <c r="B34" s="272"/>
      <c r="C34" s="272"/>
      <c r="D34" s="272"/>
      <c r="E34" s="103"/>
      <c r="F34" s="103"/>
      <c r="G34" s="103"/>
      <c r="H34" s="103"/>
      <c r="I34" s="103"/>
      <c r="J34" s="117"/>
      <c r="K34" s="118"/>
      <c r="L34" s="118"/>
      <c r="M34" s="118"/>
      <c r="N34" s="118"/>
      <c r="O34" s="119"/>
    </row>
    <row r="35" spans="1:15" s="115" customFormat="1" ht="24.95" customHeight="1" x14ac:dyDescent="0.25">
      <c r="A35" s="181" t="s">
        <v>34</v>
      </c>
      <c r="B35" s="567" t="s">
        <v>3</v>
      </c>
      <c r="C35" s="568"/>
      <c r="D35" s="568"/>
      <c r="E35" s="569"/>
      <c r="F35" s="181" t="s">
        <v>178</v>
      </c>
      <c r="G35" s="569" t="s">
        <v>185</v>
      </c>
      <c r="H35" s="103"/>
      <c r="I35" s="103"/>
      <c r="J35" s="130"/>
      <c r="K35" s="123"/>
      <c r="L35" s="123"/>
      <c r="O35" s="128"/>
    </row>
    <row r="36" spans="1:15" s="115" customFormat="1" ht="20.100000000000001" customHeight="1" x14ac:dyDescent="0.25">
      <c r="A36" s="122">
        <v>1</v>
      </c>
      <c r="B36" s="365" t="str">
        <f>'TAHAP 1'!M13</f>
        <v>PUDJI IDAYANI</v>
      </c>
      <c r="C36" s="366"/>
      <c r="D36" s="366"/>
      <c r="E36" s="367"/>
      <c r="F36" s="199" t="str">
        <f>D21</f>
        <v>IV</v>
      </c>
      <c r="G36" s="570">
        <f>I26</f>
        <v>230000</v>
      </c>
      <c r="H36" s="103"/>
      <c r="I36" s="103"/>
      <c r="J36" s="180"/>
      <c r="K36" s="123"/>
      <c r="L36" s="123"/>
      <c r="O36" s="128"/>
    </row>
    <row r="37" spans="1:15" s="115" customFormat="1" ht="20.100000000000001" customHeight="1" x14ac:dyDescent="0.25">
      <c r="A37" s="122">
        <v>2</v>
      </c>
      <c r="B37" s="365" t="str">
        <f>'TAHAP 1'!M14</f>
        <v>GEDE WIJI SANTOSO</v>
      </c>
      <c r="C37" s="366"/>
      <c r="D37" s="366"/>
      <c r="E37" s="367"/>
      <c r="F37" s="199" t="s">
        <v>88</v>
      </c>
      <c r="G37" s="339">
        <f>I33</f>
        <v>170000</v>
      </c>
      <c r="H37" s="103"/>
      <c r="I37" s="103"/>
      <c r="J37" s="180"/>
      <c r="K37" s="335"/>
      <c r="L37" s="335"/>
      <c r="O37" s="336"/>
    </row>
    <row r="38" spans="1:15" s="115" customFormat="1" ht="20.100000000000001" customHeight="1" x14ac:dyDescent="0.25">
      <c r="A38" s="122">
        <v>3</v>
      </c>
      <c r="B38" s="365" t="str">
        <f>'TAHAP 1'!M15</f>
        <v>WIDODO PRASETIO</v>
      </c>
      <c r="C38" s="366"/>
      <c r="D38" s="366"/>
      <c r="E38" s="367"/>
      <c r="F38" s="199" t="s">
        <v>90</v>
      </c>
      <c r="G38" s="339">
        <f>I26</f>
        <v>230000</v>
      </c>
      <c r="H38" s="103"/>
      <c r="I38" s="103"/>
      <c r="J38" s="180"/>
      <c r="K38" s="335"/>
      <c r="L38" s="335"/>
      <c r="O38" s="336"/>
    </row>
    <row r="39" spans="1:15" s="115" customFormat="1" ht="20.100000000000001" customHeight="1" thickBot="1" x14ac:dyDescent="0.3">
      <c r="A39" s="122">
        <v>4</v>
      </c>
      <c r="B39" s="368" t="str">
        <f>'TAHAP 1'!M16</f>
        <v>SUSANTI</v>
      </c>
      <c r="C39" s="369"/>
      <c r="D39" s="369"/>
      <c r="E39" s="370"/>
      <c r="F39" s="199" t="s">
        <v>90</v>
      </c>
      <c r="G39" s="299">
        <f>I26</f>
        <v>230000</v>
      </c>
      <c r="H39" s="103"/>
      <c r="I39" s="103"/>
      <c r="J39" s="180"/>
      <c r="K39" s="297"/>
      <c r="L39" s="297"/>
      <c r="O39" s="298"/>
    </row>
    <row r="40" spans="1:15" s="115" customFormat="1" ht="24.95" customHeight="1" thickTop="1" x14ac:dyDescent="0.25">
      <c r="A40" s="547" t="s">
        <v>12</v>
      </c>
      <c r="B40" s="548"/>
      <c r="C40" s="548"/>
      <c r="D40" s="548"/>
      <c r="E40" s="548"/>
      <c r="F40" s="549"/>
      <c r="G40" s="302">
        <f>SUM(G36:G39)</f>
        <v>860000</v>
      </c>
      <c r="H40" s="103"/>
      <c r="I40" s="103"/>
      <c r="J40" s="130"/>
      <c r="K40" s="123"/>
      <c r="L40" s="123"/>
      <c r="O40" s="128"/>
    </row>
    <row r="41" spans="1:15" s="115" customFormat="1" ht="24.95" customHeight="1" thickBot="1" x14ac:dyDescent="0.3">
      <c r="A41" s="167"/>
      <c r="B41" s="123"/>
      <c r="C41" s="123"/>
      <c r="D41" s="123"/>
      <c r="E41" s="123"/>
      <c r="F41" s="123"/>
      <c r="G41" s="143"/>
      <c r="H41" s="103"/>
      <c r="I41" s="103"/>
      <c r="J41" s="130"/>
      <c r="K41" s="123"/>
      <c r="L41" s="123"/>
      <c r="O41" s="128"/>
    </row>
    <row r="42" spans="1:15" s="115" customFormat="1" ht="20.100000000000001" customHeight="1" thickTop="1" x14ac:dyDescent="0.25">
      <c r="A42" s="550" t="s">
        <v>193</v>
      </c>
      <c r="B42" s="551"/>
      <c r="C42" s="551"/>
      <c r="D42" s="551"/>
      <c r="E42" s="551"/>
      <c r="F42" s="551"/>
      <c r="G42" s="551"/>
      <c r="H42" s="551"/>
      <c r="I42" s="551"/>
      <c r="J42" s="551"/>
      <c r="K42" s="551"/>
      <c r="L42" s="551"/>
      <c r="M42" s="551"/>
      <c r="N42" s="551"/>
      <c r="O42" s="552"/>
    </row>
    <row r="43" spans="1:15" s="115" customFormat="1" ht="20.100000000000001" customHeight="1" x14ac:dyDescent="0.25">
      <c r="A43" s="553"/>
      <c r="B43" s="554"/>
      <c r="C43" s="554"/>
      <c r="D43" s="554"/>
      <c r="E43" s="554"/>
      <c r="F43" s="554"/>
      <c r="G43" s="554"/>
      <c r="H43" s="554"/>
      <c r="I43" s="554"/>
      <c r="J43" s="554"/>
      <c r="K43" s="554"/>
      <c r="L43" s="554"/>
      <c r="M43" s="554"/>
      <c r="N43" s="554"/>
      <c r="O43" s="555"/>
    </row>
    <row r="44" spans="1:15" s="115" customFormat="1" ht="24.95" customHeight="1" x14ac:dyDescent="0.25">
      <c r="A44" s="134" t="s">
        <v>216</v>
      </c>
      <c r="B44" s="114" t="s">
        <v>229</v>
      </c>
      <c r="C44" s="114"/>
      <c r="D44" s="129"/>
      <c r="E44" s="129"/>
      <c r="O44" s="116"/>
    </row>
    <row r="45" spans="1:15" s="115" customFormat="1" ht="20.100000000000001" customHeight="1" x14ac:dyDescent="0.25">
      <c r="A45" s="283" t="s">
        <v>34</v>
      </c>
      <c r="B45" s="532" t="s">
        <v>50</v>
      </c>
      <c r="C45" s="532"/>
      <c r="D45" s="532" t="s">
        <v>232</v>
      </c>
      <c r="E45" s="532"/>
      <c r="F45" s="532"/>
      <c r="G45" s="532"/>
      <c r="H45" s="532"/>
      <c r="I45" s="532"/>
      <c r="J45" s="135" t="s">
        <v>186</v>
      </c>
      <c r="K45" s="127" t="s">
        <v>219</v>
      </c>
      <c r="L45" s="127" t="s">
        <v>41</v>
      </c>
      <c r="M45" s="127" t="s">
        <v>12</v>
      </c>
      <c r="O45" s="116"/>
    </row>
    <row r="46" spans="1:15" s="115" customFormat="1" ht="20.100000000000001" customHeight="1" x14ac:dyDescent="0.25">
      <c r="A46" s="284">
        <v>1</v>
      </c>
      <c r="B46" s="543" t="s">
        <v>217</v>
      </c>
      <c r="C46" s="544"/>
      <c r="D46" s="540"/>
      <c r="E46" s="540"/>
      <c r="F46" s="540"/>
      <c r="G46" s="540"/>
      <c r="H46" s="540"/>
      <c r="I46" s="540"/>
      <c r="J46" s="545"/>
      <c r="K46" s="545"/>
      <c r="L46" s="545"/>
      <c r="M46" s="541"/>
      <c r="O46" s="116"/>
    </row>
    <row r="47" spans="1:15" s="115" customFormat="1" ht="20.100000000000001" customHeight="1" x14ac:dyDescent="0.25">
      <c r="A47" s="284">
        <v>2</v>
      </c>
      <c r="B47" s="543" t="s">
        <v>218</v>
      </c>
      <c r="C47" s="544"/>
      <c r="D47" s="540"/>
      <c r="E47" s="540"/>
      <c r="F47" s="540"/>
      <c r="G47" s="540"/>
      <c r="H47" s="540"/>
      <c r="I47" s="540"/>
      <c r="J47" s="546"/>
      <c r="K47" s="546"/>
      <c r="L47" s="546"/>
      <c r="M47" s="542"/>
      <c r="O47" s="116"/>
    </row>
    <row r="48" spans="1:15" s="115" customFormat="1" ht="20.100000000000001" customHeight="1" x14ac:dyDescent="0.25">
      <c r="A48" s="102"/>
      <c r="B48" s="103"/>
      <c r="C48" s="103"/>
      <c r="D48" s="103"/>
      <c r="E48" s="103"/>
      <c r="F48" s="103"/>
      <c r="G48" s="24"/>
      <c r="H48" s="143"/>
      <c r="I48" s="103"/>
      <c r="J48" s="130"/>
      <c r="K48" s="123"/>
      <c r="L48" s="123"/>
      <c r="O48" s="116"/>
    </row>
    <row r="49" spans="1:15" s="115" customFormat="1" ht="20.100000000000001" customHeight="1" x14ac:dyDescent="0.25">
      <c r="A49" s="102"/>
      <c r="B49" s="103"/>
      <c r="C49" s="103"/>
      <c r="D49" s="103"/>
      <c r="E49" s="103"/>
      <c r="F49" s="103"/>
      <c r="G49" s="24"/>
      <c r="H49" s="143"/>
      <c r="I49" s="103"/>
      <c r="J49" s="130"/>
      <c r="K49" s="123"/>
      <c r="L49" s="123"/>
      <c r="O49" s="116"/>
    </row>
    <row r="50" spans="1:15" s="115" customFormat="1" ht="24.95" customHeight="1" x14ac:dyDescent="0.25">
      <c r="A50" s="134" t="s">
        <v>222</v>
      </c>
      <c r="B50" s="114"/>
      <c r="C50" s="114"/>
      <c r="D50" s="305"/>
      <c r="E50" s="305"/>
      <c r="O50" s="116"/>
    </row>
    <row r="51" spans="1:15" s="115" customFormat="1" ht="24.95" hidden="1" customHeight="1" x14ac:dyDescent="0.25">
      <c r="A51" s="144"/>
      <c r="B51" s="103"/>
      <c r="C51" s="103"/>
      <c r="D51" s="129"/>
      <c r="E51" s="129"/>
      <c r="O51" s="116"/>
    </row>
    <row r="52" spans="1:15" s="115" customFormat="1" ht="20.100000000000001" hidden="1" customHeight="1" x14ac:dyDescent="0.25">
      <c r="A52" s="157"/>
      <c r="B52" s="103"/>
      <c r="C52" s="103"/>
      <c r="D52" s="129"/>
      <c r="E52" s="129"/>
      <c r="O52" s="116"/>
    </row>
    <row r="53" spans="1:15" s="115" customFormat="1" ht="20.100000000000001" hidden="1" customHeight="1" x14ac:dyDescent="0.25">
      <c r="A53" s="157"/>
      <c r="B53" s="103"/>
      <c r="C53" s="103"/>
      <c r="D53" s="129"/>
      <c r="E53" s="129"/>
      <c r="O53" s="116"/>
    </row>
    <row r="54" spans="1:15" s="115" customFormat="1" ht="9.9499999999999993" customHeight="1" x14ac:dyDescent="0.25">
      <c r="A54" s="102"/>
      <c r="B54" s="129"/>
      <c r="C54" s="129"/>
      <c r="D54" s="129"/>
      <c r="E54" s="129"/>
      <c r="O54" s="116"/>
    </row>
    <row r="55" spans="1:15" s="24" customFormat="1" ht="24.95" customHeight="1" x14ac:dyDescent="0.25">
      <c r="A55" s="127" t="s">
        <v>34</v>
      </c>
      <c r="B55" s="625" t="s">
        <v>48</v>
      </c>
      <c r="C55" s="626"/>
      <c r="D55" s="627"/>
      <c r="E55" s="135" t="s">
        <v>39</v>
      </c>
      <c r="F55" s="127" t="s">
        <v>40</v>
      </c>
      <c r="G55" s="556" t="s">
        <v>199</v>
      </c>
      <c r="H55" s="557"/>
      <c r="O55" s="84"/>
    </row>
    <row r="56" spans="1:15" s="115" customFormat="1" ht="17.100000000000001" customHeight="1" thickBot="1" x14ac:dyDescent="0.3">
      <c r="A56" s="122">
        <v>1</v>
      </c>
      <c r="B56" s="628"/>
      <c r="C56" s="629"/>
      <c r="D56" s="630"/>
      <c r="E56" s="194"/>
      <c r="F56" s="195"/>
      <c r="G56" s="196"/>
      <c r="H56" s="208"/>
      <c r="O56" s="116"/>
    </row>
    <row r="57" spans="1:15" s="115" customFormat="1" ht="24.95" customHeight="1" thickTop="1" x14ac:dyDescent="0.25">
      <c r="A57" s="558" t="s">
        <v>210</v>
      </c>
      <c r="B57" s="559"/>
      <c r="C57" s="559"/>
      <c r="D57" s="559"/>
      <c r="E57" s="559"/>
      <c r="F57" s="560"/>
      <c r="G57" s="209"/>
      <c r="H57" s="200">
        <f>SUM(H50:H56)</f>
        <v>0</v>
      </c>
      <c r="N57" s="24"/>
      <c r="O57" s="84"/>
    </row>
    <row r="58" spans="1:15" s="115" customFormat="1" ht="17.100000000000001" customHeight="1" x14ac:dyDescent="0.25">
      <c r="A58" s="214"/>
      <c r="B58" s="215"/>
      <c r="C58" s="215"/>
      <c r="D58" s="215"/>
      <c r="E58" s="216"/>
      <c r="F58" s="216"/>
      <c r="G58" s="217"/>
      <c r="H58" s="217"/>
      <c r="O58" s="116"/>
    </row>
    <row r="59" spans="1:15" s="115" customFormat="1" ht="17.100000000000001" customHeight="1" x14ac:dyDescent="0.25">
      <c r="A59" s="210"/>
      <c r="B59" s="211"/>
      <c r="C59" s="211"/>
      <c r="D59" s="211"/>
      <c r="E59" s="212"/>
      <c r="F59" s="212"/>
      <c r="G59" s="213"/>
      <c r="H59" s="213"/>
      <c r="O59" s="116"/>
    </row>
    <row r="60" spans="1:15" s="24" customFormat="1" ht="24.95" customHeight="1" x14ac:dyDescent="0.25">
      <c r="A60" s="127" t="s">
        <v>34</v>
      </c>
      <c r="B60" s="625" t="s">
        <v>48</v>
      </c>
      <c r="C60" s="626"/>
      <c r="D60" s="627"/>
      <c r="E60" s="135" t="s">
        <v>39</v>
      </c>
      <c r="F60" s="127" t="s">
        <v>40</v>
      </c>
      <c r="G60" s="556" t="s">
        <v>199</v>
      </c>
      <c r="H60" s="557"/>
      <c r="O60" s="84"/>
    </row>
    <row r="61" spans="1:15" s="115" customFormat="1" ht="17.100000000000001" customHeight="1" x14ac:dyDescent="0.25">
      <c r="A61" s="122">
        <v>1</v>
      </c>
      <c r="B61" s="628" t="s">
        <v>49</v>
      </c>
      <c r="C61" s="629"/>
      <c r="D61" s="630"/>
      <c r="E61" s="194">
        <v>0</v>
      </c>
      <c r="F61" s="195">
        <v>0</v>
      </c>
      <c r="G61" s="196"/>
      <c r="H61" s="197">
        <f t="shared" ref="H61:H68" si="0">+E61*F61</f>
        <v>0</v>
      </c>
      <c r="O61" s="116"/>
    </row>
    <row r="62" spans="1:15" s="115" customFormat="1" ht="17.100000000000001" customHeight="1" x14ac:dyDescent="0.25">
      <c r="A62" s="122">
        <v>2</v>
      </c>
      <c r="B62" s="140" t="s">
        <v>46</v>
      </c>
      <c r="C62" s="141"/>
      <c r="D62" s="142"/>
      <c r="E62" s="301">
        <v>0</v>
      </c>
      <c r="F62" s="195">
        <v>0</v>
      </c>
      <c r="G62" s="303"/>
      <c r="H62" s="304">
        <f t="shared" si="0"/>
        <v>0</v>
      </c>
      <c r="O62" s="116"/>
    </row>
    <row r="63" spans="1:15" s="115" customFormat="1" ht="17.100000000000001" customHeight="1" x14ac:dyDescent="0.25">
      <c r="A63" s="122">
        <v>3</v>
      </c>
      <c r="B63" s="140" t="s">
        <v>47</v>
      </c>
      <c r="C63" s="141"/>
      <c r="D63" s="142"/>
      <c r="E63" s="301">
        <v>0</v>
      </c>
      <c r="F63" s="195">
        <v>0</v>
      </c>
      <c r="G63" s="303"/>
      <c r="H63" s="304">
        <f>+E63*F63</f>
        <v>0</v>
      </c>
      <c r="O63" s="116"/>
    </row>
    <row r="64" spans="1:15" s="115" customFormat="1" ht="17.100000000000001" customHeight="1" x14ac:dyDescent="0.25">
      <c r="A64" s="122">
        <v>4</v>
      </c>
      <c r="B64" s="140" t="s">
        <v>45</v>
      </c>
      <c r="C64" s="141"/>
      <c r="D64" s="142"/>
      <c r="E64" s="301">
        <v>0</v>
      </c>
      <c r="F64" s="195">
        <v>0</v>
      </c>
      <c r="G64" s="303"/>
      <c r="H64" s="304">
        <f t="shared" si="0"/>
        <v>0</v>
      </c>
      <c r="O64" s="116"/>
    </row>
    <row r="65" spans="1:16" s="115" customFormat="1" ht="17.100000000000001" customHeight="1" x14ac:dyDescent="0.25">
      <c r="A65" s="122">
        <v>5</v>
      </c>
      <c r="B65" s="628" t="s">
        <v>42</v>
      </c>
      <c r="C65" s="629"/>
      <c r="D65" s="630"/>
      <c r="E65" s="301">
        <v>0</v>
      </c>
      <c r="F65" s="195">
        <v>0</v>
      </c>
      <c r="G65" s="303"/>
      <c r="H65" s="304">
        <f t="shared" si="0"/>
        <v>0</v>
      </c>
      <c r="O65" s="116"/>
    </row>
    <row r="66" spans="1:16" s="115" customFormat="1" ht="17.100000000000001" customHeight="1" x14ac:dyDescent="0.25">
      <c r="A66" s="122">
        <v>6</v>
      </c>
      <c r="B66" s="628" t="s">
        <v>43</v>
      </c>
      <c r="C66" s="629"/>
      <c r="D66" s="630"/>
      <c r="E66" s="301">
        <v>0</v>
      </c>
      <c r="F66" s="195">
        <v>0</v>
      </c>
      <c r="G66" s="303"/>
      <c r="H66" s="304">
        <f t="shared" si="0"/>
        <v>0</v>
      </c>
      <c r="O66" s="116"/>
    </row>
    <row r="67" spans="1:16" s="115" customFormat="1" ht="17.100000000000001" customHeight="1" x14ac:dyDescent="0.25">
      <c r="A67" s="122">
        <v>7</v>
      </c>
      <c r="B67" s="631" t="s">
        <v>44</v>
      </c>
      <c r="C67" s="631"/>
      <c r="D67" s="631"/>
      <c r="E67" s="301">
        <v>0</v>
      </c>
      <c r="F67" s="194">
        <v>0</v>
      </c>
      <c r="G67" s="632">
        <f>+E67*F67</f>
        <v>0</v>
      </c>
      <c r="H67" s="633"/>
      <c r="O67" s="116"/>
    </row>
    <row r="68" spans="1:16" s="115" customFormat="1" ht="17.100000000000001" customHeight="1" thickBot="1" x14ac:dyDescent="0.3">
      <c r="A68" s="279">
        <v>8</v>
      </c>
      <c r="B68" s="622" t="s">
        <v>215</v>
      </c>
      <c r="C68" s="623"/>
      <c r="D68" s="624"/>
      <c r="E68" s="280">
        <v>0</v>
      </c>
      <c r="F68" s="194">
        <v>0</v>
      </c>
      <c r="G68" s="281"/>
      <c r="H68" s="282">
        <f t="shared" si="0"/>
        <v>0</v>
      </c>
      <c r="O68" s="116"/>
    </row>
    <row r="69" spans="1:16" s="115" customFormat="1" ht="24.95" customHeight="1" thickTop="1" x14ac:dyDescent="0.25">
      <c r="A69" s="558" t="s">
        <v>211</v>
      </c>
      <c r="B69" s="559"/>
      <c r="C69" s="559"/>
      <c r="D69" s="559"/>
      <c r="E69" s="559"/>
      <c r="F69" s="560"/>
      <c r="G69" s="209"/>
      <c r="H69" s="200">
        <f>SUM(G61:H68)</f>
        <v>0</v>
      </c>
      <c r="N69" s="24"/>
      <c r="O69" s="84"/>
    </row>
    <row r="70" spans="1:16" s="115" customFormat="1" ht="20.100000000000001" customHeight="1" x14ac:dyDescent="0.25">
      <c r="A70" s="102"/>
      <c r="B70" s="103"/>
      <c r="C70" s="103"/>
      <c r="D70" s="103"/>
      <c r="E70" s="103"/>
      <c r="F70" s="103"/>
      <c r="G70" s="24"/>
      <c r="H70" s="143"/>
      <c r="I70" s="103"/>
      <c r="J70" s="130"/>
      <c r="K70" s="123"/>
      <c r="L70" s="123"/>
      <c r="O70" s="116"/>
    </row>
    <row r="71" spans="1:16" s="115" customFormat="1" ht="20.100000000000001" customHeight="1" x14ac:dyDescent="0.25">
      <c r="A71" s="102"/>
      <c r="B71" s="103"/>
      <c r="C71" s="103"/>
      <c r="D71" s="103"/>
      <c r="E71" s="103"/>
      <c r="F71" s="103"/>
      <c r="G71" s="218"/>
      <c r="H71" s="198">
        <f>+H69+H57</f>
        <v>0</v>
      </c>
      <c r="I71" s="300"/>
      <c r="J71" s="130"/>
      <c r="K71" s="123"/>
      <c r="L71" s="123"/>
      <c r="O71" s="116"/>
    </row>
    <row r="72" spans="1:16" s="115" customFormat="1" ht="20.100000000000001" customHeight="1" x14ac:dyDescent="0.25">
      <c r="A72" s="102"/>
      <c r="B72" s="103"/>
      <c r="C72" s="103"/>
      <c r="D72" s="103"/>
      <c r="E72" s="103"/>
      <c r="F72" s="103"/>
      <c r="I72" s="103"/>
      <c r="J72" s="130"/>
      <c r="K72" s="123"/>
      <c r="L72" s="123"/>
      <c r="N72" s="182"/>
      <c r="O72" s="152"/>
    </row>
    <row r="73" spans="1:16" s="115" customFormat="1" ht="24.95" customHeight="1" x14ac:dyDescent="0.25">
      <c r="A73" s="153" t="s">
        <v>75</v>
      </c>
      <c r="B73" s="154"/>
      <c r="C73" s="154"/>
      <c r="D73" s="155"/>
      <c r="E73" s="155"/>
      <c r="F73" s="155"/>
      <c r="G73" s="155"/>
      <c r="H73" s="155"/>
      <c r="I73" s="155"/>
      <c r="J73" s="156"/>
      <c r="K73" s="156"/>
      <c r="L73" s="189"/>
      <c r="M73" s="189"/>
      <c r="N73" s="189"/>
      <c r="O73" s="190"/>
      <c r="P73" s="147"/>
    </row>
    <row r="74" spans="1:16" s="145" customFormat="1" ht="20.100000000000001" customHeight="1" x14ac:dyDescent="0.25">
      <c r="A74" s="606" t="s">
        <v>1</v>
      </c>
      <c r="B74" s="608" t="s">
        <v>200</v>
      </c>
      <c r="C74" s="609"/>
      <c r="D74" s="609"/>
      <c r="E74" s="610"/>
      <c r="F74" s="602" t="s">
        <v>51</v>
      </c>
      <c r="G74" s="612"/>
      <c r="H74" s="612"/>
      <c r="I74" s="603"/>
      <c r="J74" s="602" t="s">
        <v>201</v>
      </c>
      <c r="K74" s="603"/>
      <c r="L74" s="602" t="s">
        <v>39</v>
      </c>
      <c r="M74" s="603"/>
      <c r="N74" s="600"/>
      <c r="O74" s="601"/>
      <c r="P74" s="600"/>
    </row>
    <row r="75" spans="1:16" s="145" customFormat="1" ht="20.100000000000001" customHeight="1" thickBot="1" x14ac:dyDescent="0.3">
      <c r="A75" s="607"/>
      <c r="B75" s="616" t="s">
        <v>202</v>
      </c>
      <c r="C75" s="617"/>
      <c r="D75" s="616" t="s">
        <v>203</v>
      </c>
      <c r="E75" s="617"/>
      <c r="F75" s="604"/>
      <c r="G75" s="613"/>
      <c r="H75" s="613"/>
      <c r="I75" s="605"/>
      <c r="J75" s="604"/>
      <c r="K75" s="605"/>
      <c r="L75" s="604"/>
      <c r="M75" s="605"/>
      <c r="N75" s="600"/>
      <c r="O75" s="601"/>
      <c r="P75" s="600"/>
    </row>
    <row r="76" spans="1:16" s="129" customFormat="1" ht="99.95" customHeight="1" thickTop="1" x14ac:dyDescent="0.25">
      <c r="A76" s="193">
        <v>1</v>
      </c>
      <c r="B76" s="620">
        <f>+'TAHAP 1'!C13</f>
        <v>45502</v>
      </c>
      <c r="C76" s="621"/>
      <c r="D76" s="620">
        <f>+'TAHAP 1'!F13</f>
        <v>45504</v>
      </c>
      <c r="E76" s="621"/>
      <c r="F76" s="614" t="s">
        <v>256</v>
      </c>
      <c r="G76" s="615"/>
      <c r="H76" s="615"/>
      <c r="I76" s="615"/>
      <c r="J76" s="611" t="s">
        <v>230</v>
      </c>
      <c r="K76" s="611"/>
      <c r="L76" s="538"/>
      <c r="M76" s="539"/>
      <c r="N76" s="191"/>
      <c r="O76" s="192"/>
      <c r="P76" s="188"/>
    </row>
    <row r="77" spans="1:16" s="129" customFormat="1" ht="21.95" customHeight="1" x14ac:dyDescent="0.25">
      <c r="A77" s="184"/>
      <c r="B77" s="185"/>
      <c r="C77" s="185"/>
      <c r="D77" s="185"/>
      <c r="E77" s="185"/>
      <c r="F77" s="273" t="str">
        <f>+F76</f>
        <v>ASTON Sidoarjo City Hotel &amp; Conference Center
 Jl. Kahuripan Raya Kav. 14, Entalsewu, Kec Buduran, Kab Sidoarjo 61252 Sidoarjo Indonesia, Entalsewu, Surabaya</v>
      </c>
      <c r="G77" s="168"/>
      <c r="H77" s="168"/>
      <c r="I77" s="168"/>
      <c r="J77" s="168"/>
      <c r="K77" s="168"/>
      <c r="L77" s="168"/>
      <c r="M77" s="186"/>
      <c r="N77" s="186"/>
      <c r="O77" s="187"/>
      <c r="P77" s="183"/>
    </row>
    <row r="78" spans="1:16" s="129" customFormat="1" ht="21.95" customHeight="1" x14ac:dyDescent="0.25">
      <c r="A78" s="184"/>
      <c r="B78" s="185"/>
      <c r="C78" s="185"/>
      <c r="D78" s="185"/>
      <c r="E78" s="185"/>
      <c r="F78" s="168"/>
      <c r="G78" s="168"/>
      <c r="H78" s="168"/>
      <c r="I78" s="168"/>
      <c r="J78" s="168"/>
      <c r="K78" s="168"/>
      <c r="L78" s="168"/>
      <c r="M78" s="186"/>
      <c r="N78" s="186"/>
      <c r="O78" s="187"/>
      <c r="P78" s="183"/>
    </row>
    <row r="79" spans="1:16" s="129" customFormat="1" ht="21.95" customHeight="1" x14ac:dyDescent="0.25">
      <c r="A79" s="184"/>
      <c r="B79" s="561" t="s">
        <v>3</v>
      </c>
      <c r="C79" s="562"/>
      <c r="D79" s="565" t="s">
        <v>209</v>
      </c>
      <c r="E79" s="565" t="s">
        <v>207</v>
      </c>
      <c r="F79" s="565" t="s">
        <v>208</v>
      </c>
      <c r="G79" s="565" t="s">
        <v>186</v>
      </c>
      <c r="H79" s="565" t="s">
        <v>12</v>
      </c>
      <c r="I79" s="565" t="s">
        <v>80</v>
      </c>
      <c r="J79" s="618" t="s">
        <v>79</v>
      </c>
      <c r="K79" s="599" t="s">
        <v>81</v>
      </c>
      <c r="L79" s="168"/>
      <c r="M79" s="186"/>
      <c r="N79" s="513"/>
      <c r="O79" s="514"/>
      <c r="P79" s="188"/>
    </row>
    <row r="80" spans="1:16" s="129" customFormat="1" ht="21.95" customHeight="1" x14ac:dyDescent="0.25">
      <c r="A80" s="184"/>
      <c r="B80" s="563"/>
      <c r="C80" s="564"/>
      <c r="D80" s="566"/>
      <c r="E80" s="566"/>
      <c r="F80" s="566"/>
      <c r="G80" s="566"/>
      <c r="H80" s="566"/>
      <c r="I80" s="566"/>
      <c r="J80" s="619"/>
      <c r="K80" s="599"/>
      <c r="L80" s="168"/>
      <c r="M80" s="186"/>
      <c r="N80" s="123"/>
      <c r="O80" s="128"/>
      <c r="P80" s="188"/>
    </row>
    <row r="81" spans="1:19" s="129" customFormat="1" ht="21.95" customHeight="1" x14ac:dyDescent="0.25">
      <c r="A81" s="184"/>
      <c r="B81" s="581" t="str">
        <f>B36</f>
        <v>PUDJI IDAYANI</v>
      </c>
      <c r="C81" s="581"/>
      <c r="D81" s="207" t="str">
        <f>+J76</f>
        <v>Deluxe</v>
      </c>
      <c r="E81" s="799">
        <v>1</v>
      </c>
      <c r="F81" s="799">
        <v>2</v>
      </c>
      <c r="G81" s="202">
        <f>+L76</f>
        <v>0</v>
      </c>
      <c r="H81" s="202">
        <f>+G81*F81*E81</f>
        <v>0</v>
      </c>
      <c r="I81" s="801" t="s">
        <v>221</v>
      </c>
      <c r="J81" s="801" t="s">
        <v>82</v>
      </c>
      <c r="K81" s="801" t="s">
        <v>221</v>
      </c>
      <c r="L81" s="168"/>
      <c r="M81" s="186"/>
      <c r="N81" s="115"/>
      <c r="O81" s="116"/>
      <c r="P81" s="188"/>
    </row>
    <row r="82" spans="1:19" s="129" customFormat="1" ht="21.95" customHeight="1" x14ac:dyDescent="0.25">
      <c r="A82" s="184"/>
      <c r="B82" s="581" t="str">
        <f>B39</f>
        <v>SUSANTI</v>
      </c>
      <c r="C82" s="581"/>
      <c r="D82" s="207" t="str">
        <f>+J76</f>
        <v>Deluxe</v>
      </c>
      <c r="E82" s="800"/>
      <c r="F82" s="800"/>
      <c r="G82" s="202">
        <f>+L76</f>
        <v>0</v>
      </c>
      <c r="H82" s="202">
        <f>+G82*F82*E82</f>
        <v>0</v>
      </c>
      <c r="I82" s="802"/>
      <c r="J82" s="802"/>
      <c r="K82" s="802"/>
      <c r="L82" s="168"/>
      <c r="M82" s="186"/>
      <c r="N82" s="115"/>
      <c r="O82" s="116"/>
      <c r="P82" s="188"/>
    </row>
    <row r="83" spans="1:19" s="129" customFormat="1" ht="21.95" customHeight="1" x14ac:dyDescent="0.25">
      <c r="A83" s="184"/>
      <c r="B83" s="581" t="str">
        <f>B37</f>
        <v>GEDE WIJI SANTOSO</v>
      </c>
      <c r="C83" s="581"/>
      <c r="D83" s="207" t="str">
        <f>J76</f>
        <v>Deluxe</v>
      </c>
      <c r="E83" s="199"/>
      <c r="F83" s="199">
        <v>2</v>
      </c>
      <c r="G83" s="202">
        <f>+L78</f>
        <v>0</v>
      </c>
      <c r="H83" s="202">
        <f>+G83*F83*E83</f>
        <v>0</v>
      </c>
      <c r="I83" s="202" t="s">
        <v>221</v>
      </c>
      <c r="J83" s="202" t="s">
        <v>221</v>
      </c>
      <c r="K83" s="328" t="s">
        <v>221</v>
      </c>
      <c r="L83" s="168"/>
      <c r="M83" s="186"/>
      <c r="N83" s="115"/>
      <c r="O83" s="116"/>
      <c r="P83" s="188"/>
    </row>
    <row r="84" spans="1:19" s="129" customFormat="1" ht="21.95" customHeight="1" x14ac:dyDescent="0.25">
      <c r="A84" s="184"/>
      <c r="B84" s="581" t="str">
        <f>B38</f>
        <v>WIDODO PRASETIO</v>
      </c>
      <c r="C84" s="581"/>
      <c r="D84" s="207" t="str">
        <f>J76</f>
        <v>Deluxe</v>
      </c>
      <c r="E84" s="199"/>
      <c r="F84" s="199">
        <v>2</v>
      </c>
      <c r="G84" s="202">
        <f>+L78</f>
        <v>0</v>
      </c>
      <c r="H84" s="202">
        <f>+G84*F84*E84</f>
        <v>0</v>
      </c>
      <c r="I84" s="202" t="s">
        <v>221</v>
      </c>
      <c r="J84" s="202" t="s">
        <v>221</v>
      </c>
      <c r="K84" s="328" t="s">
        <v>221</v>
      </c>
      <c r="L84" s="168"/>
      <c r="M84" s="186"/>
      <c r="N84" s="115"/>
      <c r="O84" s="116"/>
      <c r="P84" s="188"/>
    </row>
    <row r="85" spans="1:19" s="14" customFormat="1" ht="21.95" customHeight="1" x14ac:dyDescent="0.25">
      <c r="A85" s="148"/>
      <c r="B85" s="149"/>
      <c r="C85" s="149"/>
      <c r="D85" s="149"/>
      <c r="E85" s="149"/>
      <c r="F85" s="136"/>
      <c r="G85" s="136"/>
      <c r="H85" s="136"/>
      <c r="I85" s="136"/>
      <c r="J85" s="136"/>
      <c r="K85" s="136"/>
      <c r="L85" s="150"/>
      <c r="M85" s="151"/>
      <c r="N85" s="204"/>
      <c r="O85" s="152"/>
      <c r="P85" s="203"/>
    </row>
    <row r="86" spans="1:19" s="115" customFormat="1" ht="21.95" customHeight="1" thickBot="1" x14ac:dyDescent="0.3">
      <c r="A86" s="120"/>
      <c r="B86" s="121"/>
      <c r="C86" s="121"/>
      <c r="D86" s="131"/>
      <c r="E86" s="131"/>
      <c r="F86" s="131"/>
      <c r="G86" s="131"/>
      <c r="H86" s="131"/>
      <c r="I86" s="131"/>
      <c r="J86" s="132"/>
      <c r="K86" s="132"/>
      <c r="L86" s="133"/>
      <c r="M86" s="133"/>
      <c r="N86" s="205"/>
      <c r="O86" s="206"/>
      <c r="R86" s="146"/>
      <c r="S86" s="146"/>
    </row>
    <row r="87" spans="1:19" ht="15" customHeight="1" thickTop="1" x14ac:dyDescent="0.25">
      <c r="A87" s="583" t="s">
        <v>113</v>
      </c>
      <c r="B87" s="584"/>
      <c r="C87" s="584"/>
      <c r="D87" s="584"/>
      <c r="E87" s="585"/>
      <c r="F87" s="590"/>
      <c r="G87" s="592" t="s">
        <v>163</v>
      </c>
      <c r="H87" s="593"/>
      <c r="I87" s="598" t="s">
        <v>174</v>
      </c>
      <c r="J87" s="598"/>
      <c r="K87" s="124">
        <v>45118</v>
      </c>
      <c r="L87" s="99" t="s">
        <v>55</v>
      </c>
      <c r="M87" s="99"/>
      <c r="N87" s="100"/>
      <c r="O87" s="99"/>
    </row>
    <row r="88" spans="1:19" ht="15" customHeight="1" x14ac:dyDescent="0.25">
      <c r="A88" s="586"/>
      <c r="B88" s="584"/>
      <c r="C88" s="584"/>
      <c r="D88" s="584"/>
      <c r="E88" s="585"/>
      <c r="F88" s="590"/>
      <c r="G88" s="594"/>
      <c r="H88" s="595"/>
      <c r="I88" s="598" t="s">
        <v>171</v>
      </c>
      <c r="J88" s="598"/>
      <c r="K88" s="125">
        <v>44702</v>
      </c>
      <c r="L88" s="4" t="s">
        <v>55</v>
      </c>
      <c r="M88" s="4"/>
      <c r="N88" s="98"/>
      <c r="O88" s="4"/>
    </row>
    <row r="89" spans="1:19" ht="15" customHeight="1" x14ac:dyDescent="0.25">
      <c r="A89" s="586"/>
      <c r="B89" s="584"/>
      <c r="C89" s="584"/>
      <c r="D89" s="584"/>
      <c r="E89" s="585"/>
      <c r="F89" s="590"/>
      <c r="G89" s="594"/>
      <c r="H89" s="595"/>
      <c r="I89" s="598" t="s">
        <v>170</v>
      </c>
      <c r="J89" s="598"/>
      <c r="K89" s="125">
        <v>44314</v>
      </c>
      <c r="L89" s="4" t="s">
        <v>55</v>
      </c>
      <c r="M89" s="4">
        <v>3</v>
      </c>
      <c r="N89" s="98">
        <f>+K87</f>
        <v>45118</v>
      </c>
      <c r="O89" s="4" t="s">
        <v>57</v>
      </c>
    </row>
    <row r="90" spans="1:19" ht="15" customHeight="1" x14ac:dyDescent="0.25">
      <c r="A90" s="586"/>
      <c r="B90" s="584"/>
      <c r="C90" s="584"/>
      <c r="D90" s="584"/>
      <c r="E90" s="585"/>
      <c r="F90" s="590"/>
      <c r="G90" s="594"/>
      <c r="H90" s="595"/>
      <c r="I90" s="598" t="s">
        <v>169</v>
      </c>
      <c r="J90" s="598"/>
      <c r="K90" s="125">
        <v>44147</v>
      </c>
      <c r="L90" s="4" t="s">
        <v>55</v>
      </c>
      <c r="M90" s="4">
        <v>2</v>
      </c>
      <c r="N90" s="98">
        <v>44702</v>
      </c>
      <c r="O90" s="4" t="s">
        <v>173</v>
      </c>
    </row>
    <row r="91" spans="1:19" ht="15" customHeight="1" x14ac:dyDescent="0.25">
      <c r="A91" s="586"/>
      <c r="B91" s="584"/>
      <c r="C91" s="584"/>
      <c r="D91" s="584"/>
      <c r="E91" s="585"/>
      <c r="F91" s="590"/>
      <c r="G91" s="594"/>
      <c r="H91" s="595"/>
      <c r="I91" s="598" t="s">
        <v>112</v>
      </c>
      <c r="J91" s="598"/>
      <c r="K91" s="125">
        <v>45113</v>
      </c>
      <c r="L91" s="4" t="s">
        <v>172</v>
      </c>
      <c r="M91" s="4">
        <v>1</v>
      </c>
      <c r="N91" s="98">
        <v>44314</v>
      </c>
      <c r="O91" s="4" t="s">
        <v>57</v>
      </c>
    </row>
    <row r="92" spans="1:19" s="3" customFormat="1" ht="15" customHeight="1" x14ac:dyDescent="0.25">
      <c r="A92" s="587"/>
      <c r="B92" s="588"/>
      <c r="C92" s="588"/>
      <c r="D92" s="588"/>
      <c r="E92" s="589"/>
      <c r="F92" s="591"/>
      <c r="G92" s="596"/>
      <c r="H92" s="597"/>
      <c r="I92" s="582" t="s">
        <v>110</v>
      </c>
      <c r="J92" s="582"/>
      <c r="K92" s="18" t="s">
        <v>5</v>
      </c>
      <c r="L92" s="18" t="s">
        <v>107</v>
      </c>
      <c r="M92" s="18" t="s">
        <v>108</v>
      </c>
      <c r="N92" s="18" t="s">
        <v>109</v>
      </c>
      <c r="O92" s="18" t="s">
        <v>107</v>
      </c>
    </row>
  </sheetData>
  <mergeCells count="87">
    <mergeCell ref="K81:K82"/>
    <mergeCell ref="B61:D61"/>
    <mergeCell ref="B66:D66"/>
    <mergeCell ref="B60:D60"/>
    <mergeCell ref="E81:E82"/>
    <mergeCell ref="F81:F82"/>
    <mergeCell ref="K79:K80"/>
    <mergeCell ref="P74:P75"/>
    <mergeCell ref="N74:O75"/>
    <mergeCell ref="J74:K75"/>
    <mergeCell ref="A74:A75"/>
    <mergeCell ref="B74:E74"/>
    <mergeCell ref="L74:M75"/>
    <mergeCell ref="N79:O79"/>
    <mergeCell ref="J76:K76"/>
    <mergeCell ref="F74:I75"/>
    <mergeCell ref="F76:I76"/>
    <mergeCell ref="D75:E75"/>
    <mergeCell ref="B75:C75"/>
    <mergeCell ref="J79:J80"/>
    <mergeCell ref="B76:C76"/>
    <mergeCell ref="D76:E76"/>
    <mergeCell ref="B82:C82"/>
    <mergeCell ref="B81:C81"/>
    <mergeCell ref="I92:J92"/>
    <mergeCell ref="A87:E92"/>
    <mergeCell ref="F87:F92"/>
    <mergeCell ref="G87:H92"/>
    <mergeCell ref="I87:J87"/>
    <mergeCell ref="I88:J88"/>
    <mergeCell ref="I89:J89"/>
    <mergeCell ref="I90:J90"/>
    <mergeCell ref="I91:J91"/>
    <mergeCell ref="B83:C83"/>
    <mergeCell ref="B84:C84"/>
    <mergeCell ref="I81:I82"/>
    <mergeCell ref="J81:J82"/>
    <mergeCell ref="A3:H6"/>
    <mergeCell ref="L3:O5"/>
    <mergeCell ref="A10:C10"/>
    <mergeCell ref="L10:M10"/>
    <mergeCell ref="N10:O10"/>
    <mergeCell ref="B22:D22"/>
    <mergeCell ref="A26:D26"/>
    <mergeCell ref="B24:D24"/>
    <mergeCell ref="B25:D25"/>
    <mergeCell ref="E26:H26"/>
    <mergeCell ref="B23:D23"/>
    <mergeCell ref="B79:C80"/>
    <mergeCell ref="I79:I80"/>
    <mergeCell ref="H79:H80"/>
    <mergeCell ref="G79:G80"/>
    <mergeCell ref="F79:F80"/>
    <mergeCell ref="E79:E80"/>
    <mergeCell ref="D79:D80"/>
    <mergeCell ref="B45:C45"/>
    <mergeCell ref="A40:F40"/>
    <mergeCell ref="A42:O43"/>
    <mergeCell ref="D45:I45"/>
    <mergeCell ref="G55:H55"/>
    <mergeCell ref="B55:D55"/>
    <mergeCell ref="B46:C46"/>
    <mergeCell ref="B47:C47"/>
    <mergeCell ref="J46:J47"/>
    <mergeCell ref="K46:K47"/>
    <mergeCell ref="L46:L47"/>
    <mergeCell ref="E33:H33"/>
    <mergeCell ref="L76:M76"/>
    <mergeCell ref="D46:I46"/>
    <mergeCell ref="D47:I47"/>
    <mergeCell ref="M46:M47"/>
    <mergeCell ref="A69:F69"/>
    <mergeCell ref="B35:E35"/>
    <mergeCell ref="G35"/>
    <mergeCell ref="G36"/>
    <mergeCell ref="B68:D68"/>
    <mergeCell ref="A57:F57"/>
    <mergeCell ref="B65:D65"/>
    <mergeCell ref="B56:D56"/>
    <mergeCell ref="G60:H60"/>
    <mergeCell ref="B67:D67"/>
    <mergeCell ref="G67:H67"/>
    <mergeCell ref="B29:D29"/>
    <mergeCell ref="B30:D30"/>
    <mergeCell ref="B31:D31"/>
    <mergeCell ref="B32:D32"/>
    <mergeCell ref="A33:D33"/>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pageSetUpPr fitToPage="1"/>
  </sheetPr>
  <dimension ref="A1:AB63"/>
  <sheetViews>
    <sheetView showGridLines="0" tabSelected="1" view="pageBreakPreview" topLeftCell="A7" zoomScale="80" zoomScaleNormal="80" zoomScaleSheetLayoutView="80" workbookViewId="0">
      <selection activeCell="P37" sqref="P37"/>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7" t="s">
        <v>119</v>
      </c>
    </row>
    <row r="2" spans="2:23" ht="20.100000000000001" customHeight="1" x14ac:dyDescent="0.25">
      <c r="B2" s="85" t="s">
        <v>0</v>
      </c>
      <c r="C2" s="78"/>
      <c r="D2" s="78"/>
      <c r="E2" s="78"/>
      <c r="F2" s="78"/>
      <c r="G2" s="86"/>
      <c r="H2" s="86"/>
      <c r="I2" s="86"/>
      <c r="J2" s="86"/>
      <c r="K2" s="87" t="s">
        <v>61</v>
      </c>
      <c r="L2" s="88" t="s">
        <v>62</v>
      </c>
      <c r="M2" s="89"/>
      <c r="N2" s="89" t="s">
        <v>167</v>
      </c>
      <c r="O2" s="89"/>
      <c r="P2" s="89"/>
      <c r="Q2" s="90"/>
      <c r="R2" s="4" t="s">
        <v>67</v>
      </c>
      <c r="S2" s="4" t="s">
        <v>66</v>
      </c>
      <c r="T2" s="501" t="s">
        <v>54</v>
      </c>
      <c r="U2" s="502"/>
      <c r="V2" s="501" t="s">
        <v>53</v>
      </c>
      <c r="W2" s="502"/>
    </row>
    <row r="3" spans="2:23" ht="20.100000000000001" customHeight="1" x14ac:dyDescent="0.25">
      <c r="B3" s="656" t="s">
        <v>168</v>
      </c>
      <c r="C3" s="657"/>
      <c r="D3" s="657"/>
      <c r="E3" s="657"/>
      <c r="F3" s="657"/>
      <c r="G3" s="657"/>
      <c r="H3" s="657"/>
      <c r="I3" s="657"/>
      <c r="J3" s="657"/>
      <c r="K3" s="658"/>
      <c r="L3" s="91" t="s">
        <v>5</v>
      </c>
      <c r="M3" s="92"/>
      <c r="N3" s="92" t="s">
        <v>189</v>
      </c>
      <c r="O3" s="92"/>
      <c r="P3" s="92"/>
      <c r="Q3" s="93"/>
      <c r="R3" s="509" t="s">
        <v>161</v>
      </c>
      <c r="S3" s="510"/>
      <c r="T3" s="510"/>
      <c r="U3" s="510"/>
      <c r="V3" s="510"/>
      <c r="W3" s="511"/>
    </row>
    <row r="4" spans="2:23" ht="20.100000000000001" customHeight="1" x14ac:dyDescent="0.25">
      <c r="B4" s="659"/>
      <c r="C4" s="660"/>
      <c r="D4" s="660"/>
      <c r="E4" s="660"/>
      <c r="F4" s="660"/>
      <c r="G4" s="660"/>
      <c r="H4" s="660"/>
      <c r="I4" s="660"/>
      <c r="J4" s="660"/>
      <c r="K4" s="661"/>
      <c r="L4" s="91" t="s">
        <v>63</v>
      </c>
      <c r="M4" s="92"/>
      <c r="N4" s="92" t="s">
        <v>166</v>
      </c>
      <c r="O4" s="92"/>
      <c r="P4" s="92"/>
      <c r="Q4" s="93"/>
      <c r="R4" s="512"/>
      <c r="S4" s="513"/>
      <c r="T4" s="513"/>
      <c r="U4" s="513"/>
      <c r="V4" s="513"/>
      <c r="W4" s="514"/>
    </row>
    <row r="5" spans="2:23" ht="20.100000000000001" customHeight="1" x14ac:dyDescent="0.25">
      <c r="B5" s="659"/>
      <c r="C5" s="660"/>
      <c r="D5" s="660"/>
      <c r="E5" s="660"/>
      <c r="F5" s="660"/>
      <c r="G5" s="660"/>
      <c r="H5" s="660"/>
      <c r="I5" s="660"/>
      <c r="J5" s="660"/>
      <c r="K5" s="661"/>
      <c r="L5" s="91" t="s">
        <v>162</v>
      </c>
      <c r="M5" s="92"/>
      <c r="N5" s="92" t="s">
        <v>165</v>
      </c>
      <c r="O5" s="92"/>
      <c r="P5" s="92"/>
      <c r="Q5" s="93"/>
      <c r="R5" s="515"/>
      <c r="S5" s="516"/>
      <c r="T5" s="516"/>
      <c r="U5" s="516"/>
      <c r="V5" s="516"/>
      <c r="W5" s="517"/>
    </row>
    <row r="6" spans="2:23" ht="20.100000000000001" customHeight="1" x14ac:dyDescent="0.25">
      <c r="B6" s="662"/>
      <c r="C6" s="663"/>
      <c r="D6" s="663"/>
      <c r="E6" s="663"/>
      <c r="F6" s="663"/>
      <c r="G6" s="663"/>
      <c r="H6" s="663"/>
      <c r="I6" s="663"/>
      <c r="J6" s="663"/>
      <c r="K6" s="664"/>
      <c r="L6" s="94" t="s">
        <v>65</v>
      </c>
      <c r="M6" s="95"/>
      <c r="N6" s="95" t="s">
        <v>190</v>
      </c>
      <c r="O6" s="95"/>
      <c r="P6" s="95"/>
      <c r="Q6" s="96"/>
      <c r="R6" s="4" t="s">
        <v>68</v>
      </c>
      <c r="S6" s="4" t="s">
        <v>57</v>
      </c>
      <c r="T6" s="501" t="s">
        <v>56</v>
      </c>
      <c r="U6" s="502"/>
      <c r="V6" s="501" t="s">
        <v>55</v>
      </c>
      <c r="W6" s="502"/>
    </row>
    <row r="7" spans="2:23" s="222" customFormat="1" ht="15" customHeight="1" x14ac:dyDescent="0.3">
      <c r="B7" s="219"/>
      <c r="C7" s="220"/>
      <c r="D7" s="220"/>
      <c r="E7" s="220"/>
      <c r="F7" s="221"/>
      <c r="G7" s="221"/>
      <c r="H7" s="221"/>
      <c r="I7" s="221"/>
      <c r="W7" s="223"/>
    </row>
    <row r="8" spans="2:23" s="222" customFormat="1" ht="15" customHeight="1" x14ac:dyDescent="0.3">
      <c r="B8" s="219"/>
      <c r="C8" s="220"/>
      <c r="D8" s="220"/>
      <c r="E8" s="220"/>
      <c r="F8" s="220"/>
      <c r="G8" s="220"/>
      <c r="H8" s="220"/>
      <c r="I8" s="220"/>
      <c r="W8" s="223"/>
    </row>
    <row r="9" spans="2:23" s="229" customFormat="1" ht="39.950000000000003" customHeight="1" x14ac:dyDescent="0.35">
      <c r="B9" s="224" t="s">
        <v>8</v>
      </c>
      <c r="C9" s="225"/>
      <c r="D9" s="225"/>
      <c r="E9" s="225"/>
      <c r="F9" s="225"/>
      <c r="G9" s="225"/>
      <c r="H9" s="225"/>
      <c r="I9" s="226" t="str">
        <f>+'TAHAP 1'!G8</f>
        <v>: SAI - JAI</v>
      </c>
      <c r="J9" s="225"/>
      <c r="K9" s="225"/>
      <c r="L9" s="225"/>
      <c r="M9" s="225"/>
      <c r="N9" s="225"/>
      <c r="O9" s="225"/>
      <c r="P9" s="227"/>
      <c r="Q9" s="227"/>
      <c r="R9" s="227"/>
      <c r="S9" s="227"/>
      <c r="T9" s="227"/>
      <c r="U9" s="227"/>
      <c r="V9" s="227"/>
      <c r="W9" s="228"/>
    </row>
    <row r="10" spans="2:23" s="229" customFormat="1" ht="39.950000000000003" customHeight="1" x14ac:dyDescent="0.35">
      <c r="B10" s="271" t="s">
        <v>9</v>
      </c>
      <c r="C10" s="230"/>
      <c r="D10" s="230"/>
      <c r="E10" s="230"/>
      <c r="F10" s="230"/>
      <c r="G10" s="230"/>
      <c r="H10" s="230"/>
      <c r="I10" s="226" t="str">
        <f>+'TAHAP 1'!G9</f>
        <v>: BENCHMARK</v>
      </c>
      <c r="J10" s="230"/>
      <c r="K10" s="230"/>
      <c r="L10" s="230"/>
      <c r="M10" s="230"/>
      <c r="N10" s="230"/>
      <c r="O10" s="230"/>
      <c r="P10" s="227"/>
      <c r="Q10" s="227"/>
      <c r="R10" s="227"/>
      <c r="S10" s="227"/>
      <c r="T10" s="227"/>
      <c r="U10" s="227"/>
      <c r="V10" s="227"/>
      <c r="W10" s="228"/>
    </row>
    <row r="11" spans="2:23" s="233" customFormat="1" ht="20.100000000000001" customHeight="1" x14ac:dyDescent="0.25">
      <c r="B11" s="231"/>
      <c r="C11" s="232"/>
      <c r="D11" s="232"/>
      <c r="E11" s="232"/>
      <c r="F11" s="232"/>
      <c r="N11" s="234"/>
      <c r="O11" s="234"/>
      <c r="P11" s="234"/>
      <c r="Q11" s="234"/>
      <c r="R11" s="234"/>
      <c r="S11" s="234"/>
      <c r="T11" s="234"/>
      <c r="U11" s="234"/>
      <c r="V11" s="234"/>
      <c r="W11" s="235"/>
    </row>
    <row r="12" spans="2:23" s="233" customFormat="1" ht="20.100000000000001" customHeight="1" x14ac:dyDescent="0.25">
      <c r="B12" s="231"/>
      <c r="C12" s="232"/>
      <c r="D12" s="232"/>
      <c r="E12" s="232"/>
      <c r="F12" s="232"/>
      <c r="N12" s="234"/>
      <c r="O12" s="234"/>
      <c r="P12" s="234"/>
      <c r="Q12" s="234"/>
      <c r="R12" s="234"/>
      <c r="S12" s="234"/>
      <c r="T12" s="234"/>
      <c r="U12" s="234"/>
      <c r="V12" s="234"/>
      <c r="W12" s="235"/>
    </row>
    <row r="13" spans="2:23" s="233" customFormat="1" ht="20.100000000000001" customHeight="1" x14ac:dyDescent="0.25">
      <c r="B13" s="231"/>
      <c r="C13" s="232"/>
      <c r="D13" s="232"/>
      <c r="E13" s="232"/>
      <c r="F13" s="232"/>
      <c r="N13" s="234"/>
      <c r="O13" s="234"/>
      <c r="P13" s="234"/>
      <c r="Q13" s="234"/>
      <c r="R13" s="234"/>
      <c r="S13" s="234"/>
      <c r="T13" s="234"/>
      <c r="U13" s="234"/>
      <c r="V13" s="234"/>
      <c r="W13" s="235"/>
    </row>
    <row r="14" spans="2:23" s="234" customFormat="1" ht="24.95" customHeight="1" x14ac:dyDescent="0.25">
      <c r="B14" s="236" t="s">
        <v>180</v>
      </c>
      <c r="C14" s="237"/>
      <c r="D14" s="237"/>
      <c r="E14" s="237"/>
      <c r="F14" s="237"/>
      <c r="W14" s="238"/>
    </row>
    <row r="15" spans="2:23" s="241" customFormat="1" ht="24.95" customHeight="1" x14ac:dyDescent="0.25">
      <c r="B15" s="674" t="s">
        <v>1</v>
      </c>
      <c r="C15" s="677" t="s">
        <v>5</v>
      </c>
      <c r="D15" s="678"/>
      <c r="E15" s="678"/>
      <c r="F15" s="679"/>
      <c r="G15" s="677" t="s">
        <v>4</v>
      </c>
      <c r="H15" s="679"/>
      <c r="I15" s="686" t="s">
        <v>60</v>
      </c>
      <c r="J15" s="687"/>
      <c r="K15" s="665" t="s">
        <v>2</v>
      </c>
      <c r="L15" s="667"/>
      <c r="M15" s="665" t="s">
        <v>3</v>
      </c>
      <c r="N15" s="666"/>
      <c r="O15" s="667"/>
      <c r="P15" s="239">
        <v>1</v>
      </c>
      <c r="Q15" s="239">
        <v>2</v>
      </c>
      <c r="R15" s="239">
        <v>3</v>
      </c>
      <c r="S15" s="239">
        <v>4</v>
      </c>
      <c r="T15" s="693">
        <v>5</v>
      </c>
      <c r="U15" s="694"/>
      <c r="V15" s="240"/>
      <c r="W15" s="692"/>
    </row>
    <row r="16" spans="2:23" s="241" customFormat="1" ht="16.5" customHeight="1" x14ac:dyDescent="0.25">
      <c r="B16" s="675"/>
      <c r="C16" s="680"/>
      <c r="D16" s="681"/>
      <c r="E16" s="681"/>
      <c r="F16" s="682"/>
      <c r="G16" s="680"/>
      <c r="H16" s="682"/>
      <c r="I16" s="688"/>
      <c r="J16" s="689"/>
      <c r="K16" s="668"/>
      <c r="L16" s="670"/>
      <c r="M16" s="668"/>
      <c r="N16" s="669"/>
      <c r="O16" s="670"/>
      <c r="P16" s="730" t="s">
        <v>191</v>
      </c>
      <c r="Q16" s="739" t="s">
        <v>194</v>
      </c>
      <c r="R16" s="739" t="s">
        <v>212</v>
      </c>
      <c r="S16" s="739" t="s">
        <v>181</v>
      </c>
      <c r="T16" s="733" t="s">
        <v>182</v>
      </c>
      <c r="U16" s="734"/>
      <c r="V16" s="240"/>
      <c r="W16" s="692"/>
    </row>
    <row r="17" spans="2:28" s="241" customFormat="1" ht="16.5" customHeight="1" x14ac:dyDescent="0.25">
      <c r="B17" s="675"/>
      <c r="C17" s="680"/>
      <c r="D17" s="681"/>
      <c r="E17" s="681"/>
      <c r="F17" s="682"/>
      <c r="G17" s="680"/>
      <c r="H17" s="682"/>
      <c r="I17" s="688"/>
      <c r="J17" s="689"/>
      <c r="K17" s="668"/>
      <c r="L17" s="670"/>
      <c r="M17" s="668"/>
      <c r="N17" s="669"/>
      <c r="O17" s="670"/>
      <c r="P17" s="731"/>
      <c r="Q17" s="740"/>
      <c r="R17" s="740"/>
      <c r="S17" s="740"/>
      <c r="T17" s="735"/>
      <c r="U17" s="736"/>
      <c r="V17" s="240"/>
      <c r="W17" s="692"/>
    </row>
    <row r="18" spans="2:28" s="241" customFormat="1" ht="17.100000000000001" customHeight="1" x14ac:dyDescent="0.25">
      <c r="B18" s="676"/>
      <c r="C18" s="683"/>
      <c r="D18" s="684"/>
      <c r="E18" s="684"/>
      <c r="F18" s="685"/>
      <c r="G18" s="683"/>
      <c r="H18" s="685"/>
      <c r="I18" s="690"/>
      <c r="J18" s="691"/>
      <c r="K18" s="671"/>
      <c r="L18" s="673"/>
      <c r="M18" s="671"/>
      <c r="N18" s="672"/>
      <c r="O18" s="673"/>
      <c r="P18" s="732"/>
      <c r="Q18" s="741"/>
      <c r="R18" s="741"/>
      <c r="S18" s="741"/>
      <c r="T18" s="737"/>
      <c r="U18" s="738"/>
      <c r="V18" s="240"/>
      <c r="W18" s="692"/>
    </row>
    <row r="19" spans="2:28" s="242" customFormat="1" ht="99.95" customHeight="1" x14ac:dyDescent="0.25">
      <c r="B19" s="311">
        <v>1</v>
      </c>
      <c r="C19" s="243">
        <f>+'TAHAP 1'!C13</f>
        <v>45502</v>
      </c>
      <c r="D19" s="650" t="s">
        <v>6</v>
      </c>
      <c r="E19" s="650"/>
      <c r="F19" s="306">
        <f>+'TAHAP 1'!F13</f>
        <v>45504</v>
      </c>
      <c r="G19" s="651" t="str">
        <f>+'TAHAP 1'!G13:H13</f>
        <v>NYS / JSN</v>
      </c>
      <c r="H19" s="652"/>
      <c r="I19" s="651" t="str">
        <f>+'TAHAP 1'!I13:J13</f>
        <v>SPV</v>
      </c>
      <c r="J19" s="652"/>
      <c r="K19" s="651">
        <f>+'TAHAP 1'!K13:L13</f>
        <v>1170</v>
      </c>
      <c r="L19" s="652"/>
      <c r="M19" s="653" t="str">
        <f>+'TAHAP 1'!M13</f>
        <v>PUDJI IDAYANI</v>
      </c>
      <c r="N19" s="654"/>
      <c r="O19" s="655"/>
      <c r="P19" s="307" t="s">
        <v>257</v>
      </c>
      <c r="Q19" s="307" t="s">
        <v>264</v>
      </c>
      <c r="R19" s="641" t="s">
        <v>261</v>
      </c>
      <c r="S19" s="641" t="s">
        <v>263</v>
      </c>
      <c r="T19" s="644" t="s">
        <v>231</v>
      </c>
      <c r="U19" s="645"/>
      <c r="V19" s="222"/>
      <c r="W19" s="244"/>
      <c r="Y19" s="245" t="str">
        <f>+G19</f>
        <v>NYS / JSN</v>
      </c>
      <c r="Z19" s="245" t="str">
        <f>+I19</f>
        <v>SPV</v>
      </c>
      <c r="AA19" s="245">
        <f>+K19</f>
        <v>1170</v>
      </c>
      <c r="AB19" s="245" t="str">
        <f>+M19</f>
        <v>PUDJI IDAYANI</v>
      </c>
    </row>
    <row r="20" spans="2:28" s="242" customFormat="1" ht="99.95" customHeight="1" x14ac:dyDescent="0.25">
      <c r="B20" s="311">
        <v>2</v>
      </c>
      <c r="C20" s="243">
        <f>+'TAHAP 1'!C14</f>
        <v>45502</v>
      </c>
      <c r="D20" s="635" t="s">
        <v>6</v>
      </c>
      <c r="E20" s="635"/>
      <c r="F20" s="329">
        <f>+'TAHAP 1'!F14</f>
        <v>45504</v>
      </c>
      <c r="G20" s="636" t="str">
        <f>+'TAHAP 1'!G14:H14</f>
        <v>NYS / KBN</v>
      </c>
      <c r="H20" s="637"/>
      <c r="I20" s="636" t="str">
        <f>+'TAHAP 1'!I14:J14</f>
        <v>LL</v>
      </c>
      <c r="J20" s="637"/>
      <c r="K20" s="636">
        <f>+'TAHAP 1'!K14:L14</f>
        <v>6113</v>
      </c>
      <c r="L20" s="637"/>
      <c r="M20" s="638" t="str">
        <f>+'TAHAP 1'!M14</f>
        <v>GEDE WIJI SANTOSO</v>
      </c>
      <c r="N20" s="639"/>
      <c r="O20" s="640"/>
      <c r="P20" s="307" t="s">
        <v>258</v>
      </c>
      <c r="Q20" s="307" t="s">
        <v>257</v>
      </c>
      <c r="R20" s="643"/>
      <c r="S20" s="642"/>
      <c r="T20" s="646"/>
      <c r="U20" s="647"/>
      <c r="V20" s="222"/>
      <c r="W20" s="244"/>
      <c r="Y20" s="245" t="str">
        <f t="shared" ref="Y20" si="0">+G20</f>
        <v>NYS / KBN</v>
      </c>
      <c r="Z20" s="245" t="str">
        <f t="shared" ref="Z20" si="1">+I20</f>
        <v>LL</v>
      </c>
      <c r="AA20" s="245">
        <f t="shared" ref="AA20" si="2">+K20</f>
        <v>6113</v>
      </c>
      <c r="AB20" s="245" t="str">
        <f t="shared" ref="AB20" si="3">+M20</f>
        <v>GEDE WIJI SANTOSO</v>
      </c>
    </row>
    <row r="21" spans="2:28" s="242" customFormat="1" ht="99.95" customHeight="1" x14ac:dyDescent="0.25">
      <c r="B21" s="311">
        <v>1</v>
      </c>
      <c r="C21" s="243">
        <f>+'TAHAP 1'!C15</f>
        <v>45502</v>
      </c>
      <c r="D21" s="650" t="s">
        <v>6</v>
      </c>
      <c r="E21" s="650"/>
      <c r="F21" s="306">
        <f>+'TAHAP 1'!F15</f>
        <v>45504</v>
      </c>
      <c r="G21" s="651" t="str">
        <f>+'TAHAP 1'!G15:H15</f>
        <v>PRD</v>
      </c>
      <c r="H21" s="652"/>
      <c r="I21" s="651" t="str">
        <f>+'TAHAP 1'!I15:J15</f>
        <v>SPV</v>
      </c>
      <c r="J21" s="652"/>
      <c r="K21" s="651">
        <f>+'TAHAP 1'!K15:L15</f>
        <v>13645</v>
      </c>
      <c r="L21" s="652"/>
      <c r="M21" s="653" t="str">
        <f>+'TAHAP 1'!M15</f>
        <v>WIDODO PRASETIO</v>
      </c>
      <c r="N21" s="654"/>
      <c r="O21" s="655"/>
      <c r="P21" s="307" t="s">
        <v>259</v>
      </c>
      <c r="Q21" s="307" t="s">
        <v>265</v>
      </c>
      <c r="R21" s="634" t="s">
        <v>262</v>
      </c>
      <c r="S21" s="642"/>
      <c r="T21" s="646"/>
      <c r="U21" s="647"/>
      <c r="V21" s="222"/>
      <c r="W21" s="244"/>
      <c r="Y21" s="245" t="str">
        <f>+G21</f>
        <v>PRD</v>
      </c>
      <c r="Z21" s="245" t="str">
        <f>+I21</f>
        <v>SPV</v>
      </c>
      <c r="AA21" s="245">
        <f>+K21</f>
        <v>13645</v>
      </c>
      <c r="AB21" s="245" t="str">
        <f>+M21</f>
        <v>WIDODO PRASETIO</v>
      </c>
    </row>
    <row r="22" spans="2:28" s="242" customFormat="1" ht="99.95" customHeight="1" x14ac:dyDescent="0.25">
      <c r="B22" s="311">
        <v>2</v>
      </c>
      <c r="C22" s="243">
        <f>+'TAHAP 1'!C16</f>
        <v>45502</v>
      </c>
      <c r="D22" s="635" t="s">
        <v>6</v>
      </c>
      <c r="E22" s="635"/>
      <c r="F22" s="329">
        <f>+'TAHAP 1'!F16</f>
        <v>45504</v>
      </c>
      <c r="G22" s="636" t="str">
        <f>+'TAHAP 1'!G16:H16</f>
        <v>PRD</v>
      </c>
      <c r="H22" s="637"/>
      <c r="I22" s="636" t="str">
        <f>+'TAHAP 1'!I16:J16</f>
        <v>SPV</v>
      </c>
      <c r="J22" s="637"/>
      <c r="K22" s="636">
        <f>+'TAHAP 1'!K16:L16</f>
        <v>121</v>
      </c>
      <c r="L22" s="637"/>
      <c r="M22" s="638" t="str">
        <f>+'TAHAP 1'!M16</f>
        <v>SUSANTI</v>
      </c>
      <c r="N22" s="639"/>
      <c r="O22" s="640"/>
      <c r="P22" s="307" t="s">
        <v>260</v>
      </c>
      <c r="Q22" s="307" t="s">
        <v>265</v>
      </c>
      <c r="R22" s="634"/>
      <c r="S22" s="643"/>
      <c r="T22" s="648"/>
      <c r="U22" s="649"/>
      <c r="V22" s="222"/>
      <c r="W22" s="244"/>
      <c r="Y22" s="245" t="str">
        <f t="shared" ref="Y22" si="4">+G22</f>
        <v>PRD</v>
      </c>
      <c r="Z22" s="245" t="str">
        <f t="shared" ref="Z22" si="5">+I22</f>
        <v>SPV</v>
      </c>
      <c r="AA22" s="245">
        <f t="shared" ref="AA22" si="6">+K22</f>
        <v>121</v>
      </c>
      <c r="AB22" s="245" t="str">
        <f t="shared" ref="AB22" si="7">+M22</f>
        <v>SUSANTI</v>
      </c>
    </row>
    <row r="23" spans="2:28" s="233" customFormat="1" x14ac:dyDescent="0.25">
      <c r="B23" s="231"/>
      <c r="C23" s="232"/>
      <c r="D23" s="232"/>
      <c r="E23" s="232"/>
      <c r="F23" s="232"/>
      <c r="W23" s="235"/>
    </row>
    <row r="24" spans="2:28" s="233" customFormat="1" x14ac:dyDescent="0.25">
      <c r="B24" s="231"/>
      <c r="C24" s="232"/>
      <c r="D24" s="232"/>
      <c r="E24" s="232"/>
      <c r="F24" s="232"/>
      <c r="W24" s="235"/>
    </row>
    <row r="25" spans="2:28" s="233" customFormat="1" x14ac:dyDescent="0.25">
      <c r="B25" s="231"/>
      <c r="C25" s="232"/>
      <c r="D25" s="232"/>
      <c r="E25" s="232"/>
      <c r="F25" s="232"/>
      <c r="W25" s="235"/>
    </row>
    <row r="26" spans="2:28" s="233" customFormat="1" x14ac:dyDescent="0.25">
      <c r="B26" s="231"/>
      <c r="C26" s="232"/>
      <c r="D26" s="232"/>
      <c r="E26" s="232"/>
      <c r="F26" s="232"/>
      <c r="W26" s="235"/>
    </row>
    <row r="27" spans="2:28" s="233" customFormat="1" x14ac:dyDescent="0.25">
      <c r="B27" s="231"/>
      <c r="C27" s="232"/>
      <c r="D27" s="232"/>
      <c r="E27" s="232"/>
      <c r="F27" s="232"/>
      <c r="W27" s="235"/>
    </row>
    <row r="28" spans="2:28" s="237" customFormat="1" ht="27.95" customHeight="1" x14ac:dyDescent="0.25">
      <c r="B28" s="778" t="s">
        <v>184</v>
      </c>
      <c r="C28" s="779"/>
      <c r="D28" s="779"/>
      <c r="E28" s="779"/>
      <c r="F28" s="779"/>
      <c r="G28" s="779"/>
      <c r="H28" s="779"/>
      <c r="I28" s="779"/>
      <c r="J28" s="779"/>
      <c r="K28" s="780"/>
      <c r="L28" s="677" t="s">
        <v>185</v>
      </c>
      <c r="M28" s="678"/>
      <c r="N28" s="679"/>
      <c r="O28" s="727" t="s">
        <v>204</v>
      </c>
      <c r="P28" s="728"/>
      <c r="Q28" s="728"/>
      <c r="R28" s="729"/>
      <c r="S28" s="717" t="s">
        <v>37</v>
      </c>
      <c r="T28" s="717"/>
      <c r="U28" s="717"/>
      <c r="V28" s="717"/>
      <c r="W28" s="246"/>
    </row>
    <row r="29" spans="2:28" s="237" customFormat="1" ht="30" customHeight="1" x14ac:dyDescent="0.25">
      <c r="B29" s="778"/>
      <c r="C29" s="779"/>
      <c r="D29" s="779"/>
      <c r="E29" s="779"/>
      <c r="F29" s="779"/>
      <c r="G29" s="779"/>
      <c r="H29" s="779"/>
      <c r="I29" s="779"/>
      <c r="J29" s="779"/>
      <c r="K29" s="780"/>
      <c r="L29" s="680"/>
      <c r="M29" s="787"/>
      <c r="N29" s="682"/>
      <c r="O29" s="686" t="s">
        <v>233</v>
      </c>
      <c r="P29" s="687"/>
      <c r="Q29" s="686" t="s">
        <v>234</v>
      </c>
      <c r="R29" s="687"/>
      <c r="S29" s="718" t="str">
        <f>+'TAPAH 2.2 (Rincian)'!F77</f>
        <v>ASTON Sidoarjo City Hotel &amp; Conference Center
 Jl. Kahuripan Raya Kav. 14, Entalsewu, Kec Buduran, Kab Sidoarjo 61252 Sidoarjo Indonesia, Entalsewu, Surabaya</v>
      </c>
      <c r="T29" s="719"/>
      <c r="U29" s="719"/>
      <c r="V29" s="720"/>
      <c r="W29" s="246"/>
    </row>
    <row r="30" spans="2:28" s="237" customFormat="1" ht="50.1" customHeight="1" x14ac:dyDescent="0.25">
      <c r="B30" s="778"/>
      <c r="C30" s="779"/>
      <c r="D30" s="779"/>
      <c r="E30" s="779"/>
      <c r="F30" s="779"/>
      <c r="G30" s="779"/>
      <c r="H30" s="779"/>
      <c r="I30" s="779"/>
      <c r="J30" s="779"/>
      <c r="K30" s="780"/>
      <c r="L30" s="325"/>
      <c r="M30" s="327"/>
      <c r="N30" s="326"/>
      <c r="O30" s="688"/>
      <c r="P30" s="689"/>
      <c r="Q30" s="724" t="s">
        <v>236</v>
      </c>
      <c r="R30" s="725"/>
      <c r="S30" s="721"/>
      <c r="T30" s="722"/>
      <c r="U30" s="722"/>
      <c r="V30" s="723"/>
      <c r="W30" s="246"/>
    </row>
    <row r="31" spans="2:28" s="237" customFormat="1" ht="50.1" customHeight="1" x14ac:dyDescent="0.25">
      <c r="B31" s="778"/>
      <c r="C31" s="779"/>
      <c r="D31" s="779"/>
      <c r="E31" s="779"/>
      <c r="F31" s="779"/>
      <c r="G31" s="779"/>
      <c r="H31" s="779"/>
      <c r="I31" s="779"/>
      <c r="J31" s="779"/>
      <c r="K31" s="780"/>
      <c r="L31" s="285"/>
      <c r="M31" s="312"/>
      <c r="N31" s="286"/>
      <c r="O31" s="688"/>
      <c r="P31" s="689"/>
      <c r="Q31" s="724" t="s">
        <v>235</v>
      </c>
      <c r="R31" s="725"/>
      <c r="S31" s="721"/>
      <c r="T31" s="722"/>
      <c r="U31" s="722"/>
      <c r="V31" s="723"/>
      <c r="W31" s="246"/>
    </row>
    <row r="32" spans="2:28" s="237" customFormat="1" ht="60" hidden="1" customHeight="1" x14ac:dyDescent="0.25">
      <c r="B32" s="778"/>
      <c r="C32" s="779"/>
      <c r="D32" s="779"/>
      <c r="E32" s="779"/>
      <c r="F32" s="779"/>
      <c r="G32" s="779"/>
      <c r="H32" s="779"/>
      <c r="I32" s="779"/>
      <c r="J32" s="779"/>
      <c r="K32" s="780"/>
      <c r="L32" s="285"/>
      <c r="M32" s="312"/>
      <c r="N32" s="286"/>
      <c r="O32" s="774"/>
      <c r="P32" s="775"/>
      <c r="Q32" s="331"/>
      <c r="R32" s="332"/>
      <c r="S32" s="314"/>
      <c r="T32" s="315"/>
      <c r="U32" s="315"/>
      <c r="V32" s="316"/>
      <c r="W32" s="246"/>
    </row>
    <row r="33" spans="2:23" s="237" customFormat="1" ht="27.95" hidden="1" customHeight="1" x14ac:dyDescent="0.25">
      <c r="B33" s="778"/>
      <c r="C33" s="779"/>
      <c r="D33" s="779"/>
      <c r="E33" s="779"/>
      <c r="F33" s="779"/>
      <c r="G33" s="779"/>
      <c r="H33" s="779"/>
      <c r="I33" s="779"/>
      <c r="J33" s="779"/>
      <c r="K33" s="780"/>
      <c r="L33" s="285"/>
      <c r="M33" s="312"/>
      <c r="N33" s="286"/>
      <c r="O33" s="294"/>
      <c r="P33" s="295"/>
      <c r="Q33" s="331"/>
      <c r="R33" s="332"/>
      <c r="S33" s="314"/>
      <c r="T33" s="315"/>
      <c r="U33" s="315"/>
      <c r="V33" s="316"/>
      <c r="W33" s="246"/>
    </row>
    <row r="34" spans="2:23" s="237" customFormat="1" ht="60" hidden="1" customHeight="1" x14ac:dyDescent="0.25">
      <c r="B34" s="781"/>
      <c r="C34" s="782"/>
      <c r="D34" s="782"/>
      <c r="E34" s="782"/>
      <c r="F34" s="782"/>
      <c r="G34" s="782"/>
      <c r="H34" s="782"/>
      <c r="I34" s="782"/>
      <c r="J34" s="782"/>
      <c r="K34" s="783"/>
      <c r="L34" s="287"/>
      <c r="M34" s="288"/>
      <c r="N34" s="289"/>
      <c r="O34" s="776"/>
      <c r="P34" s="777"/>
      <c r="Q34" s="333"/>
      <c r="R34" s="334"/>
      <c r="S34" s="317"/>
      <c r="T34" s="318"/>
      <c r="U34" s="318"/>
      <c r="V34" s="319"/>
      <c r="W34" s="246"/>
    </row>
    <row r="35" spans="2:23" s="237" customFormat="1" ht="50.1" customHeight="1" x14ac:dyDescent="0.25">
      <c r="B35" s="322" t="s">
        <v>1</v>
      </c>
      <c r="C35" s="693" t="s">
        <v>3</v>
      </c>
      <c r="D35" s="784"/>
      <c r="E35" s="784"/>
      <c r="F35" s="694"/>
      <c r="G35" s="322" t="s">
        <v>2</v>
      </c>
      <c r="H35" s="727" t="s">
        <v>160</v>
      </c>
      <c r="I35" s="728"/>
      <c r="J35" s="728"/>
      <c r="K35" s="729"/>
      <c r="L35" s="785" t="s">
        <v>186</v>
      </c>
      <c r="M35" s="786"/>
      <c r="N35" s="313" t="s">
        <v>195</v>
      </c>
      <c r="O35" s="323" t="s">
        <v>187</v>
      </c>
      <c r="P35" s="323" t="s">
        <v>195</v>
      </c>
      <c r="Q35" s="323" t="s">
        <v>187</v>
      </c>
      <c r="R35" s="323" t="s">
        <v>195</v>
      </c>
      <c r="S35" s="323" t="s">
        <v>187</v>
      </c>
      <c r="T35" s="789" t="s">
        <v>195</v>
      </c>
      <c r="U35" s="789"/>
      <c r="V35" s="789"/>
      <c r="W35" s="246" t="s">
        <v>206</v>
      </c>
    </row>
    <row r="36" spans="2:23" s="247" customFormat="1" ht="50.1" customHeight="1" x14ac:dyDescent="0.25">
      <c r="B36" s="248">
        <f>+'TAPAH 2.2 (Rincian)'!A36</f>
        <v>1</v>
      </c>
      <c r="C36" s="249" t="str">
        <f>'TAPAH 2.2 (Rincian)'!B36</f>
        <v>PUDJI IDAYANI</v>
      </c>
      <c r="D36" s="250"/>
      <c r="E36" s="250"/>
      <c r="F36" s="251"/>
      <c r="G36" s="248">
        <f>+'TAHAP 1'!K13</f>
        <v>1170</v>
      </c>
      <c r="H36" s="767"/>
      <c r="I36" s="768"/>
      <c r="J36" s="768"/>
      <c r="K36" s="769"/>
      <c r="L36" s="770">
        <f>'TAPAH 2.2 (Rincian)'!G36</f>
        <v>230000</v>
      </c>
      <c r="M36" s="771"/>
      <c r="N36" s="320"/>
      <c r="O36" s="310">
        <f>+'TAPAH 2.2 (Rincian)'!J48</f>
        <v>0</v>
      </c>
      <c r="P36" s="343"/>
      <c r="Q36" s="252"/>
      <c r="R36" s="290"/>
      <c r="S36" s="252">
        <f>+'TAPAH 2.2 (Rincian)'!H81</f>
        <v>0</v>
      </c>
      <c r="T36" s="788"/>
      <c r="U36" s="788"/>
      <c r="V36" s="788"/>
      <c r="W36" s="253"/>
    </row>
    <row r="37" spans="2:23" s="247" customFormat="1" ht="50.1" customHeight="1" x14ac:dyDescent="0.25">
      <c r="B37" s="248">
        <v>2</v>
      </c>
      <c r="C37" s="249" t="str">
        <f>'TAPAH 2.2 (Rincian)'!B37</f>
        <v>GEDE WIJI SANTOSO</v>
      </c>
      <c r="D37" s="250"/>
      <c r="E37" s="250"/>
      <c r="F37" s="251"/>
      <c r="G37" s="248">
        <f>+'TAHAP 1'!K14</f>
        <v>6113</v>
      </c>
      <c r="H37" s="340"/>
      <c r="I37" s="341"/>
      <c r="J37" s="341"/>
      <c r="K37" s="342"/>
      <c r="L37" s="770">
        <f>'TAPAH 2.2 (Rincian)'!G37</f>
        <v>170000</v>
      </c>
      <c r="M37" s="771"/>
      <c r="N37" s="343"/>
      <c r="O37" s="310">
        <f>+'TAPAH 2.2 (Rincian)'!J48</f>
        <v>0</v>
      </c>
      <c r="P37" s="343"/>
      <c r="Q37" s="252"/>
      <c r="R37" s="290"/>
      <c r="S37" s="252">
        <f>+'TAPAH 2.2 (Rincian)'!H82</f>
        <v>0</v>
      </c>
      <c r="T37" s="790"/>
      <c r="U37" s="791"/>
      <c r="V37" s="792"/>
      <c r="W37" s="253"/>
    </row>
    <row r="38" spans="2:23" s="247" customFormat="1" ht="50.1" customHeight="1" x14ac:dyDescent="0.25">
      <c r="B38" s="248">
        <v>3</v>
      </c>
      <c r="C38" s="249" t="str">
        <f>'TAPAH 2.2 (Rincian)'!B38</f>
        <v>WIDODO PRASETIO</v>
      </c>
      <c r="D38" s="250"/>
      <c r="E38" s="250"/>
      <c r="F38" s="251"/>
      <c r="G38" s="248">
        <f>+'TAHAP 1'!K15</f>
        <v>13645</v>
      </c>
      <c r="H38" s="767"/>
      <c r="I38" s="768"/>
      <c r="J38" s="768"/>
      <c r="K38" s="769"/>
      <c r="L38" s="770">
        <f>'TAPAH 2.2 (Rincian)'!G38</f>
        <v>230000</v>
      </c>
      <c r="M38" s="771"/>
      <c r="N38" s="320"/>
      <c r="O38" s="310">
        <f>+'TAPAH 2.2 (Rincian)'!J50</f>
        <v>0</v>
      </c>
      <c r="P38" s="343"/>
      <c r="Q38" s="252"/>
      <c r="R38" s="290"/>
      <c r="S38" s="252">
        <f>+'TAPAH 2.2 (Rincian)'!H83</f>
        <v>0</v>
      </c>
      <c r="T38" s="788"/>
      <c r="U38" s="788"/>
      <c r="V38" s="788"/>
      <c r="W38" s="253"/>
    </row>
    <row r="39" spans="2:23" s="247" customFormat="1" ht="50.1" customHeight="1" thickBot="1" x14ac:dyDescent="0.3">
      <c r="B39" s="254">
        <v>4</v>
      </c>
      <c r="C39" s="255" t="str">
        <f>'TAPAH 2.2 (Rincian)'!B39</f>
        <v>SUSANTI</v>
      </c>
      <c r="D39" s="308"/>
      <c r="E39" s="308"/>
      <c r="F39" s="309"/>
      <c r="G39" s="254">
        <f>+'TAHAP 1'!K16</f>
        <v>121</v>
      </c>
      <c r="H39" s="256"/>
      <c r="I39" s="257"/>
      <c r="J39" s="257"/>
      <c r="K39" s="258"/>
      <c r="L39" s="772">
        <f>'TAPAH 2.2 (Rincian)'!G39</f>
        <v>230000</v>
      </c>
      <c r="M39" s="773"/>
      <c r="N39" s="324"/>
      <c r="O39" s="330">
        <f>+'TAPAH 2.2 (Rincian)'!J50</f>
        <v>0</v>
      </c>
      <c r="P39" s="324"/>
      <c r="Q39" s="278"/>
      <c r="R39" s="291"/>
      <c r="S39" s="278">
        <f>+'TAPAH 2.2 (Rincian)'!H84</f>
        <v>0</v>
      </c>
      <c r="T39" s="793"/>
      <c r="U39" s="794"/>
      <c r="V39" s="795"/>
      <c r="W39" s="253"/>
    </row>
    <row r="40" spans="2:23" s="237" customFormat="1" ht="35.1" customHeight="1" thickTop="1" x14ac:dyDescent="0.25">
      <c r="B40" s="765" t="s">
        <v>179</v>
      </c>
      <c r="C40" s="765"/>
      <c r="D40" s="765"/>
      <c r="E40" s="765"/>
      <c r="F40" s="765"/>
      <c r="G40" s="765"/>
      <c r="H40" s="765"/>
      <c r="I40" s="765"/>
      <c r="J40" s="765"/>
      <c r="K40" s="765"/>
      <c r="L40" s="766">
        <f>SUM(L36:M39)</f>
        <v>860000</v>
      </c>
      <c r="M40" s="766"/>
      <c r="N40" s="766"/>
      <c r="O40" s="766">
        <f>SUM(O36:O37)</f>
        <v>0</v>
      </c>
      <c r="P40" s="766"/>
      <c r="Q40" s="766">
        <f>SUM(Q36:Q37)</f>
        <v>0</v>
      </c>
      <c r="R40" s="766"/>
      <c r="S40" s="766">
        <f>SUM(S36:S37)</f>
        <v>0</v>
      </c>
      <c r="T40" s="766"/>
      <c r="U40" s="766"/>
      <c r="V40" s="766"/>
      <c r="W40" s="246"/>
    </row>
    <row r="41" spans="2:23" s="247" customFormat="1" ht="45" customHeight="1" x14ac:dyDescent="0.25">
      <c r="B41" s="726" t="s">
        <v>12</v>
      </c>
      <c r="C41" s="726"/>
      <c r="D41" s="726"/>
      <c r="E41" s="726"/>
      <c r="F41" s="726"/>
      <c r="G41" s="726"/>
      <c r="H41" s="726"/>
      <c r="I41" s="726"/>
      <c r="J41" s="726"/>
      <c r="K41" s="726"/>
      <c r="L41" s="704">
        <f>SUM(L40:V40)</f>
        <v>860000</v>
      </c>
      <c r="M41" s="704"/>
      <c r="N41" s="704"/>
      <c r="O41" s="704"/>
      <c r="P41" s="704"/>
      <c r="Q41" s="704"/>
      <c r="R41" s="704"/>
      <c r="S41" s="704"/>
      <c r="T41" s="704"/>
      <c r="U41" s="704"/>
      <c r="V41" s="704"/>
      <c r="W41" s="253"/>
    </row>
    <row r="42" spans="2:23" s="233" customFormat="1" ht="20.100000000000001" customHeight="1" x14ac:dyDescent="0.25">
      <c r="B42" s="231"/>
      <c r="C42" s="232"/>
      <c r="D42" s="232"/>
      <c r="E42" s="232"/>
      <c r="F42" s="232"/>
      <c r="W42" s="235"/>
    </row>
    <row r="43" spans="2:23" s="233" customFormat="1" ht="20.100000000000001" customHeight="1" x14ac:dyDescent="0.25">
      <c r="B43" s="231"/>
      <c r="C43" s="232"/>
      <c r="D43" s="232"/>
      <c r="E43" s="232"/>
      <c r="F43" s="232"/>
      <c r="W43" s="235"/>
    </row>
    <row r="44" spans="2:23" s="233" customFormat="1" ht="20.100000000000001" customHeight="1" x14ac:dyDescent="0.25">
      <c r="B44" s="695" t="s">
        <v>214</v>
      </c>
      <c r="C44" s="696"/>
      <c r="D44" s="696"/>
      <c r="E44" s="696"/>
      <c r="F44" s="696"/>
      <c r="G44" s="696"/>
      <c r="H44" s="696"/>
      <c r="I44" s="696"/>
      <c r="J44" s="696"/>
      <c r="K44" s="696"/>
      <c r="L44" s="696"/>
      <c r="M44" s="696"/>
      <c r="N44" s="696"/>
      <c r="O44" s="696"/>
      <c r="P44" s="696"/>
      <c r="Q44" s="696"/>
      <c r="R44" s="697"/>
      <c r="S44" s="259"/>
      <c r="T44" s="705" t="s">
        <v>213</v>
      </c>
      <c r="U44" s="706"/>
      <c r="V44" s="707"/>
      <c r="W44" s="235"/>
    </row>
    <row r="45" spans="2:23" s="233" customFormat="1" ht="20.100000000000001" customHeight="1" x14ac:dyDescent="0.25">
      <c r="B45" s="698"/>
      <c r="C45" s="699"/>
      <c r="D45" s="699"/>
      <c r="E45" s="699"/>
      <c r="F45" s="699"/>
      <c r="G45" s="699"/>
      <c r="H45" s="699"/>
      <c r="I45" s="699"/>
      <c r="J45" s="699"/>
      <c r="K45" s="699"/>
      <c r="L45" s="699"/>
      <c r="M45" s="699"/>
      <c r="N45" s="699"/>
      <c r="O45" s="699"/>
      <c r="P45" s="699"/>
      <c r="Q45" s="699"/>
      <c r="R45" s="700"/>
      <c r="S45" s="259"/>
      <c r="T45" s="708"/>
      <c r="U45" s="709"/>
      <c r="V45" s="710"/>
      <c r="W45" s="235"/>
    </row>
    <row r="46" spans="2:23" s="233" customFormat="1" ht="20.100000000000001" customHeight="1" x14ac:dyDescent="0.25">
      <c r="B46" s="698"/>
      <c r="C46" s="699"/>
      <c r="D46" s="699"/>
      <c r="E46" s="699"/>
      <c r="F46" s="699"/>
      <c r="G46" s="699"/>
      <c r="H46" s="699"/>
      <c r="I46" s="699"/>
      <c r="J46" s="699"/>
      <c r="K46" s="699"/>
      <c r="L46" s="699"/>
      <c r="M46" s="699"/>
      <c r="N46" s="699"/>
      <c r="O46" s="699"/>
      <c r="P46" s="699"/>
      <c r="Q46" s="699"/>
      <c r="R46" s="700"/>
      <c r="S46" s="259"/>
      <c r="T46" s="711"/>
      <c r="U46" s="712"/>
      <c r="V46" s="713"/>
      <c r="W46" s="235"/>
    </row>
    <row r="47" spans="2:23" s="233" customFormat="1" ht="20.100000000000001" customHeight="1" x14ac:dyDescent="0.25">
      <c r="B47" s="698"/>
      <c r="C47" s="699"/>
      <c r="D47" s="699"/>
      <c r="E47" s="699"/>
      <c r="F47" s="699"/>
      <c r="G47" s="699"/>
      <c r="H47" s="699"/>
      <c r="I47" s="699"/>
      <c r="J47" s="699"/>
      <c r="K47" s="699"/>
      <c r="L47" s="699"/>
      <c r="M47" s="699"/>
      <c r="N47" s="699"/>
      <c r="O47" s="699"/>
      <c r="P47" s="699"/>
      <c r="Q47" s="699"/>
      <c r="R47" s="700"/>
      <c r="S47" s="259"/>
      <c r="T47" s="644" t="s">
        <v>183</v>
      </c>
      <c r="U47" s="714"/>
      <c r="V47" s="645"/>
      <c r="W47" s="235"/>
    </row>
    <row r="48" spans="2:23" s="234" customFormat="1" ht="20.100000000000001" customHeight="1" x14ac:dyDescent="0.25">
      <c r="B48" s="698"/>
      <c r="C48" s="699"/>
      <c r="D48" s="699"/>
      <c r="E48" s="699"/>
      <c r="F48" s="699"/>
      <c r="G48" s="699"/>
      <c r="H48" s="699"/>
      <c r="I48" s="699"/>
      <c r="J48" s="699"/>
      <c r="K48" s="699"/>
      <c r="L48" s="699"/>
      <c r="M48" s="699"/>
      <c r="N48" s="699"/>
      <c r="O48" s="699"/>
      <c r="P48" s="699"/>
      <c r="Q48" s="699"/>
      <c r="R48" s="700"/>
      <c r="S48" s="259"/>
      <c r="T48" s="646"/>
      <c r="U48" s="715"/>
      <c r="V48" s="647"/>
      <c r="W48" s="238"/>
    </row>
    <row r="49" spans="1:24" s="234" customFormat="1" ht="20.100000000000001" customHeight="1" x14ac:dyDescent="0.25">
      <c r="B49" s="698"/>
      <c r="C49" s="699"/>
      <c r="D49" s="699"/>
      <c r="E49" s="699"/>
      <c r="F49" s="699"/>
      <c r="G49" s="699"/>
      <c r="H49" s="699"/>
      <c r="I49" s="699"/>
      <c r="J49" s="699"/>
      <c r="K49" s="699"/>
      <c r="L49" s="699"/>
      <c r="M49" s="699"/>
      <c r="N49" s="699"/>
      <c r="O49" s="699"/>
      <c r="P49" s="699"/>
      <c r="Q49" s="699"/>
      <c r="R49" s="700"/>
      <c r="S49" s="259"/>
      <c r="T49" s="646"/>
      <c r="U49" s="715"/>
      <c r="V49" s="647"/>
      <c r="W49" s="260"/>
    </row>
    <row r="50" spans="1:24" s="234" customFormat="1" ht="20.100000000000001" customHeight="1" x14ac:dyDescent="0.25">
      <c r="B50" s="701"/>
      <c r="C50" s="702"/>
      <c r="D50" s="702"/>
      <c r="E50" s="702"/>
      <c r="F50" s="702"/>
      <c r="G50" s="702"/>
      <c r="H50" s="702"/>
      <c r="I50" s="702"/>
      <c r="J50" s="702"/>
      <c r="K50" s="702"/>
      <c r="L50" s="702"/>
      <c r="M50" s="702"/>
      <c r="N50" s="702"/>
      <c r="O50" s="702"/>
      <c r="P50" s="702"/>
      <c r="Q50" s="702"/>
      <c r="R50" s="703"/>
      <c r="S50" s="259"/>
      <c r="T50" s="648"/>
      <c r="U50" s="716"/>
      <c r="V50" s="649"/>
      <c r="W50" s="260"/>
    </row>
    <row r="51" spans="1:24" s="234" customFormat="1" ht="15.75" x14ac:dyDescent="0.25">
      <c r="B51" s="261"/>
      <c r="C51" s="262"/>
      <c r="D51" s="262"/>
      <c r="E51" s="262"/>
      <c r="F51" s="262"/>
      <c r="G51" s="262"/>
      <c r="H51" s="262"/>
      <c r="I51" s="262"/>
      <c r="J51" s="262"/>
      <c r="K51" s="262"/>
      <c r="L51" s="262"/>
      <c r="M51" s="262"/>
      <c r="N51" s="262"/>
      <c r="O51" s="262"/>
      <c r="P51" s="262"/>
      <c r="Q51" s="262"/>
      <c r="R51" s="237"/>
      <c r="T51" s="263"/>
      <c r="U51" s="263"/>
      <c r="V51" s="263"/>
      <c r="W51" s="264"/>
    </row>
    <row r="52" spans="1:24" s="234" customFormat="1" ht="15.75" x14ac:dyDescent="0.25">
      <c r="B52" s="261"/>
      <c r="C52" s="262"/>
      <c r="D52" s="262"/>
      <c r="E52" s="262"/>
      <c r="F52" s="262"/>
      <c r="G52" s="262"/>
      <c r="H52" s="262"/>
      <c r="I52" s="262"/>
      <c r="J52" s="262"/>
      <c r="K52" s="262"/>
      <c r="L52" s="262"/>
      <c r="M52" s="262"/>
      <c r="N52" s="262"/>
      <c r="O52" s="262"/>
      <c r="P52" s="262"/>
      <c r="Q52" s="262"/>
      <c r="R52" s="237"/>
      <c r="T52" s="263"/>
      <c r="U52" s="263"/>
      <c r="V52" s="263"/>
      <c r="W52" s="264"/>
    </row>
    <row r="53" spans="1:24" s="234" customFormat="1" ht="15.75" x14ac:dyDescent="0.25">
      <c r="B53" s="261"/>
      <c r="C53" s="262"/>
      <c r="D53" s="262"/>
      <c r="E53" s="262"/>
      <c r="F53" s="262"/>
      <c r="G53" s="262"/>
      <c r="H53" s="262"/>
      <c r="I53" s="262"/>
      <c r="J53" s="262"/>
      <c r="K53" s="262"/>
      <c r="L53" s="262"/>
      <c r="M53" s="262"/>
      <c r="N53" s="262"/>
      <c r="O53" s="262"/>
      <c r="P53" s="262"/>
      <c r="Q53" s="262"/>
      <c r="R53" s="237"/>
      <c r="T53" s="263"/>
      <c r="U53" s="263"/>
      <c r="V53" s="263"/>
      <c r="W53" s="264"/>
    </row>
    <row r="54" spans="1:24" s="234" customFormat="1" ht="15.75" x14ac:dyDescent="0.25">
      <c r="B54" s="261"/>
      <c r="C54" s="262"/>
      <c r="D54" s="262"/>
      <c r="E54" s="262"/>
      <c r="F54" s="262"/>
      <c r="G54" s="262"/>
      <c r="H54" s="262"/>
      <c r="I54" s="262"/>
      <c r="J54" s="262"/>
      <c r="K54" s="262"/>
      <c r="L54" s="262"/>
      <c r="M54" s="262"/>
      <c r="N54" s="262"/>
      <c r="O54" s="262"/>
      <c r="P54" s="262"/>
      <c r="Q54" s="262"/>
      <c r="R54" s="237"/>
      <c r="T54" s="263"/>
      <c r="U54" s="263"/>
      <c r="V54" s="263"/>
      <c r="W54" s="264"/>
    </row>
    <row r="55" spans="1:24" s="234" customFormat="1" ht="16.5" thickBot="1" x14ac:dyDescent="0.3">
      <c r="B55" s="265"/>
      <c r="C55" s="266"/>
      <c r="D55" s="267"/>
      <c r="E55" s="266"/>
      <c r="F55" s="266"/>
      <c r="G55" s="268"/>
      <c r="H55" s="268"/>
      <c r="I55" s="268"/>
      <c r="J55" s="268"/>
      <c r="K55" s="268"/>
      <c r="L55" s="268"/>
      <c r="M55" s="268"/>
      <c r="N55" s="268"/>
      <c r="O55" s="268"/>
      <c r="P55" s="268"/>
      <c r="Q55" s="268"/>
      <c r="R55" s="268"/>
      <c r="S55" s="268"/>
      <c r="T55" s="269"/>
      <c r="U55" s="269"/>
      <c r="V55" s="269"/>
      <c r="W55" s="270"/>
    </row>
    <row r="56" spans="1:24" ht="20.100000000000001" customHeight="1" thickTop="1" x14ac:dyDescent="0.25">
      <c r="B56" s="583" t="s">
        <v>113</v>
      </c>
      <c r="C56" s="584"/>
      <c r="D56" s="584"/>
      <c r="E56" s="584"/>
      <c r="F56" s="585"/>
      <c r="G56" s="590"/>
      <c r="H56" s="745"/>
      <c r="I56" s="594" t="s">
        <v>163</v>
      </c>
      <c r="J56" s="747"/>
      <c r="K56" s="747"/>
      <c r="L56" s="748"/>
      <c r="M56" s="99">
        <v>4</v>
      </c>
      <c r="N56" s="753" t="s">
        <v>174</v>
      </c>
      <c r="O56" s="754"/>
      <c r="P56" s="755"/>
      <c r="Q56" s="124">
        <v>45118</v>
      </c>
      <c r="R56" s="99" t="s">
        <v>55</v>
      </c>
      <c r="S56" s="99"/>
      <c r="T56" s="759"/>
      <c r="U56" s="760"/>
      <c r="V56" s="761"/>
      <c r="W56" s="99"/>
    </row>
    <row r="57" spans="1:24" ht="20.100000000000001" customHeight="1" x14ac:dyDescent="0.25">
      <c r="B57" s="586"/>
      <c r="C57" s="584"/>
      <c r="D57" s="584"/>
      <c r="E57" s="584"/>
      <c r="F57" s="585"/>
      <c r="G57" s="590"/>
      <c r="H57" s="745"/>
      <c r="I57" s="749"/>
      <c r="J57" s="747"/>
      <c r="K57" s="747"/>
      <c r="L57" s="748"/>
      <c r="M57" s="4">
        <v>3</v>
      </c>
      <c r="N57" s="756" t="s">
        <v>171</v>
      </c>
      <c r="O57" s="757"/>
      <c r="P57" s="758"/>
      <c r="Q57" s="125">
        <v>44702</v>
      </c>
      <c r="R57" s="4" t="s">
        <v>55</v>
      </c>
      <c r="S57" s="4"/>
      <c r="T57" s="762"/>
      <c r="U57" s="763"/>
      <c r="V57" s="764"/>
      <c r="W57" s="4"/>
    </row>
    <row r="58" spans="1:24" ht="20.100000000000001" customHeight="1" x14ac:dyDescent="0.25">
      <c r="B58" s="586"/>
      <c r="C58" s="584"/>
      <c r="D58" s="584"/>
      <c r="E58" s="584"/>
      <c r="F58" s="585"/>
      <c r="G58" s="590"/>
      <c r="H58" s="745"/>
      <c r="I58" s="749"/>
      <c r="J58" s="747"/>
      <c r="K58" s="747"/>
      <c r="L58" s="748"/>
      <c r="M58" s="4">
        <v>2</v>
      </c>
      <c r="N58" s="756" t="s">
        <v>170</v>
      </c>
      <c r="O58" s="757"/>
      <c r="P58" s="758"/>
      <c r="Q58" s="125">
        <v>44314</v>
      </c>
      <c r="R58" s="4" t="s">
        <v>55</v>
      </c>
      <c r="S58" s="4">
        <v>3</v>
      </c>
      <c r="T58" s="762">
        <f>+Q56</f>
        <v>45118</v>
      </c>
      <c r="U58" s="763"/>
      <c r="V58" s="764"/>
      <c r="W58" s="4" t="s">
        <v>57</v>
      </c>
    </row>
    <row r="59" spans="1:24" ht="20.100000000000001" customHeight="1" x14ac:dyDescent="0.25">
      <c r="B59" s="586"/>
      <c r="C59" s="584"/>
      <c r="D59" s="584"/>
      <c r="E59" s="584"/>
      <c r="F59" s="585"/>
      <c r="G59" s="590"/>
      <c r="H59" s="745"/>
      <c r="I59" s="749"/>
      <c r="J59" s="747"/>
      <c r="K59" s="747"/>
      <c r="L59" s="748"/>
      <c r="M59" s="4">
        <v>1</v>
      </c>
      <c r="N59" s="756" t="s">
        <v>169</v>
      </c>
      <c r="O59" s="757"/>
      <c r="P59" s="758"/>
      <c r="Q59" s="125">
        <v>44147</v>
      </c>
      <c r="R59" s="4" t="s">
        <v>55</v>
      </c>
      <c r="S59" s="4">
        <v>2</v>
      </c>
      <c r="T59" s="762">
        <v>44702</v>
      </c>
      <c r="U59" s="763"/>
      <c r="V59" s="764"/>
      <c r="W59" s="4" t="s">
        <v>173</v>
      </c>
    </row>
    <row r="60" spans="1:24" ht="20.100000000000001" customHeight="1" x14ac:dyDescent="0.25">
      <c r="B60" s="586"/>
      <c r="C60" s="584"/>
      <c r="D60" s="584"/>
      <c r="E60" s="584"/>
      <c r="F60" s="585"/>
      <c r="G60" s="590"/>
      <c r="H60" s="745"/>
      <c r="I60" s="749"/>
      <c r="J60" s="747"/>
      <c r="K60" s="747"/>
      <c r="L60" s="748"/>
      <c r="M60" s="4">
        <v>0</v>
      </c>
      <c r="N60" s="756" t="s">
        <v>112</v>
      </c>
      <c r="O60" s="757"/>
      <c r="P60" s="758"/>
      <c r="Q60" s="125">
        <v>45113</v>
      </c>
      <c r="R60" s="4" t="s">
        <v>172</v>
      </c>
      <c r="S60" s="4">
        <v>1</v>
      </c>
      <c r="T60" s="762">
        <v>44314</v>
      </c>
      <c r="U60" s="763"/>
      <c r="V60" s="764"/>
      <c r="W60" s="4" t="s">
        <v>57</v>
      </c>
    </row>
    <row r="61" spans="1:24" s="3" customFormat="1" ht="20.100000000000001" customHeight="1" x14ac:dyDescent="0.25">
      <c r="B61" s="587"/>
      <c r="C61" s="588"/>
      <c r="D61" s="588"/>
      <c r="E61" s="588"/>
      <c r="F61" s="589"/>
      <c r="G61" s="591"/>
      <c r="H61" s="746"/>
      <c r="I61" s="750"/>
      <c r="J61" s="751"/>
      <c r="K61" s="751"/>
      <c r="L61" s="752"/>
      <c r="M61" s="18" t="s">
        <v>111</v>
      </c>
      <c r="N61" s="742" t="s">
        <v>110</v>
      </c>
      <c r="O61" s="743"/>
      <c r="P61" s="744"/>
      <c r="Q61" s="126" t="s">
        <v>5</v>
      </c>
      <c r="R61" s="18" t="s">
        <v>107</v>
      </c>
      <c r="S61" s="18" t="s">
        <v>108</v>
      </c>
      <c r="T61" s="449" t="s">
        <v>109</v>
      </c>
      <c r="U61" s="450"/>
      <c r="V61" s="451"/>
      <c r="W61" s="18" t="s">
        <v>107</v>
      </c>
    </row>
    <row r="62" spans="1:24" s="13" customFormat="1" ht="16.5" thickBot="1" x14ac:dyDescent="0.3">
      <c r="A62" s="82"/>
      <c r="B62" s="82"/>
      <c r="C62" s="83"/>
      <c r="D62" s="83"/>
      <c r="E62" s="83"/>
      <c r="F62" s="83"/>
      <c r="G62" s="82"/>
      <c r="H62" s="82"/>
      <c r="I62" s="82"/>
      <c r="J62" s="82"/>
      <c r="K62" s="82"/>
      <c r="L62" s="82"/>
      <c r="M62" s="82"/>
      <c r="N62" s="82"/>
      <c r="O62" s="82"/>
      <c r="P62" s="82"/>
      <c r="Q62" s="82"/>
      <c r="R62" s="82"/>
      <c r="S62" s="82"/>
      <c r="T62" s="82"/>
      <c r="U62" s="82"/>
      <c r="V62" s="82"/>
      <c r="W62" s="82"/>
      <c r="X62" s="82"/>
    </row>
    <row r="63" spans="1:24" ht="15.75" thickTop="1" x14ac:dyDescent="0.25">
      <c r="W63" s="97"/>
    </row>
  </sheetData>
  <mergeCells count="93">
    <mergeCell ref="S40:V40"/>
    <mergeCell ref="T36:V36"/>
    <mergeCell ref="T35:V35"/>
    <mergeCell ref="T37:V37"/>
    <mergeCell ref="T38:V38"/>
    <mergeCell ref="T39:V39"/>
    <mergeCell ref="L39:M39"/>
    <mergeCell ref="O32:P32"/>
    <mergeCell ref="O34:P34"/>
    <mergeCell ref="B28:K34"/>
    <mergeCell ref="C35:F35"/>
    <mergeCell ref="H35:K35"/>
    <mergeCell ref="L35:M35"/>
    <mergeCell ref="L28:N29"/>
    <mergeCell ref="H36:K36"/>
    <mergeCell ref="L37:M37"/>
    <mergeCell ref="L36:M36"/>
    <mergeCell ref="H38:K38"/>
    <mergeCell ref="L38:M38"/>
    <mergeCell ref="T61:V61"/>
    <mergeCell ref="N61:P61"/>
    <mergeCell ref="B56:F61"/>
    <mergeCell ref="G56:H61"/>
    <mergeCell ref="I56:L61"/>
    <mergeCell ref="N56:P56"/>
    <mergeCell ref="N57:P57"/>
    <mergeCell ref="N58:P58"/>
    <mergeCell ref="N59:P59"/>
    <mergeCell ref="N60:P60"/>
    <mergeCell ref="T56:V56"/>
    <mergeCell ref="T57:V57"/>
    <mergeCell ref="T59:V59"/>
    <mergeCell ref="T60:V60"/>
    <mergeCell ref="T58:V58"/>
    <mergeCell ref="P16:P18"/>
    <mergeCell ref="T16:U18"/>
    <mergeCell ref="S16:S18"/>
    <mergeCell ref="R16:R18"/>
    <mergeCell ref="Q16:Q18"/>
    <mergeCell ref="B44:R50"/>
    <mergeCell ref="L41:V41"/>
    <mergeCell ref="T44:V46"/>
    <mergeCell ref="T47:V50"/>
    <mergeCell ref="S28:V28"/>
    <mergeCell ref="S29:V31"/>
    <mergeCell ref="Q29:R29"/>
    <mergeCell ref="Q30:R30"/>
    <mergeCell ref="Q31:R31"/>
    <mergeCell ref="B41:K41"/>
    <mergeCell ref="O29:P31"/>
    <mergeCell ref="O28:R28"/>
    <mergeCell ref="B40:K40"/>
    <mergeCell ref="L40:N40"/>
    <mergeCell ref="O40:P40"/>
    <mergeCell ref="Q40:R4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 ref="R19:R20"/>
    <mergeCell ref="D20:E20"/>
    <mergeCell ref="G20:H20"/>
    <mergeCell ref="S19:S22"/>
    <mergeCell ref="T19:U22"/>
    <mergeCell ref="D21:E21"/>
    <mergeCell ref="G21:H21"/>
    <mergeCell ref="I21:J21"/>
    <mergeCell ref="K21:L21"/>
    <mergeCell ref="M21:O21"/>
    <mergeCell ref="I20:J20"/>
    <mergeCell ref="K20:L20"/>
    <mergeCell ref="M20:O20"/>
    <mergeCell ref="R21:R22"/>
    <mergeCell ref="D22:E22"/>
    <mergeCell ref="G22:H22"/>
    <mergeCell ref="I22:J22"/>
    <mergeCell ref="K22:L22"/>
    <mergeCell ref="M22:O22"/>
  </mergeCells>
  <printOptions horizontalCentered="1"/>
  <pageMargins left="0" right="0" top="1" bottom="0" header="1"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5"/>
  <sheetViews>
    <sheetView showGridLines="0" workbookViewId="0">
      <selection activeCell="F22" sqref="F22"/>
    </sheetView>
  </sheetViews>
  <sheetFormatPr defaultRowHeight="15" x14ac:dyDescent="0.25"/>
  <cols>
    <col min="1" max="1" width="1.7109375" style="233" customWidth="1"/>
    <col min="2" max="2" width="5.7109375" style="232" customWidth="1"/>
    <col min="3" max="3" width="30.7109375" style="233" bestFit="1" customWidth="1"/>
    <col min="4" max="4" width="30.7109375" style="232" customWidth="1"/>
    <col min="5" max="5" width="15.7109375" style="233" customWidth="1"/>
    <col min="6" max="6" width="20.7109375" style="233" customWidth="1"/>
    <col min="7" max="7" width="1.7109375" style="233" customWidth="1"/>
    <col min="8" max="16384" width="9.140625" style="233"/>
  </cols>
  <sheetData>
    <row r="3" spans="2:6" s="344" customFormat="1" thickBot="1" x14ac:dyDescent="0.3">
      <c r="B3" s="351" t="s">
        <v>1</v>
      </c>
      <c r="C3" s="351" t="s">
        <v>3</v>
      </c>
      <c r="D3" s="351" t="s">
        <v>60</v>
      </c>
    </row>
    <row r="4" spans="2:6" ht="15.75" thickTop="1" x14ac:dyDescent="0.25">
      <c r="B4" s="349">
        <v>1</v>
      </c>
      <c r="C4" s="352" t="s">
        <v>227</v>
      </c>
      <c r="D4" s="349" t="s">
        <v>226</v>
      </c>
    </row>
    <row r="5" spans="2:6" x14ac:dyDescent="0.25">
      <c r="B5" s="345">
        <v>2</v>
      </c>
      <c r="C5" s="346" t="s">
        <v>228</v>
      </c>
      <c r="D5" s="345" t="s">
        <v>194</v>
      </c>
    </row>
    <row r="7" spans="2:6" s="344" customFormat="1" ht="29.25" thickBot="1" x14ac:dyDescent="0.3">
      <c r="B7" s="351" t="s">
        <v>1</v>
      </c>
      <c r="C7" s="351" t="s">
        <v>237</v>
      </c>
      <c r="D7" s="351" t="s">
        <v>238</v>
      </c>
      <c r="E7" s="351" t="s">
        <v>37</v>
      </c>
      <c r="F7" s="353" t="s">
        <v>244</v>
      </c>
    </row>
    <row r="8" spans="2:6" ht="30.75" thickTop="1" x14ac:dyDescent="0.25">
      <c r="B8" s="349">
        <v>1</v>
      </c>
      <c r="C8" s="357">
        <v>45410</v>
      </c>
      <c r="D8" s="350" t="s">
        <v>242</v>
      </c>
      <c r="E8" s="796" t="s">
        <v>243</v>
      </c>
      <c r="F8" s="797" t="s">
        <v>240</v>
      </c>
    </row>
    <row r="9" spans="2:6" x14ac:dyDescent="0.25">
      <c r="B9" s="345">
        <v>2</v>
      </c>
      <c r="C9" s="358">
        <v>45411</v>
      </c>
      <c r="D9" s="345" t="s">
        <v>240</v>
      </c>
      <c r="E9" s="796"/>
      <c r="F9" s="798"/>
    </row>
    <row r="10" spans="2:6" x14ac:dyDescent="0.25">
      <c r="B10" s="345">
        <v>3</v>
      </c>
      <c r="C10" s="358">
        <v>45412</v>
      </c>
      <c r="D10" s="345" t="s">
        <v>240</v>
      </c>
      <c r="E10" s="796"/>
      <c r="F10" s="798"/>
    </row>
    <row r="11" spans="2:6" s="356" customFormat="1" x14ac:dyDescent="0.25">
      <c r="B11" s="354">
        <v>4</v>
      </c>
      <c r="C11" s="359">
        <v>45413</v>
      </c>
      <c r="D11" s="354" t="s">
        <v>7</v>
      </c>
      <c r="E11" s="796"/>
      <c r="F11" s="355"/>
    </row>
    <row r="12" spans="2:6" x14ac:dyDescent="0.25">
      <c r="B12" s="345">
        <v>5</v>
      </c>
      <c r="C12" s="358">
        <v>45414</v>
      </c>
      <c r="D12" s="345" t="s">
        <v>239</v>
      </c>
      <c r="E12" s="796"/>
      <c r="F12" s="798" t="s">
        <v>239</v>
      </c>
    </row>
    <row r="13" spans="2:6" ht="30" x14ac:dyDescent="0.25">
      <c r="B13" s="345">
        <v>6</v>
      </c>
      <c r="C13" s="358">
        <v>45415</v>
      </c>
      <c r="D13" s="348" t="s">
        <v>241</v>
      </c>
      <c r="E13" s="797"/>
      <c r="F13" s="798"/>
    </row>
    <row r="14" spans="2:6" x14ac:dyDescent="0.25">
      <c r="C14" s="347"/>
    </row>
    <row r="15" spans="2:6" x14ac:dyDescent="0.25">
      <c r="C15" s="347"/>
    </row>
  </sheetData>
  <mergeCells count="3">
    <mergeCell ref="E8:E13"/>
    <mergeCell ref="F12:F13"/>
    <mergeCell ref="F8: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TAPAH 2.2 (Rincian)</vt:lpstr>
      <vt:lpstr>TAHAP 2.1 (SPD)</vt:lpstr>
      <vt:lpstr>Sheet1</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2024-07-13T07:17:57Z</cp:lastPrinted>
  <dcterms:created xsi:type="dcterms:W3CDTF">2023-06-18T02:33:15Z</dcterms:created>
  <dcterms:modified xsi:type="dcterms:W3CDTF">2024-07-15T09:13:56Z</dcterms:modified>
</cp:coreProperties>
</file>