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GA\GA-03- MIKI\3. BUDGET TERM 84\TERM 84\"/>
    </mc:Choice>
  </mc:AlternateContent>
  <bookViews>
    <workbookView xWindow="0" yWindow="0" windowWidth="24000" windowHeight="9030"/>
  </bookViews>
  <sheets>
    <sheet name="Harga Pengemudi 2024" sheetId="2" r:id="rId1"/>
    <sheet name="RENTAL" sheetId="1" r:id="rId2"/>
  </sheets>
  <definedNames>
    <definedName name="Excel_BuiltIn_Print_Area_2_1">#REF!</definedName>
    <definedName name="Excel_BuiltIn_Print_Titles_3">#REF!</definedName>
    <definedName name="Excel_BuiltIn_Print_Titles_3_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G42" i="1"/>
  <c r="J67" i="2"/>
  <c r="J66" i="2"/>
  <c r="J65" i="2"/>
  <c r="J64" i="2"/>
  <c r="J63" i="2"/>
  <c r="J62" i="2"/>
  <c r="I67" i="2"/>
  <c r="I66" i="2"/>
  <c r="I65" i="2"/>
  <c r="I64" i="2"/>
  <c r="I63" i="2"/>
  <c r="I62" i="2"/>
  <c r="U35" i="1" l="1"/>
  <c r="Q35" i="1"/>
  <c r="M35" i="1"/>
  <c r="I35" i="1"/>
  <c r="Y35" i="1"/>
  <c r="AC35" i="1"/>
  <c r="J56" i="2"/>
  <c r="J61" i="2"/>
  <c r="J60" i="2"/>
  <c r="J59" i="2"/>
  <c r="J58" i="2"/>
  <c r="J57" i="2"/>
  <c r="I57" i="2"/>
  <c r="I58" i="2"/>
  <c r="I59" i="2"/>
  <c r="I60" i="2"/>
  <c r="I61" i="2"/>
  <c r="I56" i="2"/>
  <c r="I36" i="2"/>
  <c r="H32" i="2"/>
  <c r="G13" i="2"/>
  <c r="I13" i="2"/>
  <c r="H19" i="2"/>
  <c r="I19" i="2" s="1"/>
  <c r="I15" i="2"/>
  <c r="I40" i="2" s="1"/>
  <c r="H15" i="2"/>
  <c r="H28" i="2" s="1"/>
  <c r="I5" i="2"/>
  <c r="J6" i="2" s="1"/>
  <c r="J4" i="2"/>
  <c r="J5" i="2" s="1"/>
  <c r="F33" i="2"/>
  <c r="F32" i="2"/>
  <c r="E40" i="2"/>
  <c r="E39" i="2"/>
  <c r="D26" i="2"/>
  <c r="D22" i="2"/>
  <c r="E22" i="2" s="1"/>
  <c r="D21" i="2"/>
  <c r="E21" i="2" s="1"/>
  <c r="D19" i="2"/>
  <c r="E19" i="2" s="1"/>
  <c r="D17" i="2"/>
  <c r="G15" i="2"/>
  <c r="G39" i="2" s="1"/>
  <c r="F15" i="2"/>
  <c r="F28" i="2" s="1"/>
  <c r="E15" i="2"/>
  <c r="E38" i="2" s="1"/>
  <c r="D15" i="2"/>
  <c r="D28" i="2" s="1"/>
  <c r="D29" i="2" s="1"/>
  <c r="G40" i="2" l="1"/>
  <c r="G38" i="2"/>
  <c r="I38" i="2"/>
  <c r="H22" i="2"/>
  <c r="I22" i="2" s="1"/>
  <c r="I39" i="2"/>
  <c r="H20" i="2"/>
  <c r="I20" i="2" s="1"/>
  <c r="H17" i="2"/>
  <c r="H21" i="2"/>
  <c r="I21" i="2" s="1"/>
  <c r="H26" i="2"/>
  <c r="H29" i="2" s="1"/>
  <c r="F19" i="2"/>
  <c r="G19" i="2" s="1"/>
  <c r="F22" i="2"/>
  <c r="G22" i="2" s="1"/>
  <c r="F20" i="2"/>
  <c r="G20" i="2" s="1"/>
  <c r="E17" i="2"/>
  <c r="F26" i="2"/>
  <c r="F29" i="2" s="1"/>
  <c r="F17" i="2"/>
  <c r="D20" i="2"/>
  <c r="E20" i="2" s="1"/>
  <c r="F21" i="2"/>
  <c r="G21" i="2" s="1"/>
  <c r="I17" i="2" l="1"/>
  <c r="I23" i="2" s="1"/>
  <c r="H23" i="2"/>
  <c r="H30" i="2" s="1"/>
  <c r="G17" i="2"/>
  <c r="G23" i="2" s="1"/>
  <c r="F23" i="2"/>
  <c r="F30" i="2" s="1"/>
  <c r="D23" i="2"/>
  <c r="D30" i="2" s="1"/>
  <c r="E23" i="2"/>
  <c r="H31" i="2" l="1"/>
  <c r="I37" i="2"/>
  <c r="I41" i="2"/>
  <c r="E37" i="2"/>
  <c r="E36" i="2"/>
  <c r="E41" i="2" s="1"/>
  <c r="D31" i="2"/>
  <c r="D32" i="2"/>
  <c r="F31" i="2"/>
  <c r="G37" i="2"/>
  <c r="G36" i="2"/>
  <c r="G41" i="2" s="1"/>
  <c r="H33" i="2" l="1"/>
  <c r="H34" i="2" s="1"/>
  <c r="D33" i="2"/>
  <c r="D34" i="2" s="1"/>
  <c r="F34" i="2"/>
  <c r="AZ58" i="1" l="1"/>
  <c r="BA58" i="1" s="1"/>
  <c r="AV58" i="1"/>
  <c r="AA52" i="1" l="1"/>
  <c r="AA51" i="1"/>
  <c r="AA50" i="1"/>
  <c r="AA49" i="1"/>
  <c r="AA48" i="1"/>
  <c r="AA47" i="1"/>
  <c r="AA46" i="1"/>
  <c r="AA45" i="1"/>
  <c r="AA44" i="1"/>
  <c r="AA43" i="1"/>
  <c r="AA42" i="1"/>
  <c r="W52" i="1"/>
  <c r="W51" i="1"/>
  <c r="W50" i="1"/>
  <c r="W49" i="1"/>
  <c r="W48" i="1"/>
  <c r="W47" i="1"/>
  <c r="W46" i="1"/>
  <c r="W45" i="1"/>
  <c r="W44" i="1"/>
  <c r="W43" i="1"/>
  <c r="W42" i="1"/>
  <c r="S52" i="1"/>
  <c r="S51" i="1"/>
  <c r="S50" i="1"/>
  <c r="S49" i="1"/>
  <c r="S48" i="1"/>
  <c r="S47" i="1"/>
  <c r="S46" i="1"/>
  <c r="S45" i="1"/>
  <c r="S44" i="1"/>
  <c r="S43" i="1"/>
  <c r="S42" i="1"/>
  <c r="O52" i="1"/>
  <c r="O51" i="1"/>
  <c r="O50" i="1"/>
  <c r="O49" i="1"/>
  <c r="O48" i="1"/>
  <c r="O47" i="1"/>
  <c r="O46" i="1"/>
  <c r="O45" i="1"/>
  <c r="O44" i="1"/>
  <c r="O43" i="1"/>
  <c r="O42" i="1"/>
  <c r="K52" i="1"/>
  <c r="K51" i="1"/>
  <c r="K50" i="1"/>
  <c r="K49" i="1"/>
  <c r="K48" i="1"/>
  <c r="K47" i="1"/>
  <c r="K46" i="1"/>
  <c r="K45" i="1"/>
  <c r="K44" i="1"/>
  <c r="K43" i="1"/>
  <c r="K42" i="1"/>
  <c r="G52" i="1"/>
  <c r="G51" i="1"/>
  <c r="G50" i="1"/>
  <c r="G49" i="1"/>
  <c r="G48" i="1"/>
  <c r="G47" i="1"/>
  <c r="G46" i="1"/>
  <c r="G45" i="1"/>
  <c r="G44" i="1"/>
  <c r="G43" i="1"/>
  <c r="H42" i="1"/>
  <c r="I42" i="1" s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17" i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6" i="1"/>
  <c r="AC6" i="1" s="1"/>
  <c r="AA16" i="1"/>
  <c r="Z16" i="1" s="1"/>
  <c r="AB16" i="1" s="1"/>
  <c r="AC16" i="1" s="1"/>
  <c r="AA15" i="1"/>
  <c r="Z15" i="1" s="1"/>
  <c r="AB15" i="1" s="1"/>
  <c r="AC15" i="1" s="1"/>
  <c r="AA14" i="1"/>
  <c r="AA13" i="1"/>
  <c r="AA12" i="1"/>
  <c r="AA11" i="1"/>
  <c r="AA10" i="1"/>
  <c r="Z10" i="1" s="1"/>
  <c r="AB10" i="1" s="1"/>
  <c r="AC10" i="1" s="1"/>
  <c r="AA9" i="1"/>
  <c r="Z9" i="1" s="1"/>
  <c r="AB9" i="1" s="1"/>
  <c r="AC9" i="1" s="1"/>
  <c r="AA8" i="1"/>
  <c r="AA7" i="1"/>
  <c r="AA6" i="1"/>
  <c r="Z6" i="1" s="1"/>
  <c r="Z8" i="1" l="1"/>
  <c r="AB8" i="1" s="1"/>
  <c r="AC8" i="1" s="1"/>
  <c r="Z14" i="1"/>
  <c r="AB14" i="1" s="1"/>
  <c r="AC14" i="1" s="1"/>
  <c r="Z11" i="1"/>
  <c r="AB11" i="1" s="1"/>
  <c r="AC11" i="1" s="1"/>
  <c r="Z12" i="1"/>
  <c r="AB12" i="1" s="1"/>
  <c r="AC12" i="1" s="1"/>
  <c r="Z7" i="1"/>
  <c r="AB7" i="1" s="1"/>
  <c r="AC7" i="1" s="1"/>
  <c r="Z13" i="1"/>
  <c r="AB13" i="1" s="1"/>
  <c r="AC13" i="1" s="1"/>
  <c r="X31" i="1"/>
  <c r="X32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W16" i="1"/>
  <c r="V16" i="1" s="1"/>
  <c r="X16" i="1" s="1"/>
  <c r="Y16" i="1" s="1"/>
  <c r="W15" i="1"/>
  <c r="W14" i="1"/>
  <c r="V14" i="1" s="1"/>
  <c r="X14" i="1" s="1"/>
  <c r="Y14" i="1" s="1"/>
  <c r="W13" i="1"/>
  <c r="W12" i="1"/>
  <c r="V12" i="1" s="1"/>
  <c r="X12" i="1" s="1"/>
  <c r="Y12" i="1" s="1"/>
  <c r="W11" i="1"/>
  <c r="W10" i="1"/>
  <c r="V10" i="1" s="1"/>
  <c r="X10" i="1" s="1"/>
  <c r="Y10" i="1" s="1"/>
  <c r="W9" i="1"/>
  <c r="W8" i="1"/>
  <c r="V8" i="1" s="1"/>
  <c r="X8" i="1" s="1"/>
  <c r="Y8" i="1" s="1"/>
  <c r="W7" i="1"/>
  <c r="W6" i="1"/>
  <c r="V6" i="1" s="1"/>
  <c r="X6" i="1" s="1"/>
  <c r="Y6" i="1" s="1"/>
  <c r="U33" i="1"/>
  <c r="S16" i="1"/>
  <c r="S15" i="1"/>
  <c r="S14" i="1"/>
  <c r="R14" i="1" s="1"/>
  <c r="T14" i="1" s="1"/>
  <c r="U14" i="1" s="1"/>
  <c r="S13" i="1"/>
  <c r="S12" i="1"/>
  <c r="R12" i="1" s="1"/>
  <c r="T12" i="1" s="1"/>
  <c r="U12" i="1" s="1"/>
  <c r="S11" i="1"/>
  <c r="R11" i="1" s="1"/>
  <c r="T11" i="1" s="1"/>
  <c r="U11" i="1" s="1"/>
  <c r="S10" i="1"/>
  <c r="S9" i="1"/>
  <c r="S8" i="1"/>
  <c r="R8" i="1" s="1"/>
  <c r="T8" i="1" s="1"/>
  <c r="U8" i="1" s="1"/>
  <c r="S7" i="1"/>
  <c r="S6" i="1"/>
  <c r="R6" i="1" s="1"/>
  <c r="T6" i="1" s="1"/>
  <c r="U6" i="1" s="1"/>
  <c r="O16" i="1"/>
  <c r="N16" i="1" s="1"/>
  <c r="P16" i="1" s="1"/>
  <c r="O15" i="1"/>
  <c r="N15" i="1" s="1"/>
  <c r="P15" i="1" s="1"/>
  <c r="O14" i="1"/>
  <c r="N14" i="1" s="1"/>
  <c r="P14" i="1" s="1"/>
  <c r="O13" i="1"/>
  <c r="N13" i="1" s="1"/>
  <c r="P13" i="1" s="1"/>
  <c r="O12" i="1"/>
  <c r="N12" i="1" s="1"/>
  <c r="P12" i="1" s="1"/>
  <c r="O11" i="1"/>
  <c r="N11" i="1" s="1"/>
  <c r="P11" i="1" s="1"/>
  <c r="O10" i="1"/>
  <c r="N10" i="1" s="1"/>
  <c r="P10" i="1" s="1"/>
  <c r="O9" i="1"/>
  <c r="N9" i="1" s="1"/>
  <c r="P9" i="1" s="1"/>
  <c r="O8" i="1"/>
  <c r="N8" i="1" s="1"/>
  <c r="P8" i="1" s="1"/>
  <c r="O7" i="1"/>
  <c r="N7" i="1" s="1"/>
  <c r="P7" i="1" s="1"/>
  <c r="O6" i="1"/>
  <c r="N6" i="1" s="1"/>
  <c r="P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R7" i="1" l="1"/>
  <c r="T7" i="1" s="1"/>
  <c r="U7" i="1" s="1"/>
  <c r="R13" i="1"/>
  <c r="T13" i="1" s="1"/>
  <c r="U13" i="1" s="1"/>
  <c r="V7" i="1"/>
  <c r="X7" i="1" s="1"/>
  <c r="Y7" i="1" s="1"/>
  <c r="V11" i="1"/>
  <c r="X11" i="1" s="1"/>
  <c r="Y11" i="1" s="1"/>
  <c r="V15" i="1"/>
  <c r="X15" i="1" s="1"/>
  <c r="Y15" i="1" s="1"/>
  <c r="R9" i="1"/>
  <c r="T9" i="1" s="1"/>
  <c r="U9" i="1" s="1"/>
  <c r="R15" i="1"/>
  <c r="T15" i="1" s="1"/>
  <c r="U15" i="1" s="1"/>
  <c r="R10" i="1"/>
  <c r="T10" i="1" s="1"/>
  <c r="U10" i="1" s="1"/>
  <c r="R16" i="1"/>
  <c r="T16" i="1" s="1"/>
  <c r="U16" i="1" s="1"/>
  <c r="V9" i="1"/>
  <c r="X9" i="1" s="1"/>
  <c r="Y9" i="1" s="1"/>
  <c r="V13" i="1"/>
  <c r="X13" i="1" s="1"/>
  <c r="Y13" i="1" s="1"/>
  <c r="Q33" i="1"/>
  <c r="Q8" i="1"/>
  <c r="Q14" i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Q7" i="1"/>
  <c r="Q9" i="1"/>
  <c r="Q10" i="1"/>
  <c r="Q11" i="1"/>
  <c r="Q12" i="1"/>
  <c r="Q13" i="1"/>
  <c r="Q15" i="1"/>
  <c r="Q16" i="1"/>
  <c r="Q6" i="1"/>
  <c r="H30" i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K16" i="1"/>
  <c r="J16" i="1" s="1"/>
  <c r="L16" i="1" s="1"/>
  <c r="M16" i="1" s="1"/>
  <c r="K15" i="1"/>
  <c r="J15" i="1" s="1"/>
  <c r="L15" i="1" s="1"/>
  <c r="M15" i="1" s="1"/>
  <c r="K14" i="1"/>
  <c r="J14" i="1" s="1"/>
  <c r="L14" i="1" s="1"/>
  <c r="M14" i="1" s="1"/>
  <c r="K13" i="1"/>
  <c r="J13" i="1" s="1"/>
  <c r="L13" i="1" s="1"/>
  <c r="M13" i="1" s="1"/>
  <c r="K12" i="1"/>
  <c r="J12" i="1" s="1"/>
  <c r="L12" i="1" s="1"/>
  <c r="M12" i="1" s="1"/>
  <c r="K11" i="1"/>
  <c r="J11" i="1" s="1"/>
  <c r="L11" i="1" s="1"/>
  <c r="M11" i="1" s="1"/>
  <c r="K10" i="1"/>
  <c r="J10" i="1" s="1"/>
  <c r="L10" i="1" s="1"/>
  <c r="M10" i="1" s="1"/>
  <c r="K9" i="1"/>
  <c r="J9" i="1" s="1"/>
  <c r="L9" i="1" s="1"/>
  <c r="M9" i="1" s="1"/>
  <c r="K8" i="1"/>
  <c r="J8" i="1" s="1"/>
  <c r="L8" i="1" s="1"/>
  <c r="M8" i="1" s="1"/>
  <c r="K7" i="1"/>
  <c r="J7" i="1" s="1"/>
  <c r="L7" i="1" s="1"/>
  <c r="M7" i="1" s="1"/>
  <c r="K6" i="1"/>
  <c r="G16" i="1"/>
  <c r="G15" i="1"/>
  <c r="G14" i="1"/>
  <c r="G13" i="1"/>
  <c r="G12" i="1"/>
  <c r="G11" i="1"/>
  <c r="G10" i="1"/>
  <c r="G9" i="1"/>
  <c r="G8" i="1"/>
  <c r="G7" i="1"/>
  <c r="G6" i="1"/>
  <c r="J6" i="1"/>
  <c r="L6" i="1" s="1"/>
  <c r="M6" i="1" s="1"/>
  <c r="F16" i="1" l="1"/>
  <c r="F15" i="1"/>
  <c r="F14" i="1"/>
  <c r="F12" i="1"/>
  <c r="F13" i="1"/>
  <c r="F9" i="1"/>
  <c r="F11" i="1"/>
  <c r="F10" i="1"/>
  <c r="F8" i="1"/>
  <c r="F7" i="1"/>
  <c r="F6" i="1"/>
  <c r="I34" i="1" l="1"/>
  <c r="I30" i="1"/>
  <c r="I31" i="1"/>
  <c r="I32" i="1"/>
  <c r="I33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6" i="1"/>
  <c r="I6" i="1" s="1"/>
  <c r="O82" i="1"/>
  <c r="O81" i="1"/>
  <c r="O80" i="1"/>
  <c r="O79" i="1"/>
  <c r="O78" i="1"/>
  <c r="O77" i="1"/>
  <c r="BB70" i="1"/>
  <c r="AZ70" i="1"/>
  <c r="BA70" i="1" s="1"/>
  <c r="AV70" i="1"/>
  <c r="AW70" i="1" s="1"/>
  <c r="AR70" i="1"/>
  <c r="AS70" i="1" s="1"/>
  <c r="AN70" i="1"/>
  <c r="AO70" i="1" s="1"/>
  <c r="AJ70" i="1"/>
  <c r="AK70" i="1" s="1"/>
  <c r="AF70" i="1"/>
  <c r="AG70" i="1" s="1"/>
  <c r="AB70" i="1"/>
  <c r="AC70" i="1" s="1"/>
  <c r="X70" i="1"/>
  <c r="Y70" i="1" s="1"/>
  <c r="T70" i="1"/>
  <c r="U70" i="1" s="1"/>
  <c r="P70" i="1"/>
  <c r="Q70" i="1" s="1"/>
  <c r="L70" i="1"/>
  <c r="M70" i="1" s="1"/>
  <c r="H70" i="1"/>
  <c r="I70" i="1" s="1"/>
  <c r="BB69" i="1"/>
  <c r="AZ69" i="1"/>
  <c r="BA69" i="1" s="1"/>
  <c r="AV69" i="1"/>
  <c r="AW69" i="1" s="1"/>
  <c r="AR69" i="1"/>
  <c r="AS69" i="1" s="1"/>
  <c r="AN69" i="1"/>
  <c r="AO69" i="1" s="1"/>
  <c r="AJ69" i="1"/>
  <c r="AK69" i="1" s="1"/>
  <c r="AF69" i="1"/>
  <c r="AG69" i="1" s="1"/>
  <c r="AB69" i="1"/>
  <c r="AC69" i="1" s="1"/>
  <c r="X69" i="1"/>
  <c r="Y69" i="1" s="1"/>
  <c r="T69" i="1"/>
  <c r="U69" i="1" s="1"/>
  <c r="P69" i="1"/>
  <c r="Q69" i="1" s="1"/>
  <c r="L69" i="1"/>
  <c r="M69" i="1" s="1"/>
  <c r="H69" i="1"/>
  <c r="I69" i="1" s="1"/>
  <c r="BB68" i="1"/>
  <c r="AZ68" i="1"/>
  <c r="BA68" i="1" s="1"/>
  <c r="AV68" i="1"/>
  <c r="AW68" i="1" s="1"/>
  <c r="AR68" i="1"/>
  <c r="AS68" i="1" s="1"/>
  <c r="AN68" i="1"/>
  <c r="AO68" i="1" s="1"/>
  <c r="AJ68" i="1"/>
  <c r="AK68" i="1" s="1"/>
  <c r="AF68" i="1"/>
  <c r="AG68" i="1" s="1"/>
  <c r="AB68" i="1"/>
  <c r="AC68" i="1" s="1"/>
  <c r="X68" i="1"/>
  <c r="Y68" i="1" s="1"/>
  <c r="T68" i="1"/>
  <c r="U68" i="1" s="1"/>
  <c r="P68" i="1"/>
  <c r="Q68" i="1" s="1"/>
  <c r="L68" i="1"/>
  <c r="M68" i="1" s="1"/>
  <c r="H68" i="1"/>
  <c r="I68" i="1" s="1"/>
  <c r="BB67" i="1"/>
  <c r="AJ67" i="1"/>
  <c r="AK67" i="1" s="1"/>
  <c r="H67" i="1"/>
  <c r="I67" i="1" s="1"/>
  <c r="BB66" i="1"/>
  <c r="AZ66" i="1"/>
  <c r="BA66" i="1" s="1"/>
  <c r="AV66" i="1"/>
  <c r="AW66" i="1" s="1"/>
  <c r="AR66" i="1"/>
  <c r="AS66" i="1" s="1"/>
  <c r="AN66" i="1"/>
  <c r="AO66" i="1" s="1"/>
  <c r="AJ66" i="1"/>
  <c r="AK66" i="1" s="1"/>
  <c r="AF66" i="1"/>
  <c r="AG66" i="1" s="1"/>
  <c r="AB66" i="1"/>
  <c r="AC66" i="1" s="1"/>
  <c r="X66" i="1"/>
  <c r="Y66" i="1" s="1"/>
  <c r="T66" i="1"/>
  <c r="U66" i="1" s="1"/>
  <c r="P66" i="1"/>
  <c r="Q66" i="1" s="1"/>
  <c r="L66" i="1"/>
  <c r="M66" i="1" s="1"/>
  <c r="H66" i="1"/>
  <c r="I66" i="1" s="1"/>
  <c r="BB65" i="1"/>
  <c r="AZ65" i="1"/>
  <c r="BA65" i="1" s="1"/>
  <c r="AV65" i="1"/>
  <c r="AW65" i="1" s="1"/>
  <c r="AR65" i="1"/>
  <c r="AS65" i="1" s="1"/>
  <c r="AN65" i="1"/>
  <c r="AO65" i="1" s="1"/>
  <c r="AJ65" i="1"/>
  <c r="AK65" i="1" s="1"/>
  <c r="AF65" i="1"/>
  <c r="AG65" i="1" s="1"/>
  <c r="AB65" i="1"/>
  <c r="AC65" i="1" s="1"/>
  <c r="X65" i="1"/>
  <c r="Y65" i="1" s="1"/>
  <c r="T65" i="1"/>
  <c r="U65" i="1" s="1"/>
  <c r="P65" i="1"/>
  <c r="Q65" i="1" s="1"/>
  <c r="L65" i="1"/>
  <c r="M65" i="1" s="1"/>
  <c r="H65" i="1"/>
  <c r="I65" i="1" s="1"/>
  <c r="BB64" i="1"/>
  <c r="AZ64" i="1"/>
  <c r="BA64" i="1" s="1"/>
  <c r="AV64" i="1"/>
  <c r="AW64" i="1" s="1"/>
  <c r="AR64" i="1"/>
  <c r="AS64" i="1" s="1"/>
  <c r="AN64" i="1"/>
  <c r="AO64" i="1" s="1"/>
  <c r="AJ64" i="1"/>
  <c r="AK64" i="1" s="1"/>
  <c r="AF64" i="1"/>
  <c r="AG64" i="1" s="1"/>
  <c r="AB64" i="1"/>
  <c r="AC64" i="1" s="1"/>
  <c r="X64" i="1"/>
  <c r="Y64" i="1" s="1"/>
  <c r="T64" i="1"/>
  <c r="U64" i="1" s="1"/>
  <c r="P64" i="1"/>
  <c r="Q64" i="1" s="1"/>
  <c r="L64" i="1"/>
  <c r="M64" i="1" s="1"/>
  <c r="H64" i="1"/>
  <c r="I64" i="1" s="1"/>
  <c r="BB63" i="1"/>
  <c r="AZ63" i="1"/>
  <c r="BA63" i="1" s="1"/>
  <c r="AV63" i="1"/>
  <c r="AW63" i="1" s="1"/>
  <c r="AR63" i="1"/>
  <c r="AS63" i="1" s="1"/>
  <c r="AN63" i="1"/>
  <c r="AO63" i="1" s="1"/>
  <c r="AJ63" i="1"/>
  <c r="AK63" i="1" s="1"/>
  <c r="AF63" i="1"/>
  <c r="AG63" i="1" s="1"/>
  <c r="AB63" i="1"/>
  <c r="AC63" i="1" s="1"/>
  <c r="X63" i="1"/>
  <c r="Y63" i="1" s="1"/>
  <c r="T63" i="1"/>
  <c r="U63" i="1" s="1"/>
  <c r="P63" i="1"/>
  <c r="Q63" i="1" s="1"/>
  <c r="L63" i="1"/>
  <c r="M63" i="1" s="1"/>
  <c r="H63" i="1"/>
  <c r="I63" i="1" s="1"/>
  <c r="BB62" i="1"/>
  <c r="AZ62" i="1"/>
  <c r="BA62" i="1" s="1"/>
  <c r="AV62" i="1"/>
  <c r="AW62" i="1" s="1"/>
  <c r="AR62" i="1"/>
  <c r="AS62" i="1" s="1"/>
  <c r="AN62" i="1"/>
  <c r="AO62" i="1" s="1"/>
  <c r="AJ62" i="1"/>
  <c r="AK62" i="1" s="1"/>
  <c r="AF62" i="1"/>
  <c r="AG62" i="1" s="1"/>
  <c r="AB62" i="1"/>
  <c r="AC62" i="1" s="1"/>
  <c r="X62" i="1"/>
  <c r="Y62" i="1" s="1"/>
  <c r="T62" i="1"/>
  <c r="U62" i="1" s="1"/>
  <c r="P62" i="1"/>
  <c r="Q62" i="1" s="1"/>
  <c r="L62" i="1"/>
  <c r="M62" i="1" s="1"/>
  <c r="H62" i="1"/>
  <c r="I62" i="1" s="1"/>
  <c r="BB61" i="1"/>
  <c r="AZ61" i="1"/>
  <c r="BA61" i="1" s="1"/>
  <c r="AV61" i="1"/>
  <c r="AW61" i="1" s="1"/>
  <c r="AR61" i="1"/>
  <c r="AS61" i="1" s="1"/>
  <c r="AN61" i="1"/>
  <c r="AO61" i="1" s="1"/>
  <c r="AJ61" i="1"/>
  <c r="AK61" i="1" s="1"/>
  <c r="AF61" i="1"/>
  <c r="AG61" i="1" s="1"/>
  <c r="AB61" i="1"/>
  <c r="AC61" i="1" s="1"/>
  <c r="X61" i="1"/>
  <c r="Y61" i="1" s="1"/>
  <c r="T61" i="1"/>
  <c r="U61" i="1" s="1"/>
  <c r="P61" i="1"/>
  <c r="Q61" i="1" s="1"/>
  <c r="L61" i="1"/>
  <c r="M61" i="1" s="1"/>
  <c r="H61" i="1"/>
  <c r="I61" i="1" s="1"/>
  <c r="BB60" i="1"/>
  <c r="AZ60" i="1"/>
  <c r="BA60" i="1" s="1"/>
  <c r="AV60" i="1"/>
  <c r="AW60" i="1" s="1"/>
  <c r="AR60" i="1"/>
  <c r="AS60" i="1" s="1"/>
  <c r="AN60" i="1"/>
  <c r="AO60" i="1" s="1"/>
  <c r="AJ60" i="1"/>
  <c r="AK60" i="1" s="1"/>
  <c r="AF60" i="1"/>
  <c r="AG60" i="1" s="1"/>
  <c r="AB60" i="1"/>
  <c r="AC60" i="1" s="1"/>
  <c r="X60" i="1"/>
  <c r="Y60" i="1" s="1"/>
  <c r="T60" i="1"/>
  <c r="U60" i="1" s="1"/>
  <c r="P60" i="1"/>
  <c r="Q60" i="1" s="1"/>
  <c r="L60" i="1"/>
  <c r="M60" i="1" s="1"/>
  <c r="H60" i="1"/>
  <c r="I60" i="1" s="1"/>
  <c r="BB59" i="1"/>
  <c r="AZ59" i="1"/>
  <c r="BA59" i="1" s="1"/>
  <c r="AV59" i="1"/>
  <c r="AW59" i="1" s="1"/>
  <c r="AR59" i="1"/>
  <c r="AS59" i="1" s="1"/>
  <c r="AN59" i="1"/>
  <c r="AO59" i="1" s="1"/>
  <c r="AJ59" i="1"/>
  <c r="AK59" i="1" s="1"/>
  <c r="AF59" i="1"/>
  <c r="AG59" i="1" s="1"/>
  <c r="AB59" i="1"/>
  <c r="AC59" i="1" s="1"/>
  <c r="X59" i="1"/>
  <c r="Y59" i="1" s="1"/>
  <c r="T59" i="1"/>
  <c r="U59" i="1" s="1"/>
  <c r="P59" i="1"/>
  <c r="Q59" i="1" s="1"/>
  <c r="L59" i="1"/>
  <c r="M59" i="1" s="1"/>
  <c r="H59" i="1"/>
  <c r="I59" i="1" s="1"/>
  <c r="BB58" i="1"/>
  <c r="AW58" i="1"/>
  <c r="AR58" i="1"/>
  <c r="AS58" i="1" s="1"/>
  <c r="AN58" i="1"/>
  <c r="AO58" i="1" s="1"/>
  <c r="AJ58" i="1"/>
  <c r="AK58" i="1" s="1"/>
  <c r="AF58" i="1"/>
  <c r="AG58" i="1" s="1"/>
  <c r="AB58" i="1"/>
  <c r="AC58" i="1" s="1"/>
  <c r="X58" i="1"/>
  <c r="Y58" i="1" s="1"/>
  <c r="T58" i="1"/>
  <c r="U58" i="1" s="1"/>
  <c r="P58" i="1"/>
  <c r="Q58" i="1" s="1"/>
  <c r="L58" i="1"/>
  <c r="M58" i="1" s="1"/>
  <c r="H58" i="1"/>
  <c r="I58" i="1" s="1"/>
  <c r="BB57" i="1"/>
  <c r="AZ57" i="1"/>
  <c r="BA57" i="1" s="1"/>
  <c r="AV57" i="1"/>
  <c r="AW57" i="1" s="1"/>
  <c r="AR57" i="1"/>
  <c r="AS57" i="1" s="1"/>
  <c r="AN57" i="1"/>
  <c r="AO57" i="1" s="1"/>
  <c r="AJ57" i="1"/>
  <c r="AK57" i="1" s="1"/>
  <c r="AF57" i="1"/>
  <c r="AG57" i="1" s="1"/>
  <c r="AB57" i="1"/>
  <c r="AC57" i="1" s="1"/>
  <c r="X57" i="1"/>
  <c r="Y57" i="1" s="1"/>
  <c r="T57" i="1"/>
  <c r="U57" i="1" s="1"/>
  <c r="P57" i="1"/>
  <c r="Q57" i="1" s="1"/>
  <c r="L57" i="1"/>
  <c r="M57" i="1" s="1"/>
  <c r="H57" i="1"/>
  <c r="I57" i="1" s="1"/>
  <c r="BB56" i="1"/>
  <c r="AZ56" i="1"/>
  <c r="BA56" i="1" s="1"/>
  <c r="AV56" i="1"/>
  <c r="AW56" i="1" s="1"/>
  <c r="AR56" i="1"/>
  <c r="AS56" i="1" s="1"/>
  <c r="AN56" i="1"/>
  <c r="AO56" i="1" s="1"/>
  <c r="AJ56" i="1"/>
  <c r="AK56" i="1" s="1"/>
  <c r="AF56" i="1"/>
  <c r="AG56" i="1" s="1"/>
  <c r="AB56" i="1"/>
  <c r="AC56" i="1" s="1"/>
  <c r="X56" i="1"/>
  <c r="Y56" i="1" s="1"/>
  <c r="T56" i="1"/>
  <c r="U56" i="1" s="1"/>
  <c r="P56" i="1"/>
  <c r="Q56" i="1" s="1"/>
  <c r="L56" i="1"/>
  <c r="M56" i="1" s="1"/>
  <c r="H56" i="1"/>
  <c r="I56" i="1" s="1"/>
  <c r="BB55" i="1"/>
  <c r="AZ55" i="1"/>
  <c r="BA55" i="1" s="1"/>
  <c r="AV55" i="1"/>
  <c r="AW55" i="1" s="1"/>
  <c r="AR55" i="1"/>
  <c r="AS55" i="1" s="1"/>
  <c r="AN55" i="1"/>
  <c r="AO55" i="1" s="1"/>
  <c r="AJ55" i="1"/>
  <c r="AK55" i="1" s="1"/>
  <c r="AF55" i="1"/>
  <c r="AG55" i="1" s="1"/>
  <c r="AB55" i="1"/>
  <c r="AC55" i="1" s="1"/>
  <c r="X55" i="1"/>
  <c r="Y55" i="1" s="1"/>
  <c r="T55" i="1"/>
  <c r="U55" i="1" s="1"/>
  <c r="P55" i="1"/>
  <c r="Q55" i="1" s="1"/>
  <c r="L55" i="1"/>
  <c r="M55" i="1" s="1"/>
  <c r="H55" i="1"/>
  <c r="I55" i="1" s="1"/>
  <c r="BB54" i="1"/>
  <c r="AZ54" i="1"/>
  <c r="BA54" i="1" s="1"/>
  <c r="AV54" i="1"/>
  <c r="AW54" i="1" s="1"/>
  <c r="AR54" i="1"/>
  <c r="AS54" i="1" s="1"/>
  <c r="AN54" i="1"/>
  <c r="AO54" i="1" s="1"/>
  <c r="AJ54" i="1"/>
  <c r="AK54" i="1" s="1"/>
  <c r="AF54" i="1"/>
  <c r="AG54" i="1" s="1"/>
  <c r="AB54" i="1"/>
  <c r="AC54" i="1" s="1"/>
  <c r="X54" i="1"/>
  <c r="Y54" i="1" s="1"/>
  <c r="T54" i="1"/>
  <c r="U54" i="1" s="1"/>
  <c r="P54" i="1"/>
  <c r="Q54" i="1" s="1"/>
  <c r="L54" i="1"/>
  <c r="M54" i="1" s="1"/>
  <c r="H54" i="1"/>
  <c r="I54" i="1" s="1"/>
  <c r="BB53" i="1"/>
  <c r="AZ53" i="1"/>
  <c r="BA53" i="1" s="1"/>
  <c r="AV53" i="1"/>
  <c r="AW53" i="1" s="1"/>
  <c r="AR53" i="1"/>
  <c r="AS53" i="1" s="1"/>
  <c r="AN53" i="1"/>
  <c r="AO53" i="1" s="1"/>
  <c r="AJ53" i="1"/>
  <c r="AK53" i="1" s="1"/>
  <c r="AF53" i="1"/>
  <c r="AG53" i="1" s="1"/>
  <c r="AB53" i="1"/>
  <c r="AC53" i="1" s="1"/>
  <c r="X53" i="1"/>
  <c r="Y53" i="1" s="1"/>
  <c r="T53" i="1"/>
  <c r="U53" i="1" s="1"/>
  <c r="P53" i="1"/>
  <c r="Q53" i="1" s="1"/>
  <c r="L53" i="1"/>
  <c r="M53" i="1" s="1"/>
  <c r="H53" i="1"/>
  <c r="I53" i="1" s="1"/>
  <c r="BB52" i="1"/>
  <c r="AZ52" i="1"/>
  <c r="BA52" i="1" s="1"/>
  <c r="AV52" i="1"/>
  <c r="AW52" i="1" s="1"/>
  <c r="AR52" i="1"/>
  <c r="AS52" i="1" s="1"/>
  <c r="AN52" i="1"/>
  <c r="AO52" i="1" s="1"/>
  <c r="AJ52" i="1"/>
  <c r="AK52" i="1" s="1"/>
  <c r="AF52" i="1"/>
  <c r="AG52" i="1" s="1"/>
  <c r="AB52" i="1"/>
  <c r="AC52" i="1" s="1"/>
  <c r="X52" i="1"/>
  <c r="Y52" i="1" s="1"/>
  <c r="T52" i="1"/>
  <c r="U52" i="1" s="1"/>
  <c r="P52" i="1"/>
  <c r="Q52" i="1" s="1"/>
  <c r="L52" i="1"/>
  <c r="M52" i="1" s="1"/>
  <c r="H52" i="1"/>
  <c r="I52" i="1" s="1"/>
  <c r="BB51" i="1"/>
  <c r="AZ51" i="1"/>
  <c r="BA51" i="1" s="1"/>
  <c r="AV51" i="1"/>
  <c r="AW51" i="1" s="1"/>
  <c r="AR51" i="1"/>
  <c r="AS51" i="1" s="1"/>
  <c r="AN51" i="1"/>
  <c r="AO51" i="1" s="1"/>
  <c r="AJ51" i="1"/>
  <c r="AK51" i="1" s="1"/>
  <c r="AF51" i="1"/>
  <c r="AG51" i="1" s="1"/>
  <c r="AB51" i="1"/>
  <c r="AC51" i="1" s="1"/>
  <c r="X51" i="1"/>
  <c r="Y51" i="1" s="1"/>
  <c r="T51" i="1"/>
  <c r="U51" i="1" s="1"/>
  <c r="P51" i="1"/>
  <c r="Q51" i="1" s="1"/>
  <c r="L51" i="1"/>
  <c r="M51" i="1" s="1"/>
  <c r="H51" i="1"/>
  <c r="I51" i="1" s="1"/>
  <c r="BB50" i="1"/>
  <c r="AZ50" i="1"/>
  <c r="BA50" i="1" s="1"/>
  <c r="AV50" i="1"/>
  <c r="AW50" i="1" s="1"/>
  <c r="AR50" i="1"/>
  <c r="AS50" i="1" s="1"/>
  <c r="AN50" i="1"/>
  <c r="AO50" i="1" s="1"/>
  <c r="AJ50" i="1"/>
  <c r="AK50" i="1" s="1"/>
  <c r="AF50" i="1"/>
  <c r="AG50" i="1" s="1"/>
  <c r="AB50" i="1"/>
  <c r="AC50" i="1" s="1"/>
  <c r="X50" i="1"/>
  <c r="Y50" i="1" s="1"/>
  <c r="T50" i="1"/>
  <c r="U50" i="1" s="1"/>
  <c r="P50" i="1"/>
  <c r="Q50" i="1" s="1"/>
  <c r="L50" i="1"/>
  <c r="M50" i="1" s="1"/>
  <c r="H50" i="1"/>
  <c r="I50" i="1" s="1"/>
  <c r="BB49" i="1"/>
  <c r="AZ49" i="1"/>
  <c r="BA49" i="1" s="1"/>
  <c r="AV49" i="1"/>
  <c r="AW49" i="1" s="1"/>
  <c r="AR49" i="1"/>
  <c r="AS49" i="1" s="1"/>
  <c r="AN49" i="1"/>
  <c r="AO49" i="1" s="1"/>
  <c r="AJ49" i="1"/>
  <c r="AK49" i="1" s="1"/>
  <c r="AF49" i="1"/>
  <c r="AG49" i="1" s="1"/>
  <c r="AB49" i="1"/>
  <c r="AC49" i="1" s="1"/>
  <c r="X49" i="1"/>
  <c r="Y49" i="1" s="1"/>
  <c r="T49" i="1"/>
  <c r="U49" i="1" s="1"/>
  <c r="P49" i="1"/>
  <c r="Q49" i="1" s="1"/>
  <c r="L49" i="1"/>
  <c r="M49" i="1" s="1"/>
  <c r="H49" i="1"/>
  <c r="I49" i="1" s="1"/>
  <c r="BB48" i="1"/>
  <c r="AZ48" i="1"/>
  <c r="BA48" i="1" s="1"/>
  <c r="AV48" i="1"/>
  <c r="AW48" i="1" s="1"/>
  <c r="AR48" i="1"/>
  <c r="AS48" i="1" s="1"/>
  <c r="AN48" i="1"/>
  <c r="AO48" i="1" s="1"/>
  <c r="AJ48" i="1"/>
  <c r="AK48" i="1" s="1"/>
  <c r="AF48" i="1"/>
  <c r="AG48" i="1" s="1"/>
  <c r="AB48" i="1"/>
  <c r="AC48" i="1" s="1"/>
  <c r="X48" i="1"/>
  <c r="Y48" i="1" s="1"/>
  <c r="T48" i="1"/>
  <c r="U48" i="1" s="1"/>
  <c r="P48" i="1"/>
  <c r="Q48" i="1" s="1"/>
  <c r="L48" i="1"/>
  <c r="M48" i="1" s="1"/>
  <c r="H48" i="1"/>
  <c r="I48" i="1" s="1"/>
  <c r="BB47" i="1"/>
  <c r="AZ47" i="1"/>
  <c r="BA47" i="1" s="1"/>
  <c r="AV47" i="1"/>
  <c r="AW47" i="1" s="1"/>
  <c r="AR47" i="1"/>
  <c r="AS47" i="1" s="1"/>
  <c r="AN47" i="1"/>
  <c r="AO47" i="1" s="1"/>
  <c r="AJ47" i="1"/>
  <c r="AK47" i="1" s="1"/>
  <c r="AF47" i="1"/>
  <c r="AG47" i="1" s="1"/>
  <c r="AB47" i="1"/>
  <c r="AC47" i="1" s="1"/>
  <c r="X47" i="1"/>
  <c r="Y47" i="1" s="1"/>
  <c r="T47" i="1"/>
  <c r="U47" i="1" s="1"/>
  <c r="P47" i="1"/>
  <c r="Q47" i="1" s="1"/>
  <c r="L47" i="1"/>
  <c r="M47" i="1" s="1"/>
  <c r="H47" i="1"/>
  <c r="I47" i="1" s="1"/>
  <c r="BB46" i="1"/>
  <c r="AZ46" i="1"/>
  <c r="BA46" i="1" s="1"/>
  <c r="AV46" i="1"/>
  <c r="AW46" i="1" s="1"/>
  <c r="AR46" i="1"/>
  <c r="AS46" i="1" s="1"/>
  <c r="AN46" i="1"/>
  <c r="AO46" i="1" s="1"/>
  <c r="AJ46" i="1"/>
  <c r="AK46" i="1" s="1"/>
  <c r="AF46" i="1"/>
  <c r="AG46" i="1" s="1"/>
  <c r="AB46" i="1"/>
  <c r="AC46" i="1" s="1"/>
  <c r="X46" i="1"/>
  <c r="Y46" i="1" s="1"/>
  <c r="T46" i="1"/>
  <c r="U46" i="1" s="1"/>
  <c r="P46" i="1"/>
  <c r="Q46" i="1" s="1"/>
  <c r="L46" i="1"/>
  <c r="M46" i="1" s="1"/>
  <c r="H46" i="1"/>
  <c r="I46" i="1" s="1"/>
  <c r="BB45" i="1"/>
  <c r="AZ45" i="1"/>
  <c r="BA45" i="1" s="1"/>
  <c r="AV45" i="1"/>
  <c r="AW45" i="1" s="1"/>
  <c r="AR45" i="1"/>
  <c r="AS45" i="1" s="1"/>
  <c r="AN45" i="1"/>
  <c r="AO45" i="1" s="1"/>
  <c r="AJ45" i="1"/>
  <c r="AK45" i="1" s="1"/>
  <c r="AF45" i="1"/>
  <c r="AG45" i="1" s="1"/>
  <c r="AB45" i="1"/>
  <c r="AC45" i="1" s="1"/>
  <c r="X45" i="1"/>
  <c r="Y45" i="1" s="1"/>
  <c r="T45" i="1"/>
  <c r="U45" i="1" s="1"/>
  <c r="P45" i="1"/>
  <c r="Q45" i="1" s="1"/>
  <c r="L45" i="1"/>
  <c r="M45" i="1" s="1"/>
  <c r="H45" i="1"/>
  <c r="I45" i="1" s="1"/>
  <c r="BB44" i="1"/>
  <c r="AZ44" i="1"/>
  <c r="BA44" i="1" s="1"/>
  <c r="AV44" i="1"/>
  <c r="AW44" i="1" s="1"/>
  <c r="AR44" i="1"/>
  <c r="AS44" i="1" s="1"/>
  <c r="AN44" i="1"/>
  <c r="AO44" i="1" s="1"/>
  <c r="AJ44" i="1"/>
  <c r="AK44" i="1" s="1"/>
  <c r="AF44" i="1"/>
  <c r="AG44" i="1" s="1"/>
  <c r="AB44" i="1"/>
  <c r="AC44" i="1" s="1"/>
  <c r="X44" i="1"/>
  <c r="Y44" i="1" s="1"/>
  <c r="T44" i="1"/>
  <c r="U44" i="1" s="1"/>
  <c r="P44" i="1"/>
  <c r="Q44" i="1" s="1"/>
  <c r="L44" i="1"/>
  <c r="M44" i="1" s="1"/>
  <c r="H44" i="1"/>
  <c r="I44" i="1" s="1"/>
  <c r="BB43" i="1"/>
  <c r="AZ43" i="1"/>
  <c r="BA43" i="1" s="1"/>
  <c r="AV43" i="1"/>
  <c r="AW43" i="1" s="1"/>
  <c r="AR43" i="1"/>
  <c r="AS43" i="1" s="1"/>
  <c r="AN43" i="1"/>
  <c r="AO43" i="1" s="1"/>
  <c r="AJ43" i="1"/>
  <c r="AK43" i="1" s="1"/>
  <c r="AF43" i="1"/>
  <c r="AG43" i="1" s="1"/>
  <c r="AB43" i="1"/>
  <c r="AC43" i="1" s="1"/>
  <c r="X43" i="1"/>
  <c r="Y43" i="1" s="1"/>
  <c r="T43" i="1"/>
  <c r="U43" i="1" s="1"/>
  <c r="P43" i="1"/>
  <c r="Q43" i="1" s="1"/>
  <c r="L43" i="1"/>
  <c r="M43" i="1" s="1"/>
  <c r="H43" i="1"/>
  <c r="I43" i="1" s="1"/>
  <c r="BB42" i="1"/>
  <c r="AZ42" i="1"/>
  <c r="BA42" i="1" s="1"/>
  <c r="AV42" i="1"/>
  <c r="AW42" i="1" s="1"/>
  <c r="AR42" i="1"/>
  <c r="AS42" i="1" s="1"/>
  <c r="AN42" i="1"/>
  <c r="AO42" i="1" s="1"/>
  <c r="AJ42" i="1"/>
  <c r="AK42" i="1" s="1"/>
  <c r="AF42" i="1"/>
  <c r="AG42" i="1" s="1"/>
  <c r="AB42" i="1"/>
  <c r="AC42" i="1" s="1"/>
  <c r="X42" i="1"/>
  <c r="Y42" i="1" s="1"/>
  <c r="T42" i="1"/>
  <c r="U42" i="1" s="1"/>
  <c r="P42" i="1"/>
  <c r="Q42" i="1" s="1"/>
  <c r="L42" i="1"/>
  <c r="M42" i="1" s="1"/>
  <c r="AZ33" i="1"/>
  <c r="BA33" i="1" s="1"/>
  <c r="AV33" i="1"/>
  <c r="AW33" i="1" s="1"/>
  <c r="AR33" i="1"/>
  <c r="AS33" i="1" s="1"/>
  <c r="AN33" i="1"/>
  <c r="AO33" i="1" s="1"/>
  <c r="AJ33" i="1"/>
  <c r="AK33" i="1" s="1"/>
  <c r="BA32" i="1"/>
  <c r="AW32" i="1"/>
  <c r="AS32" i="1"/>
  <c r="AO32" i="1"/>
  <c r="AK32" i="1"/>
  <c r="BA30" i="1"/>
  <c r="AW30" i="1"/>
  <c r="AS30" i="1"/>
  <c r="AO30" i="1"/>
  <c r="AK30" i="1"/>
  <c r="BA29" i="1"/>
  <c r="AW29" i="1"/>
  <c r="AS29" i="1"/>
  <c r="AO29" i="1"/>
  <c r="AK29" i="1"/>
  <c r="BA28" i="1"/>
  <c r="AW28" i="1"/>
  <c r="AS28" i="1"/>
  <c r="AO28" i="1"/>
  <c r="AK28" i="1"/>
  <c r="BA27" i="1"/>
  <c r="AW27" i="1"/>
  <c r="AS27" i="1"/>
  <c r="AO27" i="1"/>
  <c r="AK27" i="1"/>
  <c r="BA26" i="1"/>
  <c r="AW26" i="1"/>
  <c r="AS26" i="1"/>
  <c r="AO26" i="1"/>
  <c r="AK26" i="1"/>
  <c r="BA25" i="1"/>
  <c r="AW25" i="1"/>
  <c r="AS25" i="1"/>
  <c r="AO25" i="1"/>
  <c r="AK25" i="1"/>
  <c r="BA24" i="1"/>
  <c r="AW24" i="1"/>
  <c r="AS24" i="1"/>
  <c r="AO24" i="1"/>
  <c r="AK24" i="1"/>
  <c r="BA23" i="1"/>
  <c r="AW23" i="1"/>
  <c r="AS23" i="1"/>
  <c r="AO23" i="1"/>
  <c r="AK23" i="1"/>
  <c r="BA22" i="1"/>
  <c r="AW22" i="1"/>
  <c r="AS22" i="1"/>
  <c r="AO22" i="1"/>
  <c r="AK22" i="1"/>
  <c r="BA21" i="1"/>
  <c r="AW21" i="1"/>
  <c r="AS21" i="1"/>
  <c r="AO21" i="1"/>
  <c r="AK21" i="1"/>
  <c r="BA20" i="1"/>
  <c r="AW20" i="1"/>
  <c r="AS20" i="1"/>
  <c r="AO20" i="1"/>
  <c r="AK20" i="1"/>
  <c r="BA19" i="1"/>
  <c r="AW19" i="1"/>
  <c r="AS19" i="1"/>
  <c r="AO19" i="1"/>
  <c r="AK19" i="1"/>
  <c r="BA18" i="1"/>
  <c r="AW18" i="1"/>
  <c r="AS18" i="1"/>
  <c r="AO18" i="1"/>
  <c r="AK18" i="1"/>
  <c r="BA17" i="1"/>
  <c r="AW17" i="1"/>
  <c r="AS17" i="1"/>
  <c r="AO17" i="1"/>
  <c r="AK17" i="1"/>
  <c r="BC67" i="1" l="1"/>
  <c r="BC42" i="1"/>
  <c r="BC46" i="1"/>
  <c r="BC52" i="1"/>
  <c r="BB71" i="1"/>
  <c r="BC47" i="1"/>
  <c r="BC54" i="1"/>
  <c r="BC55" i="1"/>
  <c r="BC60" i="1"/>
  <c r="BC62" i="1"/>
  <c r="BC66" i="1"/>
  <c r="BC44" i="1"/>
  <c r="BC50" i="1"/>
  <c r="BC57" i="1"/>
  <c r="BC58" i="1"/>
  <c r="BC63" i="1"/>
  <c r="BC65" i="1"/>
  <c r="BC48" i="1"/>
  <c r="BC56" i="1"/>
  <c r="BC70" i="1"/>
  <c r="BC64" i="1"/>
  <c r="BC61" i="1"/>
  <c r="BC68" i="1"/>
  <c r="BC69" i="1"/>
  <c r="BC43" i="1"/>
  <c r="BC45" i="1"/>
  <c r="BC49" i="1"/>
  <c r="BC51" i="1"/>
  <c r="BC53" i="1"/>
  <c r="BC59" i="1"/>
  <c r="BC71" i="1" l="1"/>
</calcChain>
</file>

<file path=xl/sharedStrings.xml><?xml version="1.0" encoding="utf-8"?>
<sst xmlns="http://schemas.openxmlformats.org/spreadsheetml/2006/main" count="504" uniqueCount="179">
  <si>
    <t>SECTION</t>
  </si>
  <si>
    <t>PART_NO</t>
  </si>
  <si>
    <t>PART  NAME</t>
  </si>
  <si>
    <t>DETAIL PART</t>
  </si>
  <si>
    <t>TOTAL QTY</t>
  </si>
  <si>
    <t>TOTAL AMT USD</t>
  </si>
  <si>
    <t>QTY</t>
  </si>
  <si>
    <t>PRICE</t>
  </si>
  <si>
    <t>AMOUNT</t>
  </si>
  <si>
    <t>IDR</t>
  </si>
  <si>
    <t>USD</t>
  </si>
  <si>
    <t>AMT IDR</t>
  </si>
  <si>
    <t>AMT USD</t>
  </si>
  <si>
    <t>GA</t>
  </si>
  <si>
    <t>JASA019</t>
  </si>
  <si>
    <t>RENTAL</t>
  </si>
  <si>
    <t>OVERTIME DRIVER PRESIDEN DIREKTUR</t>
  </si>
  <si>
    <t>JASA007</t>
  </si>
  <si>
    <t>OVERTIME DRIVER FACTORY MANAGER</t>
  </si>
  <si>
    <t>JASA008</t>
  </si>
  <si>
    <t>OVERTIME DRIVER SM PP</t>
  </si>
  <si>
    <t>JASA009</t>
  </si>
  <si>
    <t>OVERTIME DRIVER SM QA</t>
  </si>
  <si>
    <t>JASA010</t>
  </si>
  <si>
    <t>OVERTIME DRIVER SM LOG</t>
  </si>
  <si>
    <t>JASA011</t>
  </si>
  <si>
    <t>OVERTIME DRIVER SM PRD</t>
  </si>
  <si>
    <t>JASA012</t>
  </si>
  <si>
    <t>OVERTIME DRIVER SM PE</t>
  </si>
  <si>
    <t>JASA013</t>
  </si>
  <si>
    <t>OVERTIME DRIVER SM MTC</t>
  </si>
  <si>
    <t>JASA014</t>
  </si>
  <si>
    <t>OVERTIME DRIVER OPERASIONAL  1</t>
  </si>
  <si>
    <t>JASA015</t>
  </si>
  <si>
    <t>OVERTIME DRIVER OPERASIONAL  2</t>
  </si>
  <si>
    <t>JASA016</t>
  </si>
  <si>
    <t>OVERTIME DRIVER OPERASIONAL  3</t>
  </si>
  <si>
    <t>RENT020</t>
  </si>
  <si>
    <t>RENTAL MOBIL PRESIDEN DIREKTUR</t>
  </si>
  <si>
    <t>RENT002</t>
  </si>
  <si>
    <t>MOBIL SM QA</t>
  </si>
  <si>
    <t>RENT003</t>
  </si>
  <si>
    <t>MOBIL SM PRD</t>
  </si>
  <si>
    <t>RENT004</t>
  </si>
  <si>
    <t>MOBIL SM PP</t>
  </si>
  <si>
    <t>RENT005</t>
  </si>
  <si>
    <t>MOBIL SM LOG</t>
  </si>
  <si>
    <t>RENT006</t>
  </si>
  <si>
    <t>MOBIL SM MTC</t>
  </si>
  <si>
    <t>RENT007</t>
  </si>
  <si>
    <t>MOBIL SM PE</t>
  </si>
  <si>
    <t>RENT008</t>
  </si>
  <si>
    <t>MOBIL SM FACTORY MANAGER</t>
  </si>
  <si>
    <t>RENT009</t>
  </si>
  <si>
    <t>MOBIL OPERASIONAL</t>
  </si>
  <si>
    <t>RENT010</t>
  </si>
  <si>
    <t>MOBIL SM FA</t>
  </si>
  <si>
    <t>RENT011</t>
  </si>
  <si>
    <t>MOBIL DFM</t>
  </si>
  <si>
    <t>RENT012</t>
  </si>
  <si>
    <t>MOBIL MGR PGA</t>
  </si>
  <si>
    <t>RENT013</t>
  </si>
  <si>
    <t>MOBIL MGR PRD</t>
  </si>
  <si>
    <t>RENT014</t>
  </si>
  <si>
    <t>SEWA MOBIL MGR LOG</t>
  </si>
  <si>
    <t>JASA020</t>
  </si>
  <si>
    <t>MCU DRIVER</t>
  </si>
  <si>
    <t>RENT021</t>
  </si>
  <si>
    <t>RENTAL MOBIL MGR QA</t>
  </si>
  <si>
    <t>JASA001</t>
  </si>
  <si>
    <t>JASA 8 DRIVER SURYA SUDECO</t>
  </si>
  <si>
    <t>RENT016</t>
  </si>
  <si>
    <t>RENTAL MOBIL UNTUK TAMU</t>
  </si>
  <si>
    <t>Feb-24</t>
  </si>
  <si>
    <t>MOBIL GM FA</t>
  </si>
  <si>
    <t>NO</t>
  </si>
  <si>
    <t>NO PERJANJIAN</t>
  </si>
  <si>
    <t>NAMA PERJANJIAN</t>
  </si>
  <si>
    <t>VENDOR/
SUPPLIER</t>
  </si>
  <si>
    <t>TAHUN MOBIL</t>
  </si>
  <si>
    <t>RP</t>
  </si>
  <si>
    <t>PER</t>
  </si>
  <si>
    <t>MULAI</t>
  </si>
  <si>
    <t>AKHIR</t>
  </si>
  <si>
    <t>PERIODE
(Tahun)</t>
  </si>
  <si>
    <t>PIC
AREA</t>
  </si>
  <si>
    <t>MASA BERLAKU
(Bulan)</t>
  </si>
  <si>
    <t>1 unit</t>
  </si>
  <si>
    <t>PT. Surya Sudeco</t>
  </si>
  <si>
    <t>1 bulan</t>
  </si>
  <si>
    <t>ACT TERM 83</t>
  </si>
  <si>
    <t>PLAN TERM 84</t>
  </si>
  <si>
    <t>Des-24</t>
  </si>
  <si>
    <t>Jan-25</t>
  </si>
  <si>
    <t>Feb-25</t>
  </si>
  <si>
    <t>Mar-25</t>
  </si>
  <si>
    <t>Apr-25</t>
  </si>
  <si>
    <t>May-25</t>
  </si>
  <si>
    <t>Jun-25</t>
  </si>
  <si>
    <t>UMK 2023</t>
  </si>
  <si>
    <t>UMK 2024</t>
  </si>
  <si>
    <t>Harga Pengemudi Tahun 2023</t>
  </si>
  <si>
    <t>TAHUN 2023</t>
  </si>
  <si>
    <t>TAHUN 2024</t>
  </si>
  <si>
    <t>DOKUMEN</t>
  </si>
  <si>
    <t xml:space="preserve">Keterangan </t>
  </si>
  <si>
    <t>PENAGIHAN</t>
  </si>
  <si>
    <t>YANG DITERIMA</t>
  </si>
  <si>
    <t>Biaya Fix per Bulan</t>
  </si>
  <si>
    <t>A</t>
  </si>
  <si>
    <t>Biaya Personil</t>
  </si>
  <si>
    <t>Slip Gaji</t>
  </si>
  <si>
    <t>Gaji Pokok (UMK Kota Semarang th 2023)</t>
  </si>
  <si>
    <t>Total A</t>
  </si>
  <si>
    <t>B</t>
  </si>
  <si>
    <t>Manfaat Tambahan/ Kesejahteraan</t>
  </si>
  <si>
    <t>BPJS Kesehatan 4%</t>
  </si>
  <si>
    <t>BPJS Ketenagakerjaan (6,24% C Gaji Pokok)</t>
  </si>
  <si>
    <t>a. JKK(Jaminan Kecelakaan Kerja) 0.24% x Gaji Pokok</t>
  </si>
  <si>
    <t>Dibayarkan ke BPJS</t>
  </si>
  <si>
    <t>b. JK (Jaminan Kematian) 0.3% x Gaji Pokok</t>
  </si>
  <si>
    <t>c. JHT (Jaminan Hari Tua ) 3.7 % x Gaji Pokok</t>
  </si>
  <si>
    <t>d. JP (Jaminan Pensiun) 2% x Gaji Pokok</t>
  </si>
  <si>
    <t>TOTAL B</t>
  </si>
  <si>
    <t>C</t>
  </si>
  <si>
    <t>Medical Check up</t>
  </si>
  <si>
    <t>-</t>
  </si>
  <si>
    <t>Hasil Medical Check up (1x dalam setahun)</t>
  </si>
  <si>
    <t>ditagihkan sesuai dengan Biaya Medical Check up</t>
  </si>
  <si>
    <t>Tunjangan Hari Raya</t>
  </si>
  <si>
    <t>Slip THR</t>
  </si>
  <si>
    <t>Seragam</t>
  </si>
  <si>
    <t>Serah TERIMA Seragam terdiri 2 kemeja, 1 batik dan 2 celana (pertahun)</t>
  </si>
  <si>
    <t>Tunjangan Akhir Kontrak</t>
  </si>
  <si>
    <t>Gaji Pokok /12</t>
  </si>
  <si>
    <t>diberikan saat kontrak berakhir (sesuai PP No.35 Tahun 2021)</t>
  </si>
  <si>
    <t>TOTAL C</t>
  </si>
  <si>
    <t>E</t>
  </si>
  <si>
    <t>Total DPP HPP</t>
  </si>
  <si>
    <t>(Total A+ Total B+ Total c)</t>
  </si>
  <si>
    <t>F</t>
  </si>
  <si>
    <t>Jasa Pengelolaan (9,5%)</t>
  </si>
  <si>
    <t>9,5 % X Total DPP HPP</t>
  </si>
  <si>
    <t>G</t>
  </si>
  <si>
    <t>Total DPP</t>
  </si>
  <si>
    <t>Total DPP HPP + Jasa Pengelolaan</t>
  </si>
  <si>
    <t>H</t>
  </si>
  <si>
    <t>Ppn (11%)</t>
  </si>
  <si>
    <t>11% x Total DPP</t>
  </si>
  <si>
    <t>I</t>
  </si>
  <si>
    <t>Total Harga Pengemudi</t>
  </si>
  <si>
    <t xml:space="preserve">sesuai harga pengemudi ke SAMI </t>
  </si>
  <si>
    <t>Gaji Pengemudi (Total A+ Total B)</t>
  </si>
  <si>
    <t>BPJS Kesehatan dan Ketenagakerjaan</t>
  </si>
  <si>
    <t>tanggungan pemberi kerja</t>
  </si>
  <si>
    <t>JHT (Jaminan Hari Tua ) 2% x UMK</t>
  </si>
  <si>
    <t>tanggungan pengemudi/ Naker 2% dari UMK</t>
  </si>
  <si>
    <t>JP (Jaminan Pensiun) 1 % x UMK</t>
  </si>
  <si>
    <t>tanggungan pengemudi/ Naker 1% dari UMK</t>
  </si>
  <si>
    <t>BPJS Kesehatan 1% x UMK</t>
  </si>
  <si>
    <t xml:space="preserve">Take Home Pay Pengemudi </t>
  </si>
  <si>
    <t>Biaya Non Fix</t>
  </si>
  <si>
    <t>Rupiah</t>
  </si>
  <si>
    <t>Lembur hari kerja</t>
  </si>
  <si>
    <t>Lembur hari libur</t>
  </si>
  <si>
    <t>Dinas luar kota non inap</t>
  </si>
  <si>
    <t>Dinas luar kota inap</t>
  </si>
  <si>
    <t>Management fee jasa overtime</t>
  </si>
  <si>
    <t>Uang Makan</t>
  </si>
  <si>
    <t>HARGA PENGEMUDI TAHUN 2024</t>
  </si>
  <si>
    <t>diterima dalam bentuk natura</t>
  </si>
  <si>
    <t>Kenaikan UMK 2024 6%</t>
  </si>
  <si>
    <t>Kenaikan UMK 2023 8%</t>
  </si>
  <si>
    <t>Estimasi kenaikan UMK 2025 8%</t>
  </si>
  <si>
    <t>TAHUN 2025</t>
  </si>
  <si>
    <t>Uang makan</t>
  </si>
  <si>
    <t xml:space="preserve">Gaji driver + Uang makan </t>
  </si>
  <si>
    <t>Jumlah hari</t>
  </si>
  <si>
    <t>Master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</si>
</sst>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09]mmm\-yy;@"/>
    <numFmt numFmtId="167" formatCode="_ * #,##0_ ;_ * \-#,##0_ ;_ * &quot;-&quot;_ ;_ @_ "/>
    <numFmt numFmtId="168" formatCode="_ * #,##0.00_ ;_ * \-#,##0.00_ ;_ * &quot;-&quot;_ ;_ @_ "/>
    <numFmt numFmtId="169" formatCode="_-* #,##0.0_-;\-* #,##0.0_-;_-* &quot;-&quot;??_-;_-@_-"/>
    <numFmt numFmtId="170" formatCode="_(* #,##0_);_(* \(#,##0\);_(* &quot;-&quot;??_);_(@_)"/>
    <numFmt numFmtId="171" formatCode="[$-409]d\-mmm\-yy;@"/>
    <numFmt numFmtId="172" formatCode="0.0"/>
    <numFmt numFmtId="173" formatCode="_(* #,##0_);_(* \(#,##0\);_(* &quot;-&quot;_);_(@_)"/>
    <numFmt numFmtId="174" formatCode="_(* #,##0.00_);_(* \(#,##0.00\);_(* &quot;-&quot;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Arial"/>
      <family val="2"/>
    </font>
    <font>
      <sz val="11"/>
      <color theme="1"/>
      <name val="Calibri"/>
      <family val="3"/>
      <charset val="128"/>
      <scheme val="minor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17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2">
    <xf numFmtId="0" fontId="0" fillId="0" borderId="0" xfId="0"/>
    <xf numFmtId="0" fontId="3" fillId="2" borderId="0" xfId="0" applyFont="1" applyFill="1"/>
    <xf numFmtId="0" fontId="0" fillId="2" borderId="0" xfId="0" applyFill="1"/>
    <xf numFmtId="165" fontId="0" fillId="0" borderId="0" xfId="1" applyNumberFormat="1" applyFont="1"/>
    <xf numFmtId="0" fontId="5" fillId="4" borderId="1" xfId="4" applyFont="1" applyFill="1" applyBorder="1" applyAlignment="1" applyProtection="1">
      <alignment vertical="center"/>
      <protection locked="0"/>
    </xf>
    <xf numFmtId="0" fontId="5" fillId="5" borderId="2" xfId="4" applyFont="1" applyFill="1" applyBorder="1" applyAlignment="1" applyProtection="1">
      <alignment vertical="center" wrapText="1"/>
      <protection locked="0"/>
    </xf>
    <xf numFmtId="0" fontId="5" fillId="5" borderId="2" xfId="4" applyFont="1" applyFill="1" applyBorder="1" applyAlignment="1" applyProtection="1">
      <alignment vertical="center" wrapText="1"/>
      <protection hidden="1"/>
    </xf>
    <xf numFmtId="0" fontId="5" fillId="5" borderId="3" xfId="4" applyFont="1" applyFill="1" applyBorder="1" applyAlignment="1" applyProtection="1">
      <alignment vertical="center" wrapText="1"/>
      <protection locked="0"/>
    </xf>
    <xf numFmtId="0" fontId="5" fillId="4" borderId="0" xfId="4" applyFont="1" applyFill="1" applyAlignment="1" applyProtection="1">
      <alignment vertical="center"/>
      <protection locked="0"/>
    </xf>
    <xf numFmtId="0" fontId="5" fillId="5" borderId="8" xfId="4" applyFont="1" applyFill="1" applyBorder="1" applyAlignment="1" applyProtection="1">
      <alignment vertical="center" wrapText="1"/>
      <protection locked="0"/>
    </xf>
    <xf numFmtId="0" fontId="5" fillId="5" borderId="9" xfId="4" applyFont="1" applyFill="1" applyBorder="1" applyAlignment="1" applyProtection="1">
      <alignment vertical="center" wrapText="1"/>
      <protection hidden="1"/>
    </xf>
    <xf numFmtId="0" fontId="5" fillId="5" borderId="0" xfId="4" applyFont="1" applyFill="1" applyAlignment="1" applyProtection="1">
      <alignment vertical="center" wrapText="1"/>
      <protection locked="0"/>
    </xf>
    <xf numFmtId="167" fontId="5" fillId="5" borderId="10" xfId="5" applyNumberFormat="1" applyFont="1" applyFill="1" applyBorder="1" applyAlignment="1" applyProtection="1">
      <alignment horizontal="center" vertical="center"/>
      <protection locked="0"/>
    </xf>
    <xf numFmtId="167" fontId="5" fillId="5" borderId="11" xfId="5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/>
    <xf numFmtId="165" fontId="0" fillId="0" borderId="4" xfId="1" applyNumberFormat="1" applyFont="1" applyBorder="1"/>
    <xf numFmtId="43" fontId="0" fillId="0" borderId="4" xfId="1" applyFont="1" applyBorder="1"/>
    <xf numFmtId="2" fontId="0" fillId="0" borderId="4" xfId="0" applyNumberFormat="1" applyBorder="1"/>
    <xf numFmtId="41" fontId="0" fillId="0" borderId="4" xfId="2" applyFont="1" applyBorder="1"/>
    <xf numFmtId="169" fontId="0" fillId="0" borderId="4" xfId="1" applyNumberFormat="1" applyFont="1" applyBorder="1"/>
    <xf numFmtId="170" fontId="0" fillId="0" borderId="4" xfId="0" applyNumberFormat="1" applyBorder="1"/>
    <xf numFmtId="41" fontId="6" fillId="0" borderId="4" xfId="2" applyFont="1" applyBorder="1"/>
    <xf numFmtId="165" fontId="6" fillId="0" borderId="4" xfId="1" applyNumberFormat="1" applyFont="1" applyBorder="1"/>
    <xf numFmtId="165" fontId="0" fillId="0" borderId="4" xfId="1" applyNumberFormat="1" applyFont="1" applyFill="1" applyBorder="1"/>
    <xf numFmtId="37" fontId="1" fillId="0" borderId="4" xfId="5" applyNumberFormat="1" applyFont="1" applyFill="1" applyBorder="1" applyProtection="1">
      <protection hidden="1"/>
    </xf>
    <xf numFmtId="41" fontId="1" fillId="0" borderId="4" xfId="2" applyFont="1" applyFill="1" applyBorder="1"/>
    <xf numFmtId="165" fontId="1" fillId="0" borderId="4" xfId="1" applyNumberFormat="1" applyFont="1" applyFill="1" applyBorder="1"/>
    <xf numFmtId="165" fontId="0" fillId="0" borderId="4" xfId="0" applyNumberFormat="1" applyBorder="1"/>
    <xf numFmtId="0" fontId="3" fillId="6" borderId="0" xfId="0" applyFont="1" applyFill="1" applyProtection="1">
      <protection locked="0"/>
    </xf>
    <xf numFmtId="0" fontId="0" fillId="6" borderId="0" xfId="0" applyFill="1"/>
    <xf numFmtId="164" fontId="0" fillId="7" borderId="0" xfId="3" applyFont="1" applyFill="1"/>
    <xf numFmtId="41" fontId="0" fillId="0" borderId="4" xfId="0" applyNumberFormat="1" applyBorder="1"/>
    <xf numFmtId="170" fontId="0" fillId="0" borderId="4" xfId="3" applyNumberFormat="1" applyFont="1" applyFill="1" applyBorder="1" applyProtection="1">
      <protection locked="0"/>
    </xf>
    <xf numFmtId="0" fontId="0" fillId="0" borderId="4" xfId="0" applyBorder="1" applyProtection="1">
      <protection locked="0"/>
    </xf>
    <xf numFmtId="1" fontId="0" fillId="0" borderId="0" xfId="0" applyNumberFormat="1"/>
    <xf numFmtId="41" fontId="0" fillId="0" borderId="4" xfId="2" applyFont="1" applyFill="1" applyBorder="1"/>
    <xf numFmtId="170" fontId="0" fillId="3" borderId="4" xfId="3" applyNumberFormat="1" applyFont="1" applyFill="1" applyBorder="1" applyProtection="1">
      <protection locked="0"/>
    </xf>
    <xf numFmtId="170" fontId="0" fillId="8" borderId="4" xfId="0" applyNumberFormat="1" applyFill="1" applyBorder="1"/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vertical="center" wrapText="1"/>
    </xf>
    <xf numFmtId="0" fontId="7" fillId="0" borderId="20" xfId="0" applyFont="1" applyBorder="1" applyAlignment="1">
      <alignment vertical="center"/>
    </xf>
    <xf numFmtId="3" fontId="7" fillId="0" borderId="20" xfId="0" applyNumberFormat="1" applyFont="1" applyBorder="1" applyAlignment="1">
      <alignment vertical="center"/>
    </xf>
    <xf numFmtId="171" fontId="7" fillId="0" borderId="20" xfId="0" applyNumberFormat="1" applyFont="1" applyBorder="1" applyAlignment="1">
      <alignment vertical="center"/>
    </xf>
    <xf numFmtId="172" fontId="7" fillId="0" borderId="20" xfId="0" applyNumberFormat="1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3" fontId="7" fillId="0" borderId="4" xfId="0" applyNumberFormat="1" applyFont="1" applyBorder="1" applyAlignment="1">
      <alignment horizontal="right" vertical="center"/>
    </xf>
    <xf numFmtId="171" fontId="7" fillId="0" borderId="4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71" fontId="7" fillId="3" borderId="4" xfId="0" applyNumberFormat="1" applyFont="1" applyFill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 wrapText="1"/>
    </xf>
    <xf numFmtId="0" fontId="7" fillId="0" borderId="25" xfId="0" applyFont="1" applyBorder="1" applyAlignment="1">
      <alignment vertical="center"/>
    </xf>
    <xf numFmtId="3" fontId="7" fillId="0" borderId="25" xfId="0" applyNumberFormat="1" applyFont="1" applyBorder="1" applyAlignment="1">
      <alignment horizontal="right" vertical="center"/>
    </xf>
    <xf numFmtId="171" fontId="7" fillId="0" borderId="25" xfId="0" applyNumberFormat="1" applyFont="1" applyBorder="1" applyAlignment="1">
      <alignment vertical="center"/>
    </xf>
    <xf numFmtId="172" fontId="7" fillId="0" borderId="25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43" fontId="0" fillId="0" borderId="0" xfId="0" applyNumberFormat="1"/>
    <xf numFmtId="0" fontId="2" fillId="0" borderId="4" xfId="0" applyFont="1" applyBorder="1"/>
    <xf numFmtId="165" fontId="1" fillId="0" borderId="4" xfId="1" applyNumberFormat="1" applyFont="1" applyBorder="1"/>
    <xf numFmtId="165" fontId="0" fillId="5" borderId="4" xfId="1" applyNumberFormat="1" applyFont="1" applyFill="1" applyBorder="1"/>
    <xf numFmtId="41" fontId="0" fillId="5" borderId="4" xfId="2" applyFont="1" applyFill="1" applyBorder="1"/>
    <xf numFmtId="41" fontId="0" fillId="0" borderId="0" xfId="2" applyFont="1"/>
    <xf numFmtId="0" fontId="5" fillId="5" borderId="0" xfId="4" applyFont="1" applyFill="1" applyBorder="1" applyAlignment="1" applyProtection="1">
      <alignment vertical="center" wrapText="1"/>
      <protection locked="0"/>
    </xf>
    <xf numFmtId="164" fontId="8" fillId="7" borderId="0" xfId="3" applyFont="1" applyFill="1"/>
    <xf numFmtId="0" fontId="8" fillId="0" borderId="4" xfId="0" applyFont="1" applyBorder="1"/>
    <xf numFmtId="0" fontId="8" fillId="0" borderId="0" xfId="0" applyFont="1"/>
    <xf numFmtId="171" fontId="9" fillId="0" borderId="4" xfId="0" applyNumberFormat="1" applyFont="1" applyBorder="1" applyAlignment="1">
      <alignment vertical="center" wrapText="1"/>
    </xf>
    <xf numFmtId="171" fontId="9" fillId="5" borderId="4" xfId="0" applyNumberFormat="1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1" fontId="9" fillId="0" borderId="4" xfId="0" applyNumberFormat="1" applyFont="1" applyFill="1" applyBorder="1" applyAlignment="1">
      <alignment vertical="center" wrapText="1"/>
    </xf>
    <xf numFmtId="0" fontId="0" fillId="5" borderId="4" xfId="0" applyFill="1" applyBorder="1"/>
    <xf numFmtId="41" fontId="0" fillId="5" borderId="4" xfId="0" applyNumberFormat="1" applyFill="1" applyBorder="1"/>
    <xf numFmtId="2" fontId="0" fillId="5" borderId="4" xfId="0" applyNumberFormat="1" applyFill="1" applyBorder="1"/>
    <xf numFmtId="170" fontId="0" fillId="5" borderId="4" xfId="3" applyNumberFormat="1" applyFont="1" applyFill="1" applyBorder="1" applyProtection="1">
      <protection locked="0"/>
    </xf>
    <xf numFmtId="170" fontId="0" fillId="5" borderId="4" xfId="0" applyNumberFormat="1" applyFill="1" applyBorder="1"/>
    <xf numFmtId="0" fontId="0" fillId="5" borderId="0" xfId="0" applyFill="1"/>
    <xf numFmtId="0" fontId="4" fillId="0" borderId="0" xfId="4"/>
    <xf numFmtId="0" fontId="4" fillId="0" borderId="0" xfId="4" applyAlignment="1">
      <alignment horizontal="center"/>
    </xf>
    <xf numFmtId="0" fontId="4" fillId="0" borderId="4" xfId="4" applyBorder="1"/>
    <xf numFmtId="173" fontId="0" fillId="0" borderId="4" xfId="6" applyFont="1" applyBorder="1"/>
    <xf numFmtId="9" fontId="0" fillId="0" borderId="4" xfId="7" applyFont="1" applyBorder="1"/>
    <xf numFmtId="0" fontId="4" fillId="0" borderId="0" xfId="4" applyBorder="1"/>
    <xf numFmtId="173" fontId="0" fillId="0" borderId="0" xfId="6" applyFont="1" applyBorder="1"/>
    <xf numFmtId="9" fontId="0" fillId="0" borderId="0" xfId="7" applyFont="1" applyBorder="1"/>
    <xf numFmtId="0" fontId="12" fillId="0" borderId="31" xfId="4" applyFont="1" applyBorder="1" applyAlignment="1">
      <alignment horizontal="center"/>
    </xf>
    <xf numFmtId="0" fontId="4" fillId="0" borderId="30" xfId="4" applyBorder="1"/>
    <xf numFmtId="0" fontId="4" fillId="0" borderId="31" xfId="4" applyBorder="1" applyAlignment="1">
      <alignment horizontal="center"/>
    </xf>
    <xf numFmtId="0" fontId="4" fillId="0" borderId="31" xfId="4" applyBorder="1"/>
    <xf numFmtId="0" fontId="4" fillId="0" borderId="32" xfId="4" applyBorder="1"/>
    <xf numFmtId="173" fontId="0" fillId="0" borderId="31" xfId="6" applyFont="1" applyBorder="1"/>
    <xf numFmtId="173" fontId="4" fillId="5" borderId="31" xfId="4" applyNumberFormat="1" applyFill="1" applyBorder="1"/>
    <xf numFmtId="173" fontId="4" fillId="5" borderId="31" xfId="6" applyFont="1" applyFill="1" applyBorder="1"/>
    <xf numFmtId="173" fontId="4" fillId="0" borderId="31" xfId="4" applyNumberFormat="1" applyBorder="1"/>
    <xf numFmtId="0" fontId="4" fillId="0" borderId="31" xfId="4" quotePrefix="1" applyBorder="1" applyAlignment="1">
      <alignment horizontal="center" vertical="center"/>
    </xf>
    <xf numFmtId="0" fontId="4" fillId="0" borderId="31" xfId="4" applyBorder="1" applyAlignment="1">
      <alignment wrapText="1"/>
    </xf>
    <xf numFmtId="0" fontId="4" fillId="0" borderId="32" xfId="4" applyBorder="1" applyAlignment="1">
      <alignment wrapText="1"/>
    </xf>
    <xf numFmtId="0" fontId="4" fillId="0" borderId="31" xfId="4" applyBorder="1" applyAlignment="1">
      <alignment horizontal="center" vertical="center"/>
    </xf>
    <xf numFmtId="0" fontId="4" fillId="0" borderId="31" xfId="4" applyBorder="1" applyAlignment="1">
      <alignment vertical="center"/>
    </xf>
    <xf numFmtId="0" fontId="4" fillId="5" borderId="31" xfId="4" applyFill="1" applyBorder="1"/>
    <xf numFmtId="173" fontId="4" fillId="9" borderId="31" xfId="4" applyNumberFormat="1" applyFill="1" applyBorder="1"/>
    <xf numFmtId="0" fontId="4" fillId="0" borderId="33" xfId="4" applyBorder="1"/>
    <xf numFmtId="0" fontId="4" fillId="0" borderId="34" xfId="4" applyBorder="1" applyAlignment="1">
      <alignment horizontal="center"/>
    </xf>
    <xf numFmtId="0" fontId="4" fillId="0" borderId="34" xfId="4" applyBorder="1"/>
    <xf numFmtId="173" fontId="4" fillId="0" borderId="34" xfId="4" applyNumberFormat="1" applyBorder="1"/>
    <xf numFmtId="0" fontId="4" fillId="0" borderId="35" xfId="4" applyBorder="1"/>
    <xf numFmtId="0" fontId="4" fillId="0" borderId="0" xfId="4" quotePrefix="1"/>
    <xf numFmtId="173" fontId="0" fillId="0" borderId="0" xfId="6" applyFont="1"/>
    <xf numFmtId="9" fontId="4" fillId="0" borderId="0" xfId="4" applyNumberFormat="1"/>
    <xf numFmtId="0" fontId="4" fillId="0" borderId="32" xfId="4" applyBorder="1" applyAlignment="1">
      <alignment vertical="center"/>
    </xf>
    <xf numFmtId="173" fontId="0" fillId="0" borderId="0" xfId="7" applyNumberFormat="1" applyFont="1" applyBorder="1"/>
    <xf numFmtId="173" fontId="0" fillId="0" borderId="31" xfId="6" applyFont="1" applyBorder="1" applyAlignment="1">
      <alignment vertical="center"/>
    </xf>
    <xf numFmtId="17" fontId="4" fillId="0" borderId="0" xfId="4" applyNumberFormat="1" applyAlignment="1">
      <alignment horizontal="left"/>
    </xf>
    <xf numFmtId="41" fontId="4" fillId="0" borderId="0" xfId="2" applyFont="1"/>
    <xf numFmtId="173" fontId="4" fillId="0" borderId="0" xfId="4" applyNumberFormat="1"/>
    <xf numFmtId="2" fontId="0" fillId="0" borderId="0" xfId="0" applyNumberFormat="1"/>
    <xf numFmtId="174" fontId="0" fillId="0" borderId="0" xfId="6" applyNumberFormat="1" applyFont="1" applyBorder="1"/>
    <xf numFmtId="0" fontId="4" fillId="0" borderId="30" xfId="4" applyBorder="1" applyAlignment="1">
      <alignment horizontal="left"/>
    </xf>
    <xf numFmtId="0" fontId="4" fillId="0" borderId="31" xfId="4" applyBorder="1" applyAlignment="1">
      <alignment horizontal="left"/>
    </xf>
    <xf numFmtId="0" fontId="4" fillId="0" borderId="31" xfId="4" applyBorder="1" applyAlignment="1">
      <alignment horizontal="left" vertical="center"/>
    </xf>
    <xf numFmtId="0" fontId="10" fillId="0" borderId="28" xfId="4" applyFont="1" applyBorder="1" applyAlignment="1">
      <alignment horizontal="center"/>
    </xf>
    <xf numFmtId="0" fontId="4" fillId="0" borderId="4" xfId="4" applyBorder="1" applyAlignment="1">
      <alignment horizontal="center"/>
    </xf>
    <xf numFmtId="0" fontId="4" fillId="0" borderId="30" xfId="4" applyBorder="1" applyAlignment="1">
      <alignment horizontal="center" vertical="center"/>
    </xf>
    <xf numFmtId="0" fontId="4" fillId="5" borderId="30" xfId="4" applyFill="1" applyBorder="1" applyAlignment="1">
      <alignment horizontal="center"/>
    </xf>
    <xf numFmtId="0" fontId="4" fillId="5" borderId="31" xfId="4" applyFill="1" applyBorder="1" applyAlignment="1">
      <alignment horizontal="center"/>
    </xf>
    <xf numFmtId="0" fontId="4" fillId="0" borderId="31" xfId="4" applyBorder="1" applyAlignment="1">
      <alignment horizontal="center" vertical="center"/>
    </xf>
    <xf numFmtId="0" fontId="4" fillId="0" borderId="32" xfId="4" applyBorder="1" applyAlignment="1">
      <alignment horizontal="left" vertical="center" wrapText="1"/>
    </xf>
    <xf numFmtId="0" fontId="10" fillId="0" borderId="0" xfId="4" applyFont="1" applyAlignment="1">
      <alignment horizontal="center"/>
    </xf>
    <xf numFmtId="0" fontId="10" fillId="0" borderId="27" xfId="4" applyFont="1" applyBorder="1" applyAlignment="1">
      <alignment horizontal="left" vertical="center"/>
    </xf>
    <xf numFmtId="0" fontId="10" fillId="0" borderId="28" xfId="4" applyFont="1" applyBorder="1" applyAlignment="1">
      <alignment horizontal="left" vertical="center"/>
    </xf>
    <xf numFmtId="0" fontId="10" fillId="0" borderId="30" xfId="4" applyFont="1" applyBorder="1" applyAlignment="1">
      <alignment horizontal="left" vertical="center"/>
    </xf>
    <xf numFmtId="0" fontId="10" fillId="0" borderId="31" xfId="4" applyFont="1" applyBorder="1" applyAlignment="1">
      <alignment horizontal="left" vertical="center"/>
    </xf>
    <xf numFmtId="0" fontId="12" fillId="0" borderId="28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0" fillId="0" borderId="29" xfId="4" applyFont="1" applyBorder="1" applyAlignment="1">
      <alignment horizontal="center" vertical="center"/>
    </xf>
    <xf numFmtId="0" fontId="10" fillId="0" borderId="32" xfId="4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vertical="center" wrapText="1"/>
    </xf>
    <xf numFmtId="0" fontId="7" fillId="0" borderId="20" xfId="0" applyFont="1" applyBorder="1" applyAlignment="1">
      <alignment vertical="center"/>
    </xf>
    <xf numFmtId="168" fontId="5" fillId="4" borderId="4" xfId="5" quotePrefix="1" applyNumberFormat="1" applyFont="1" applyFill="1" applyBorder="1" applyAlignment="1" applyProtection="1">
      <alignment horizontal="center" vertical="center"/>
      <protection hidden="1"/>
    </xf>
    <xf numFmtId="167" fontId="5" fillId="5" borderId="4" xfId="5" applyNumberFormat="1" applyFont="1" applyFill="1" applyBorder="1" applyAlignment="1" applyProtection="1">
      <alignment horizontal="center" vertical="center"/>
      <protection locked="0"/>
    </xf>
    <xf numFmtId="167" fontId="5" fillId="5" borderId="12" xfId="5" applyNumberFormat="1" applyFont="1" applyFill="1" applyBorder="1" applyAlignment="1" applyProtection="1">
      <alignment horizontal="center" vertical="center"/>
      <protection locked="0"/>
    </xf>
    <xf numFmtId="167" fontId="5" fillId="5" borderId="10" xfId="5" applyNumberFormat="1" applyFont="1" applyFill="1" applyBorder="1" applyAlignment="1" applyProtection="1">
      <alignment horizontal="center" vertical="center"/>
      <protection locked="0"/>
    </xf>
    <xf numFmtId="167" fontId="5" fillId="5" borderId="8" xfId="5" applyNumberFormat="1" applyFont="1" applyFill="1" applyBorder="1" applyAlignment="1" applyProtection="1">
      <alignment horizontal="center" vertical="center"/>
      <protection locked="0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4" fontId="5" fillId="4" borderId="5" xfId="5" quotePrefix="1" applyNumberFormat="1" applyFont="1" applyFill="1" applyBorder="1" applyAlignment="1" applyProtection="1">
      <alignment horizontal="center" vertical="center"/>
      <protection hidden="1"/>
    </xf>
    <xf numFmtId="14" fontId="5" fillId="4" borderId="6" xfId="5" quotePrefix="1" applyNumberFormat="1" applyFont="1" applyFill="1" applyBorder="1" applyAlignment="1" applyProtection="1">
      <alignment horizontal="center" vertical="center"/>
      <protection hidden="1"/>
    </xf>
    <xf numFmtId="14" fontId="5" fillId="4" borderId="7" xfId="5" quotePrefix="1" applyNumberFormat="1" applyFont="1" applyFill="1" applyBorder="1" applyAlignment="1" applyProtection="1">
      <alignment horizontal="center" vertical="center"/>
      <protection hidden="1"/>
    </xf>
    <xf numFmtId="166" fontId="5" fillId="4" borderId="4" xfId="5" quotePrefix="1" applyNumberFormat="1" applyFont="1" applyFill="1" applyBorder="1" applyAlignment="1" applyProtection="1">
      <alignment horizontal="center" vertical="center"/>
      <protection hidden="1"/>
    </xf>
    <xf numFmtId="166" fontId="5" fillId="4" borderId="5" xfId="5" quotePrefix="1" applyNumberFormat="1" applyFont="1" applyFill="1" applyBorder="1" applyAlignment="1" applyProtection="1">
      <alignment horizontal="center" vertical="center"/>
      <protection hidden="1"/>
    </xf>
    <xf numFmtId="166" fontId="5" fillId="4" borderId="6" xfId="5" quotePrefix="1" applyNumberFormat="1" applyFont="1" applyFill="1" applyBorder="1" applyAlignment="1" applyProtection="1">
      <alignment horizontal="center" vertical="center"/>
      <protection hidden="1"/>
    </xf>
    <xf numFmtId="166" fontId="5" fillId="4" borderId="7" xfId="5" quotePrefix="1" applyNumberFormat="1" applyFont="1" applyFill="1" applyBorder="1" applyAlignment="1" applyProtection="1">
      <alignment horizontal="center" vertical="center"/>
      <protection hidden="1"/>
    </xf>
  </cellXfs>
  <cellStyles count="8">
    <cellStyle name="Comma" xfId="1" builtinId="3"/>
    <cellStyle name="Comma [0]" xfId="2" builtinId="6"/>
    <cellStyle name="Comma [0] 2" xfId="5"/>
    <cellStyle name="Comma [0] 3" xfId="6"/>
    <cellStyle name="Comma 2" xfId="3"/>
    <cellStyle name="Normal" xfId="0" builtinId="0"/>
    <cellStyle name="Normal 2" xfId="4"/>
    <cellStyle name="Percent 2" xfId="7"/>
  </cellStyles>
  <dxfs count="30"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zoomScaleNormal="100" workbookViewId="0">
      <selection activeCell="J57" sqref="J57"/>
    </sheetView>
  </sheetViews>
  <sheetFormatPr defaultRowHeight="12.75"/>
  <cols>
    <col min="1" max="1" width="4.42578125" style="90" customWidth="1"/>
    <col min="2" max="2" width="4.28515625" style="91" customWidth="1"/>
    <col min="3" max="3" width="48.140625" style="90" bestFit="1" customWidth="1"/>
    <col min="4" max="4" width="11.85546875" style="90" bestFit="1" customWidth="1"/>
    <col min="5" max="5" width="15.5703125" style="90" bestFit="1" customWidth="1"/>
    <col min="6" max="9" width="15.5703125" style="90" customWidth="1"/>
    <col min="10" max="10" width="31.42578125" style="90" bestFit="1" customWidth="1"/>
    <col min="11" max="11" width="38.7109375" style="90" bestFit="1" customWidth="1"/>
    <col min="12" max="12" width="9.140625" style="90"/>
    <col min="13" max="13" width="10.5703125" style="90" bestFit="1" customWidth="1"/>
    <col min="14" max="258" width="9.140625" style="90"/>
    <col min="259" max="259" width="4.42578125" style="90" customWidth="1"/>
    <col min="260" max="260" width="4.28515625" style="90" customWidth="1"/>
    <col min="261" max="261" width="48.140625" style="90" bestFit="1" customWidth="1"/>
    <col min="262" max="262" width="11.85546875" style="90" bestFit="1" customWidth="1"/>
    <col min="263" max="263" width="15.5703125" style="90" bestFit="1" customWidth="1"/>
    <col min="264" max="265" width="15.5703125" style="90" customWidth="1"/>
    <col min="266" max="266" width="31.42578125" style="90" bestFit="1" customWidth="1"/>
    <col min="267" max="267" width="38.7109375" style="90" bestFit="1" customWidth="1"/>
    <col min="268" max="514" width="9.140625" style="90"/>
    <col min="515" max="515" width="4.42578125" style="90" customWidth="1"/>
    <col min="516" max="516" width="4.28515625" style="90" customWidth="1"/>
    <col min="517" max="517" width="48.140625" style="90" bestFit="1" customWidth="1"/>
    <col min="518" max="518" width="11.85546875" style="90" bestFit="1" customWidth="1"/>
    <col min="519" max="519" width="15.5703125" style="90" bestFit="1" customWidth="1"/>
    <col min="520" max="521" width="15.5703125" style="90" customWidth="1"/>
    <col min="522" max="522" width="31.42578125" style="90" bestFit="1" customWidth="1"/>
    <col min="523" max="523" width="38.7109375" style="90" bestFit="1" customWidth="1"/>
    <col min="524" max="770" width="9.140625" style="90"/>
    <col min="771" max="771" width="4.42578125" style="90" customWidth="1"/>
    <col min="772" max="772" width="4.28515625" style="90" customWidth="1"/>
    <col min="773" max="773" width="48.140625" style="90" bestFit="1" customWidth="1"/>
    <col min="774" max="774" width="11.85546875" style="90" bestFit="1" customWidth="1"/>
    <col min="775" max="775" width="15.5703125" style="90" bestFit="1" customWidth="1"/>
    <col min="776" max="777" width="15.5703125" style="90" customWidth="1"/>
    <col min="778" max="778" width="31.42578125" style="90" bestFit="1" customWidth="1"/>
    <col min="779" max="779" width="38.7109375" style="90" bestFit="1" customWidth="1"/>
    <col min="780" max="1026" width="9.140625" style="90"/>
    <col min="1027" max="1027" width="4.42578125" style="90" customWidth="1"/>
    <col min="1028" max="1028" width="4.28515625" style="90" customWidth="1"/>
    <col min="1029" max="1029" width="48.140625" style="90" bestFit="1" customWidth="1"/>
    <col min="1030" max="1030" width="11.85546875" style="90" bestFit="1" customWidth="1"/>
    <col min="1031" max="1031" width="15.5703125" style="90" bestFit="1" customWidth="1"/>
    <col min="1032" max="1033" width="15.5703125" style="90" customWidth="1"/>
    <col min="1034" max="1034" width="31.42578125" style="90" bestFit="1" customWidth="1"/>
    <col min="1035" max="1035" width="38.7109375" style="90" bestFit="1" customWidth="1"/>
    <col min="1036" max="1282" width="9.140625" style="90"/>
    <col min="1283" max="1283" width="4.42578125" style="90" customWidth="1"/>
    <col min="1284" max="1284" width="4.28515625" style="90" customWidth="1"/>
    <col min="1285" max="1285" width="48.140625" style="90" bestFit="1" customWidth="1"/>
    <col min="1286" max="1286" width="11.85546875" style="90" bestFit="1" customWidth="1"/>
    <col min="1287" max="1287" width="15.5703125" style="90" bestFit="1" customWidth="1"/>
    <col min="1288" max="1289" width="15.5703125" style="90" customWidth="1"/>
    <col min="1290" max="1290" width="31.42578125" style="90" bestFit="1" customWidth="1"/>
    <col min="1291" max="1291" width="38.7109375" style="90" bestFit="1" customWidth="1"/>
    <col min="1292" max="1538" width="9.140625" style="90"/>
    <col min="1539" max="1539" width="4.42578125" style="90" customWidth="1"/>
    <col min="1540" max="1540" width="4.28515625" style="90" customWidth="1"/>
    <col min="1541" max="1541" width="48.140625" style="90" bestFit="1" customWidth="1"/>
    <col min="1542" max="1542" width="11.85546875" style="90" bestFit="1" customWidth="1"/>
    <col min="1543" max="1543" width="15.5703125" style="90" bestFit="1" customWidth="1"/>
    <col min="1544" max="1545" width="15.5703125" style="90" customWidth="1"/>
    <col min="1546" max="1546" width="31.42578125" style="90" bestFit="1" customWidth="1"/>
    <col min="1547" max="1547" width="38.7109375" style="90" bestFit="1" customWidth="1"/>
    <col min="1548" max="1794" width="9.140625" style="90"/>
    <col min="1795" max="1795" width="4.42578125" style="90" customWidth="1"/>
    <col min="1796" max="1796" width="4.28515625" style="90" customWidth="1"/>
    <col min="1797" max="1797" width="48.140625" style="90" bestFit="1" customWidth="1"/>
    <col min="1798" max="1798" width="11.85546875" style="90" bestFit="1" customWidth="1"/>
    <col min="1799" max="1799" width="15.5703125" style="90" bestFit="1" customWidth="1"/>
    <col min="1800" max="1801" width="15.5703125" style="90" customWidth="1"/>
    <col min="1802" max="1802" width="31.42578125" style="90" bestFit="1" customWidth="1"/>
    <col min="1803" max="1803" width="38.7109375" style="90" bestFit="1" customWidth="1"/>
    <col min="1804" max="2050" width="9.140625" style="90"/>
    <col min="2051" max="2051" width="4.42578125" style="90" customWidth="1"/>
    <col min="2052" max="2052" width="4.28515625" style="90" customWidth="1"/>
    <col min="2053" max="2053" width="48.140625" style="90" bestFit="1" customWidth="1"/>
    <col min="2054" max="2054" width="11.85546875" style="90" bestFit="1" customWidth="1"/>
    <col min="2055" max="2055" width="15.5703125" style="90" bestFit="1" customWidth="1"/>
    <col min="2056" max="2057" width="15.5703125" style="90" customWidth="1"/>
    <col min="2058" max="2058" width="31.42578125" style="90" bestFit="1" customWidth="1"/>
    <col min="2059" max="2059" width="38.7109375" style="90" bestFit="1" customWidth="1"/>
    <col min="2060" max="2306" width="9.140625" style="90"/>
    <col min="2307" max="2307" width="4.42578125" style="90" customWidth="1"/>
    <col min="2308" max="2308" width="4.28515625" style="90" customWidth="1"/>
    <col min="2309" max="2309" width="48.140625" style="90" bestFit="1" customWidth="1"/>
    <col min="2310" max="2310" width="11.85546875" style="90" bestFit="1" customWidth="1"/>
    <col min="2311" max="2311" width="15.5703125" style="90" bestFit="1" customWidth="1"/>
    <col min="2312" max="2313" width="15.5703125" style="90" customWidth="1"/>
    <col min="2314" max="2314" width="31.42578125" style="90" bestFit="1" customWidth="1"/>
    <col min="2315" max="2315" width="38.7109375" style="90" bestFit="1" customWidth="1"/>
    <col min="2316" max="2562" width="9.140625" style="90"/>
    <col min="2563" max="2563" width="4.42578125" style="90" customWidth="1"/>
    <col min="2564" max="2564" width="4.28515625" style="90" customWidth="1"/>
    <col min="2565" max="2565" width="48.140625" style="90" bestFit="1" customWidth="1"/>
    <col min="2566" max="2566" width="11.85546875" style="90" bestFit="1" customWidth="1"/>
    <col min="2567" max="2567" width="15.5703125" style="90" bestFit="1" customWidth="1"/>
    <col min="2568" max="2569" width="15.5703125" style="90" customWidth="1"/>
    <col min="2570" max="2570" width="31.42578125" style="90" bestFit="1" customWidth="1"/>
    <col min="2571" max="2571" width="38.7109375" style="90" bestFit="1" customWidth="1"/>
    <col min="2572" max="2818" width="9.140625" style="90"/>
    <col min="2819" max="2819" width="4.42578125" style="90" customWidth="1"/>
    <col min="2820" max="2820" width="4.28515625" style="90" customWidth="1"/>
    <col min="2821" max="2821" width="48.140625" style="90" bestFit="1" customWidth="1"/>
    <col min="2822" max="2822" width="11.85546875" style="90" bestFit="1" customWidth="1"/>
    <col min="2823" max="2823" width="15.5703125" style="90" bestFit="1" customWidth="1"/>
    <col min="2824" max="2825" width="15.5703125" style="90" customWidth="1"/>
    <col min="2826" max="2826" width="31.42578125" style="90" bestFit="1" customWidth="1"/>
    <col min="2827" max="2827" width="38.7109375" style="90" bestFit="1" customWidth="1"/>
    <col min="2828" max="3074" width="9.140625" style="90"/>
    <col min="3075" max="3075" width="4.42578125" style="90" customWidth="1"/>
    <col min="3076" max="3076" width="4.28515625" style="90" customWidth="1"/>
    <col min="3077" max="3077" width="48.140625" style="90" bestFit="1" customWidth="1"/>
    <col min="3078" max="3078" width="11.85546875" style="90" bestFit="1" customWidth="1"/>
    <col min="3079" max="3079" width="15.5703125" style="90" bestFit="1" customWidth="1"/>
    <col min="3080" max="3081" width="15.5703125" style="90" customWidth="1"/>
    <col min="3082" max="3082" width="31.42578125" style="90" bestFit="1" customWidth="1"/>
    <col min="3083" max="3083" width="38.7109375" style="90" bestFit="1" customWidth="1"/>
    <col min="3084" max="3330" width="9.140625" style="90"/>
    <col min="3331" max="3331" width="4.42578125" style="90" customWidth="1"/>
    <col min="3332" max="3332" width="4.28515625" style="90" customWidth="1"/>
    <col min="3333" max="3333" width="48.140625" style="90" bestFit="1" customWidth="1"/>
    <col min="3334" max="3334" width="11.85546875" style="90" bestFit="1" customWidth="1"/>
    <col min="3335" max="3335" width="15.5703125" style="90" bestFit="1" customWidth="1"/>
    <col min="3336" max="3337" width="15.5703125" style="90" customWidth="1"/>
    <col min="3338" max="3338" width="31.42578125" style="90" bestFit="1" customWidth="1"/>
    <col min="3339" max="3339" width="38.7109375" style="90" bestFit="1" customWidth="1"/>
    <col min="3340" max="3586" width="9.140625" style="90"/>
    <col min="3587" max="3587" width="4.42578125" style="90" customWidth="1"/>
    <col min="3588" max="3588" width="4.28515625" style="90" customWidth="1"/>
    <col min="3589" max="3589" width="48.140625" style="90" bestFit="1" customWidth="1"/>
    <col min="3590" max="3590" width="11.85546875" style="90" bestFit="1" customWidth="1"/>
    <col min="3591" max="3591" width="15.5703125" style="90" bestFit="1" customWidth="1"/>
    <col min="3592" max="3593" width="15.5703125" style="90" customWidth="1"/>
    <col min="3594" max="3594" width="31.42578125" style="90" bestFit="1" customWidth="1"/>
    <col min="3595" max="3595" width="38.7109375" style="90" bestFit="1" customWidth="1"/>
    <col min="3596" max="3842" width="9.140625" style="90"/>
    <col min="3843" max="3843" width="4.42578125" style="90" customWidth="1"/>
    <col min="3844" max="3844" width="4.28515625" style="90" customWidth="1"/>
    <col min="3845" max="3845" width="48.140625" style="90" bestFit="1" customWidth="1"/>
    <col min="3846" max="3846" width="11.85546875" style="90" bestFit="1" customWidth="1"/>
    <col min="3847" max="3847" width="15.5703125" style="90" bestFit="1" customWidth="1"/>
    <col min="3848" max="3849" width="15.5703125" style="90" customWidth="1"/>
    <col min="3850" max="3850" width="31.42578125" style="90" bestFit="1" customWidth="1"/>
    <col min="3851" max="3851" width="38.7109375" style="90" bestFit="1" customWidth="1"/>
    <col min="3852" max="4098" width="9.140625" style="90"/>
    <col min="4099" max="4099" width="4.42578125" style="90" customWidth="1"/>
    <col min="4100" max="4100" width="4.28515625" style="90" customWidth="1"/>
    <col min="4101" max="4101" width="48.140625" style="90" bestFit="1" customWidth="1"/>
    <col min="4102" max="4102" width="11.85546875" style="90" bestFit="1" customWidth="1"/>
    <col min="4103" max="4103" width="15.5703125" style="90" bestFit="1" customWidth="1"/>
    <col min="4104" max="4105" width="15.5703125" style="90" customWidth="1"/>
    <col min="4106" max="4106" width="31.42578125" style="90" bestFit="1" customWidth="1"/>
    <col min="4107" max="4107" width="38.7109375" style="90" bestFit="1" customWidth="1"/>
    <col min="4108" max="4354" width="9.140625" style="90"/>
    <col min="4355" max="4355" width="4.42578125" style="90" customWidth="1"/>
    <col min="4356" max="4356" width="4.28515625" style="90" customWidth="1"/>
    <col min="4357" max="4357" width="48.140625" style="90" bestFit="1" customWidth="1"/>
    <col min="4358" max="4358" width="11.85546875" style="90" bestFit="1" customWidth="1"/>
    <col min="4359" max="4359" width="15.5703125" style="90" bestFit="1" customWidth="1"/>
    <col min="4360" max="4361" width="15.5703125" style="90" customWidth="1"/>
    <col min="4362" max="4362" width="31.42578125" style="90" bestFit="1" customWidth="1"/>
    <col min="4363" max="4363" width="38.7109375" style="90" bestFit="1" customWidth="1"/>
    <col min="4364" max="4610" width="9.140625" style="90"/>
    <col min="4611" max="4611" width="4.42578125" style="90" customWidth="1"/>
    <col min="4612" max="4612" width="4.28515625" style="90" customWidth="1"/>
    <col min="4613" max="4613" width="48.140625" style="90" bestFit="1" customWidth="1"/>
    <col min="4614" max="4614" width="11.85546875" style="90" bestFit="1" customWidth="1"/>
    <col min="4615" max="4615" width="15.5703125" style="90" bestFit="1" customWidth="1"/>
    <col min="4616" max="4617" width="15.5703125" style="90" customWidth="1"/>
    <col min="4618" max="4618" width="31.42578125" style="90" bestFit="1" customWidth="1"/>
    <col min="4619" max="4619" width="38.7109375" style="90" bestFit="1" customWidth="1"/>
    <col min="4620" max="4866" width="9.140625" style="90"/>
    <col min="4867" max="4867" width="4.42578125" style="90" customWidth="1"/>
    <col min="4868" max="4868" width="4.28515625" style="90" customWidth="1"/>
    <col min="4869" max="4869" width="48.140625" style="90" bestFit="1" customWidth="1"/>
    <col min="4870" max="4870" width="11.85546875" style="90" bestFit="1" customWidth="1"/>
    <col min="4871" max="4871" width="15.5703125" style="90" bestFit="1" customWidth="1"/>
    <col min="4872" max="4873" width="15.5703125" style="90" customWidth="1"/>
    <col min="4874" max="4874" width="31.42578125" style="90" bestFit="1" customWidth="1"/>
    <col min="4875" max="4875" width="38.7109375" style="90" bestFit="1" customWidth="1"/>
    <col min="4876" max="5122" width="9.140625" style="90"/>
    <col min="5123" max="5123" width="4.42578125" style="90" customWidth="1"/>
    <col min="5124" max="5124" width="4.28515625" style="90" customWidth="1"/>
    <col min="5125" max="5125" width="48.140625" style="90" bestFit="1" customWidth="1"/>
    <col min="5126" max="5126" width="11.85546875" style="90" bestFit="1" customWidth="1"/>
    <col min="5127" max="5127" width="15.5703125" style="90" bestFit="1" customWidth="1"/>
    <col min="5128" max="5129" width="15.5703125" style="90" customWidth="1"/>
    <col min="5130" max="5130" width="31.42578125" style="90" bestFit="1" customWidth="1"/>
    <col min="5131" max="5131" width="38.7109375" style="90" bestFit="1" customWidth="1"/>
    <col min="5132" max="5378" width="9.140625" style="90"/>
    <col min="5379" max="5379" width="4.42578125" style="90" customWidth="1"/>
    <col min="5380" max="5380" width="4.28515625" style="90" customWidth="1"/>
    <col min="5381" max="5381" width="48.140625" style="90" bestFit="1" customWidth="1"/>
    <col min="5382" max="5382" width="11.85546875" style="90" bestFit="1" customWidth="1"/>
    <col min="5383" max="5383" width="15.5703125" style="90" bestFit="1" customWidth="1"/>
    <col min="5384" max="5385" width="15.5703125" style="90" customWidth="1"/>
    <col min="5386" max="5386" width="31.42578125" style="90" bestFit="1" customWidth="1"/>
    <col min="5387" max="5387" width="38.7109375" style="90" bestFit="1" customWidth="1"/>
    <col min="5388" max="5634" width="9.140625" style="90"/>
    <col min="5635" max="5635" width="4.42578125" style="90" customWidth="1"/>
    <col min="5636" max="5636" width="4.28515625" style="90" customWidth="1"/>
    <col min="5637" max="5637" width="48.140625" style="90" bestFit="1" customWidth="1"/>
    <col min="5638" max="5638" width="11.85546875" style="90" bestFit="1" customWidth="1"/>
    <col min="5639" max="5639" width="15.5703125" style="90" bestFit="1" customWidth="1"/>
    <col min="5640" max="5641" width="15.5703125" style="90" customWidth="1"/>
    <col min="5642" max="5642" width="31.42578125" style="90" bestFit="1" customWidth="1"/>
    <col min="5643" max="5643" width="38.7109375" style="90" bestFit="1" customWidth="1"/>
    <col min="5644" max="5890" width="9.140625" style="90"/>
    <col min="5891" max="5891" width="4.42578125" style="90" customWidth="1"/>
    <col min="5892" max="5892" width="4.28515625" style="90" customWidth="1"/>
    <col min="5893" max="5893" width="48.140625" style="90" bestFit="1" customWidth="1"/>
    <col min="5894" max="5894" width="11.85546875" style="90" bestFit="1" customWidth="1"/>
    <col min="5895" max="5895" width="15.5703125" style="90" bestFit="1" customWidth="1"/>
    <col min="5896" max="5897" width="15.5703125" style="90" customWidth="1"/>
    <col min="5898" max="5898" width="31.42578125" style="90" bestFit="1" customWidth="1"/>
    <col min="5899" max="5899" width="38.7109375" style="90" bestFit="1" customWidth="1"/>
    <col min="5900" max="6146" width="9.140625" style="90"/>
    <col min="6147" max="6147" width="4.42578125" style="90" customWidth="1"/>
    <col min="6148" max="6148" width="4.28515625" style="90" customWidth="1"/>
    <col min="6149" max="6149" width="48.140625" style="90" bestFit="1" customWidth="1"/>
    <col min="6150" max="6150" width="11.85546875" style="90" bestFit="1" customWidth="1"/>
    <col min="6151" max="6151" width="15.5703125" style="90" bestFit="1" customWidth="1"/>
    <col min="6152" max="6153" width="15.5703125" style="90" customWidth="1"/>
    <col min="6154" max="6154" width="31.42578125" style="90" bestFit="1" customWidth="1"/>
    <col min="6155" max="6155" width="38.7109375" style="90" bestFit="1" customWidth="1"/>
    <col min="6156" max="6402" width="9.140625" style="90"/>
    <col min="6403" max="6403" width="4.42578125" style="90" customWidth="1"/>
    <col min="6404" max="6404" width="4.28515625" style="90" customWidth="1"/>
    <col min="6405" max="6405" width="48.140625" style="90" bestFit="1" customWidth="1"/>
    <col min="6406" max="6406" width="11.85546875" style="90" bestFit="1" customWidth="1"/>
    <col min="6407" max="6407" width="15.5703125" style="90" bestFit="1" customWidth="1"/>
    <col min="6408" max="6409" width="15.5703125" style="90" customWidth="1"/>
    <col min="6410" max="6410" width="31.42578125" style="90" bestFit="1" customWidth="1"/>
    <col min="6411" max="6411" width="38.7109375" style="90" bestFit="1" customWidth="1"/>
    <col min="6412" max="6658" width="9.140625" style="90"/>
    <col min="6659" max="6659" width="4.42578125" style="90" customWidth="1"/>
    <col min="6660" max="6660" width="4.28515625" style="90" customWidth="1"/>
    <col min="6661" max="6661" width="48.140625" style="90" bestFit="1" customWidth="1"/>
    <col min="6662" max="6662" width="11.85546875" style="90" bestFit="1" customWidth="1"/>
    <col min="6663" max="6663" width="15.5703125" style="90" bestFit="1" customWidth="1"/>
    <col min="6664" max="6665" width="15.5703125" style="90" customWidth="1"/>
    <col min="6666" max="6666" width="31.42578125" style="90" bestFit="1" customWidth="1"/>
    <col min="6667" max="6667" width="38.7109375" style="90" bestFit="1" customWidth="1"/>
    <col min="6668" max="6914" width="9.140625" style="90"/>
    <col min="6915" max="6915" width="4.42578125" style="90" customWidth="1"/>
    <col min="6916" max="6916" width="4.28515625" style="90" customWidth="1"/>
    <col min="6917" max="6917" width="48.140625" style="90" bestFit="1" customWidth="1"/>
    <col min="6918" max="6918" width="11.85546875" style="90" bestFit="1" customWidth="1"/>
    <col min="6919" max="6919" width="15.5703125" style="90" bestFit="1" customWidth="1"/>
    <col min="6920" max="6921" width="15.5703125" style="90" customWidth="1"/>
    <col min="6922" max="6922" width="31.42578125" style="90" bestFit="1" customWidth="1"/>
    <col min="6923" max="6923" width="38.7109375" style="90" bestFit="1" customWidth="1"/>
    <col min="6924" max="7170" width="9.140625" style="90"/>
    <col min="7171" max="7171" width="4.42578125" style="90" customWidth="1"/>
    <col min="7172" max="7172" width="4.28515625" style="90" customWidth="1"/>
    <col min="7173" max="7173" width="48.140625" style="90" bestFit="1" customWidth="1"/>
    <col min="7174" max="7174" width="11.85546875" style="90" bestFit="1" customWidth="1"/>
    <col min="7175" max="7175" width="15.5703125" style="90" bestFit="1" customWidth="1"/>
    <col min="7176" max="7177" width="15.5703125" style="90" customWidth="1"/>
    <col min="7178" max="7178" width="31.42578125" style="90" bestFit="1" customWidth="1"/>
    <col min="7179" max="7179" width="38.7109375" style="90" bestFit="1" customWidth="1"/>
    <col min="7180" max="7426" width="9.140625" style="90"/>
    <col min="7427" max="7427" width="4.42578125" style="90" customWidth="1"/>
    <col min="7428" max="7428" width="4.28515625" style="90" customWidth="1"/>
    <col min="7429" max="7429" width="48.140625" style="90" bestFit="1" customWidth="1"/>
    <col min="7430" max="7430" width="11.85546875" style="90" bestFit="1" customWidth="1"/>
    <col min="7431" max="7431" width="15.5703125" style="90" bestFit="1" customWidth="1"/>
    <col min="7432" max="7433" width="15.5703125" style="90" customWidth="1"/>
    <col min="7434" max="7434" width="31.42578125" style="90" bestFit="1" customWidth="1"/>
    <col min="7435" max="7435" width="38.7109375" style="90" bestFit="1" customWidth="1"/>
    <col min="7436" max="7682" width="9.140625" style="90"/>
    <col min="7683" max="7683" width="4.42578125" style="90" customWidth="1"/>
    <col min="7684" max="7684" width="4.28515625" style="90" customWidth="1"/>
    <col min="7685" max="7685" width="48.140625" style="90" bestFit="1" customWidth="1"/>
    <col min="7686" max="7686" width="11.85546875" style="90" bestFit="1" customWidth="1"/>
    <col min="7687" max="7687" width="15.5703125" style="90" bestFit="1" customWidth="1"/>
    <col min="7688" max="7689" width="15.5703125" style="90" customWidth="1"/>
    <col min="7690" max="7690" width="31.42578125" style="90" bestFit="1" customWidth="1"/>
    <col min="7691" max="7691" width="38.7109375" style="90" bestFit="1" customWidth="1"/>
    <col min="7692" max="7938" width="9.140625" style="90"/>
    <col min="7939" max="7939" width="4.42578125" style="90" customWidth="1"/>
    <col min="7940" max="7940" width="4.28515625" style="90" customWidth="1"/>
    <col min="7941" max="7941" width="48.140625" style="90" bestFit="1" customWidth="1"/>
    <col min="7942" max="7942" width="11.85546875" style="90" bestFit="1" customWidth="1"/>
    <col min="7943" max="7943" width="15.5703125" style="90" bestFit="1" customWidth="1"/>
    <col min="7944" max="7945" width="15.5703125" style="90" customWidth="1"/>
    <col min="7946" max="7946" width="31.42578125" style="90" bestFit="1" customWidth="1"/>
    <col min="7947" max="7947" width="38.7109375" style="90" bestFit="1" customWidth="1"/>
    <col min="7948" max="8194" width="9.140625" style="90"/>
    <col min="8195" max="8195" width="4.42578125" style="90" customWidth="1"/>
    <col min="8196" max="8196" width="4.28515625" style="90" customWidth="1"/>
    <col min="8197" max="8197" width="48.140625" style="90" bestFit="1" customWidth="1"/>
    <col min="8198" max="8198" width="11.85546875" style="90" bestFit="1" customWidth="1"/>
    <col min="8199" max="8199" width="15.5703125" style="90" bestFit="1" customWidth="1"/>
    <col min="8200" max="8201" width="15.5703125" style="90" customWidth="1"/>
    <col min="8202" max="8202" width="31.42578125" style="90" bestFit="1" customWidth="1"/>
    <col min="8203" max="8203" width="38.7109375" style="90" bestFit="1" customWidth="1"/>
    <col min="8204" max="8450" width="9.140625" style="90"/>
    <col min="8451" max="8451" width="4.42578125" style="90" customWidth="1"/>
    <col min="8452" max="8452" width="4.28515625" style="90" customWidth="1"/>
    <col min="8453" max="8453" width="48.140625" style="90" bestFit="1" customWidth="1"/>
    <col min="8454" max="8454" width="11.85546875" style="90" bestFit="1" customWidth="1"/>
    <col min="8455" max="8455" width="15.5703125" style="90" bestFit="1" customWidth="1"/>
    <col min="8456" max="8457" width="15.5703125" style="90" customWidth="1"/>
    <col min="8458" max="8458" width="31.42578125" style="90" bestFit="1" customWidth="1"/>
    <col min="8459" max="8459" width="38.7109375" style="90" bestFit="1" customWidth="1"/>
    <col min="8460" max="8706" width="9.140625" style="90"/>
    <col min="8707" max="8707" width="4.42578125" style="90" customWidth="1"/>
    <col min="8708" max="8708" width="4.28515625" style="90" customWidth="1"/>
    <col min="8709" max="8709" width="48.140625" style="90" bestFit="1" customWidth="1"/>
    <col min="8710" max="8710" width="11.85546875" style="90" bestFit="1" customWidth="1"/>
    <col min="8711" max="8711" width="15.5703125" style="90" bestFit="1" customWidth="1"/>
    <col min="8712" max="8713" width="15.5703125" style="90" customWidth="1"/>
    <col min="8714" max="8714" width="31.42578125" style="90" bestFit="1" customWidth="1"/>
    <col min="8715" max="8715" width="38.7109375" style="90" bestFit="1" customWidth="1"/>
    <col min="8716" max="8962" width="9.140625" style="90"/>
    <col min="8963" max="8963" width="4.42578125" style="90" customWidth="1"/>
    <col min="8964" max="8964" width="4.28515625" style="90" customWidth="1"/>
    <col min="8965" max="8965" width="48.140625" style="90" bestFit="1" customWidth="1"/>
    <col min="8966" max="8966" width="11.85546875" style="90" bestFit="1" customWidth="1"/>
    <col min="8967" max="8967" width="15.5703125" style="90" bestFit="1" customWidth="1"/>
    <col min="8968" max="8969" width="15.5703125" style="90" customWidth="1"/>
    <col min="8970" max="8970" width="31.42578125" style="90" bestFit="1" customWidth="1"/>
    <col min="8971" max="8971" width="38.7109375" style="90" bestFit="1" customWidth="1"/>
    <col min="8972" max="9218" width="9.140625" style="90"/>
    <col min="9219" max="9219" width="4.42578125" style="90" customWidth="1"/>
    <col min="9220" max="9220" width="4.28515625" style="90" customWidth="1"/>
    <col min="9221" max="9221" width="48.140625" style="90" bestFit="1" customWidth="1"/>
    <col min="9222" max="9222" width="11.85546875" style="90" bestFit="1" customWidth="1"/>
    <col min="9223" max="9223" width="15.5703125" style="90" bestFit="1" customWidth="1"/>
    <col min="9224" max="9225" width="15.5703125" style="90" customWidth="1"/>
    <col min="9226" max="9226" width="31.42578125" style="90" bestFit="1" customWidth="1"/>
    <col min="9227" max="9227" width="38.7109375" style="90" bestFit="1" customWidth="1"/>
    <col min="9228" max="9474" width="9.140625" style="90"/>
    <col min="9475" max="9475" width="4.42578125" style="90" customWidth="1"/>
    <col min="9476" max="9476" width="4.28515625" style="90" customWidth="1"/>
    <col min="9477" max="9477" width="48.140625" style="90" bestFit="1" customWidth="1"/>
    <col min="9478" max="9478" width="11.85546875" style="90" bestFit="1" customWidth="1"/>
    <col min="9479" max="9479" width="15.5703125" style="90" bestFit="1" customWidth="1"/>
    <col min="9480" max="9481" width="15.5703125" style="90" customWidth="1"/>
    <col min="9482" max="9482" width="31.42578125" style="90" bestFit="1" customWidth="1"/>
    <col min="9483" max="9483" width="38.7109375" style="90" bestFit="1" customWidth="1"/>
    <col min="9484" max="9730" width="9.140625" style="90"/>
    <col min="9731" max="9731" width="4.42578125" style="90" customWidth="1"/>
    <col min="9732" max="9732" width="4.28515625" style="90" customWidth="1"/>
    <col min="9733" max="9733" width="48.140625" style="90" bestFit="1" customWidth="1"/>
    <col min="9734" max="9734" width="11.85546875" style="90" bestFit="1" customWidth="1"/>
    <col min="9735" max="9735" width="15.5703125" style="90" bestFit="1" customWidth="1"/>
    <col min="9736" max="9737" width="15.5703125" style="90" customWidth="1"/>
    <col min="9738" max="9738" width="31.42578125" style="90" bestFit="1" customWidth="1"/>
    <col min="9739" max="9739" width="38.7109375" style="90" bestFit="1" customWidth="1"/>
    <col min="9740" max="9986" width="9.140625" style="90"/>
    <col min="9987" max="9987" width="4.42578125" style="90" customWidth="1"/>
    <col min="9988" max="9988" width="4.28515625" style="90" customWidth="1"/>
    <col min="9989" max="9989" width="48.140625" style="90" bestFit="1" customWidth="1"/>
    <col min="9990" max="9990" width="11.85546875" style="90" bestFit="1" customWidth="1"/>
    <col min="9991" max="9991" width="15.5703125" style="90" bestFit="1" customWidth="1"/>
    <col min="9992" max="9993" width="15.5703125" style="90" customWidth="1"/>
    <col min="9994" max="9994" width="31.42578125" style="90" bestFit="1" customWidth="1"/>
    <col min="9995" max="9995" width="38.7109375" style="90" bestFit="1" customWidth="1"/>
    <col min="9996" max="10242" width="9.140625" style="90"/>
    <col min="10243" max="10243" width="4.42578125" style="90" customWidth="1"/>
    <col min="10244" max="10244" width="4.28515625" style="90" customWidth="1"/>
    <col min="10245" max="10245" width="48.140625" style="90" bestFit="1" customWidth="1"/>
    <col min="10246" max="10246" width="11.85546875" style="90" bestFit="1" customWidth="1"/>
    <col min="10247" max="10247" width="15.5703125" style="90" bestFit="1" customWidth="1"/>
    <col min="10248" max="10249" width="15.5703125" style="90" customWidth="1"/>
    <col min="10250" max="10250" width="31.42578125" style="90" bestFit="1" customWidth="1"/>
    <col min="10251" max="10251" width="38.7109375" style="90" bestFit="1" customWidth="1"/>
    <col min="10252" max="10498" width="9.140625" style="90"/>
    <col min="10499" max="10499" width="4.42578125" style="90" customWidth="1"/>
    <col min="10500" max="10500" width="4.28515625" style="90" customWidth="1"/>
    <col min="10501" max="10501" width="48.140625" style="90" bestFit="1" customWidth="1"/>
    <col min="10502" max="10502" width="11.85546875" style="90" bestFit="1" customWidth="1"/>
    <col min="10503" max="10503" width="15.5703125" style="90" bestFit="1" customWidth="1"/>
    <col min="10504" max="10505" width="15.5703125" style="90" customWidth="1"/>
    <col min="10506" max="10506" width="31.42578125" style="90" bestFit="1" customWidth="1"/>
    <col min="10507" max="10507" width="38.7109375" style="90" bestFit="1" customWidth="1"/>
    <col min="10508" max="10754" width="9.140625" style="90"/>
    <col min="10755" max="10755" width="4.42578125" style="90" customWidth="1"/>
    <col min="10756" max="10756" width="4.28515625" style="90" customWidth="1"/>
    <col min="10757" max="10757" width="48.140625" style="90" bestFit="1" customWidth="1"/>
    <col min="10758" max="10758" width="11.85546875" style="90" bestFit="1" customWidth="1"/>
    <col min="10759" max="10759" width="15.5703125" style="90" bestFit="1" customWidth="1"/>
    <col min="10760" max="10761" width="15.5703125" style="90" customWidth="1"/>
    <col min="10762" max="10762" width="31.42578125" style="90" bestFit="1" customWidth="1"/>
    <col min="10763" max="10763" width="38.7109375" style="90" bestFit="1" customWidth="1"/>
    <col min="10764" max="11010" width="9.140625" style="90"/>
    <col min="11011" max="11011" width="4.42578125" style="90" customWidth="1"/>
    <col min="11012" max="11012" width="4.28515625" style="90" customWidth="1"/>
    <col min="11013" max="11013" width="48.140625" style="90" bestFit="1" customWidth="1"/>
    <col min="11014" max="11014" width="11.85546875" style="90" bestFit="1" customWidth="1"/>
    <col min="11015" max="11015" width="15.5703125" style="90" bestFit="1" customWidth="1"/>
    <col min="11016" max="11017" width="15.5703125" style="90" customWidth="1"/>
    <col min="11018" max="11018" width="31.42578125" style="90" bestFit="1" customWidth="1"/>
    <col min="11019" max="11019" width="38.7109375" style="90" bestFit="1" customWidth="1"/>
    <col min="11020" max="11266" width="9.140625" style="90"/>
    <col min="11267" max="11267" width="4.42578125" style="90" customWidth="1"/>
    <col min="11268" max="11268" width="4.28515625" style="90" customWidth="1"/>
    <col min="11269" max="11269" width="48.140625" style="90" bestFit="1" customWidth="1"/>
    <col min="11270" max="11270" width="11.85546875" style="90" bestFit="1" customWidth="1"/>
    <col min="11271" max="11271" width="15.5703125" style="90" bestFit="1" customWidth="1"/>
    <col min="11272" max="11273" width="15.5703125" style="90" customWidth="1"/>
    <col min="11274" max="11274" width="31.42578125" style="90" bestFit="1" customWidth="1"/>
    <col min="11275" max="11275" width="38.7109375" style="90" bestFit="1" customWidth="1"/>
    <col min="11276" max="11522" width="9.140625" style="90"/>
    <col min="11523" max="11523" width="4.42578125" style="90" customWidth="1"/>
    <col min="11524" max="11524" width="4.28515625" style="90" customWidth="1"/>
    <col min="11525" max="11525" width="48.140625" style="90" bestFit="1" customWidth="1"/>
    <col min="11526" max="11526" width="11.85546875" style="90" bestFit="1" customWidth="1"/>
    <col min="11527" max="11527" width="15.5703125" style="90" bestFit="1" customWidth="1"/>
    <col min="11528" max="11529" width="15.5703125" style="90" customWidth="1"/>
    <col min="11530" max="11530" width="31.42578125" style="90" bestFit="1" customWidth="1"/>
    <col min="11531" max="11531" width="38.7109375" style="90" bestFit="1" customWidth="1"/>
    <col min="11532" max="11778" width="9.140625" style="90"/>
    <col min="11779" max="11779" width="4.42578125" style="90" customWidth="1"/>
    <col min="11780" max="11780" width="4.28515625" style="90" customWidth="1"/>
    <col min="11781" max="11781" width="48.140625" style="90" bestFit="1" customWidth="1"/>
    <col min="11782" max="11782" width="11.85546875" style="90" bestFit="1" customWidth="1"/>
    <col min="11783" max="11783" width="15.5703125" style="90" bestFit="1" customWidth="1"/>
    <col min="11784" max="11785" width="15.5703125" style="90" customWidth="1"/>
    <col min="11786" max="11786" width="31.42578125" style="90" bestFit="1" customWidth="1"/>
    <col min="11787" max="11787" width="38.7109375" style="90" bestFit="1" customWidth="1"/>
    <col min="11788" max="12034" width="9.140625" style="90"/>
    <col min="12035" max="12035" width="4.42578125" style="90" customWidth="1"/>
    <col min="12036" max="12036" width="4.28515625" style="90" customWidth="1"/>
    <col min="12037" max="12037" width="48.140625" style="90" bestFit="1" customWidth="1"/>
    <col min="12038" max="12038" width="11.85546875" style="90" bestFit="1" customWidth="1"/>
    <col min="12039" max="12039" width="15.5703125" style="90" bestFit="1" customWidth="1"/>
    <col min="12040" max="12041" width="15.5703125" style="90" customWidth="1"/>
    <col min="12042" max="12042" width="31.42578125" style="90" bestFit="1" customWidth="1"/>
    <col min="12043" max="12043" width="38.7109375" style="90" bestFit="1" customWidth="1"/>
    <col min="12044" max="12290" width="9.140625" style="90"/>
    <col min="12291" max="12291" width="4.42578125" style="90" customWidth="1"/>
    <col min="12292" max="12292" width="4.28515625" style="90" customWidth="1"/>
    <col min="12293" max="12293" width="48.140625" style="90" bestFit="1" customWidth="1"/>
    <col min="12294" max="12294" width="11.85546875" style="90" bestFit="1" customWidth="1"/>
    <col min="12295" max="12295" width="15.5703125" style="90" bestFit="1" customWidth="1"/>
    <col min="12296" max="12297" width="15.5703125" style="90" customWidth="1"/>
    <col min="12298" max="12298" width="31.42578125" style="90" bestFit="1" customWidth="1"/>
    <col min="12299" max="12299" width="38.7109375" style="90" bestFit="1" customWidth="1"/>
    <col min="12300" max="12546" width="9.140625" style="90"/>
    <col min="12547" max="12547" width="4.42578125" style="90" customWidth="1"/>
    <col min="12548" max="12548" width="4.28515625" style="90" customWidth="1"/>
    <col min="12549" max="12549" width="48.140625" style="90" bestFit="1" customWidth="1"/>
    <col min="12550" max="12550" width="11.85546875" style="90" bestFit="1" customWidth="1"/>
    <col min="12551" max="12551" width="15.5703125" style="90" bestFit="1" customWidth="1"/>
    <col min="12552" max="12553" width="15.5703125" style="90" customWidth="1"/>
    <col min="12554" max="12554" width="31.42578125" style="90" bestFit="1" customWidth="1"/>
    <col min="12555" max="12555" width="38.7109375" style="90" bestFit="1" customWidth="1"/>
    <col min="12556" max="12802" width="9.140625" style="90"/>
    <col min="12803" max="12803" width="4.42578125" style="90" customWidth="1"/>
    <col min="12804" max="12804" width="4.28515625" style="90" customWidth="1"/>
    <col min="12805" max="12805" width="48.140625" style="90" bestFit="1" customWidth="1"/>
    <col min="12806" max="12806" width="11.85546875" style="90" bestFit="1" customWidth="1"/>
    <col min="12807" max="12807" width="15.5703125" style="90" bestFit="1" customWidth="1"/>
    <col min="12808" max="12809" width="15.5703125" style="90" customWidth="1"/>
    <col min="12810" max="12810" width="31.42578125" style="90" bestFit="1" customWidth="1"/>
    <col min="12811" max="12811" width="38.7109375" style="90" bestFit="1" customWidth="1"/>
    <col min="12812" max="13058" width="9.140625" style="90"/>
    <col min="13059" max="13059" width="4.42578125" style="90" customWidth="1"/>
    <col min="13060" max="13060" width="4.28515625" style="90" customWidth="1"/>
    <col min="13061" max="13061" width="48.140625" style="90" bestFit="1" customWidth="1"/>
    <col min="13062" max="13062" width="11.85546875" style="90" bestFit="1" customWidth="1"/>
    <col min="13063" max="13063" width="15.5703125" style="90" bestFit="1" customWidth="1"/>
    <col min="13064" max="13065" width="15.5703125" style="90" customWidth="1"/>
    <col min="13066" max="13066" width="31.42578125" style="90" bestFit="1" customWidth="1"/>
    <col min="13067" max="13067" width="38.7109375" style="90" bestFit="1" customWidth="1"/>
    <col min="13068" max="13314" width="9.140625" style="90"/>
    <col min="13315" max="13315" width="4.42578125" style="90" customWidth="1"/>
    <col min="13316" max="13316" width="4.28515625" style="90" customWidth="1"/>
    <col min="13317" max="13317" width="48.140625" style="90" bestFit="1" customWidth="1"/>
    <col min="13318" max="13318" width="11.85546875" style="90" bestFit="1" customWidth="1"/>
    <col min="13319" max="13319" width="15.5703125" style="90" bestFit="1" customWidth="1"/>
    <col min="13320" max="13321" width="15.5703125" style="90" customWidth="1"/>
    <col min="13322" max="13322" width="31.42578125" style="90" bestFit="1" customWidth="1"/>
    <col min="13323" max="13323" width="38.7109375" style="90" bestFit="1" customWidth="1"/>
    <col min="13324" max="13570" width="9.140625" style="90"/>
    <col min="13571" max="13571" width="4.42578125" style="90" customWidth="1"/>
    <col min="13572" max="13572" width="4.28515625" style="90" customWidth="1"/>
    <col min="13573" max="13573" width="48.140625" style="90" bestFit="1" customWidth="1"/>
    <col min="13574" max="13574" width="11.85546875" style="90" bestFit="1" customWidth="1"/>
    <col min="13575" max="13575" width="15.5703125" style="90" bestFit="1" customWidth="1"/>
    <col min="13576" max="13577" width="15.5703125" style="90" customWidth="1"/>
    <col min="13578" max="13578" width="31.42578125" style="90" bestFit="1" customWidth="1"/>
    <col min="13579" max="13579" width="38.7109375" style="90" bestFit="1" customWidth="1"/>
    <col min="13580" max="13826" width="9.140625" style="90"/>
    <col min="13827" max="13827" width="4.42578125" style="90" customWidth="1"/>
    <col min="13828" max="13828" width="4.28515625" style="90" customWidth="1"/>
    <col min="13829" max="13829" width="48.140625" style="90" bestFit="1" customWidth="1"/>
    <col min="13830" max="13830" width="11.85546875" style="90" bestFit="1" customWidth="1"/>
    <col min="13831" max="13831" width="15.5703125" style="90" bestFit="1" customWidth="1"/>
    <col min="13832" max="13833" width="15.5703125" style="90" customWidth="1"/>
    <col min="13834" max="13834" width="31.42578125" style="90" bestFit="1" customWidth="1"/>
    <col min="13835" max="13835" width="38.7109375" style="90" bestFit="1" customWidth="1"/>
    <col min="13836" max="14082" width="9.140625" style="90"/>
    <col min="14083" max="14083" width="4.42578125" style="90" customWidth="1"/>
    <col min="14084" max="14084" width="4.28515625" style="90" customWidth="1"/>
    <col min="14085" max="14085" width="48.140625" style="90" bestFit="1" customWidth="1"/>
    <col min="14086" max="14086" width="11.85546875" style="90" bestFit="1" customWidth="1"/>
    <col min="14087" max="14087" width="15.5703125" style="90" bestFit="1" customWidth="1"/>
    <col min="14088" max="14089" width="15.5703125" style="90" customWidth="1"/>
    <col min="14090" max="14090" width="31.42578125" style="90" bestFit="1" customWidth="1"/>
    <col min="14091" max="14091" width="38.7109375" style="90" bestFit="1" customWidth="1"/>
    <col min="14092" max="14338" width="9.140625" style="90"/>
    <col min="14339" max="14339" width="4.42578125" style="90" customWidth="1"/>
    <col min="14340" max="14340" width="4.28515625" style="90" customWidth="1"/>
    <col min="14341" max="14341" width="48.140625" style="90" bestFit="1" customWidth="1"/>
    <col min="14342" max="14342" width="11.85546875" style="90" bestFit="1" customWidth="1"/>
    <col min="14343" max="14343" width="15.5703125" style="90" bestFit="1" customWidth="1"/>
    <col min="14344" max="14345" width="15.5703125" style="90" customWidth="1"/>
    <col min="14346" max="14346" width="31.42578125" style="90" bestFit="1" customWidth="1"/>
    <col min="14347" max="14347" width="38.7109375" style="90" bestFit="1" customWidth="1"/>
    <col min="14348" max="14594" width="9.140625" style="90"/>
    <col min="14595" max="14595" width="4.42578125" style="90" customWidth="1"/>
    <col min="14596" max="14596" width="4.28515625" style="90" customWidth="1"/>
    <col min="14597" max="14597" width="48.140625" style="90" bestFit="1" customWidth="1"/>
    <col min="14598" max="14598" width="11.85546875" style="90" bestFit="1" customWidth="1"/>
    <col min="14599" max="14599" width="15.5703125" style="90" bestFit="1" customWidth="1"/>
    <col min="14600" max="14601" width="15.5703125" style="90" customWidth="1"/>
    <col min="14602" max="14602" width="31.42578125" style="90" bestFit="1" customWidth="1"/>
    <col min="14603" max="14603" width="38.7109375" style="90" bestFit="1" customWidth="1"/>
    <col min="14604" max="14850" width="9.140625" style="90"/>
    <col min="14851" max="14851" width="4.42578125" style="90" customWidth="1"/>
    <col min="14852" max="14852" width="4.28515625" style="90" customWidth="1"/>
    <col min="14853" max="14853" width="48.140625" style="90" bestFit="1" customWidth="1"/>
    <col min="14854" max="14854" width="11.85546875" style="90" bestFit="1" customWidth="1"/>
    <col min="14855" max="14855" width="15.5703125" style="90" bestFit="1" customWidth="1"/>
    <col min="14856" max="14857" width="15.5703125" style="90" customWidth="1"/>
    <col min="14858" max="14858" width="31.42578125" style="90" bestFit="1" customWidth="1"/>
    <col min="14859" max="14859" width="38.7109375" style="90" bestFit="1" customWidth="1"/>
    <col min="14860" max="15106" width="9.140625" style="90"/>
    <col min="15107" max="15107" width="4.42578125" style="90" customWidth="1"/>
    <col min="15108" max="15108" width="4.28515625" style="90" customWidth="1"/>
    <col min="15109" max="15109" width="48.140625" style="90" bestFit="1" customWidth="1"/>
    <col min="15110" max="15110" width="11.85546875" style="90" bestFit="1" customWidth="1"/>
    <col min="15111" max="15111" width="15.5703125" style="90" bestFit="1" customWidth="1"/>
    <col min="15112" max="15113" width="15.5703125" style="90" customWidth="1"/>
    <col min="15114" max="15114" width="31.42578125" style="90" bestFit="1" customWidth="1"/>
    <col min="15115" max="15115" width="38.7109375" style="90" bestFit="1" customWidth="1"/>
    <col min="15116" max="15362" width="9.140625" style="90"/>
    <col min="15363" max="15363" width="4.42578125" style="90" customWidth="1"/>
    <col min="15364" max="15364" width="4.28515625" style="90" customWidth="1"/>
    <col min="15365" max="15365" width="48.140625" style="90" bestFit="1" customWidth="1"/>
    <col min="15366" max="15366" width="11.85546875" style="90" bestFit="1" customWidth="1"/>
    <col min="15367" max="15367" width="15.5703125" style="90" bestFit="1" customWidth="1"/>
    <col min="15368" max="15369" width="15.5703125" style="90" customWidth="1"/>
    <col min="15370" max="15370" width="31.42578125" style="90" bestFit="1" customWidth="1"/>
    <col min="15371" max="15371" width="38.7109375" style="90" bestFit="1" customWidth="1"/>
    <col min="15372" max="15618" width="9.140625" style="90"/>
    <col min="15619" max="15619" width="4.42578125" style="90" customWidth="1"/>
    <col min="15620" max="15620" width="4.28515625" style="90" customWidth="1"/>
    <col min="15621" max="15621" width="48.140625" style="90" bestFit="1" customWidth="1"/>
    <col min="15622" max="15622" width="11.85546875" style="90" bestFit="1" customWidth="1"/>
    <col min="15623" max="15623" width="15.5703125" style="90" bestFit="1" customWidth="1"/>
    <col min="15624" max="15625" width="15.5703125" style="90" customWidth="1"/>
    <col min="15626" max="15626" width="31.42578125" style="90" bestFit="1" customWidth="1"/>
    <col min="15627" max="15627" width="38.7109375" style="90" bestFit="1" customWidth="1"/>
    <col min="15628" max="15874" width="9.140625" style="90"/>
    <col min="15875" max="15875" width="4.42578125" style="90" customWidth="1"/>
    <col min="15876" max="15876" width="4.28515625" style="90" customWidth="1"/>
    <col min="15877" max="15877" width="48.140625" style="90" bestFit="1" customWidth="1"/>
    <col min="15878" max="15878" width="11.85546875" style="90" bestFit="1" customWidth="1"/>
    <col min="15879" max="15879" width="15.5703125" style="90" bestFit="1" customWidth="1"/>
    <col min="15880" max="15881" width="15.5703125" style="90" customWidth="1"/>
    <col min="15882" max="15882" width="31.42578125" style="90" bestFit="1" customWidth="1"/>
    <col min="15883" max="15883" width="38.7109375" style="90" bestFit="1" customWidth="1"/>
    <col min="15884" max="16130" width="9.140625" style="90"/>
    <col min="16131" max="16131" width="4.42578125" style="90" customWidth="1"/>
    <col min="16132" max="16132" width="4.28515625" style="90" customWidth="1"/>
    <col min="16133" max="16133" width="48.140625" style="90" bestFit="1" customWidth="1"/>
    <col min="16134" max="16134" width="11.85546875" style="90" bestFit="1" customWidth="1"/>
    <col min="16135" max="16135" width="15.5703125" style="90" bestFit="1" customWidth="1"/>
    <col min="16136" max="16137" width="15.5703125" style="90" customWidth="1"/>
    <col min="16138" max="16138" width="31.42578125" style="90" bestFit="1" customWidth="1"/>
    <col min="16139" max="16139" width="38.7109375" style="90" bestFit="1" customWidth="1"/>
    <col min="16140" max="16384" width="9.140625" style="90"/>
  </cols>
  <sheetData>
    <row r="1" spans="1:11">
      <c r="A1" s="140" t="s">
        <v>169</v>
      </c>
      <c r="B1" s="140"/>
      <c r="C1" s="140"/>
      <c r="D1" s="140"/>
      <c r="E1" s="140"/>
      <c r="F1" s="140"/>
      <c r="G1" s="140"/>
      <c r="H1" s="140"/>
      <c r="I1" s="140"/>
      <c r="J1" s="140"/>
    </row>
    <row r="2" spans="1:11" ht="15">
      <c r="A2" s="91"/>
      <c r="C2" s="91"/>
      <c r="D2" s="91"/>
      <c r="E2" s="91"/>
      <c r="H2" s="92">
        <v>2022</v>
      </c>
      <c r="I2" s="93">
        <v>2835021</v>
      </c>
      <c r="J2" s="93">
        <v>225327.7799999998</v>
      </c>
      <c r="K2" s="92"/>
    </row>
    <row r="3" spans="1:11" ht="15">
      <c r="A3" s="91"/>
      <c r="C3" s="91"/>
      <c r="D3" s="91"/>
      <c r="E3" s="91"/>
      <c r="H3" s="92">
        <v>2023</v>
      </c>
      <c r="I3" s="93">
        <v>3060348.78</v>
      </c>
      <c r="J3" s="94">
        <v>7.9480109671145216E-2</v>
      </c>
      <c r="K3" s="92" t="s">
        <v>172</v>
      </c>
    </row>
    <row r="4" spans="1:11" ht="15">
      <c r="A4" s="91"/>
      <c r="C4" s="91"/>
      <c r="D4" s="91"/>
      <c r="E4" s="91"/>
      <c r="H4" s="92">
        <v>2024</v>
      </c>
      <c r="I4" s="93">
        <v>3243969</v>
      </c>
      <c r="J4" s="93">
        <f>I4-I3</f>
        <v>183620.2200000002</v>
      </c>
      <c r="K4" s="92"/>
    </row>
    <row r="5" spans="1:11" ht="15">
      <c r="A5" s="91"/>
      <c r="C5" s="91"/>
      <c r="D5" s="91"/>
      <c r="E5" s="91"/>
      <c r="H5" s="92">
        <v>2025</v>
      </c>
      <c r="I5" s="93">
        <f>108/100*I4</f>
        <v>3503486.52</v>
      </c>
      <c r="J5" s="94">
        <f>J4/I3</f>
        <v>5.9999769045932148E-2</v>
      </c>
      <c r="K5" s="92" t="s">
        <v>171</v>
      </c>
    </row>
    <row r="6" spans="1:11" ht="15">
      <c r="A6" s="91"/>
      <c r="C6" s="91"/>
      <c r="D6" s="91"/>
      <c r="E6" s="91"/>
      <c r="H6" s="95"/>
      <c r="I6" s="96"/>
      <c r="J6" s="123">
        <f>+I5-I4</f>
        <v>259517.52000000002</v>
      </c>
      <c r="K6" s="95" t="s">
        <v>173</v>
      </c>
    </row>
    <row r="7" spans="1:11" ht="15">
      <c r="A7" s="91"/>
      <c r="C7" s="91"/>
      <c r="D7" s="91"/>
      <c r="E7" s="91"/>
      <c r="F7" s="95"/>
      <c r="G7" s="96"/>
      <c r="H7" s="95"/>
      <c r="I7" s="129"/>
      <c r="J7" s="97"/>
      <c r="K7" s="95"/>
    </row>
    <row r="8" spans="1:11" ht="15">
      <c r="A8" s="91"/>
      <c r="C8" s="91"/>
      <c r="D8" s="91"/>
      <c r="E8" s="91"/>
      <c r="F8" s="95"/>
      <c r="G8" s="96"/>
      <c r="H8" s="95"/>
      <c r="I8" s="96"/>
      <c r="J8" s="97"/>
      <c r="K8" s="95"/>
    </row>
    <row r="9" spans="1:11" ht="15">
      <c r="A9" s="91"/>
      <c r="C9" s="91"/>
      <c r="D9" s="91"/>
      <c r="E9" s="91"/>
      <c r="F9" s="95"/>
      <c r="G9" s="96"/>
      <c r="H9" s="95"/>
      <c r="I9" s="96"/>
      <c r="J9" s="97"/>
      <c r="K9" s="95"/>
    </row>
    <row r="10" spans="1:11">
      <c r="A10" s="141" t="s">
        <v>101</v>
      </c>
      <c r="B10" s="142"/>
      <c r="C10" s="142"/>
      <c r="D10" s="133" t="s">
        <v>102</v>
      </c>
      <c r="E10" s="133"/>
      <c r="F10" s="133" t="s">
        <v>103</v>
      </c>
      <c r="G10" s="133"/>
      <c r="H10" s="133" t="s">
        <v>174</v>
      </c>
      <c r="I10" s="133"/>
      <c r="J10" s="145" t="s">
        <v>104</v>
      </c>
      <c r="K10" s="147" t="s">
        <v>105</v>
      </c>
    </row>
    <row r="11" spans="1:11">
      <c r="A11" s="143"/>
      <c r="B11" s="144"/>
      <c r="C11" s="144"/>
      <c r="D11" s="98" t="s">
        <v>106</v>
      </c>
      <c r="E11" s="98" t="s">
        <v>107</v>
      </c>
      <c r="F11" s="98" t="s">
        <v>106</v>
      </c>
      <c r="G11" s="98" t="s">
        <v>107</v>
      </c>
      <c r="H11" s="98" t="s">
        <v>106</v>
      </c>
      <c r="I11" s="98" t="s">
        <v>107</v>
      </c>
      <c r="J11" s="146"/>
      <c r="K11" s="148"/>
    </row>
    <row r="12" spans="1:11">
      <c r="A12" s="99" t="s">
        <v>108</v>
      </c>
      <c r="B12" s="100"/>
      <c r="C12" s="101"/>
      <c r="D12" s="101"/>
      <c r="E12" s="101"/>
      <c r="F12" s="101"/>
      <c r="G12" s="101"/>
      <c r="H12" s="101"/>
      <c r="I12" s="101"/>
      <c r="J12" s="101"/>
      <c r="K12" s="102"/>
    </row>
    <row r="13" spans="1:11" ht="15">
      <c r="A13" s="135" t="s">
        <v>109</v>
      </c>
      <c r="B13" s="138">
        <v>1</v>
      </c>
      <c r="C13" s="101" t="s">
        <v>110</v>
      </c>
      <c r="D13" s="103">
        <v>3060349</v>
      </c>
      <c r="E13" s="103">
        <v>3060349</v>
      </c>
      <c r="F13" s="103">
        <v>3243969</v>
      </c>
      <c r="G13" s="103">
        <f>F13</f>
        <v>3243969</v>
      </c>
      <c r="H13" s="103">
        <v>3503487</v>
      </c>
      <c r="I13" s="103">
        <f>H13</f>
        <v>3503487</v>
      </c>
      <c r="J13" s="101" t="s">
        <v>111</v>
      </c>
      <c r="K13" s="102"/>
    </row>
    <row r="14" spans="1:11" ht="15">
      <c r="A14" s="135"/>
      <c r="B14" s="138"/>
      <c r="C14" s="101" t="s">
        <v>112</v>
      </c>
      <c r="D14" s="101"/>
      <c r="E14" s="103"/>
      <c r="F14" s="101"/>
      <c r="G14" s="103"/>
      <c r="H14" s="101"/>
      <c r="I14" s="103"/>
      <c r="J14" s="101"/>
      <c r="K14" s="102"/>
    </row>
    <row r="15" spans="1:11">
      <c r="A15" s="136" t="s">
        <v>113</v>
      </c>
      <c r="B15" s="137"/>
      <c r="C15" s="137"/>
      <c r="D15" s="104">
        <f t="shared" ref="D15:I15" si="0">+D13</f>
        <v>3060349</v>
      </c>
      <c r="E15" s="105">
        <f t="shared" si="0"/>
        <v>3060349</v>
      </c>
      <c r="F15" s="104">
        <f t="shared" si="0"/>
        <v>3243969</v>
      </c>
      <c r="G15" s="105">
        <f t="shared" si="0"/>
        <v>3243969</v>
      </c>
      <c r="H15" s="104">
        <f t="shared" si="0"/>
        <v>3503487</v>
      </c>
      <c r="I15" s="105">
        <f t="shared" si="0"/>
        <v>3503487</v>
      </c>
      <c r="J15" s="101"/>
      <c r="K15" s="102"/>
    </row>
    <row r="16" spans="1:11">
      <c r="A16" s="135" t="s">
        <v>114</v>
      </c>
      <c r="B16" s="100"/>
      <c r="C16" s="101" t="s">
        <v>115</v>
      </c>
      <c r="D16" s="101"/>
      <c r="E16" s="101"/>
      <c r="F16" s="101"/>
      <c r="G16" s="101"/>
      <c r="H16" s="101"/>
      <c r="I16" s="101"/>
      <c r="J16" s="101"/>
      <c r="K16" s="102"/>
    </row>
    <row r="17" spans="1:11">
      <c r="A17" s="135"/>
      <c r="B17" s="100">
        <v>1</v>
      </c>
      <c r="C17" s="101" t="s">
        <v>116</v>
      </c>
      <c r="D17" s="106">
        <f>4/100*D15</f>
        <v>122413.96</v>
      </c>
      <c r="E17" s="106">
        <f>+D17</f>
        <v>122413.96</v>
      </c>
      <c r="F17" s="106">
        <f>4/100*F15</f>
        <v>129758.76000000001</v>
      </c>
      <c r="G17" s="106">
        <f>+F17</f>
        <v>129758.76000000001</v>
      </c>
      <c r="H17" s="106">
        <f>4/100*H15</f>
        <v>140139.48000000001</v>
      </c>
      <c r="I17" s="106">
        <f>+H17</f>
        <v>140139.48000000001</v>
      </c>
      <c r="J17" s="101" t="s">
        <v>111</v>
      </c>
      <c r="K17" s="102"/>
    </row>
    <row r="18" spans="1:11">
      <c r="A18" s="135"/>
      <c r="B18" s="100">
        <v>2</v>
      </c>
      <c r="C18" s="101" t="s">
        <v>117</v>
      </c>
      <c r="D18" s="101"/>
      <c r="E18" s="101"/>
      <c r="F18" s="101"/>
      <c r="G18" s="101"/>
      <c r="H18" s="101"/>
      <c r="I18" s="101"/>
      <c r="J18" s="101"/>
      <c r="K18" s="102"/>
    </row>
    <row r="19" spans="1:11">
      <c r="A19" s="135"/>
      <c r="B19" s="100"/>
      <c r="C19" s="101" t="s">
        <v>118</v>
      </c>
      <c r="D19" s="106">
        <f>0.24/100*D15</f>
        <v>7344.8375999999989</v>
      </c>
      <c r="E19" s="106">
        <f>+D19</f>
        <v>7344.8375999999989</v>
      </c>
      <c r="F19" s="106">
        <f>0.24/100*F15</f>
        <v>7785.525599999999</v>
      </c>
      <c r="G19" s="106">
        <f>+F19</f>
        <v>7785.525599999999</v>
      </c>
      <c r="H19" s="106">
        <f>0.24/100*H15</f>
        <v>8408.3687999999984</v>
      </c>
      <c r="I19" s="106">
        <f>+H19</f>
        <v>8408.3687999999984</v>
      </c>
      <c r="J19" s="101" t="s">
        <v>111</v>
      </c>
      <c r="K19" s="139" t="s">
        <v>119</v>
      </c>
    </row>
    <row r="20" spans="1:11">
      <c r="A20" s="135"/>
      <c r="B20" s="100"/>
      <c r="C20" s="101" t="s">
        <v>120</v>
      </c>
      <c r="D20" s="106">
        <f>0.3/100*D15</f>
        <v>9181.0470000000005</v>
      </c>
      <c r="E20" s="106">
        <f>+D20</f>
        <v>9181.0470000000005</v>
      </c>
      <c r="F20" s="106">
        <f>0.3/100*F15</f>
        <v>9731.9070000000011</v>
      </c>
      <c r="G20" s="106">
        <f>+F20</f>
        <v>9731.9070000000011</v>
      </c>
      <c r="H20" s="106">
        <f>0.3/100*H15</f>
        <v>10510.460999999999</v>
      </c>
      <c r="I20" s="106">
        <f>+H20</f>
        <v>10510.460999999999</v>
      </c>
      <c r="J20" s="101" t="s">
        <v>111</v>
      </c>
      <c r="K20" s="139"/>
    </row>
    <row r="21" spans="1:11">
      <c r="A21" s="135"/>
      <c r="B21" s="100"/>
      <c r="C21" s="101" t="s">
        <v>121</v>
      </c>
      <c r="D21" s="106">
        <f>3.7/100*D15</f>
        <v>113232.91300000002</v>
      </c>
      <c r="E21" s="106">
        <f>+D21</f>
        <v>113232.91300000002</v>
      </c>
      <c r="F21" s="106">
        <f>3.7/100*F15</f>
        <v>120026.85300000002</v>
      </c>
      <c r="G21" s="106">
        <f>+F21</f>
        <v>120026.85300000002</v>
      </c>
      <c r="H21" s="106">
        <f>3.7/100*H15</f>
        <v>129629.01900000001</v>
      </c>
      <c r="I21" s="106">
        <f>+H21</f>
        <v>129629.01900000001</v>
      </c>
      <c r="J21" s="101" t="s">
        <v>111</v>
      </c>
      <c r="K21" s="139"/>
    </row>
    <row r="22" spans="1:11">
      <c r="A22" s="135"/>
      <c r="B22" s="100"/>
      <c r="C22" s="101" t="s">
        <v>122</v>
      </c>
      <c r="D22" s="106">
        <f>2/100*D15</f>
        <v>61206.98</v>
      </c>
      <c r="E22" s="106">
        <f>+D22</f>
        <v>61206.98</v>
      </c>
      <c r="F22" s="106">
        <f>2/100*F15</f>
        <v>64879.380000000005</v>
      </c>
      <c r="G22" s="106">
        <f>+F22</f>
        <v>64879.380000000005</v>
      </c>
      <c r="H22" s="106">
        <f>2/100*H15</f>
        <v>70069.740000000005</v>
      </c>
      <c r="I22" s="106">
        <f>+H22</f>
        <v>70069.740000000005</v>
      </c>
      <c r="J22" s="101" t="s">
        <v>111</v>
      </c>
      <c r="K22" s="139"/>
    </row>
    <row r="23" spans="1:11">
      <c r="A23" s="136" t="s">
        <v>123</v>
      </c>
      <c r="B23" s="137"/>
      <c r="C23" s="137"/>
      <c r="D23" s="104">
        <f t="shared" ref="D23:I23" si="1">SUM(D17:D22)</f>
        <v>313379.73759999999</v>
      </c>
      <c r="E23" s="104">
        <f t="shared" si="1"/>
        <v>313379.73759999999</v>
      </c>
      <c r="F23" s="104">
        <f t="shared" si="1"/>
        <v>332182.42560000002</v>
      </c>
      <c r="G23" s="104">
        <f t="shared" si="1"/>
        <v>332182.42560000002</v>
      </c>
      <c r="H23" s="104">
        <f t="shared" si="1"/>
        <v>358757.06880000001</v>
      </c>
      <c r="I23" s="104">
        <f t="shared" si="1"/>
        <v>358757.06880000001</v>
      </c>
      <c r="J23" s="101"/>
      <c r="K23" s="102"/>
    </row>
    <row r="24" spans="1:11">
      <c r="A24" s="135" t="s">
        <v>124</v>
      </c>
      <c r="B24" s="100"/>
      <c r="C24" s="101" t="s">
        <v>115</v>
      </c>
      <c r="D24" s="101"/>
      <c r="E24" s="101"/>
      <c r="F24" s="101"/>
      <c r="G24" s="101"/>
      <c r="H24" s="101"/>
      <c r="I24" s="101"/>
      <c r="J24" s="101"/>
      <c r="K24" s="102"/>
    </row>
    <row r="25" spans="1:11" ht="25.5">
      <c r="A25" s="135"/>
      <c r="B25" s="100">
        <v>1</v>
      </c>
      <c r="C25" s="101" t="s">
        <v>125</v>
      </c>
      <c r="D25" s="107" t="s">
        <v>126</v>
      </c>
      <c r="E25" s="107" t="s">
        <v>126</v>
      </c>
      <c r="F25" s="107" t="s">
        <v>126</v>
      </c>
      <c r="G25" s="107" t="s">
        <v>126</v>
      </c>
      <c r="H25" s="107" t="s">
        <v>126</v>
      </c>
      <c r="I25" s="107" t="s">
        <v>126</v>
      </c>
      <c r="J25" s="108" t="s">
        <v>127</v>
      </c>
      <c r="K25" s="109" t="s">
        <v>128</v>
      </c>
    </row>
    <row r="26" spans="1:11" ht="15">
      <c r="A26" s="135"/>
      <c r="B26" s="100">
        <v>2</v>
      </c>
      <c r="C26" s="101" t="s">
        <v>129</v>
      </c>
      <c r="D26" s="103">
        <f>+D15/12</f>
        <v>255029.08333333334</v>
      </c>
      <c r="E26" s="101"/>
      <c r="F26" s="103">
        <f>+F15/12</f>
        <v>270330.75</v>
      </c>
      <c r="G26" s="101"/>
      <c r="H26" s="103">
        <f>+H15/12</f>
        <v>291957.25</v>
      </c>
      <c r="I26" s="101"/>
      <c r="J26" s="101" t="s">
        <v>130</v>
      </c>
      <c r="K26" s="102"/>
    </row>
    <row r="27" spans="1:11" ht="38.25">
      <c r="A27" s="135"/>
      <c r="B27" s="110">
        <v>3</v>
      </c>
      <c r="C27" s="111" t="s">
        <v>131</v>
      </c>
      <c r="D27" s="124">
        <v>35000</v>
      </c>
      <c r="E27" s="111"/>
      <c r="F27" s="124">
        <v>35000</v>
      </c>
      <c r="G27" s="111"/>
      <c r="H27" s="124">
        <v>35000</v>
      </c>
      <c r="I27" s="101"/>
      <c r="J27" s="108" t="s">
        <v>132</v>
      </c>
      <c r="K27" s="122" t="s">
        <v>170</v>
      </c>
    </row>
    <row r="28" spans="1:11" ht="26.25">
      <c r="A28" s="135"/>
      <c r="B28" s="110">
        <v>4</v>
      </c>
      <c r="C28" s="111" t="s">
        <v>133</v>
      </c>
      <c r="D28" s="103">
        <f>+D15/12</f>
        <v>255029.08333333334</v>
      </c>
      <c r="E28" s="101"/>
      <c r="F28" s="103">
        <f>+F15/12</f>
        <v>270330.75</v>
      </c>
      <c r="G28" s="101"/>
      <c r="H28" s="103">
        <f>+H15/12</f>
        <v>291957.25</v>
      </c>
      <c r="I28" s="101"/>
      <c r="J28" s="101" t="s">
        <v>134</v>
      </c>
      <c r="K28" s="109" t="s">
        <v>135</v>
      </c>
    </row>
    <row r="29" spans="1:11">
      <c r="A29" s="136" t="s">
        <v>136</v>
      </c>
      <c r="B29" s="137"/>
      <c r="C29" s="137"/>
      <c r="D29" s="104">
        <f>SUM(D26:D28)</f>
        <v>545058.16666666674</v>
      </c>
      <c r="E29" s="112"/>
      <c r="F29" s="104">
        <f>SUM(F26:F28)</f>
        <v>575661.5</v>
      </c>
      <c r="G29" s="112"/>
      <c r="H29" s="104">
        <f>SUM(H26:H28)</f>
        <v>618914.5</v>
      </c>
      <c r="I29" s="112"/>
      <c r="J29" s="101"/>
      <c r="K29" s="102"/>
    </row>
    <row r="30" spans="1:11">
      <c r="A30" s="130" t="s">
        <v>137</v>
      </c>
      <c r="B30" s="131"/>
      <c r="C30" s="101" t="s">
        <v>138</v>
      </c>
      <c r="D30" s="106">
        <f>+D15+D23+D29</f>
        <v>3918786.9042666666</v>
      </c>
      <c r="E30" s="101"/>
      <c r="F30" s="106">
        <f>+F15+F23+F29</f>
        <v>4151812.9256000002</v>
      </c>
      <c r="G30" s="101"/>
      <c r="H30" s="106">
        <f>+H15+H23+H29</f>
        <v>4481158.5688000005</v>
      </c>
      <c r="I30" s="101"/>
      <c r="J30" s="101" t="s">
        <v>139</v>
      </c>
      <c r="K30" s="102"/>
    </row>
    <row r="31" spans="1:11">
      <c r="A31" s="130" t="s">
        <v>140</v>
      </c>
      <c r="B31" s="131"/>
      <c r="C31" s="101" t="s">
        <v>141</v>
      </c>
      <c r="D31" s="106">
        <f>9.5/100*D30</f>
        <v>372284.75590533332</v>
      </c>
      <c r="E31" s="101"/>
      <c r="F31" s="106">
        <f>9.5/100*F30</f>
        <v>394422.22793200001</v>
      </c>
      <c r="G31" s="101"/>
      <c r="H31" s="106">
        <f>9.5/100*H30</f>
        <v>425710.06403600005</v>
      </c>
      <c r="I31" s="101"/>
      <c r="J31" s="101" t="s">
        <v>142</v>
      </c>
      <c r="K31" s="102"/>
    </row>
    <row r="32" spans="1:11">
      <c r="A32" s="130" t="s">
        <v>143</v>
      </c>
      <c r="B32" s="131"/>
      <c r="C32" s="101" t="s">
        <v>144</v>
      </c>
      <c r="D32" s="113">
        <f>+D30+D31</f>
        <v>4291071.6601719996</v>
      </c>
      <c r="E32" s="101"/>
      <c r="F32" s="113">
        <f>+F30+F31</f>
        <v>4546235.1535320003</v>
      </c>
      <c r="G32" s="101"/>
      <c r="H32" s="113">
        <f>+H30+H31</f>
        <v>4906868.632836001</v>
      </c>
      <c r="I32" s="101"/>
      <c r="J32" s="101" t="s">
        <v>145</v>
      </c>
      <c r="K32" s="102"/>
    </row>
    <row r="33" spans="1:11">
      <c r="A33" s="130" t="s">
        <v>146</v>
      </c>
      <c r="B33" s="131"/>
      <c r="C33" s="101" t="s">
        <v>147</v>
      </c>
      <c r="D33" s="106">
        <f>11/100*D32</f>
        <v>472017.88261891995</v>
      </c>
      <c r="E33" s="101"/>
      <c r="F33" s="106">
        <f>11/100*F32</f>
        <v>500085.86688852002</v>
      </c>
      <c r="G33" s="101"/>
      <c r="H33" s="106">
        <f>11/100*H32</f>
        <v>539755.54961196007</v>
      </c>
      <c r="I33" s="101"/>
      <c r="J33" s="101" t="s">
        <v>148</v>
      </c>
      <c r="K33" s="102"/>
    </row>
    <row r="34" spans="1:11">
      <c r="A34" s="130" t="s">
        <v>149</v>
      </c>
      <c r="B34" s="131"/>
      <c r="C34" s="101" t="s">
        <v>150</v>
      </c>
      <c r="D34" s="106">
        <f>+D32+D33</f>
        <v>4763089.5427909195</v>
      </c>
      <c r="E34" s="101"/>
      <c r="F34" s="106">
        <f>+F32+F33</f>
        <v>5046321.0204205206</v>
      </c>
      <c r="G34" s="101"/>
      <c r="H34" s="106">
        <f>+H32+H33</f>
        <v>5446624.1824479606</v>
      </c>
      <c r="I34" s="101"/>
      <c r="J34" s="101"/>
      <c r="K34" s="102"/>
    </row>
    <row r="35" spans="1:11">
      <c r="A35" s="99"/>
      <c r="B35" s="100"/>
      <c r="C35" s="101"/>
      <c r="D35" s="101"/>
      <c r="E35" s="101"/>
      <c r="F35" s="101"/>
      <c r="G35" s="101"/>
      <c r="H35" s="101"/>
      <c r="I35" s="101"/>
      <c r="J35" s="101"/>
      <c r="K35" s="102" t="s">
        <v>151</v>
      </c>
    </row>
    <row r="36" spans="1:11">
      <c r="A36" s="99"/>
      <c r="B36" s="100"/>
      <c r="C36" s="101" t="s">
        <v>152</v>
      </c>
      <c r="D36" s="101"/>
      <c r="E36" s="106">
        <f>E15+E23</f>
        <v>3373728.7376000001</v>
      </c>
      <c r="F36" s="101"/>
      <c r="G36" s="106">
        <f>G15+G23</f>
        <v>3576151.4256000002</v>
      </c>
      <c r="H36" s="101"/>
      <c r="I36" s="106">
        <f>I15+I23</f>
        <v>3862244.0688</v>
      </c>
      <c r="J36" s="101" t="s">
        <v>111</v>
      </c>
      <c r="K36" s="102"/>
    </row>
    <row r="37" spans="1:11">
      <c r="A37" s="99"/>
      <c r="B37" s="100"/>
      <c r="C37" s="101" t="s">
        <v>153</v>
      </c>
      <c r="D37" s="101"/>
      <c r="E37" s="106">
        <f>+E23</f>
        <v>313379.73759999999</v>
      </c>
      <c r="F37" s="101"/>
      <c r="G37" s="106">
        <f>+G23</f>
        <v>332182.42560000002</v>
      </c>
      <c r="H37" s="101"/>
      <c r="I37" s="106">
        <f>+I23</f>
        <v>358757.06880000001</v>
      </c>
      <c r="J37" s="132" t="s">
        <v>119</v>
      </c>
      <c r="K37" s="102" t="s">
        <v>154</v>
      </c>
    </row>
    <row r="38" spans="1:11">
      <c r="A38" s="99"/>
      <c r="B38" s="100"/>
      <c r="C38" s="101" t="s">
        <v>155</v>
      </c>
      <c r="D38" s="101"/>
      <c r="E38" s="106">
        <f>2/100*E15</f>
        <v>61206.98</v>
      </c>
      <c r="F38" s="101"/>
      <c r="G38" s="106">
        <f>2/100*G15</f>
        <v>64879.380000000005</v>
      </c>
      <c r="H38" s="101"/>
      <c r="I38" s="106">
        <f>2/100*I15</f>
        <v>70069.740000000005</v>
      </c>
      <c r="J38" s="132"/>
      <c r="K38" s="102" t="s">
        <v>156</v>
      </c>
    </row>
    <row r="39" spans="1:11">
      <c r="A39" s="99"/>
      <c r="B39" s="100"/>
      <c r="C39" s="101" t="s">
        <v>157</v>
      </c>
      <c r="D39" s="101"/>
      <c r="E39" s="106">
        <f>1/100*E15</f>
        <v>30603.49</v>
      </c>
      <c r="F39" s="101"/>
      <c r="G39" s="106">
        <f>1/100*G15</f>
        <v>32439.690000000002</v>
      </c>
      <c r="H39" s="101"/>
      <c r="I39" s="106">
        <f>1/100*I15</f>
        <v>35034.870000000003</v>
      </c>
      <c r="J39" s="132"/>
      <c r="K39" s="102" t="s">
        <v>158</v>
      </c>
    </row>
    <row r="40" spans="1:11">
      <c r="A40" s="99"/>
      <c r="B40" s="100"/>
      <c r="C40" s="101" t="s">
        <v>159</v>
      </c>
      <c r="D40" s="101"/>
      <c r="E40" s="106">
        <f>1/100*E15</f>
        <v>30603.49</v>
      </c>
      <c r="F40" s="101"/>
      <c r="G40" s="106">
        <f>1/100*G15</f>
        <v>32439.690000000002</v>
      </c>
      <c r="H40" s="101"/>
      <c r="I40" s="106">
        <f>1/100*I15</f>
        <v>35034.870000000003</v>
      </c>
      <c r="J40" s="132"/>
      <c r="K40" s="102" t="s">
        <v>158</v>
      </c>
    </row>
    <row r="41" spans="1:11">
      <c r="A41" s="114"/>
      <c r="B41" s="115"/>
      <c r="C41" s="116" t="s">
        <v>160</v>
      </c>
      <c r="D41" s="116"/>
      <c r="E41" s="117">
        <f>+E36-E37-E38-E39-E40</f>
        <v>2937935.0399999996</v>
      </c>
      <c r="F41" s="116"/>
      <c r="G41" s="117">
        <f>+G36-G37-G38-G39-G40</f>
        <v>3114210.24</v>
      </c>
      <c r="H41" s="116"/>
      <c r="I41" s="117">
        <f>+I36-I37-I38-I39-I40</f>
        <v>3363347.5199999996</v>
      </c>
      <c r="J41" s="116"/>
      <c r="K41" s="118"/>
    </row>
    <row r="44" spans="1:11">
      <c r="C44" s="90" t="s">
        <v>161</v>
      </c>
      <c r="D44" s="90" t="s">
        <v>162</v>
      </c>
    </row>
    <row r="45" spans="1:11">
      <c r="C45" s="90" t="s">
        <v>163</v>
      </c>
      <c r="D45" s="119" t="s">
        <v>126</v>
      </c>
    </row>
    <row r="46" spans="1:11">
      <c r="C46" s="90" t="s">
        <v>164</v>
      </c>
      <c r="D46" s="119" t="s">
        <v>126</v>
      </c>
    </row>
    <row r="47" spans="1:11" ht="15">
      <c r="C47" s="90" t="s">
        <v>165</v>
      </c>
      <c r="D47" s="120">
        <v>100000</v>
      </c>
    </row>
    <row r="48" spans="1:11" ht="15">
      <c r="C48" s="90" t="s">
        <v>166</v>
      </c>
      <c r="D48" s="120">
        <v>150000</v>
      </c>
    </row>
    <row r="49" spans="3:10">
      <c r="C49" s="90" t="s">
        <v>167</v>
      </c>
      <c r="D49" s="121">
        <v>0</v>
      </c>
    </row>
    <row r="50" spans="3:10" ht="15">
      <c r="C50" s="90" t="s">
        <v>168</v>
      </c>
      <c r="D50" s="120">
        <v>7500</v>
      </c>
    </row>
    <row r="54" spans="3:10">
      <c r="G54" s="134" t="s">
        <v>176</v>
      </c>
      <c r="H54" s="134"/>
      <c r="I54" s="134"/>
      <c r="J54" s="134"/>
    </row>
    <row r="55" spans="3:10">
      <c r="H55" s="90" t="s">
        <v>177</v>
      </c>
      <c r="I55" s="90" t="s">
        <v>175</v>
      </c>
      <c r="J55" s="91" t="s">
        <v>178</v>
      </c>
    </row>
    <row r="56" spans="3:10">
      <c r="G56" s="125">
        <v>45474</v>
      </c>
      <c r="H56" s="91">
        <v>23</v>
      </c>
      <c r="I56" s="126">
        <f>7500*H56</f>
        <v>172500</v>
      </c>
      <c r="J56" s="127">
        <f>F32+I56</f>
        <v>4718735.1535320003</v>
      </c>
    </row>
    <row r="57" spans="3:10">
      <c r="G57" s="125">
        <v>45505</v>
      </c>
      <c r="H57" s="91">
        <v>22</v>
      </c>
      <c r="I57" s="126">
        <f t="shared" ref="I57:I67" si="2">7500*H57</f>
        <v>165000</v>
      </c>
      <c r="J57" s="127">
        <f>F32+I57</f>
        <v>4711235.1535320003</v>
      </c>
    </row>
    <row r="58" spans="3:10">
      <c r="G58" s="125">
        <v>45536</v>
      </c>
      <c r="H58" s="91">
        <v>20</v>
      </c>
      <c r="I58" s="126">
        <f t="shared" si="2"/>
        <v>150000</v>
      </c>
      <c r="J58" s="127">
        <f>F32+I58</f>
        <v>4696235.1535320003</v>
      </c>
    </row>
    <row r="59" spans="3:10">
      <c r="G59" s="125">
        <v>45566</v>
      </c>
      <c r="H59" s="91">
        <v>23</v>
      </c>
      <c r="I59" s="126">
        <f t="shared" si="2"/>
        <v>172500</v>
      </c>
      <c r="J59" s="127">
        <f>F32+I59</f>
        <v>4718735.1535320003</v>
      </c>
    </row>
    <row r="60" spans="3:10">
      <c r="G60" s="125">
        <v>45597</v>
      </c>
      <c r="H60" s="91">
        <v>21</v>
      </c>
      <c r="I60" s="126">
        <f t="shared" si="2"/>
        <v>157500</v>
      </c>
      <c r="J60" s="127">
        <f>F32+I60</f>
        <v>4703735.1535320003</v>
      </c>
    </row>
    <row r="61" spans="3:10">
      <c r="G61" s="125">
        <v>45627</v>
      </c>
      <c r="H61" s="91">
        <v>20</v>
      </c>
      <c r="I61" s="126">
        <f t="shared" si="2"/>
        <v>150000</v>
      </c>
      <c r="J61" s="127">
        <f>F32+I61</f>
        <v>4696235.1535320003</v>
      </c>
    </row>
    <row r="62" spans="3:10">
      <c r="G62" s="125">
        <v>45658</v>
      </c>
      <c r="H62" s="91">
        <v>22</v>
      </c>
      <c r="I62" s="126">
        <f t="shared" si="2"/>
        <v>165000</v>
      </c>
      <c r="J62" s="127">
        <f>H32+I62</f>
        <v>5071868.632836001</v>
      </c>
    </row>
    <row r="63" spans="3:10">
      <c r="G63" s="125">
        <v>45689</v>
      </c>
      <c r="H63" s="91">
        <v>20</v>
      </c>
      <c r="I63" s="126">
        <f t="shared" si="2"/>
        <v>150000</v>
      </c>
      <c r="J63" s="127">
        <f>H32+I63</f>
        <v>5056868.632836001</v>
      </c>
    </row>
    <row r="64" spans="3:10">
      <c r="G64" s="125">
        <v>45717</v>
      </c>
      <c r="H64" s="91">
        <v>21</v>
      </c>
      <c r="I64" s="126">
        <f t="shared" si="2"/>
        <v>157500</v>
      </c>
      <c r="J64" s="127">
        <f>H32+I64</f>
        <v>5064368.632836001</v>
      </c>
    </row>
    <row r="65" spans="7:10">
      <c r="G65" s="125">
        <v>45748</v>
      </c>
      <c r="H65" s="91">
        <v>22</v>
      </c>
      <c r="I65" s="126">
        <f t="shared" si="2"/>
        <v>165000</v>
      </c>
      <c r="J65" s="127">
        <f>H32+I65</f>
        <v>5071868.632836001</v>
      </c>
    </row>
    <row r="66" spans="7:10">
      <c r="G66" s="125">
        <v>45778</v>
      </c>
      <c r="H66" s="91">
        <v>22</v>
      </c>
      <c r="I66" s="126">
        <f t="shared" si="2"/>
        <v>165000</v>
      </c>
      <c r="J66" s="127">
        <f>H32+I66</f>
        <v>5071868.632836001</v>
      </c>
    </row>
    <row r="67" spans="7:10">
      <c r="G67" s="125">
        <v>45809</v>
      </c>
      <c r="H67" s="91">
        <v>21</v>
      </c>
      <c r="I67" s="126">
        <f t="shared" si="2"/>
        <v>157500</v>
      </c>
      <c r="J67" s="127">
        <f>H32+I67</f>
        <v>5064368.632836001</v>
      </c>
    </row>
  </sheetData>
  <mergeCells count="22">
    <mergeCell ref="K19:K22"/>
    <mergeCell ref="A23:C23"/>
    <mergeCell ref="A1:J1"/>
    <mergeCell ref="A10:C11"/>
    <mergeCell ref="D10:E10"/>
    <mergeCell ref="F10:G10"/>
    <mergeCell ref="J10:J11"/>
    <mergeCell ref="K10:K11"/>
    <mergeCell ref="A34:B34"/>
    <mergeCell ref="J37:J40"/>
    <mergeCell ref="H10:I10"/>
    <mergeCell ref="G54:J54"/>
    <mergeCell ref="A24:A28"/>
    <mergeCell ref="A29:C29"/>
    <mergeCell ref="A30:B30"/>
    <mergeCell ref="A31:B31"/>
    <mergeCell ref="A32:B32"/>
    <mergeCell ref="A33:B33"/>
    <mergeCell ref="A13:A14"/>
    <mergeCell ref="B13:B14"/>
    <mergeCell ref="A15:C15"/>
    <mergeCell ref="A16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82"/>
  <sheetViews>
    <sheetView topLeftCell="A7" workbookViewId="0">
      <selection activeCell="D34" sqref="D34"/>
    </sheetView>
  </sheetViews>
  <sheetFormatPr defaultRowHeight="15"/>
  <cols>
    <col min="2" max="2" width="10.5703125" customWidth="1"/>
    <col min="3" max="3" width="18.85546875" customWidth="1"/>
    <col min="4" max="4" width="47.42578125" customWidth="1"/>
    <col min="5" max="5" width="11.85546875" style="76" customWidth="1"/>
    <col min="7" max="7" width="13.28515625" bestFit="1" customWidth="1"/>
    <col min="8" max="9" width="13.28515625" customWidth="1"/>
    <col min="10" max="10" width="9.140625" customWidth="1"/>
    <col min="11" max="11" width="13.28515625" bestFit="1" customWidth="1"/>
    <col min="12" max="13" width="13.28515625" customWidth="1"/>
    <col min="15" max="15" width="13.28515625" bestFit="1" customWidth="1"/>
    <col min="16" max="17" width="13.28515625" customWidth="1"/>
    <col min="18" max="18" width="9.140625" customWidth="1"/>
    <col min="19" max="19" width="13.28515625" bestFit="1" customWidth="1"/>
    <col min="20" max="21" width="13.28515625" customWidth="1"/>
    <col min="23" max="23" width="13.28515625" bestFit="1" customWidth="1"/>
    <col min="24" max="25" width="13.28515625" customWidth="1"/>
    <col min="27" max="27" width="14.28515625" bestFit="1" customWidth="1"/>
    <col min="28" max="29" width="13.28515625" customWidth="1"/>
    <col min="31" max="31" width="13.28515625" bestFit="1" customWidth="1"/>
    <col min="32" max="33" width="13.28515625" customWidth="1"/>
    <col min="35" max="35" width="13.28515625" bestFit="1" customWidth="1"/>
    <col min="36" max="37" width="13.28515625" customWidth="1"/>
    <col min="39" max="39" width="13.28515625" bestFit="1" customWidth="1"/>
    <col min="40" max="41" width="13.28515625" customWidth="1"/>
    <col min="43" max="43" width="13.28515625" bestFit="1" customWidth="1"/>
    <col min="44" max="45" width="13.28515625" customWidth="1"/>
    <col min="47" max="47" width="13.28515625" bestFit="1" customWidth="1"/>
    <col min="48" max="49" width="13.28515625" customWidth="1"/>
    <col min="51" max="51" width="13.28515625" bestFit="1" customWidth="1"/>
    <col min="52" max="55" width="13.28515625" customWidth="1"/>
    <col min="56" max="56" width="12" customWidth="1"/>
  </cols>
  <sheetData>
    <row r="2" spans="1:55" ht="18.75">
      <c r="A2" s="1" t="s">
        <v>90</v>
      </c>
      <c r="B2" s="2"/>
      <c r="D2" s="30">
        <v>15240.473</v>
      </c>
      <c r="E2" s="74"/>
      <c r="H2" t="s">
        <v>99</v>
      </c>
      <c r="I2" s="72">
        <v>3060349</v>
      </c>
      <c r="AC2" s="3"/>
    </row>
    <row r="3" spans="1:55" ht="16.5" customHeight="1">
      <c r="A3" s="4" t="s">
        <v>0</v>
      </c>
      <c r="B3" s="5" t="s">
        <v>1</v>
      </c>
      <c r="C3" s="6" t="s">
        <v>2</v>
      </c>
      <c r="D3" s="7" t="s">
        <v>3</v>
      </c>
      <c r="E3" s="73"/>
      <c r="F3" s="168">
        <v>45129</v>
      </c>
      <c r="G3" s="168"/>
      <c r="H3" s="168"/>
      <c r="I3" s="168"/>
      <c r="J3" s="168">
        <v>45161</v>
      </c>
      <c r="K3" s="168"/>
      <c r="L3" s="168"/>
      <c r="M3" s="168"/>
      <c r="N3" s="168">
        <v>45193</v>
      </c>
      <c r="O3" s="168"/>
      <c r="P3" s="168"/>
      <c r="Q3" s="168"/>
      <c r="R3" s="168">
        <v>45225</v>
      </c>
      <c r="S3" s="168"/>
      <c r="T3" s="168"/>
      <c r="U3" s="168"/>
      <c r="V3" s="168">
        <v>45257</v>
      </c>
      <c r="W3" s="168"/>
      <c r="X3" s="168"/>
      <c r="Y3" s="168"/>
      <c r="Z3" s="168">
        <v>45289</v>
      </c>
      <c r="AA3" s="168"/>
      <c r="AB3" s="168"/>
      <c r="AC3" s="168"/>
      <c r="AD3" s="168">
        <v>45321</v>
      </c>
      <c r="AE3" s="168"/>
      <c r="AF3" s="168"/>
      <c r="AG3" s="168"/>
      <c r="AH3" s="165" t="s">
        <v>73</v>
      </c>
      <c r="AI3" s="166"/>
      <c r="AJ3" s="166"/>
      <c r="AK3" s="167"/>
      <c r="AL3" s="168">
        <v>45354</v>
      </c>
      <c r="AM3" s="168"/>
      <c r="AN3" s="168"/>
      <c r="AO3" s="168"/>
      <c r="AP3" s="168">
        <v>45387</v>
      </c>
      <c r="AQ3" s="168"/>
      <c r="AR3" s="168"/>
      <c r="AS3" s="168"/>
      <c r="AT3" s="168">
        <v>45418</v>
      </c>
      <c r="AU3" s="168"/>
      <c r="AV3" s="168"/>
      <c r="AW3" s="168"/>
      <c r="AX3" s="168">
        <v>45451</v>
      </c>
      <c r="AY3" s="168"/>
      <c r="AZ3" s="168"/>
      <c r="BA3" s="168"/>
      <c r="BB3" s="163" t="s">
        <v>4</v>
      </c>
      <c r="BC3" s="163" t="s">
        <v>5</v>
      </c>
    </row>
    <row r="4" spans="1:55">
      <c r="A4" s="8"/>
      <c r="B4" s="9"/>
      <c r="C4" s="10"/>
      <c r="D4" s="11"/>
      <c r="E4" s="11"/>
      <c r="F4" s="155" t="s">
        <v>6</v>
      </c>
      <c r="G4" s="157" t="s">
        <v>7</v>
      </c>
      <c r="H4" s="154" t="s">
        <v>8</v>
      </c>
      <c r="I4" s="154"/>
      <c r="J4" s="155" t="s">
        <v>6</v>
      </c>
      <c r="K4" s="157" t="s">
        <v>7</v>
      </c>
      <c r="L4" s="154" t="s">
        <v>8</v>
      </c>
      <c r="M4" s="154"/>
      <c r="N4" s="155" t="s">
        <v>6</v>
      </c>
      <c r="O4" s="157" t="s">
        <v>7</v>
      </c>
      <c r="P4" s="154" t="s">
        <v>8</v>
      </c>
      <c r="Q4" s="154"/>
      <c r="R4" s="155" t="s">
        <v>6</v>
      </c>
      <c r="S4" s="157" t="s">
        <v>7</v>
      </c>
      <c r="T4" s="154" t="s">
        <v>8</v>
      </c>
      <c r="U4" s="154"/>
      <c r="V4" s="155" t="s">
        <v>6</v>
      </c>
      <c r="W4" s="157" t="s">
        <v>7</v>
      </c>
      <c r="X4" s="154" t="s">
        <v>8</v>
      </c>
      <c r="Y4" s="154"/>
      <c r="Z4" s="155" t="s">
        <v>6</v>
      </c>
      <c r="AA4" s="157" t="s">
        <v>7</v>
      </c>
      <c r="AB4" s="154" t="s">
        <v>8</v>
      </c>
      <c r="AC4" s="154"/>
      <c r="AD4" s="155" t="s">
        <v>6</v>
      </c>
      <c r="AE4" s="157" t="s">
        <v>7</v>
      </c>
      <c r="AF4" s="154" t="s">
        <v>8</v>
      </c>
      <c r="AG4" s="154"/>
      <c r="AH4" s="155" t="s">
        <v>6</v>
      </c>
      <c r="AI4" s="157" t="s">
        <v>7</v>
      </c>
      <c r="AJ4" s="154" t="s">
        <v>8</v>
      </c>
      <c r="AK4" s="154"/>
      <c r="AL4" s="155" t="s">
        <v>6</v>
      </c>
      <c r="AM4" s="157" t="s">
        <v>7</v>
      </c>
      <c r="AN4" s="154" t="s">
        <v>8</v>
      </c>
      <c r="AO4" s="154"/>
      <c r="AP4" s="155" t="s">
        <v>6</v>
      </c>
      <c r="AQ4" s="157" t="s">
        <v>7</v>
      </c>
      <c r="AR4" s="154" t="s">
        <v>8</v>
      </c>
      <c r="AS4" s="154"/>
      <c r="AT4" s="155" t="s">
        <v>6</v>
      </c>
      <c r="AU4" s="157" t="s">
        <v>7</v>
      </c>
      <c r="AV4" s="154" t="s">
        <v>8</v>
      </c>
      <c r="AW4" s="154"/>
      <c r="AX4" s="155" t="s">
        <v>6</v>
      </c>
      <c r="AY4" s="157" t="s">
        <v>7</v>
      </c>
      <c r="AZ4" s="154" t="s">
        <v>8</v>
      </c>
      <c r="BA4" s="154"/>
      <c r="BB4" s="163"/>
      <c r="BC4" s="163"/>
    </row>
    <row r="5" spans="1:55">
      <c r="A5" s="8"/>
      <c r="B5" s="9"/>
      <c r="C5" s="10"/>
      <c r="D5" s="11"/>
      <c r="E5" s="11"/>
      <c r="F5" s="157"/>
      <c r="G5" s="158"/>
      <c r="H5" s="12" t="s">
        <v>9</v>
      </c>
      <c r="I5" s="12" t="s">
        <v>10</v>
      </c>
      <c r="J5" s="157"/>
      <c r="K5" s="158"/>
      <c r="L5" s="13" t="s">
        <v>11</v>
      </c>
      <c r="M5" s="13" t="s">
        <v>12</v>
      </c>
      <c r="N5" s="156"/>
      <c r="O5" s="158"/>
      <c r="P5" s="13" t="s">
        <v>11</v>
      </c>
      <c r="Q5" s="13" t="s">
        <v>12</v>
      </c>
      <c r="R5" s="156"/>
      <c r="S5" s="158"/>
      <c r="T5" s="13" t="s">
        <v>11</v>
      </c>
      <c r="U5" s="13" t="s">
        <v>12</v>
      </c>
      <c r="V5" s="156"/>
      <c r="W5" s="158"/>
      <c r="X5" s="13" t="s">
        <v>11</v>
      </c>
      <c r="Y5" s="13" t="s">
        <v>12</v>
      </c>
      <c r="Z5" s="156"/>
      <c r="AA5" s="158"/>
      <c r="AB5" s="13" t="s">
        <v>11</v>
      </c>
      <c r="AC5" s="13" t="s">
        <v>12</v>
      </c>
      <c r="AD5" s="156"/>
      <c r="AE5" s="158"/>
      <c r="AF5" s="13" t="s">
        <v>11</v>
      </c>
      <c r="AG5" s="13" t="s">
        <v>12</v>
      </c>
      <c r="AH5" s="156"/>
      <c r="AI5" s="158"/>
      <c r="AJ5" s="13" t="s">
        <v>11</v>
      </c>
      <c r="AK5" s="13" t="s">
        <v>12</v>
      </c>
      <c r="AL5" s="156"/>
      <c r="AM5" s="158"/>
      <c r="AN5" s="13" t="s">
        <v>11</v>
      </c>
      <c r="AO5" s="13" t="s">
        <v>12</v>
      </c>
      <c r="AP5" s="156"/>
      <c r="AQ5" s="158"/>
      <c r="AR5" s="13" t="s">
        <v>11</v>
      </c>
      <c r="AS5" s="13" t="s">
        <v>12</v>
      </c>
      <c r="AT5" s="156"/>
      <c r="AU5" s="158"/>
      <c r="AV5" s="13" t="s">
        <v>11</v>
      </c>
      <c r="AW5" s="13" t="s">
        <v>12</v>
      </c>
      <c r="AX5" s="156"/>
      <c r="AY5" s="158"/>
      <c r="AZ5" s="13" t="s">
        <v>11</v>
      </c>
      <c r="BA5" s="13" t="s">
        <v>12</v>
      </c>
      <c r="BB5" s="164"/>
      <c r="BC5" s="164"/>
    </row>
    <row r="6" spans="1:55">
      <c r="A6" s="14" t="s">
        <v>13</v>
      </c>
      <c r="B6" s="14" t="s">
        <v>14</v>
      </c>
      <c r="C6" s="14" t="s">
        <v>15</v>
      </c>
      <c r="D6" s="14" t="s">
        <v>16</v>
      </c>
      <c r="E6" s="75"/>
      <c r="F6" s="27">
        <f>2506066/G6</f>
        <v>141.66665893334388</v>
      </c>
      <c r="G6" s="15">
        <f>3060349/173</f>
        <v>17689.878612716762</v>
      </c>
      <c r="H6" s="15">
        <f>F6*G6</f>
        <v>2506066</v>
      </c>
      <c r="I6" s="16">
        <f>H6/$D$2</f>
        <v>164.43492272188666</v>
      </c>
      <c r="J6" s="16">
        <f>4174811/K6</f>
        <v>235.99998006763281</v>
      </c>
      <c r="K6" s="15">
        <f>3060349/173</f>
        <v>17689.878612716762</v>
      </c>
      <c r="L6" s="15">
        <f>J6*K6</f>
        <v>4174810.9999999995</v>
      </c>
      <c r="M6" s="16">
        <f>L6/$D$2</f>
        <v>273.92922778709033</v>
      </c>
      <c r="N6" s="16">
        <f>4036241/O6</f>
        <v>228.16668719809408</v>
      </c>
      <c r="O6" s="15">
        <f>3060349/173</f>
        <v>17689.878612716762</v>
      </c>
      <c r="P6" s="15">
        <f>N6*O6</f>
        <v>4036241</v>
      </c>
      <c r="Q6" s="16">
        <f>P6/$D$2</f>
        <v>264.83699029551116</v>
      </c>
      <c r="R6" s="17">
        <f>4095207/S6</f>
        <v>231.50000571830208</v>
      </c>
      <c r="S6" s="15">
        <f>3060349/173</f>
        <v>17689.878612716762</v>
      </c>
      <c r="T6" s="18">
        <f>R6*S6</f>
        <v>4095207</v>
      </c>
      <c r="U6" s="17">
        <f>T6/$D$2</f>
        <v>268.70603031808787</v>
      </c>
      <c r="V6" s="16">
        <f>3378767/W6</f>
        <v>191.00001045632379</v>
      </c>
      <c r="W6" s="15">
        <f>3060349/173</f>
        <v>17689.878612716762</v>
      </c>
      <c r="X6" s="18">
        <f>V6*W6</f>
        <v>3378767</v>
      </c>
      <c r="Y6" s="17">
        <f>X6/$D$2</f>
        <v>221.69699063802022</v>
      </c>
      <c r="Z6" s="16">
        <f>3765490/AA6</f>
        <v>212.86126843703121</v>
      </c>
      <c r="AA6" s="69">
        <f>3060349/173</f>
        <v>17689.878612716762</v>
      </c>
      <c r="AB6" s="15">
        <f>Z6*AA6</f>
        <v>3765490</v>
      </c>
      <c r="AC6" s="16">
        <f>AB6/$D$2</f>
        <v>247.07172802313943</v>
      </c>
      <c r="AD6" s="16"/>
      <c r="AE6" s="18">
        <v>17690</v>
      </c>
      <c r="AF6" s="15">
        <v>3534550.999999939</v>
      </c>
      <c r="AG6" s="16">
        <v>246.72620445778426</v>
      </c>
      <c r="AH6" s="19">
        <v>380.5</v>
      </c>
      <c r="AI6" s="18">
        <v>17690</v>
      </c>
      <c r="AJ6" s="15">
        <v>6734089</v>
      </c>
      <c r="AK6" s="16">
        <v>470.06712293893753</v>
      </c>
      <c r="AL6" s="15">
        <v>349</v>
      </c>
      <c r="AM6" s="18">
        <v>17690</v>
      </c>
      <c r="AN6" s="15">
        <v>6176602</v>
      </c>
      <c r="AO6" s="16">
        <v>431.15223628302022</v>
      </c>
      <c r="AP6" s="15">
        <v>375</v>
      </c>
      <c r="AQ6" s="18">
        <v>17690</v>
      </c>
      <c r="AR6" s="15">
        <v>6636750</v>
      </c>
      <c r="AS6" s="16">
        <v>463.27246018949165</v>
      </c>
      <c r="AT6" s="14">
        <v>397.5</v>
      </c>
      <c r="AU6" s="18">
        <v>17690</v>
      </c>
      <c r="AV6" s="15">
        <v>7034955</v>
      </c>
      <c r="AW6" s="16">
        <v>491.06880780086112</v>
      </c>
      <c r="AX6" s="14">
        <v>386</v>
      </c>
      <c r="AY6" s="18">
        <v>17690</v>
      </c>
      <c r="AZ6" s="15">
        <v>6831428</v>
      </c>
      <c r="BA6" s="16">
        <v>476.86178568838341</v>
      </c>
      <c r="BB6" s="19">
        <v>4487.5</v>
      </c>
      <c r="BC6" s="16">
        <v>4136.1477956942408</v>
      </c>
    </row>
    <row r="7" spans="1:55">
      <c r="A7" s="14" t="s">
        <v>13</v>
      </c>
      <c r="B7" s="14" t="s">
        <v>17</v>
      </c>
      <c r="C7" s="14" t="s">
        <v>15</v>
      </c>
      <c r="D7" s="14" t="s">
        <v>18</v>
      </c>
      <c r="E7" s="75"/>
      <c r="F7" s="27">
        <f>3072142/G7</f>
        <v>173.66665239814154</v>
      </c>
      <c r="G7" s="15">
        <f t="shared" ref="G7:G16" si="0">3060349/173</f>
        <v>17689.878612716762</v>
      </c>
      <c r="H7" s="15">
        <f t="shared" ref="H7:H30" si="1">F7*G7</f>
        <v>3072142</v>
      </c>
      <c r="I7" s="16">
        <f t="shared" ref="I7:I34" si="2">H7/$D$2</f>
        <v>201.57786441405068</v>
      </c>
      <c r="J7" s="16">
        <f>8747645/K7</f>
        <v>494.50000147042056</v>
      </c>
      <c r="K7" s="15">
        <f t="shared" ref="K7:K16" si="3">3060349/173</f>
        <v>17689.878612716762</v>
      </c>
      <c r="L7" s="15">
        <f t="shared" ref="L7:L30" si="4">J7*K7</f>
        <v>8747645</v>
      </c>
      <c r="M7" s="16">
        <f t="shared" ref="M7:M30" si="5">L7/$D$2</f>
        <v>573.97463976347717</v>
      </c>
      <c r="N7" s="16">
        <f>7944967/O7</f>
        <v>449.1250151535005</v>
      </c>
      <c r="O7" s="15">
        <f t="shared" ref="O7:O16" si="6">3060349/173</f>
        <v>17689.878612716762</v>
      </c>
      <c r="P7" s="15">
        <f t="shared" ref="P7:P16" si="7">N7*O7</f>
        <v>7944967</v>
      </c>
      <c r="Q7" s="16">
        <f t="shared" ref="Q7:Q16" si="8">P7/$D$2</f>
        <v>521.30711428706968</v>
      </c>
      <c r="R7" s="17">
        <f>6766379/S7</f>
        <v>382.50002434362881</v>
      </c>
      <c r="S7" s="15">
        <f t="shared" ref="S7:S16" si="9">3060349/173</f>
        <v>17689.878612716762</v>
      </c>
      <c r="T7" s="18">
        <f t="shared" ref="T7:T32" si="10">R7*S7</f>
        <v>6766379</v>
      </c>
      <c r="U7" s="17">
        <f t="shared" ref="U7:U33" si="11">T7/$D$2</f>
        <v>443.97434384090309</v>
      </c>
      <c r="V7" s="16">
        <f>8956975/W7</f>
        <v>506.33332178780921</v>
      </c>
      <c r="W7" s="15">
        <f t="shared" ref="W7:W16" si="12">3060349/173</f>
        <v>17689.878612716762</v>
      </c>
      <c r="X7" s="18">
        <f t="shared" ref="X7:X32" si="13">V7*W7</f>
        <v>8956975</v>
      </c>
      <c r="Y7" s="17">
        <f t="shared" ref="Y7:Y16" si="14">X7/$D$2</f>
        <v>587.70977777395751</v>
      </c>
      <c r="Z7" s="16">
        <f>5036950/AA7</f>
        <v>284.73626700745569</v>
      </c>
      <c r="AA7" s="69">
        <f t="shared" ref="AA7:AA16" si="15">3060349/173</f>
        <v>17689.878612716762</v>
      </c>
      <c r="AB7" s="15">
        <f t="shared" ref="AB7:AB33" si="16">Z7*AA7</f>
        <v>5036950</v>
      </c>
      <c r="AC7" s="16">
        <f t="shared" ref="AC7:AC33" si="17">AB7/$D$2</f>
        <v>330.4982725929832</v>
      </c>
      <c r="AD7" s="16"/>
      <c r="AE7" s="18">
        <v>17690</v>
      </c>
      <c r="AF7" s="15">
        <v>5288637.9999999488</v>
      </c>
      <c r="AG7" s="16">
        <v>369.16869511607473</v>
      </c>
      <c r="AH7" s="19">
        <v>380.5</v>
      </c>
      <c r="AI7" s="18">
        <v>17690</v>
      </c>
      <c r="AJ7" s="15">
        <v>6734089</v>
      </c>
      <c r="AK7" s="16">
        <v>470.06712293893753</v>
      </c>
      <c r="AL7" s="15">
        <v>349</v>
      </c>
      <c r="AM7" s="18">
        <v>17690</v>
      </c>
      <c r="AN7" s="15">
        <v>6176602</v>
      </c>
      <c r="AO7" s="16">
        <v>431.15223628302022</v>
      </c>
      <c r="AP7" s="15">
        <v>375</v>
      </c>
      <c r="AQ7" s="18">
        <v>17690</v>
      </c>
      <c r="AR7" s="15">
        <v>6636750</v>
      </c>
      <c r="AS7" s="16">
        <v>463.27246018949165</v>
      </c>
      <c r="AT7" s="14">
        <v>397.5</v>
      </c>
      <c r="AU7" s="18">
        <v>17690</v>
      </c>
      <c r="AV7" s="15">
        <v>7034955</v>
      </c>
      <c r="AW7" s="16">
        <v>491.06880780086112</v>
      </c>
      <c r="AX7" s="14">
        <v>386</v>
      </c>
      <c r="AY7" s="18">
        <v>17690</v>
      </c>
      <c r="AZ7" s="15">
        <v>6831428</v>
      </c>
      <c r="BA7" s="16">
        <v>476.86178568838341</v>
      </c>
      <c r="BB7" s="19">
        <v>4487.5</v>
      </c>
      <c r="BC7" s="16">
        <v>4669.932219506296</v>
      </c>
    </row>
    <row r="8" spans="1:55">
      <c r="A8" s="14" t="s">
        <v>13</v>
      </c>
      <c r="B8" s="14" t="s">
        <v>19</v>
      </c>
      <c r="C8" s="14" t="s">
        <v>15</v>
      </c>
      <c r="D8" s="14" t="s">
        <v>20</v>
      </c>
      <c r="E8" s="75"/>
      <c r="F8" s="27">
        <f>4384142/G8</f>
        <v>247.83335691452186</v>
      </c>
      <c r="G8" s="15">
        <f t="shared" si="0"/>
        <v>17689.878612716762</v>
      </c>
      <c r="H8" s="15">
        <f t="shared" si="1"/>
        <v>4384142</v>
      </c>
      <c r="I8" s="16">
        <f t="shared" si="2"/>
        <v>287.66443141233214</v>
      </c>
      <c r="J8" s="16">
        <f>5977462/K8</f>
        <v>337.9029404816248</v>
      </c>
      <c r="K8" s="15">
        <f t="shared" si="3"/>
        <v>17689.878612716762</v>
      </c>
      <c r="L8" s="15">
        <f t="shared" si="4"/>
        <v>5977462</v>
      </c>
      <c r="M8" s="16">
        <f t="shared" si="5"/>
        <v>392.20974309655611</v>
      </c>
      <c r="N8" s="16">
        <f>5710640/O8</f>
        <v>322.81962612760833</v>
      </c>
      <c r="O8" s="15">
        <f t="shared" si="6"/>
        <v>17689.878612716762</v>
      </c>
      <c r="P8" s="15">
        <f t="shared" si="7"/>
        <v>5710640</v>
      </c>
      <c r="Q8" s="16">
        <f t="shared" si="8"/>
        <v>374.7022812218492</v>
      </c>
      <c r="R8" s="17">
        <f>1079083/S8</f>
        <v>61.000022873208252</v>
      </c>
      <c r="S8" s="15">
        <f t="shared" si="9"/>
        <v>17689.878612716762</v>
      </c>
      <c r="T8" s="18">
        <f t="shared" si="10"/>
        <v>1079083</v>
      </c>
      <c r="U8" s="17">
        <f t="shared" si="11"/>
        <v>70.803773609913549</v>
      </c>
      <c r="V8" s="16">
        <f>3797427/W8</f>
        <v>214.66665109110104</v>
      </c>
      <c r="W8" s="15">
        <f t="shared" si="12"/>
        <v>17689.878612716762</v>
      </c>
      <c r="X8" s="18">
        <f t="shared" si="13"/>
        <v>3797427</v>
      </c>
      <c r="Y8" s="17">
        <f t="shared" si="14"/>
        <v>249.16726665898099</v>
      </c>
      <c r="Z8" s="16">
        <f>4211665/AA8</f>
        <v>238.08331827513791</v>
      </c>
      <c r="AA8" s="69">
        <f t="shared" si="15"/>
        <v>17689.878612716762</v>
      </c>
      <c r="AB8" s="15">
        <f t="shared" si="16"/>
        <v>4211665</v>
      </c>
      <c r="AC8" s="16">
        <f t="shared" si="17"/>
        <v>276.34739420489115</v>
      </c>
      <c r="AD8" s="16"/>
      <c r="AE8" s="18">
        <v>17690</v>
      </c>
      <c r="AF8" s="15">
        <v>2495693.0000000885</v>
      </c>
      <c r="AG8" s="16">
        <v>174.20964116287851</v>
      </c>
      <c r="AH8" s="19">
        <v>380.5</v>
      </c>
      <c r="AI8" s="18">
        <v>17690</v>
      </c>
      <c r="AJ8" s="15">
        <v>6734089</v>
      </c>
      <c r="AK8" s="16">
        <v>470.06712293893753</v>
      </c>
      <c r="AL8" s="15">
        <v>349</v>
      </c>
      <c r="AM8" s="18">
        <v>17690</v>
      </c>
      <c r="AN8" s="15">
        <v>6176602</v>
      </c>
      <c r="AO8" s="16">
        <v>431.15223628302022</v>
      </c>
      <c r="AP8" s="15">
        <v>375</v>
      </c>
      <c r="AQ8" s="18">
        <v>17690</v>
      </c>
      <c r="AR8" s="15">
        <v>6636750</v>
      </c>
      <c r="AS8" s="16">
        <v>463.27246018949165</v>
      </c>
      <c r="AT8" s="14">
        <v>397.5</v>
      </c>
      <c r="AU8" s="18">
        <v>17690</v>
      </c>
      <c r="AV8" s="15">
        <v>7034955</v>
      </c>
      <c r="AW8" s="16">
        <v>491.06880780086112</v>
      </c>
      <c r="AX8" s="14">
        <v>386</v>
      </c>
      <c r="AY8" s="18">
        <v>17690</v>
      </c>
      <c r="AZ8" s="15">
        <v>6831428</v>
      </c>
      <c r="BA8" s="16">
        <v>476.86178568838341</v>
      </c>
      <c r="BB8" s="19">
        <v>4487.5</v>
      </c>
      <c r="BC8" s="16">
        <v>4270.7558522199479</v>
      </c>
    </row>
    <row r="9" spans="1:55">
      <c r="A9" s="14" t="s">
        <v>13</v>
      </c>
      <c r="B9" s="14" t="s">
        <v>21</v>
      </c>
      <c r="C9" s="14" t="s">
        <v>15</v>
      </c>
      <c r="D9" s="14" t="s">
        <v>22</v>
      </c>
      <c r="E9" s="75"/>
      <c r="F9" s="27">
        <f>4068672/G9</f>
        <v>229.99999542535835</v>
      </c>
      <c r="G9" s="15">
        <f t="shared" si="0"/>
        <v>17689.878612716762</v>
      </c>
      <c r="H9" s="15">
        <f t="shared" si="1"/>
        <v>4068672</v>
      </c>
      <c r="I9" s="16">
        <f t="shared" si="2"/>
        <v>266.96494262349995</v>
      </c>
      <c r="J9" s="16">
        <f>5442343/K9</f>
        <v>307.65293076051131</v>
      </c>
      <c r="K9" s="15">
        <f t="shared" si="3"/>
        <v>17689.878612716762</v>
      </c>
      <c r="L9" s="15">
        <f t="shared" si="4"/>
        <v>5442343</v>
      </c>
      <c r="M9" s="16">
        <f t="shared" si="5"/>
        <v>357.09803757403068</v>
      </c>
      <c r="N9" s="16">
        <f>3648537/O9</f>
        <v>206.24997377750054</v>
      </c>
      <c r="O9" s="15">
        <f t="shared" si="6"/>
        <v>17689.878612716762</v>
      </c>
      <c r="P9" s="15">
        <f t="shared" si="7"/>
        <v>3648537</v>
      </c>
      <c r="Q9" s="16">
        <f t="shared" si="8"/>
        <v>239.39788482942754</v>
      </c>
      <c r="R9" s="17">
        <f>3639693/S9</f>
        <v>205.75002687601972</v>
      </c>
      <c r="S9" s="15">
        <f t="shared" si="9"/>
        <v>17689.878612716762</v>
      </c>
      <c r="T9" s="18">
        <f t="shared" si="10"/>
        <v>3639693.0000000005</v>
      </c>
      <c r="U9" s="17">
        <f t="shared" si="11"/>
        <v>238.81758787932634</v>
      </c>
      <c r="V9" s="16">
        <f>7390936/W9</f>
        <v>417.80591952094352</v>
      </c>
      <c r="W9" s="15">
        <f t="shared" si="12"/>
        <v>17689.878612716762</v>
      </c>
      <c r="X9" s="18">
        <f t="shared" si="13"/>
        <v>7390936</v>
      </c>
      <c r="Y9" s="17">
        <f t="shared" si="14"/>
        <v>484.95450239634948</v>
      </c>
      <c r="Z9" s="16">
        <f>4672834/AA9</f>
        <v>264.152971442146</v>
      </c>
      <c r="AA9" s="69">
        <f t="shared" si="15"/>
        <v>17689.878612716762</v>
      </c>
      <c r="AB9" s="15">
        <f t="shared" si="16"/>
        <v>4672834</v>
      </c>
      <c r="AC9" s="16">
        <f t="shared" si="17"/>
        <v>306.6068881195485</v>
      </c>
      <c r="AD9" s="16"/>
      <c r="AE9" s="18">
        <v>17690</v>
      </c>
      <c r="AF9" s="15">
        <v>4936226.9999999711</v>
      </c>
      <c r="AG9" s="16">
        <v>344.56895714676318</v>
      </c>
      <c r="AH9" s="19">
        <v>380.5</v>
      </c>
      <c r="AI9" s="18">
        <v>17690</v>
      </c>
      <c r="AJ9" s="15">
        <v>6734089</v>
      </c>
      <c r="AK9" s="16">
        <v>470.06712293893753</v>
      </c>
      <c r="AL9" s="15">
        <v>349</v>
      </c>
      <c r="AM9" s="18">
        <v>17690</v>
      </c>
      <c r="AN9" s="15">
        <v>6176602</v>
      </c>
      <c r="AO9" s="16">
        <v>431.15223628302022</v>
      </c>
      <c r="AP9" s="15">
        <v>375</v>
      </c>
      <c r="AQ9" s="18">
        <v>17690</v>
      </c>
      <c r="AR9" s="15">
        <v>6636750</v>
      </c>
      <c r="AS9" s="16">
        <v>463.27246018949165</v>
      </c>
      <c r="AT9" s="14">
        <v>397.5</v>
      </c>
      <c r="AU9" s="18">
        <v>17690</v>
      </c>
      <c r="AV9" s="15">
        <v>7034955</v>
      </c>
      <c r="AW9" s="16">
        <v>491.06880780086112</v>
      </c>
      <c r="AX9" s="14">
        <v>386</v>
      </c>
      <c r="AY9" s="18">
        <v>17690</v>
      </c>
      <c r="AZ9" s="15">
        <v>6831428</v>
      </c>
      <c r="BA9" s="16">
        <v>476.86178568838341</v>
      </c>
      <c r="BB9" s="19">
        <v>4487.5</v>
      </c>
      <c r="BC9" s="16">
        <v>4339.9803396710095</v>
      </c>
    </row>
    <row r="10" spans="1:55">
      <c r="A10" s="14" t="s">
        <v>13</v>
      </c>
      <c r="B10" s="14" t="s">
        <v>23</v>
      </c>
      <c r="C10" s="14" t="s">
        <v>15</v>
      </c>
      <c r="D10" s="14" t="s">
        <v>24</v>
      </c>
      <c r="E10" s="75"/>
      <c r="F10" s="27">
        <f>860907/G10</f>
        <v>48.666642595337983</v>
      </c>
      <c r="G10" s="15">
        <f t="shared" si="0"/>
        <v>17689.878612716762</v>
      </c>
      <c r="H10" s="15">
        <f t="shared" si="1"/>
        <v>860907</v>
      </c>
      <c r="I10" s="16">
        <f t="shared" si="2"/>
        <v>56.488207419809086</v>
      </c>
      <c r="J10" s="16">
        <f>2660115/K10</f>
        <v>150.37497193947488</v>
      </c>
      <c r="K10" s="15">
        <f t="shared" si="3"/>
        <v>17689.878612716762</v>
      </c>
      <c r="L10" s="15">
        <f t="shared" si="4"/>
        <v>2660115</v>
      </c>
      <c r="M10" s="16">
        <f t="shared" si="5"/>
        <v>174.54281110566581</v>
      </c>
      <c r="N10" s="16">
        <f>2908268/O10</f>
        <v>164.40293705064357</v>
      </c>
      <c r="O10" s="15">
        <f t="shared" si="6"/>
        <v>17689.878612716762</v>
      </c>
      <c r="P10" s="15">
        <f t="shared" si="7"/>
        <v>2908268</v>
      </c>
      <c r="Q10" s="16">
        <f t="shared" si="8"/>
        <v>190.82531099920587</v>
      </c>
      <c r="R10" s="17">
        <f>3862048/S10</f>
        <v>218.31964393603477</v>
      </c>
      <c r="S10" s="15">
        <f t="shared" si="9"/>
        <v>17689.878612716762</v>
      </c>
      <c r="T10" s="18">
        <f t="shared" si="10"/>
        <v>3862048</v>
      </c>
      <c r="U10" s="17">
        <f t="shared" si="11"/>
        <v>253.4073581574535</v>
      </c>
      <c r="V10" s="16">
        <f>4262542/W10</f>
        <v>240.95936966666221</v>
      </c>
      <c r="W10" s="15">
        <f t="shared" si="12"/>
        <v>17689.878612716762</v>
      </c>
      <c r="X10" s="18">
        <f t="shared" si="13"/>
        <v>4262542</v>
      </c>
      <c r="Y10" s="17">
        <f t="shared" si="14"/>
        <v>279.68567642224752</v>
      </c>
      <c r="Z10" s="16">
        <f>3894479/AA10</f>
        <v>220.15295216329903</v>
      </c>
      <c r="AA10" s="69">
        <f t="shared" si="15"/>
        <v>17689.878612716762</v>
      </c>
      <c r="AB10" s="15">
        <f t="shared" si="16"/>
        <v>3894479</v>
      </c>
      <c r="AC10" s="16">
        <f t="shared" si="17"/>
        <v>255.5353104854423</v>
      </c>
      <c r="AD10" s="16"/>
      <c r="AE10" s="18">
        <v>17690</v>
      </c>
      <c r="AF10" s="15">
        <v>5399201.0000000084</v>
      </c>
      <c r="AG10" s="16">
        <v>376.88644748221151</v>
      </c>
      <c r="AH10" s="19">
        <v>506.5</v>
      </c>
      <c r="AI10" s="18">
        <v>17690</v>
      </c>
      <c r="AJ10" s="15">
        <v>8964037</v>
      </c>
      <c r="AK10" s="16">
        <v>625.72666956260673</v>
      </c>
      <c r="AL10" s="15">
        <v>457</v>
      </c>
      <c r="AM10" s="18">
        <v>17690</v>
      </c>
      <c r="AN10" s="15">
        <v>8087986</v>
      </c>
      <c r="AO10" s="16">
        <v>564.57470481759378</v>
      </c>
      <c r="AP10" s="15">
        <v>507</v>
      </c>
      <c r="AQ10" s="18">
        <v>17690</v>
      </c>
      <c r="AR10" s="15">
        <v>8972886</v>
      </c>
      <c r="AS10" s="16">
        <v>626.34436617619269</v>
      </c>
      <c r="AT10" s="14">
        <v>487.5</v>
      </c>
      <c r="AU10" s="18">
        <v>17690</v>
      </c>
      <c r="AV10" s="15">
        <v>8627775</v>
      </c>
      <c r="AW10" s="16">
        <v>602.25419824633912</v>
      </c>
      <c r="AX10" s="14">
        <v>506</v>
      </c>
      <c r="AY10" s="18">
        <v>17690</v>
      </c>
      <c r="AZ10" s="15">
        <v>8955188</v>
      </c>
      <c r="BA10" s="16">
        <v>625.10897294902077</v>
      </c>
      <c r="BB10" s="19">
        <v>6149.5</v>
      </c>
      <c r="BC10" s="16">
        <v>5017.0795312486152</v>
      </c>
    </row>
    <row r="11" spans="1:55">
      <c r="A11" s="14" t="s">
        <v>13</v>
      </c>
      <c r="B11" s="14" t="s">
        <v>25</v>
      </c>
      <c r="C11" s="14" t="s">
        <v>15</v>
      </c>
      <c r="D11" s="14" t="s">
        <v>26</v>
      </c>
      <c r="E11" s="75"/>
      <c r="F11" s="27">
        <f>1760143/G11</f>
        <v>99.5000044112616</v>
      </c>
      <c r="G11" s="15">
        <f t="shared" si="0"/>
        <v>17689.878612716762</v>
      </c>
      <c r="H11" s="15">
        <f t="shared" si="1"/>
        <v>1760143</v>
      </c>
      <c r="I11" s="16">
        <f t="shared" si="2"/>
        <v>115.49136303053062</v>
      </c>
      <c r="J11" s="16">
        <f>4096438/K11</f>
        <v>231.56959353328656</v>
      </c>
      <c r="K11" s="15">
        <f t="shared" si="3"/>
        <v>17689.878612716762</v>
      </c>
      <c r="L11" s="15">
        <f t="shared" si="4"/>
        <v>4096438</v>
      </c>
      <c r="M11" s="16">
        <f t="shared" si="5"/>
        <v>268.78680208941023</v>
      </c>
      <c r="N11" s="16">
        <f>3980223/O11</f>
        <v>225.00001764504637</v>
      </c>
      <c r="O11" s="15">
        <f t="shared" si="6"/>
        <v>17689.878612716762</v>
      </c>
      <c r="P11" s="15">
        <f t="shared" si="7"/>
        <v>3980223</v>
      </c>
      <c r="Q11" s="16">
        <f t="shared" si="8"/>
        <v>261.16138258963485</v>
      </c>
      <c r="R11" s="17">
        <f>3340439/S11</f>
        <v>188.83334776523856</v>
      </c>
      <c r="S11" s="15">
        <f t="shared" si="9"/>
        <v>17689.878612716762</v>
      </c>
      <c r="T11" s="18">
        <f t="shared" si="10"/>
        <v>3340439</v>
      </c>
      <c r="U11" s="17">
        <f t="shared" si="11"/>
        <v>219.1821080618692</v>
      </c>
      <c r="V11" s="16">
        <f>3823962/W11</f>
        <v>216.16666138404477</v>
      </c>
      <c r="W11" s="15">
        <f t="shared" si="12"/>
        <v>17689.878612716762</v>
      </c>
      <c r="X11" s="18">
        <f t="shared" si="13"/>
        <v>3823962</v>
      </c>
      <c r="Y11" s="17">
        <f t="shared" si="14"/>
        <v>250.90835435356894</v>
      </c>
      <c r="Z11" s="16">
        <f>3735513/AA11</f>
        <v>211.16668360373279</v>
      </c>
      <c r="AA11" s="69">
        <f t="shared" si="15"/>
        <v>17689.878612716762</v>
      </c>
      <c r="AB11" s="15">
        <f t="shared" si="16"/>
        <v>3735513</v>
      </c>
      <c r="AC11" s="16">
        <f t="shared" si="17"/>
        <v>245.10479431970387</v>
      </c>
      <c r="AD11" s="16"/>
      <c r="AE11" s="18">
        <v>17690</v>
      </c>
      <c r="AF11" s="15">
        <v>3415366.0000000726</v>
      </c>
      <c r="AG11" s="16">
        <v>238.4066010121787</v>
      </c>
      <c r="AH11" s="19">
        <v>380.5</v>
      </c>
      <c r="AI11" s="18">
        <v>17690</v>
      </c>
      <c r="AJ11" s="15">
        <v>6734089</v>
      </c>
      <c r="AK11" s="16">
        <v>470.06712293893753</v>
      </c>
      <c r="AL11" s="15">
        <v>349</v>
      </c>
      <c r="AM11" s="18">
        <v>17690</v>
      </c>
      <c r="AN11" s="15">
        <v>6176602</v>
      </c>
      <c r="AO11" s="16">
        <v>431.15223628302022</v>
      </c>
      <c r="AP11" s="15">
        <v>375</v>
      </c>
      <c r="AQ11" s="18">
        <v>17690</v>
      </c>
      <c r="AR11" s="15">
        <v>6636750</v>
      </c>
      <c r="AS11" s="16">
        <v>463.27246018949165</v>
      </c>
      <c r="AT11" s="14">
        <v>397.5</v>
      </c>
      <c r="AU11" s="18">
        <v>17690</v>
      </c>
      <c r="AV11" s="15">
        <v>7034955</v>
      </c>
      <c r="AW11" s="16">
        <v>491.06880780086112</v>
      </c>
      <c r="AX11" s="14">
        <v>386</v>
      </c>
      <c r="AY11" s="18">
        <v>17690</v>
      </c>
      <c r="AZ11" s="15">
        <v>6831428</v>
      </c>
      <c r="BA11" s="16">
        <v>476.86178568838341</v>
      </c>
      <c r="BB11" s="19">
        <v>4487.5</v>
      </c>
      <c r="BC11" s="16">
        <v>4027.0437196435046</v>
      </c>
    </row>
    <row r="12" spans="1:55">
      <c r="A12" s="14" t="s">
        <v>13</v>
      </c>
      <c r="B12" s="14" t="s">
        <v>27</v>
      </c>
      <c r="C12" s="14" t="s">
        <v>15</v>
      </c>
      <c r="D12" s="14" t="s">
        <v>28</v>
      </c>
      <c r="E12" s="75"/>
      <c r="F12" s="27">
        <f>4196924/G12</f>
        <v>237.25001690983612</v>
      </c>
      <c r="G12" s="15">
        <f t="shared" si="0"/>
        <v>17689.878612716762</v>
      </c>
      <c r="H12" s="15">
        <f t="shared" si="1"/>
        <v>4196924</v>
      </c>
      <c r="I12" s="16">
        <f>H12/$D$2</f>
        <v>275.38016700662769</v>
      </c>
      <c r="J12" s="16">
        <f>2576826/K12</f>
        <v>145.66668638119378</v>
      </c>
      <c r="K12" s="15">
        <f t="shared" si="3"/>
        <v>17689.878612716762</v>
      </c>
      <c r="L12" s="15">
        <f t="shared" si="4"/>
        <v>2576826</v>
      </c>
      <c r="M12" s="16">
        <f t="shared" si="5"/>
        <v>169.07782324078786</v>
      </c>
      <c r="N12" s="16">
        <f>4012654/O12</f>
        <v>226.83332587231064</v>
      </c>
      <c r="O12" s="15">
        <f t="shared" si="6"/>
        <v>17689.878612716762</v>
      </c>
      <c r="P12" s="15">
        <f t="shared" si="7"/>
        <v>4012654</v>
      </c>
      <c r="Q12" s="16">
        <f t="shared" si="8"/>
        <v>263.28933491762365</v>
      </c>
      <c r="R12" s="17">
        <f>3909221/S12</f>
        <v>220.98631005810122</v>
      </c>
      <c r="S12" s="15">
        <f t="shared" si="9"/>
        <v>17689.878612716762</v>
      </c>
      <c r="T12" s="18">
        <f t="shared" si="10"/>
        <v>3909221</v>
      </c>
      <c r="U12" s="17">
        <f t="shared" si="11"/>
        <v>256.50260329846719</v>
      </c>
      <c r="V12" s="16">
        <f>5071099/W12</f>
        <v>286.66669291639613</v>
      </c>
      <c r="W12" s="15">
        <f t="shared" si="12"/>
        <v>17689.878612716762</v>
      </c>
      <c r="X12" s="18">
        <f t="shared" si="13"/>
        <v>5071099</v>
      </c>
      <c r="Y12" s="17">
        <f t="shared" si="14"/>
        <v>332.73895108111145</v>
      </c>
      <c r="Z12" s="16">
        <f>4266209/AA12</f>
        <v>241.16666334460547</v>
      </c>
      <c r="AA12" s="69">
        <f t="shared" si="15"/>
        <v>17689.878612716762</v>
      </c>
      <c r="AB12" s="15">
        <f t="shared" si="16"/>
        <v>4266209</v>
      </c>
      <c r="AC12" s="16">
        <f t="shared" si="17"/>
        <v>279.92628575241724</v>
      </c>
      <c r="AD12" s="16"/>
      <c r="AE12" s="18">
        <v>17690</v>
      </c>
      <c r="AF12" s="15">
        <v>3495869.9999999423</v>
      </c>
      <c r="AG12" s="16">
        <v>244.02611148568371</v>
      </c>
      <c r="AH12" s="19">
        <v>380.5</v>
      </c>
      <c r="AI12" s="18">
        <v>17690</v>
      </c>
      <c r="AJ12" s="15">
        <v>6734089</v>
      </c>
      <c r="AK12" s="16">
        <v>470.06712293893753</v>
      </c>
      <c r="AL12" s="15">
        <v>349</v>
      </c>
      <c r="AM12" s="18">
        <v>17690</v>
      </c>
      <c r="AN12" s="15">
        <v>6176602</v>
      </c>
      <c r="AO12" s="16">
        <v>431.15223628302022</v>
      </c>
      <c r="AP12" s="15">
        <v>375</v>
      </c>
      <c r="AQ12" s="18">
        <v>17690</v>
      </c>
      <c r="AR12" s="15">
        <v>6636750</v>
      </c>
      <c r="AS12" s="16">
        <v>463.27246018949165</v>
      </c>
      <c r="AT12" s="14">
        <v>397.5</v>
      </c>
      <c r="AU12" s="18">
        <v>17690</v>
      </c>
      <c r="AV12" s="15">
        <v>7034955</v>
      </c>
      <c r="AW12" s="16">
        <v>491.06880780086112</v>
      </c>
      <c r="AX12" s="14">
        <v>386</v>
      </c>
      <c r="AY12" s="18">
        <v>17690</v>
      </c>
      <c r="AZ12" s="15">
        <v>6831428</v>
      </c>
      <c r="BA12" s="16">
        <v>476.86178568838341</v>
      </c>
      <c r="BB12" s="19">
        <v>4487.5</v>
      </c>
      <c r="BC12" s="16">
        <v>4333.0596979450256</v>
      </c>
    </row>
    <row r="13" spans="1:55">
      <c r="A13" s="14" t="s">
        <v>13</v>
      </c>
      <c r="B13" s="14" t="s">
        <v>29</v>
      </c>
      <c r="C13" s="14" t="s">
        <v>15</v>
      </c>
      <c r="D13" s="14" t="s">
        <v>30</v>
      </c>
      <c r="E13" s="75"/>
      <c r="F13" s="27">
        <f>3535027/G13</f>
        <v>199.83331018782499</v>
      </c>
      <c r="G13" s="15">
        <f t="shared" si="0"/>
        <v>17689.878612716762</v>
      </c>
      <c r="H13" s="15">
        <f t="shared" si="1"/>
        <v>3535027</v>
      </c>
      <c r="I13" s="16">
        <f t="shared" si="2"/>
        <v>231.9499532593247</v>
      </c>
      <c r="J13" s="16">
        <f>4569643/K13</f>
        <v>258.3196357670318</v>
      </c>
      <c r="K13" s="15">
        <f t="shared" si="3"/>
        <v>17689.878612716762</v>
      </c>
      <c r="L13" s="15">
        <f t="shared" si="4"/>
        <v>4569643</v>
      </c>
      <c r="M13" s="16">
        <f t="shared" si="5"/>
        <v>299.83603527265853</v>
      </c>
      <c r="N13" s="16">
        <f>4519764/O13</f>
        <v>255.5000008169003</v>
      </c>
      <c r="O13" s="15">
        <f t="shared" si="6"/>
        <v>17689.878612716762</v>
      </c>
      <c r="P13" s="15">
        <f t="shared" si="7"/>
        <v>4519764</v>
      </c>
      <c r="Q13" s="16">
        <f t="shared" si="8"/>
        <v>296.56323658721089</v>
      </c>
      <c r="R13" s="17">
        <f>5205872/S13</f>
        <v>294.28534327294045</v>
      </c>
      <c r="S13" s="15">
        <f t="shared" si="9"/>
        <v>17689.878612716762</v>
      </c>
      <c r="T13" s="18">
        <f t="shared" si="10"/>
        <v>5205872</v>
      </c>
      <c r="U13" s="17">
        <f t="shared" si="11"/>
        <v>341.58204932353476</v>
      </c>
      <c r="V13" s="16">
        <f>4814595/W13</f>
        <v>272.16664994744065</v>
      </c>
      <c r="W13" s="15">
        <f t="shared" si="12"/>
        <v>17689.878612716762</v>
      </c>
      <c r="X13" s="18">
        <f t="shared" si="13"/>
        <v>4814595</v>
      </c>
      <c r="Y13" s="17">
        <f t="shared" si="14"/>
        <v>315.90850231485598</v>
      </c>
      <c r="Z13" s="16">
        <f>3963270/AA13</f>
        <v>224.04167302487397</v>
      </c>
      <c r="AA13" s="69">
        <f t="shared" si="15"/>
        <v>17689.878612716762</v>
      </c>
      <c r="AB13" s="15">
        <f t="shared" si="16"/>
        <v>3963270</v>
      </c>
      <c r="AC13" s="16">
        <f t="shared" si="17"/>
        <v>260.04901553908462</v>
      </c>
      <c r="AD13" s="16"/>
      <c r="AE13" s="18">
        <v>17690</v>
      </c>
      <c r="AF13" s="15">
        <v>2310687.9999999912</v>
      </c>
      <c r="AG13" s="16">
        <v>161.29553086832138</v>
      </c>
      <c r="AH13" s="19">
        <v>380.5</v>
      </c>
      <c r="AI13" s="18">
        <v>17690</v>
      </c>
      <c r="AJ13" s="15">
        <v>6734089</v>
      </c>
      <c r="AK13" s="16">
        <v>470.06712293893753</v>
      </c>
      <c r="AL13" s="15">
        <v>349</v>
      </c>
      <c r="AM13" s="18">
        <v>17690</v>
      </c>
      <c r="AN13" s="15">
        <v>6176602</v>
      </c>
      <c r="AO13" s="16">
        <v>431.15223628302022</v>
      </c>
      <c r="AP13" s="15">
        <v>375</v>
      </c>
      <c r="AQ13" s="18">
        <v>17690</v>
      </c>
      <c r="AR13" s="15">
        <v>6636750</v>
      </c>
      <c r="AS13" s="16">
        <v>463.27246018949165</v>
      </c>
      <c r="AT13" s="14">
        <v>397.5</v>
      </c>
      <c r="AU13" s="18">
        <v>17690</v>
      </c>
      <c r="AV13" s="15">
        <v>7034955</v>
      </c>
      <c r="AW13" s="16">
        <v>491.06880780086112</v>
      </c>
      <c r="AX13" s="14">
        <v>386</v>
      </c>
      <c r="AY13" s="18">
        <v>17690</v>
      </c>
      <c r="AZ13" s="15">
        <v>6831428</v>
      </c>
      <c r="BA13" s="16">
        <v>476.86178568838341</v>
      </c>
      <c r="BB13" s="19">
        <v>4487.5</v>
      </c>
      <c r="BC13" s="16">
        <v>4069.551493902296</v>
      </c>
    </row>
    <row r="14" spans="1:55">
      <c r="A14" s="14" t="s">
        <v>13</v>
      </c>
      <c r="B14" s="14" t="s">
        <v>31</v>
      </c>
      <c r="C14" s="14" t="s">
        <v>15</v>
      </c>
      <c r="D14" s="14" t="s">
        <v>32</v>
      </c>
      <c r="E14" s="75"/>
      <c r="F14" s="27">
        <f>1387181/G14</f>
        <v>78.416648885470252</v>
      </c>
      <c r="G14" s="15">
        <f t="shared" si="0"/>
        <v>17689.878612716762</v>
      </c>
      <c r="H14" s="15">
        <f t="shared" si="1"/>
        <v>1387181</v>
      </c>
      <c r="I14" s="16">
        <f t="shared" si="2"/>
        <v>91.019550377471887</v>
      </c>
      <c r="J14" s="16">
        <f>2341698/K14</f>
        <v>132.37501801265151</v>
      </c>
      <c r="K14" s="15">
        <f t="shared" si="3"/>
        <v>17689.878612716762</v>
      </c>
      <c r="L14" s="15">
        <f t="shared" si="4"/>
        <v>2341698</v>
      </c>
      <c r="M14" s="16">
        <f t="shared" si="5"/>
        <v>153.64995561489462</v>
      </c>
      <c r="N14" s="16">
        <f>2167010/O14</f>
        <v>122.49999264789736</v>
      </c>
      <c r="O14" s="15">
        <f t="shared" si="6"/>
        <v>17689.878612716762</v>
      </c>
      <c r="P14" s="15">
        <f t="shared" si="7"/>
        <v>2167010</v>
      </c>
      <c r="Q14" s="16">
        <f t="shared" si="8"/>
        <v>142.18784416992833</v>
      </c>
      <c r="R14" s="17">
        <f>3235531/S14</f>
        <v>182.90295093794859</v>
      </c>
      <c r="S14" s="15">
        <f t="shared" si="9"/>
        <v>17689.878612716762</v>
      </c>
      <c r="T14" s="18">
        <f t="shared" si="10"/>
        <v>3235531</v>
      </c>
      <c r="U14" s="17">
        <f t="shared" si="11"/>
        <v>212.29859466960113</v>
      </c>
      <c r="V14" s="16">
        <f>3181230/W14</f>
        <v>179.83334253707667</v>
      </c>
      <c r="W14" s="15">
        <f t="shared" si="12"/>
        <v>17689.878612716762</v>
      </c>
      <c r="X14" s="18">
        <f t="shared" si="13"/>
        <v>3181230.0000000005</v>
      </c>
      <c r="Y14" s="17">
        <f t="shared" si="14"/>
        <v>208.73564750910293</v>
      </c>
      <c r="Z14" s="16">
        <f>3020547/AA14</f>
        <v>170.75001282533464</v>
      </c>
      <c r="AA14" s="69">
        <f t="shared" si="15"/>
        <v>17689.878612716762</v>
      </c>
      <c r="AB14" s="15">
        <f t="shared" si="16"/>
        <v>3020547</v>
      </c>
      <c r="AC14" s="16">
        <f t="shared" si="17"/>
        <v>198.1924707979864</v>
      </c>
      <c r="AD14" s="16"/>
      <c r="AE14" s="18">
        <v>17690</v>
      </c>
      <c r="AF14" s="15">
        <v>1544801.0000000626</v>
      </c>
      <c r="AG14" s="16">
        <v>107.83346664756333</v>
      </c>
      <c r="AH14" s="15">
        <v>160</v>
      </c>
      <c r="AI14" s="18">
        <v>17690</v>
      </c>
      <c r="AJ14" s="15">
        <v>2831680</v>
      </c>
      <c r="AK14" s="16">
        <v>197.66291634751644</v>
      </c>
      <c r="AL14" s="15">
        <v>160</v>
      </c>
      <c r="AM14" s="18">
        <v>17690</v>
      </c>
      <c r="AN14" s="15">
        <v>2831680</v>
      </c>
      <c r="AO14" s="16">
        <v>197.66291634751644</v>
      </c>
      <c r="AP14" s="15">
        <v>144</v>
      </c>
      <c r="AQ14" s="18">
        <v>17690</v>
      </c>
      <c r="AR14" s="15">
        <v>2548512</v>
      </c>
      <c r="AS14" s="16">
        <v>177.8966247127648</v>
      </c>
      <c r="AT14" s="14">
        <v>240</v>
      </c>
      <c r="AU14" s="18">
        <v>17690</v>
      </c>
      <c r="AV14" s="15">
        <v>4247520</v>
      </c>
      <c r="AW14" s="16">
        <v>296.49437452127466</v>
      </c>
      <c r="AX14" s="14">
        <v>176</v>
      </c>
      <c r="AY14" s="18">
        <v>17690</v>
      </c>
      <c r="AZ14" s="15">
        <v>3114848</v>
      </c>
      <c r="BA14" s="16">
        <v>217.42920798226808</v>
      </c>
      <c r="BB14" s="15">
        <v>1872</v>
      </c>
      <c r="BC14" s="16">
        <v>1903.8161770059287</v>
      </c>
    </row>
    <row r="15" spans="1:55">
      <c r="A15" s="14" t="s">
        <v>13</v>
      </c>
      <c r="B15" s="14" t="s">
        <v>33</v>
      </c>
      <c r="C15" s="14" t="s">
        <v>15</v>
      </c>
      <c r="D15" s="14" t="s">
        <v>34</v>
      </c>
      <c r="E15" s="75"/>
      <c r="F15" s="27">
        <f>1338534/G15</f>
        <v>75.66665827982365</v>
      </c>
      <c r="G15" s="15">
        <f t="shared" si="0"/>
        <v>17689.878612716762</v>
      </c>
      <c r="H15" s="15">
        <f t="shared" si="1"/>
        <v>1338534</v>
      </c>
      <c r="I15" s="16">
        <f t="shared" si="2"/>
        <v>87.827589078108005</v>
      </c>
      <c r="J15" s="16">
        <f>2523756/K15</f>
        <v>142.66666579530636</v>
      </c>
      <c r="K15" s="15">
        <f t="shared" si="3"/>
        <v>17689.878612716762</v>
      </c>
      <c r="L15" s="15">
        <f t="shared" si="4"/>
        <v>2523756</v>
      </c>
      <c r="M15" s="16">
        <f t="shared" si="5"/>
        <v>165.59564785161194</v>
      </c>
      <c r="N15" s="16">
        <f>4524924/O15</f>
        <v>255.79169303893119</v>
      </c>
      <c r="O15" s="15">
        <f t="shared" si="6"/>
        <v>17689.878612716762</v>
      </c>
      <c r="P15" s="15">
        <f t="shared" si="7"/>
        <v>4524924</v>
      </c>
      <c r="Q15" s="16">
        <f t="shared" si="8"/>
        <v>296.90180875619808</v>
      </c>
      <c r="R15" s="17">
        <f>2585671/S15</f>
        <v>146.16668981217504</v>
      </c>
      <c r="S15" s="15">
        <f t="shared" si="9"/>
        <v>17689.878612716762</v>
      </c>
      <c r="T15" s="18">
        <f t="shared" si="10"/>
        <v>2585671.0000000005</v>
      </c>
      <c r="U15" s="17">
        <f t="shared" si="11"/>
        <v>169.65818580565056</v>
      </c>
      <c r="V15" s="16">
        <f>3045607/W15</f>
        <v>172.16664210519781</v>
      </c>
      <c r="W15" s="15">
        <f t="shared" si="12"/>
        <v>17689.878612716762</v>
      </c>
      <c r="X15" s="18">
        <f t="shared" si="13"/>
        <v>3045607</v>
      </c>
      <c r="Y15" s="17">
        <f t="shared" si="14"/>
        <v>199.8367767194627</v>
      </c>
      <c r="Z15" s="16">
        <f>3135531/AA15</f>
        <v>177.25000089859034</v>
      </c>
      <c r="AA15" s="69">
        <f t="shared" si="15"/>
        <v>17689.878612716762</v>
      </c>
      <c r="AB15" s="15">
        <f t="shared" si="16"/>
        <v>3135531</v>
      </c>
      <c r="AC15" s="16">
        <f t="shared" si="17"/>
        <v>205.73711852643945</v>
      </c>
      <c r="AD15" s="16"/>
      <c r="AE15" s="18">
        <v>17690</v>
      </c>
      <c r="AF15" s="15">
        <v>2008466.9999999304</v>
      </c>
      <c r="AG15" s="16">
        <v>140.19926143057603</v>
      </c>
      <c r="AH15" s="15">
        <v>160</v>
      </c>
      <c r="AI15" s="18">
        <v>17690</v>
      </c>
      <c r="AJ15" s="15">
        <v>2831680</v>
      </c>
      <c r="AK15" s="16">
        <v>197.66291634751644</v>
      </c>
      <c r="AL15" s="15">
        <v>160</v>
      </c>
      <c r="AM15" s="18">
        <v>17690</v>
      </c>
      <c r="AN15" s="15">
        <v>2831680</v>
      </c>
      <c r="AO15" s="16">
        <v>197.66291634751644</v>
      </c>
      <c r="AP15" s="15">
        <v>144</v>
      </c>
      <c r="AQ15" s="18">
        <v>17690</v>
      </c>
      <c r="AR15" s="15">
        <v>2548512</v>
      </c>
      <c r="AS15" s="16">
        <v>177.8966247127648</v>
      </c>
      <c r="AT15" s="14">
        <v>240</v>
      </c>
      <c r="AU15" s="18">
        <v>17690</v>
      </c>
      <c r="AV15" s="15">
        <v>4247520</v>
      </c>
      <c r="AW15" s="16">
        <v>296.49437452127466</v>
      </c>
      <c r="AX15" s="14">
        <v>176</v>
      </c>
      <c r="AY15" s="18">
        <v>17690</v>
      </c>
      <c r="AZ15" s="15">
        <v>3114848</v>
      </c>
      <c r="BA15" s="16">
        <v>217.42920798226808</v>
      </c>
      <c r="BB15" s="15">
        <v>1872</v>
      </c>
      <c r="BC15" s="16">
        <v>2045.3463585950424</v>
      </c>
    </row>
    <row r="16" spans="1:55">
      <c r="A16" s="14" t="s">
        <v>13</v>
      </c>
      <c r="B16" s="14" t="s">
        <v>35</v>
      </c>
      <c r="C16" s="14" t="s">
        <v>15</v>
      </c>
      <c r="D16" s="14" t="s">
        <v>36</v>
      </c>
      <c r="E16" s="75"/>
      <c r="F16" s="27">
        <f>574924/G16</f>
        <v>32.500166484280065</v>
      </c>
      <c r="G16" s="15">
        <f t="shared" si="0"/>
        <v>17689.878612716762</v>
      </c>
      <c r="H16" s="15">
        <f t="shared" si="1"/>
        <v>574924</v>
      </c>
      <c r="I16" s="16">
        <f t="shared" si="2"/>
        <v>37.723501101310966</v>
      </c>
      <c r="J16" s="16">
        <f>3670650/K16</f>
        <v>207.50001061970383</v>
      </c>
      <c r="K16" s="15">
        <f t="shared" si="3"/>
        <v>17689.878612716762</v>
      </c>
      <c r="L16" s="15">
        <f t="shared" si="4"/>
        <v>3670650</v>
      </c>
      <c r="M16" s="16">
        <f t="shared" si="5"/>
        <v>240.84882404896487</v>
      </c>
      <c r="N16" s="16">
        <f>2856673/O16</f>
        <v>161.48629747783667</v>
      </c>
      <c r="O16" s="15">
        <f t="shared" si="6"/>
        <v>17689.878612716762</v>
      </c>
      <c r="P16" s="15">
        <f t="shared" si="7"/>
        <v>2856673</v>
      </c>
      <c r="Q16" s="16">
        <f t="shared" si="8"/>
        <v>187.43991738314159</v>
      </c>
      <c r="R16" s="17">
        <f>4917049/S16</f>
        <v>277.95832338076474</v>
      </c>
      <c r="S16" s="15">
        <f t="shared" si="9"/>
        <v>17689.878612716762</v>
      </c>
      <c r="T16" s="18">
        <f t="shared" si="10"/>
        <v>4917049</v>
      </c>
      <c r="U16" s="17">
        <f t="shared" si="11"/>
        <v>322.63099708257084</v>
      </c>
      <c r="V16" s="16">
        <f>3826910/W16</f>
        <v>216.33331035120506</v>
      </c>
      <c r="W16" s="15">
        <f t="shared" si="12"/>
        <v>17689.878612716762</v>
      </c>
      <c r="X16" s="18">
        <f t="shared" si="13"/>
        <v>3826910</v>
      </c>
      <c r="Y16" s="17">
        <f t="shared" si="14"/>
        <v>251.10178667026935</v>
      </c>
      <c r="Z16" s="16">
        <f>5017544/AA16</f>
        <v>283.63925552281785</v>
      </c>
      <c r="AA16" s="69">
        <f t="shared" si="15"/>
        <v>17689.878612716762</v>
      </c>
      <c r="AB16" s="15">
        <f t="shared" si="16"/>
        <v>5017544</v>
      </c>
      <c r="AC16" s="16">
        <f t="shared" si="17"/>
        <v>329.22495253264123</v>
      </c>
      <c r="AD16" s="16"/>
      <c r="AE16" s="18">
        <v>17690</v>
      </c>
      <c r="AF16" s="15">
        <v>2444321.0000000247</v>
      </c>
      <c r="AG16" s="16">
        <v>170.62366416737859</v>
      </c>
      <c r="AH16" s="15">
        <v>160</v>
      </c>
      <c r="AI16" s="18">
        <v>17690</v>
      </c>
      <c r="AJ16" s="15">
        <v>2831680</v>
      </c>
      <c r="AK16" s="16">
        <v>197.66291634751644</v>
      </c>
      <c r="AL16" s="15">
        <v>160</v>
      </c>
      <c r="AM16" s="18">
        <v>17690</v>
      </c>
      <c r="AN16" s="15">
        <v>2831680</v>
      </c>
      <c r="AO16" s="16">
        <v>197.66291634751644</v>
      </c>
      <c r="AP16" s="15">
        <v>144</v>
      </c>
      <c r="AQ16" s="18">
        <v>17690</v>
      </c>
      <c r="AR16" s="15">
        <v>2548512</v>
      </c>
      <c r="AS16" s="16">
        <v>177.8966247127648</v>
      </c>
      <c r="AT16" s="14">
        <v>240</v>
      </c>
      <c r="AU16" s="18">
        <v>17690</v>
      </c>
      <c r="AV16" s="15">
        <v>4247520</v>
      </c>
      <c r="AW16" s="16">
        <v>296.49437452127466</v>
      </c>
      <c r="AX16" s="14">
        <v>176</v>
      </c>
      <c r="AY16" s="18">
        <v>17690</v>
      </c>
      <c r="AZ16" s="15">
        <v>3114848</v>
      </c>
      <c r="BA16" s="16">
        <v>217.42920798226808</v>
      </c>
      <c r="BB16" s="15">
        <v>1872</v>
      </c>
      <c r="BC16" s="16">
        <v>1892.9221279952001</v>
      </c>
    </row>
    <row r="17" spans="1:55">
      <c r="A17" s="14" t="s">
        <v>13</v>
      </c>
      <c r="B17" s="14" t="s">
        <v>37</v>
      </c>
      <c r="C17" s="14" t="s">
        <v>15</v>
      </c>
      <c r="D17" s="14" t="s">
        <v>38</v>
      </c>
      <c r="E17" s="75"/>
      <c r="F17" s="14">
        <v>1</v>
      </c>
      <c r="G17" s="15">
        <v>6800000</v>
      </c>
      <c r="H17" s="15">
        <f t="shared" si="1"/>
        <v>6800000</v>
      </c>
      <c r="I17" s="16">
        <f t="shared" si="2"/>
        <v>446.18037773499549</v>
      </c>
      <c r="J17" s="68">
        <v>1</v>
      </c>
      <c r="K17" s="15">
        <v>6800000</v>
      </c>
      <c r="L17" s="15">
        <f t="shared" si="4"/>
        <v>6800000</v>
      </c>
      <c r="M17" s="16">
        <f t="shared" si="5"/>
        <v>446.18037773499549</v>
      </c>
      <c r="N17" s="68">
        <v>1</v>
      </c>
      <c r="O17" s="15">
        <v>6800000</v>
      </c>
      <c r="P17" s="15">
        <f t="shared" ref="P17:P32" si="18">N17*O17</f>
        <v>6800000</v>
      </c>
      <c r="Q17" s="16">
        <f t="shared" ref="Q17:Q30" si="19">P17/$D$2</f>
        <v>446.18037773499549</v>
      </c>
      <c r="R17" s="15">
        <v>1</v>
      </c>
      <c r="S17" s="15">
        <v>6800000</v>
      </c>
      <c r="T17" s="18">
        <f t="shared" si="10"/>
        <v>6800000</v>
      </c>
      <c r="U17" s="17">
        <f t="shared" si="11"/>
        <v>446.18037773499549</v>
      </c>
      <c r="V17" s="15">
        <v>1</v>
      </c>
      <c r="W17" s="15">
        <v>6800000</v>
      </c>
      <c r="X17" s="18">
        <f t="shared" si="13"/>
        <v>6800000</v>
      </c>
      <c r="Y17" s="16">
        <v>474.66798196233748</v>
      </c>
      <c r="Z17" s="70">
        <v>1</v>
      </c>
      <c r="AA17" s="70">
        <v>27200000</v>
      </c>
      <c r="AB17" s="70">
        <f t="shared" si="16"/>
        <v>27200000</v>
      </c>
      <c r="AC17" s="16">
        <f t="shared" si="17"/>
        <v>1784.721510939982</v>
      </c>
      <c r="AD17" s="15"/>
      <c r="AE17" s="15">
        <v>22000000</v>
      </c>
      <c r="AF17" s="15">
        <f>AD17*AE17</f>
        <v>0</v>
      </c>
      <c r="AG17" s="16">
        <v>474.66798196233748</v>
      </c>
      <c r="AH17" s="15">
        <v>1</v>
      </c>
      <c r="AI17" s="15">
        <v>6800000</v>
      </c>
      <c r="AJ17" s="15">
        <v>6800000</v>
      </c>
      <c r="AK17" s="17" t="e">
        <f>AJ17/#REF!</f>
        <v>#REF!</v>
      </c>
      <c r="AL17" s="15">
        <v>1</v>
      </c>
      <c r="AM17" s="15">
        <v>6800000</v>
      </c>
      <c r="AN17" s="15">
        <v>6800000</v>
      </c>
      <c r="AO17" s="17" t="e">
        <f>AN17/#REF!</f>
        <v>#REF!</v>
      </c>
      <c r="AP17" s="15">
        <v>1</v>
      </c>
      <c r="AQ17" s="15">
        <v>6800000</v>
      </c>
      <c r="AR17" s="15">
        <v>6800000</v>
      </c>
      <c r="AS17" s="17" t="e">
        <f>AR17/#REF!</f>
        <v>#REF!</v>
      </c>
      <c r="AT17" s="15">
        <v>1</v>
      </c>
      <c r="AU17" s="15">
        <v>6800000</v>
      </c>
      <c r="AV17" s="15">
        <v>6800000</v>
      </c>
      <c r="AW17" s="17" t="e">
        <f>AV17/#REF!</f>
        <v>#REF!</v>
      </c>
      <c r="AX17" s="15">
        <v>1</v>
      </c>
      <c r="AY17" s="15">
        <v>6800000</v>
      </c>
      <c r="AZ17" s="15">
        <v>6800000</v>
      </c>
      <c r="BA17" s="17" t="e">
        <f>AZ17/#REF!</f>
        <v>#REF!</v>
      </c>
      <c r="BB17" s="14"/>
      <c r="BC17" s="14"/>
    </row>
    <row r="18" spans="1:55">
      <c r="A18" s="14" t="s">
        <v>13</v>
      </c>
      <c r="B18" s="14" t="s">
        <v>39</v>
      </c>
      <c r="C18" s="14" t="s">
        <v>15</v>
      </c>
      <c r="D18" s="14" t="s">
        <v>40</v>
      </c>
      <c r="E18" s="75"/>
      <c r="F18" s="14">
        <v>1</v>
      </c>
      <c r="G18" s="15">
        <v>8225000</v>
      </c>
      <c r="H18" s="15">
        <f t="shared" si="1"/>
        <v>8225000</v>
      </c>
      <c r="I18" s="16">
        <f t="shared" si="2"/>
        <v>539.68141277504969</v>
      </c>
      <c r="J18" s="68">
        <v>1</v>
      </c>
      <c r="K18" s="15">
        <v>8225000</v>
      </c>
      <c r="L18" s="15">
        <f t="shared" si="4"/>
        <v>8225000</v>
      </c>
      <c r="M18" s="16">
        <f t="shared" si="5"/>
        <v>539.68141277504969</v>
      </c>
      <c r="N18" s="68">
        <v>1</v>
      </c>
      <c r="O18" s="15">
        <v>8225000</v>
      </c>
      <c r="P18" s="15">
        <f t="shared" si="18"/>
        <v>8225000</v>
      </c>
      <c r="Q18" s="16">
        <f t="shared" si="19"/>
        <v>539.68141277504969</v>
      </c>
      <c r="R18" s="15">
        <v>1</v>
      </c>
      <c r="S18" s="15">
        <v>8225000</v>
      </c>
      <c r="T18" s="18">
        <f t="shared" si="10"/>
        <v>8225000</v>
      </c>
      <c r="U18" s="17">
        <f t="shared" si="11"/>
        <v>539.68141277504969</v>
      </c>
      <c r="V18" s="15">
        <v>1</v>
      </c>
      <c r="W18" s="15">
        <v>8225000</v>
      </c>
      <c r="X18" s="18">
        <f t="shared" si="13"/>
        <v>8225000</v>
      </c>
      <c r="Y18" s="16">
        <v>464.19736471316827</v>
      </c>
      <c r="Z18" s="15">
        <v>1</v>
      </c>
      <c r="AA18" s="15">
        <v>8225000</v>
      </c>
      <c r="AB18" s="15">
        <f t="shared" si="16"/>
        <v>8225000</v>
      </c>
      <c r="AC18" s="16">
        <f t="shared" si="17"/>
        <v>539.68141277504969</v>
      </c>
      <c r="AD18" s="15"/>
      <c r="AE18" s="15">
        <v>8225000</v>
      </c>
      <c r="AF18" s="15">
        <f t="shared" ref="AF18:AF34" si="20">AD18*AE18</f>
        <v>0</v>
      </c>
      <c r="AG18" s="16">
        <v>464.19736471316827</v>
      </c>
      <c r="AH18" s="15">
        <v>1</v>
      </c>
      <c r="AI18" s="18">
        <v>8225000</v>
      </c>
      <c r="AJ18" s="18">
        <v>8225000</v>
      </c>
      <c r="AK18" s="17" t="e">
        <f>AJ18/#REF!</f>
        <v>#REF!</v>
      </c>
      <c r="AL18" s="15">
        <v>1</v>
      </c>
      <c r="AM18" s="18">
        <v>8225000</v>
      </c>
      <c r="AN18" s="18">
        <v>8225000</v>
      </c>
      <c r="AO18" s="17" t="e">
        <f>AN18/#REF!</f>
        <v>#REF!</v>
      </c>
      <c r="AP18" s="15">
        <v>1</v>
      </c>
      <c r="AQ18" s="18">
        <v>8225000</v>
      </c>
      <c r="AR18" s="18">
        <v>8225000</v>
      </c>
      <c r="AS18" s="17" t="e">
        <f>AR18/#REF!</f>
        <v>#REF!</v>
      </c>
      <c r="AT18" s="15">
        <v>1</v>
      </c>
      <c r="AU18" s="18">
        <v>8225000</v>
      </c>
      <c r="AV18" s="18">
        <v>8225000</v>
      </c>
      <c r="AW18" s="17" t="e">
        <f>AV18/#REF!</f>
        <v>#REF!</v>
      </c>
      <c r="AX18" s="15">
        <v>1</v>
      </c>
      <c r="AY18" s="18">
        <v>8225000</v>
      </c>
      <c r="AZ18" s="18">
        <v>8225000</v>
      </c>
      <c r="BA18" s="17" t="e">
        <f>AZ18/#REF!</f>
        <v>#REF!</v>
      </c>
      <c r="BB18" s="14"/>
      <c r="BC18" s="14"/>
    </row>
    <row r="19" spans="1:55">
      <c r="A19" s="14" t="s">
        <v>13</v>
      </c>
      <c r="B19" s="14" t="s">
        <v>41</v>
      </c>
      <c r="C19" s="14" t="s">
        <v>15</v>
      </c>
      <c r="D19" s="14" t="s">
        <v>42</v>
      </c>
      <c r="E19" s="75"/>
      <c r="F19" s="14">
        <v>1</v>
      </c>
      <c r="G19" s="15">
        <v>4475000</v>
      </c>
      <c r="H19" s="15">
        <f t="shared" si="1"/>
        <v>4475000</v>
      </c>
      <c r="I19" s="16">
        <f t="shared" si="2"/>
        <v>293.62605740648598</v>
      </c>
      <c r="J19" s="68">
        <v>1</v>
      </c>
      <c r="K19" s="15">
        <v>4475000</v>
      </c>
      <c r="L19" s="15">
        <f t="shared" si="4"/>
        <v>4475000</v>
      </c>
      <c r="M19" s="16">
        <f t="shared" si="5"/>
        <v>293.62605740648598</v>
      </c>
      <c r="N19" s="68">
        <v>1</v>
      </c>
      <c r="O19" s="15">
        <v>4475000</v>
      </c>
      <c r="P19" s="15">
        <f t="shared" si="18"/>
        <v>4475000</v>
      </c>
      <c r="Q19" s="16">
        <f t="shared" si="19"/>
        <v>293.62605740648598</v>
      </c>
      <c r="R19" s="15">
        <v>1</v>
      </c>
      <c r="S19" s="15">
        <v>4475000</v>
      </c>
      <c r="T19" s="18">
        <f t="shared" si="10"/>
        <v>4475000</v>
      </c>
      <c r="U19" s="17">
        <f t="shared" si="11"/>
        <v>293.62605740648598</v>
      </c>
      <c r="V19" s="15">
        <v>1</v>
      </c>
      <c r="W19" s="15">
        <v>4475000</v>
      </c>
      <c r="X19" s="18">
        <f t="shared" si="13"/>
        <v>4475000</v>
      </c>
      <c r="Y19" s="16">
        <v>312.37341460021474</v>
      </c>
      <c r="Z19" s="15">
        <v>1</v>
      </c>
      <c r="AA19" s="15">
        <v>4475000</v>
      </c>
      <c r="AB19" s="15">
        <f t="shared" si="16"/>
        <v>4475000</v>
      </c>
      <c r="AC19" s="16">
        <f t="shared" si="17"/>
        <v>293.62605740648598</v>
      </c>
      <c r="AD19" s="15"/>
      <c r="AE19" s="15">
        <v>4475000</v>
      </c>
      <c r="AF19" s="15">
        <f t="shared" si="20"/>
        <v>0</v>
      </c>
      <c r="AG19" s="16">
        <v>312.37341460021474</v>
      </c>
      <c r="AH19" s="15">
        <v>1</v>
      </c>
      <c r="AI19" s="15">
        <v>4475000</v>
      </c>
      <c r="AJ19" s="15">
        <v>4475000</v>
      </c>
      <c r="AK19" s="17" t="e">
        <f>AJ19/#REF!</f>
        <v>#REF!</v>
      </c>
      <c r="AL19" s="15">
        <v>1</v>
      </c>
      <c r="AM19" s="15">
        <v>4475000</v>
      </c>
      <c r="AN19" s="15">
        <v>4475000</v>
      </c>
      <c r="AO19" s="17" t="e">
        <f>AN19/#REF!</f>
        <v>#REF!</v>
      </c>
      <c r="AP19" s="15">
        <v>1</v>
      </c>
      <c r="AQ19" s="15">
        <v>4475000</v>
      </c>
      <c r="AR19" s="15">
        <v>4475000</v>
      </c>
      <c r="AS19" s="17" t="e">
        <f>AR19/#REF!</f>
        <v>#REF!</v>
      </c>
      <c r="AT19" s="15">
        <v>1</v>
      </c>
      <c r="AU19" s="15">
        <v>4475000</v>
      </c>
      <c r="AV19" s="15">
        <v>4475000</v>
      </c>
      <c r="AW19" s="17" t="e">
        <f>AV19/#REF!</f>
        <v>#REF!</v>
      </c>
      <c r="AX19" s="15">
        <v>1</v>
      </c>
      <c r="AY19" s="15">
        <v>4475000</v>
      </c>
      <c r="AZ19" s="15">
        <v>4475000</v>
      </c>
      <c r="BA19" s="17" t="e">
        <f>AZ19/#REF!</f>
        <v>#REF!</v>
      </c>
      <c r="BB19" s="14"/>
      <c r="BC19" s="14"/>
    </row>
    <row r="20" spans="1:55">
      <c r="A20" s="14" t="s">
        <v>13</v>
      </c>
      <c r="B20" s="14" t="s">
        <v>43</v>
      </c>
      <c r="C20" s="14" t="s">
        <v>15</v>
      </c>
      <c r="D20" s="14" t="s">
        <v>44</v>
      </c>
      <c r="E20" s="75"/>
      <c r="F20" s="14">
        <v>1</v>
      </c>
      <c r="G20" s="15">
        <v>4475000</v>
      </c>
      <c r="H20" s="15">
        <f t="shared" si="1"/>
        <v>4475000</v>
      </c>
      <c r="I20" s="16">
        <f t="shared" si="2"/>
        <v>293.62605740648598</v>
      </c>
      <c r="J20" s="68">
        <v>1</v>
      </c>
      <c r="K20" s="15">
        <v>4475000</v>
      </c>
      <c r="L20" s="15">
        <f t="shared" si="4"/>
        <v>4475000</v>
      </c>
      <c r="M20" s="16">
        <f t="shared" si="5"/>
        <v>293.62605740648598</v>
      </c>
      <c r="N20" s="68">
        <v>1</v>
      </c>
      <c r="O20" s="15">
        <v>4475000</v>
      </c>
      <c r="P20" s="15">
        <f t="shared" si="18"/>
        <v>4475000</v>
      </c>
      <c r="Q20" s="16">
        <f t="shared" si="19"/>
        <v>293.62605740648598</v>
      </c>
      <c r="R20" s="15">
        <v>1</v>
      </c>
      <c r="S20" s="15">
        <v>4475000</v>
      </c>
      <c r="T20" s="18">
        <f t="shared" si="10"/>
        <v>4475000</v>
      </c>
      <c r="U20" s="17">
        <f t="shared" si="11"/>
        <v>293.62605740648598</v>
      </c>
      <c r="V20" s="15">
        <v>1</v>
      </c>
      <c r="W20" s="15">
        <v>4475000</v>
      </c>
      <c r="X20" s="18">
        <f t="shared" si="13"/>
        <v>4475000</v>
      </c>
      <c r="Y20" s="16">
        <v>312.37341460021474</v>
      </c>
      <c r="Z20" s="15">
        <v>1</v>
      </c>
      <c r="AA20" s="15">
        <v>4475000</v>
      </c>
      <c r="AB20" s="15">
        <f t="shared" si="16"/>
        <v>4475000</v>
      </c>
      <c r="AC20" s="16">
        <f t="shared" si="17"/>
        <v>293.62605740648598</v>
      </c>
      <c r="AD20" s="15"/>
      <c r="AE20" s="15">
        <v>4475000</v>
      </c>
      <c r="AF20" s="15">
        <f t="shared" si="20"/>
        <v>0</v>
      </c>
      <c r="AG20" s="16">
        <v>312.37341460021474</v>
      </c>
      <c r="AH20" s="15">
        <v>1</v>
      </c>
      <c r="AI20" s="15">
        <v>4475000</v>
      </c>
      <c r="AJ20" s="15">
        <v>4475000</v>
      </c>
      <c r="AK20" s="17" t="e">
        <f>AJ20/#REF!</f>
        <v>#REF!</v>
      </c>
      <c r="AL20" s="15">
        <v>1</v>
      </c>
      <c r="AM20" s="15">
        <v>4475000</v>
      </c>
      <c r="AN20" s="15">
        <v>4475000</v>
      </c>
      <c r="AO20" s="17" t="e">
        <f>AN20/#REF!</f>
        <v>#REF!</v>
      </c>
      <c r="AP20" s="15">
        <v>1</v>
      </c>
      <c r="AQ20" s="15">
        <v>4475000</v>
      </c>
      <c r="AR20" s="15">
        <v>4475000</v>
      </c>
      <c r="AS20" s="17" t="e">
        <f>AR20/#REF!</f>
        <v>#REF!</v>
      </c>
      <c r="AT20" s="15">
        <v>1</v>
      </c>
      <c r="AU20" s="15">
        <v>4475000</v>
      </c>
      <c r="AV20" s="15">
        <v>4475000</v>
      </c>
      <c r="AW20" s="17" t="e">
        <f>AV20/#REF!</f>
        <v>#REF!</v>
      </c>
      <c r="AX20" s="15">
        <v>1</v>
      </c>
      <c r="AY20" s="15">
        <v>4475000</v>
      </c>
      <c r="AZ20" s="15">
        <v>4475000</v>
      </c>
      <c r="BA20" s="17" t="e">
        <f>AZ20/#REF!</f>
        <v>#REF!</v>
      </c>
      <c r="BB20" s="14"/>
      <c r="BC20" s="14"/>
    </row>
    <row r="21" spans="1:55">
      <c r="A21" s="14" t="s">
        <v>13</v>
      </c>
      <c r="B21" s="14" t="s">
        <v>45</v>
      </c>
      <c r="C21" s="14" t="s">
        <v>15</v>
      </c>
      <c r="D21" s="14" t="s">
        <v>46</v>
      </c>
      <c r="E21" s="75"/>
      <c r="F21" s="14">
        <v>1</v>
      </c>
      <c r="G21" s="15">
        <v>4475000</v>
      </c>
      <c r="H21" s="15">
        <f t="shared" si="1"/>
        <v>4475000</v>
      </c>
      <c r="I21" s="16">
        <f t="shared" si="2"/>
        <v>293.62605740648598</v>
      </c>
      <c r="J21" s="68">
        <v>1</v>
      </c>
      <c r="K21" s="15">
        <v>4475000</v>
      </c>
      <c r="L21" s="15">
        <f t="shared" si="4"/>
        <v>4475000</v>
      </c>
      <c r="M21" s="16">
        <f t="shared" si="5"/>
        <v>293.62605740648598</v>
      </c>
      <c r="N21" s="68">
        <v>1</v>
      </c>
      <c r="O21" s="15">
        <v>4475000</v>
      </c>
      <c r="P21" s="15">
        <f t="shared" si="18"/>
        <v>4475000</v>
      </c>
      <c r="Q21" s="16">
        <f t="shared" si="19"/>
        <v>293.62605740648598</v>
      </c>
      <c r="R21" s="15">
        <v>1</v>
      </c>
      <c r="S21" s="15">
        <v>4475000</v>
      </c>
      <c r="T21" s="18">
        <f t="shared" si="10"/>
        <v>4475000</v>
      </c>
      <c r="U21" s="17">
        <f t="shared" si="11"/>
        <v>293.62605740648598</v>
      </c>
      <c r="V21" s="15">
        <v>1</v>
      </c>
      <c r="W21" s="15">
        <v>4475000</v>
      </c>
      <c r="X21" s="18">
        <f t="shared" si="13"/>
        <v>4475000</v>
      </c>
      <c r="Y21" s="16">
        <v>312.37341460021474</v>
      </c>
      <c r="Z21" s="15">
        <v>1</v>
      </c>
      <c r="AA21" s="15">
        <v>4475000</v>
      </c>
      <c r="AB21" s="15">
        <f t="shared" si="16"/>
        <v>4475000</v>
      </c>
      <c r="AC21" s="16">
        <f t="shared" si="17"/>
        <v>293.62605740648598</v>
      </c>
      <c r="AD21" s="15"/>
      <c r="AE21" s="15">
        <v>4475000</v>
      </c>
      <c r="AF21" s="15">
        <f t="shared" si="20"/>
        <v>0</v>
      </c>
      <c r="AG21" s="16">
        <v>312.37341460021474</v>
      </c>
      <c r="AH21" s="15">
        <v>1</v>
      </c>
      <c r="AI21" s="15">
        <v>4475000</v>
      </c>
      <c r="AJ21" s="15">
        <v>4475000</v>
      </c>
      <c r="AK21" s="17" t="e">
        <f>AJ21/#REF!</f>
        <v>#REF!</v>
      </c>
      <c r="AL21" s="15">
        <v>1</v>
      </c>
      <c r="AM21" s="15">
        <v>4475000</v>
      </c>
      <c r="AN21" s="15">
        <v>4475000</v>
      </c>
      <c r="AO21" s="17" t="e">
        <f>AN21/#REF!</f>
        <v>#REF!</v>
      </c>
      <c r="AP21" s="15">
        <v>1</v>
      </c>
      <c r="AQ21" s="15">
        <v>4475000</v>
      </c>
      <c r="AR21" s="15">
        <v>4475000</v>
      </c>
      <c r="AS21" s="17" t="e">
        <f>AR21/#REF!</f>
        <v>#REF!</v>
      </c>
      <c r="AT21" s="15">
        <v>1</v>
      </c>
      <c r="AU21" s="15">
        <v>4475000</v>
      </c>
      <c r="AV21" s="15">
        <v>4475000</v>
      </c>
      <c r="AW21" s="17" t="e">
        <f>AV21/#REF!</f>
        <v>#REF!</v>
      </c>
      <c r="AX21" s="15">
        <v>1</v>
      </c>
      <c r="AY21" s="15">
        <v>4475000</v>
      </c>
      <c r="AZ21" s="15">
        <v>4475000</v>
      </c>
      <c r="BA21" s="17" t="e">
        <f>AZ21/#REF!</f>
        <v>#REF!</v>
      </c>
      <c r="BB21" s="14"/>
      <c r="BC21" s="14"/>
    </row>
    <row r="22" spans="1:55">
      <c r="A22" s="14" t="s">
        <v>13</v>
      </c>
      <c r="B22" s="14" t="s">
        <v>47</v>
      </c>
      <c r="C22" s="14" t="s">
        <v>15</v>
      </c>
      <c r="D22" s="14" t="s">
        <v>48</v>
      </c>
      <c r="E22" s="75"/>
      <c r="F22" s="14">
        <v>1</v>
      </c>
      <c r="G22" s="15">
        <v>5225000</v>
      </c>
      <c r="H22" s="15">
        <f t="shared" si="1"/>
        <v>5225000</v>
      </c>
      <c r="I22" s="16">
        <f t="shared" si="2"/>
        <v>342.83712848019877</v>
      </c>
      <c r="J22" s="68">
        <v>1</v>
      </c>
      <c r="K22" s="15">
        <v>5225000</v>
      </c>
      <c r="L22" s="15">
        <f t="shared" si="4"/>
        <v>5225000</v>
      </c>
      <c r="M22" s="16">
        <f t="shared" si="5"/>
        <v>342.83712848019877</v>
      </c>
      <c r="N22" s="68">
        <v>1</v>
      </c>
      <c r="O22" s="15">
        <v>5225000</v>
      </c>
      <c r="P22" s="15">
        <f t="shared" si="18"/>
        <v>5225000</v>
      </c>
      <c r="Q22" s="16">
        <f t="shared" si="19"/>
        <v>342.83712848019877</v>
      </c>
      <c r="R22" s="15">
        <v>1</v>
      </c>
      <c r="S22" s="15">
        <v>5225000</v>
      </c>
      <c r="T22" s="18">
        <f t="shared" si="10"/>
        <v>5225000</v>
      </c>
      <c r="U22" s="17">
        <f t="shared" si="11"/>
        <v>342.83712848019877</v>
      </c>
      <c r="V22" s="15">
        <v>1</v>
      </c>
      <c r="W22" s="15">
        <v>5225000</v>
      </c>
      <c r="X22" s="18">
        <f t="shared" si="13"/>
        <v>5225000</v>
      </c>
      <c r="Y22" s="16">
        <v>364.72650084606079</v>
      </c>
      <c r="Z22" s="15">
        <v>1</v>
      </c>
      <c r="AA22" s="15">
        <v>5225000</v>
      </c>
      <c r="AB22" s="15">
        <f t="shared" si="16"/>
        <v>5225000</v>
      </c>
      <c r="AC22" s="16">
        <f t="shared" si="17"/>
        <v>342.83712848019877</v>
      </c>
      <c r="AD22" s="15"/>
      <c r="AE22" s="15">
        <v>5225000</v>
      </c>
      <c r="AF22" s="15">
        <f t="shared" si="20"/>
        <v>0</v>
      </c>
      <c r="AG22" s="16">
        <v>364.72650084606079</v>
      </c>
      <c r="AH22" s="15">
        <v>1</v>
      </c>
      <c r="AI22" s="15">
        <v>5225000</v>
      </c>
      <c r="AJ22" s="15">
        <v>5225000</v>
      </c>
      <c r="AK22" s="17" t="e">
        <f>AJ22/#REF!</f>
        <v>#REF!</v>
      </c>
      <c r="AL22" s="15">
        <v>1</v>
      </c>
      <c r="AM22" s="15">
        <v>5225000</v>
      </c>
      <c r="AN22" s="15">
        <v>5225000</v>
      </c>
      <c r="AO22" s="17" t="e">
        <f>AN22/#REF!</f>
        <v>#REF!</v>
      </c>
      <c r="AP22" s="15">
        <v>1</v>
      </c>
      <c r="AQ22" s="15">
        <v>5225000</v>
      </c>
      <c r="AR22" s="15">
        <v>5225000</v>
      </c>
      <c r="AS22" s="17" t="e">
        <f>AR22/#REF!</f>
        <v>#REF!</v>
      </c>
      <c r="AT22" s="15">
        <v>1</v>
      </c>
      <c r="AU22" s="15">
        <v>5225000</v>
      </c>
      <c r="AV22" s="15">
        <v>5225000</v>
      </c>
      <c r="AW22" s="17" t="e">
        <f>AV22/#REF!</f>
        <v>#REF!</v>
      </c>
      <c r="AX22" s="15">
        <v>1</v>
      </c>
      <c r="AY22" s="15">
        <v>5225000</v>
      </c>
      <c r="AZ22" s="15">
        <v>5225000</v>
      </c>
      <c r="BA22" s="17" t="e">
        <f>AZ22/#REF!</f>
        <v>#REF!</v>
      </c>
      <c r="BB22" s="14"/>
      <c r="BC22" s="14"/>
    </row>
    <row r="23" spans="1:55">
      <c r="A23" s="14" t="s">
        <v>13</v>
      </c>
      <c r="B23" s="14" t="s">
        <v>49</v>
      </c>
      <c r="C23" s="14" t="s">
        <v>15</v>
      </c>
      <c r="D23" s="14" t="s">
        <v>50</v>
      </c>
      <c r="E23" s="75"/>
      <c r="F23" s="14">
        <v>1</v>
      </c>
      <c r="G23" s="15">
        <v>4000000</v>
      </c>
      <c r="H23" s="15">
        <f t="shared" si="1"/>
        <v>4000000</v>
      </c>
      <c r="I23" s="16">
        <f t="shared" si="2"/>
        <v>262.45904572646793</v>
      </c>
      <c r="J23" s="68">
        <v>1</v>
      </c>
      <c r="K23" s="15">
        <v>4000000</v>
      </c>
      <c r="L23" s="15">
        <f t="shared" si="4"/>
        <v>4000000</v>
      </c>
      <c r="M23" s="16">
        <f t="shared" si="5"/>
        <v>262.45904572646793</v>
      </c>
      <c r="N23" s="68">
        <v>1</v>
      </c>
      <c r="O23" s="15">
        <v>4000000</v>
      </c>
      <c r="P23" s="15">
        <f t="shared" si="18"/>
        <v>4000000</v>
      </c>
      <c r="Q23" s="16">
        <f t="shared" si="19"/>
        <v>262.45904572646793</v>
      </c>
      <c r="R23" s="15">
        <v>1</v>
      </c>
      <c r="S23" s="15">
        <v>4000000</v>
      </c>
      <c r="T23" s="18">
        <f t="shared" si="10"/>
        <v>4000000</v>
      </c>
      <c r="U23" s="17">
        <f t="shared" si="11"/>
        <v>262.45904572646793</v>
      </c>
      <c r="V23" s="70">
        <v>1</v>
      </c>
      <c r="W23" s="70">
        <v>9000000</v>
      </c>
      <c r="X23" s="71">
        <f t="shared" si="13"/>
        <v>9000000</v>
      </c>
      <c r="Y23" s="16">
        <v>279.21645997784555</v>
      </c>
      <c r="Z23" s="70">
        <v>1</v>
      </c>
      <c r="AA23" s="70">
        <v>9000000</v>
      </c>
      <c r="AB23" s="15">
        <f t="shared" si="16"/>
        <v>9000000</v>
      </c>
      <c r="AC23" s="16">
        <f t="shared" si="17"/>
        <v>590.53285288455288</v>
      </c>
      <c r="AD23" s="15"/>
      <c r="AE23" s="15">
        <v>9000000</v>
      </c>
      <c r="AF23" s="15">
        <f t="shared" si="20"/>
        <v>0</v>
      </c>
      <c r="AG23" s="16">
        <v>279.21645997784555</v>
      </c>
      <c r="AH23" s="15">
        <v>1</v>
      </c>
      <c r="AI23" s="15">
        <v>4000000</v>
      </c>
      <c r="AJ23" s="15">
        <v>4000000</v>
      </c>
      <c r="AK23" s="17" t="e">
        <f>AJ23/#REF!</f>
        <v>#REF!</v>
      </c>
      <c r="AL23" s="15">
        <v>1</v>
      </c>
      <c r="AM23" s="15">
        <v>4000000</v>
      </c>
      <c r="AN23" s="15">
        <v>4000000</v>
      </c>
      <c r="AO23" s="17" t="e">
        <f>AN23/#REF!</f>
        <v>#REF!</v>
      </c>
      <c r="AP23" s="15">
        <v>1</v>
      </c>
      <c r="AQ23" s="15">
        <v>4000000</v>
      </c>
      <c r="AR23" s="15">
        <v>4000000</v>
      </c>
      <c r="AS23" s="17" t="e">
        <f>AR23/#REF!</f>
        <v>#REF!</v>
      </c>
      <c r="AT23" s="15">
        <v>1</v>
      </c>
      <c r="AU23" s="15">
        <v>4000000</v>
      </c>
      <c r="AV23" s="15">
        <v>4000000</v>
      </c>
      <c r="AW23" s="17" t="e">
        <f>AV23/#REF!</f>
        <v>#REF!</v>
      </c>
      <c r="AX23" s="15">
        <v>1</v>
      </c>
      <c r="AY23" s="15">
        <v>4000000</v>
      </c>
      <c r="AZ23" s="15">
        <v>4000000</v>
      </c>
      <c r="BA23" s="17" t="e">
        <f>AZ23/#REF!</f>
        <v>#REF!</v>
      </c>
      <c r="BB23" s="14"/>
      <c r="BC23" s="14"/>
    </row>
    <row r="24" spans="1:55">
      <c r="A24" s="14" t="s">
        <v>13</v>
      </c>
      <c r="B24" s="14" t="s">
        <v>51</v>
      </c>
      <c r="C24" s="14" t="s">
        <v>15</v>
      </c>
      <c r="D24" s="14" t="s">
        <v>52</v>
      </c>
      <c r="E24" s="75"/>
      <c r="F24" s="14">
        <v>1</v>
      </c>
      <c r="G24" s="15">
        <v>9000000</v>
      </c>
      <c r="H24" s="15">
        <f t="shared" si="1"/>
        <v>9000000</v>
      </c>
      <c r="I24" s="16">
        <f t="shared" si="2"/>
        <v>590.53285288455288</v>
      </c>
      <c r="J24" s="68">
        <v>1</v>
      </c>
      <c r="K24" s="15">
        <v>9000000</v>
      </c>
      <c r="L24" s="15">
        <f t="shared" si="4"/>
        <v>9000000</v>
      </c>
      <c r="M24" s="16">
        <f t="shared" si="5"/>
        <v>590.53285288455288</v>
      </c>
      <c r="N24" s="68">
        <v>1</v>
      </c>
      <c r="O24" s="15">
        <v>9000000</v>
      </c>
      <c r="P24" s="15">
        <f t="shared" si="18"/>
        <v>9000000</v>
      </c>
      <c r="Q24" s="16">
        <f t="shared" si="19"/>
        <v>590.53285288455288</v>
      </c>
      <c r="R24" s="15">
        <v>1</v>
      </c>
      <c r="S24" s="15">
        <v>9000000</v>
      </c>
      <c r="T24" s="18">
        <f t="shared" si="10"/>
        <v>9000000</v>
      </c>
      <c r="U24" s="17">
        <f t="shared" si="11"/>
        <v>590.53285288455288</v>
      </c>
      <c r="V24" s="15">
        <v>1</v>
      </c>
      <c r="W24" s="15">
        <v>9000000</v>
      </c>
      <c r="X24" s="18">
        <f t="shared" si="13"/>
        <v>9000000</v>
      </c>
      <c r="Y24" s="16">
        <v>485.13859921150669</v>
      </c>
      <c r="Z24" s="15">
        <v>1</v>
      </c>
      <c r="AA24" s="15">
        <v>9000000</v>
      </c>
      <c r="AB24" s="15">
        <f t="shared" si="16"/>
        <v>9000000</v>
      </c>
      <c r="AC24" s="16">
        <f t="shared" si="17"/>
        <v>590.53285288455288</v>
      </c>
      <c r="AD24" s="15"/>
      <c r="AE24" s="15">
        <v>9000000</v>
      </c>
      <c r="AF24" s="15">
        <f t="shared" si="20"/>
        <v>0</v>
      </c>
      <c r="AG24" s="16">
        <v>485.13859921150669</v>
      </c>
      <c r="AH24" s="15">
        <v>1</v>
      </c>
      <c r="AI24" s="15">
        <v>9000000</v>
      </c>
      <c r="AJ24" s="15">
        <v>9000000</v>
      </c>
      <c r="AK24" s="17" t="e">
        <f>AJ24/#REF!</f>
        <v>#REF!</v>
      </c>
      <c r="AL24" s="15">
        <v>1</v>
      </c>
      <c r="AM24" s="15">
        <v>9000000</v>
      </c>
      <c r="AN24" s="15">
        <v>9000000</v>
      </c>
      <c r="AO24" s="17" t="e">
        <f>AN24/#REF!</f>
        <v>#REF!</v>
      </c>
      <c r="AP24" s="15">
        <v>1</v>
      </c>
      <c r="AQ24" s="15">
        <v>9000000</v>
      </c>
      <c r="AR24" s="15">
        <v>9000000</v>
      </c>
      <c r="AS24" s="17" t="e">
        <f>AR24/#REF!</f>
        <v>#REF!</v>
      </c>
      <c r="AT24" s="15">
        <v>1</v>
      </c>
      <c r="AU24" s="15">
        <v>9000000</v>
      </c>
      <c r="AV24" s="15">
        <v>9000000</v>
      </c>
      <c r="AW24" s="17" t="e">
        <f>AV24/#REF!</f>
        <v>#REF!</v>
      </c>
      <c r="AX24" s="15">
        <v>1</v>
      </c>
      <c r="AY24" s="15">
        <v>9000000</v>
      </c>
      <c r="AZ24" s="15">
        <v>9000000</v>
      </c>
      <c r="BA24" s="17" t="e">
        <f>AZ24/#REF!</f>
        <v>#REF!</v>
      </c>
      <c r="BB24" s="14"/>
      <c r="BC24" s="14"/>
    </row>
    <row r="25" spans="1:55">
      <c r="A25" s="14" t="s">
        <v>13</v>
      </c>
      <c r="B25" s="14" t="s">
        <v>53</v>
      </c>
      <c r="C25" s="14" t="s">
        <v>15</v>
      </c>
      <c r="D25" s="14" t="s">
        <v>54</v>
      </c>
      <c r="E25" s="75"/>
      <c r="F25" s="14">
        <v>2</v>
      </c>
      <c r="G25" s="15">
        <v>4425000</v>
      </c>
      <c r="H25" s="15">
        <f t="shared" si="1"/>
        <v>8850000</v>
      </c>
      <c r="I25" s="16">
        <f t="shared" si="2"/>
        <v>580.69063866981037</v>
      </c>
      <c r="J25" s="68">
        <v>2</v>
      </c>
      <c r="K25" s="15">
        <v>4425000</v>
      </c>
      <c r="L25" s="15">
        <f t="shared" si="4"/>
        <v>8850000</v>
      </c>
      <c r="M25" s="16">
        <f t="shared" si="5"/>
        <v>580.69063866981037</v>
      </c>
      <c r="N25" s="68">
        <v>2</v>
      </c>
      <c r="O25" s="15">
        <v>4425000</v>
      </c>
      <c r="P25" s="15">
        <f t="shared" si="18"/>
        <v>8850000</v>
      </c>
      <c r="Q25" s="16">
        <f t="shared" si="19"/>
        <v>580.69063866981037</v>
      </c>
      <c r="R25" s="15">
        <v>2</v>
      </c>
      <c r="S25" s="15">
        <v>4425000</v>
      </c>
      <c r="T25" s="18">
        <f t="shared" si="10"/>
        <v>8850000</v>
      </c>
      <c r="U25" s="17">
        <f t="shared" si="11"/>
        <v>580.69063866981037</v>
      </c>
      <c r="V25" s="15">
        <v>2</v>
      </c>
      <c r="W25" s="15">
        <v>4425000</v>
      </c>
      <c r="X25" s="18">
        <f t="shared" si="13"/>
        <v>8850000</v>
      </c>
      <c r="Y25" s="16">
        <v>617.76641770098331</v>
      </c>
      <c r="Z25" s="15">
        <v>2</v>
      </c>
      <c r="AA25" s="15">
        <v>4425000</v>
      </c>
      <c r="AB25" s="15">
        <f t="shared" si="16"/>
        <v>8850000</v>
      </c>
      <c r="AC25" s="16">
        <f t="shared" si="17"/>
        <v>580.69063866981037</v>
      </c>
      <c r="AD25" s="15"/>
      <c r="AE25" s="15">
        <v>4425000</v>
      </c>
      <c r="AF25" s="15">
        <f t="shared" si="20"/>
        <v>0</v>
      </c>
      <c r="AG25" s="16">
        <v>617.76641770098331</v>
      </c>
      <c r="AH25" s="15">
        <v>2</v>
      </c>
      <c r="AI25" s="15">
        <v>4425000</v>
      </c>
      <c r="AJ25" s="15">
        <v>4425000</v>
      </c>
      <c r="AK25" s="17" t="e">
        <f>AJ25/#REF!</f>
        <v>#REF!</v>
      </c>
      <c r="AL25" s="15">
        <v>2</v>
      </c>
      <c r="AM25" s="15">
        <v>4425000</v>
      </c>
      <c r="AN25" s="15">
        <v>4425000</v>
      </c>
      <c r="AO25" s="17" t="e">
        <f>AN25/#REF!</f>
        <v>#REF!</v>
      </c>
      <c r="AP25" s="15">
        <v>2</v>
      </c>
      <c r="AQ25" s="15">
        <v>4425000</v>
      </c>
      <c r="AR25" s="15">
        <v>4425000</v>
      </c>
      <c r="AS25" s="17" t="e">
        <f>AR25/#REF!</f>
        <v>#REF!</v>
      </c>
      <c r="AT25" s="15">
        <v>2</v>
      </c>
      <c r="AU25" s="15">
        <v>4425000</v>
      </c>
      <c r="AV25" s="15">
        <v>4425000</v>
      </c>
      <c r="AW25" s="17" t="e">
        <f>AV25/#REF!</f>
        <v>#REF!</v>
      </c>
      <c r="AX25" s="15">
        <v>2</v>
      </c>
      <c r="AY25" s="15">
        <v>4425000</v>
      </c>
      <c r="AZ25" s="15">
        <v>4425000</v>
      </c>
      <c r="BA25" s="17" t="e">
        <f>AZ25/#REF!</f>
        <v>#REF!</v>
      </c>
      <c r="BB25" s="14"/>
      <c r="BC25" s="14"/>
    </row>
    <row r="26" spans="1:55">
      <c r="A26" s="14" t="s">
        <v>13</v>
      </c>
      <c r="B26" s="14" t="s">
        <v>55</v>
      </c>
      <c r="C26" s="14" t="s">
        <v>15</v>
      </c>
      <c r="D26" s="14" t="s">
        <v>56</v>
      </c>
      <c r="E26" s="75"/>
      <c r="F26" s="14">
        <v>1</v>
      </c>
      <c r="G26" s="15">
        <v>9000000</v>
      </c>
      <c r="H26" s="15">
        <f t="shared" si="1"/>
        <v>9000000</v>
      </c>
      <c r="I26" s="16">
        <f t="shared" si="2"/>
        <v>590.53285288455288</v>
      </c>
      <c r="J26" s="15">
        <v>1</v>
      </c>
      <c r="K26" s="15">
        <v>9000000</v>
      </c>
      <c r="L26" s="15">
        <f t="shared" si="4"/>
        <v>9000000</v>
      </c>
      <c r="M26" s="16">
        <f t="shared" si="5"/>
        <v>590.53285288455288</v>
      </c>
      <c r="N26" s="15">
        <v>1</v>
      </c>
      <c r="O26" s="15">
        <v>9000000</v>
      </c>
      <c r="P26" s="15">
        <f t="shared" si="18"/>
        <v>9000000</v>
      </c>
      <c r="Q26" s="16">
        <f t="shared" si="19"/>
        <v>590.53285288455288</v>
      </c>
      <c r="R26" s="15">
        <v>1</v>
      </c>
      <c r="S26" s="15">
        <v>9000000</v>
      </c>
      <c r="T26" s="18">
        <f t="shared" si="10"/>
        <v>9000000</v>
      </c>
      <c r="U26" s="17">
        <f t="shared" si="11"/>
        <v>590.53285288455288</v>
      </c>
      <c r="V26" s="15">
        <v>1</v>
      </c>
      <c r="W26" s="15">
        <v>9000000</v>
      </c>
      <c r="X26" s="18">
        <f t="shared" si="13"/>
        <v>9000000</v>
      </c>
      <c r="Y26" s="16">
        <v>495.6092164606759</v>
      </c>
      <c r="Z26" s="15">
        <v>1</v>
      </c>
      <c r="AA26" s="15">
        <v>9000000</v>
      </c>
      <c r="AB26" s="15">
        <f t="shared" si="16"/>
        <v>9000000</v>
      </c>
      <c r="AC26" s="16">
        <f t="shared" si="17"/>
        <v>590.53285288455288</v>
      </c>
      <c r="AD26" s="15"/>
      <c r="AE26" s="15">
        <v>9000000</v>
      </c>
      <c r="AF26" s="15">
        <f t="shared" si="20"/>
        <v>0</v>
      </c>
      <c r="AG26" s="16">
        <v>485.13859921150669</v>
      </c>
      <c r="AH26" s="15">
        <v>1</v>
      </c>
      <c r="AI26" s="15">
        <v>6950000</v>
      </c>
      <c r="AJ26" s="15">
        <v>6950000</v>
      </c>
      <c r="AK26" s="17" t="e">
        <f>AJ26/#REF!</f>
        <v>#REF!</v>
      </c>
      <c r="AL26" s="15">
        <v>1</v>
      </c>
      <c r="AM26" s="15">
        <v>9000000</v>
      </c>
      <c r="AN26" s="15">
        <v>9000000</v>
      </c>
      <c r="AO26" s="17" t="e">
        <f>AN26/#REF!</f>
        <v>#REF!</v>
      </c>
      <c r="AP26" s="15">
        <v>1</v>
      </c>
      <c r="AQ26" s="15">
        <v>9000000</v>
      </c>
      <c r="AR26" s="15">
        <v>9000000</v>
      </c>
      <c r="AS26" s="17" t="e">
        <f>AR26/#REF!</f>
        <v>#REF!</v>
      </c>
      <c r="AT26" s="15">
        <v>1</v>
      </c>
      <c r="AU26" s="15">
        <v>9000000</v>
      </c>
      <c r="AV26" s="15">
        <v>9000000</v>
      </c>
      <c r="AW26" s="17" t="e">
        <f>AV26/#REF!</f>
        <v>#REF!</v>
      </c>
      <c r="AX26" s="15">
        <v>1</v>
      </c>
      <c r="AY26" s="15">
        <v>9000000</v>
      </c>
      <c r="AZ26" s="15">
        <v>9000000</v>
      </c>
      <c r="BA26" s="17" t="e">
        <f>AZ26/#REF!</f>
        <v>#REF!</v>
      </c>
      <c r="BB26" s="14"/>
      <c r="BC26" s="14"/>
    </row>
    <row r="27" spans="1:55">
      <c r="A27" s="14" t="s">
        <v>13</v>
      </c>
      <c r="B27" s="14" t="s">
        <v>57</v>
      </c>
      <c r="C27" s="14" t="s">
        <v>15</v>
      </c>
      <c r="D27" s="14" t="s">
        <v>58</v>
      </c>
      <c r="E27" s="75"/>
      <c r="F27" s="14">
        <v>1</v>
      </c>
      <c r="G27" s="15">
        <v>7625000</v>
      </c>
      <c r="H27" s="15">
        <f t="shared" si="1"/>
        <v>7625000</v>
      </c>
      <c r="I27" s="16">
        <f t="shared" si="2"/>
        <v>500.31255591607953</v>
      </c>
      <c r="J27" s="15">
        <v>1</v>
      </c>
      <c r="K27" s="15">
        <v>7625000</v>
      </c>
      <c r="L27" s="15">
        <f t="shared" si="4"/>
        <v>7625000</v>
      </c>
      <c r="M27" s="16">
        <f t="shared" si="5"/>
        <v>500.31255591607953</v>
      </c>
      <c r="N27" s="15">
        <v>1</v>
      </c>
      <c r="O27" s="15">
        <v>7625000</v>
      </c>
      <c r="P27" s="15">
        <f t="shared" si="18"/>
        <v>7625000</v>
      </c>
      <c r="Q27" s="16">
        <f t="shared" si="19"/>
        <v>500.31255591607953</v>
      </c>
      <c r="R27" s="15">
        <v>1</v>
      </c>
      <c r="S27" s="15">
        <v>7625000</v>
      </c>
      <c r="T27" s="18">
        <f t="shared" si="10"/>
        <v>7625000</v>
      </c>
      <c r="U27" s="17">
        <f t="shared" si="11"/>
        <v>500.31255591607953</v>
      </c>
      <c r="V27" s="15">
        <v>1</v>
      </c>
      <c r="W27" s="15">
        <v>7625000</v>
      </c>
      <c r="X27" s="18">
        <f t="shared" si="13"/>
        <v>7625000</v>
      </c>
      <c r="Y27" s="16">
        <v>532.25637683276807</v>
      </c>
      <c r="Z27" s="15">
        <v>1</v>
      </c>
      <c r="AA27" s="15">
        <v>7625000</v>
      </c>
      <c r="AB27" s="15">
        <f t="shared" si="16"/>
        <v>7625000</v>
      </c>
      <c r="AC27" s="16">
        <f t="shared" si="17"/>
        <v>500.31255591607953</v>
      </c>
      <c r="AD27" s="15"/>
      <c r="AE27" s="15">
        <v>7625000</v>
      </c>
      <c r="AF27" s="15">
        <f t="shared" si="20"/>
        <v>0</v>
      </c>
      <c r="AG27" s="16">
        <v>532.25637683276807</v>
      </c>
      <c r="AH27" s="15">
        <v>1</v>
      </c>
      <c r="AI27" s="15">
        <v>7625000</v>
      </c>
      <c r="AJ27" s="15">
        <v>7625000</v>
      </c>
      <c r="AK27" s="17" t="e">
        <f>AJ27/#REF!</f>
        <v>#REF!</v>
      </c>
      <c r="AL27" s="15">
        <v>1</v>
      </c>
      <c r="AM27" s="15">
        <v>7625000</v>
      </c>
      <c r="AN27" s="15">
        <v>7625000</v>
      </c>
      <c r="AO27" s="17" t="e">
        <f>AN27/#REF!</f>
        <v>#REF!</v>
      </c>
      <c r="AP27" s="15">
        <v>1</v>
      </c>
      <c r="AQ27" s="15">
        <v>7625000</v>
      </c>
      <c r="AR27" s="15">
        <v>7625000</v>
      </c>
      <c r="AS27" s="17" t="e">
        <f>AR27/#REF!</f>
        <v>#REF!</v>
      </c>
      <c r="AT27" s="15">
        <v>1</v>
      </c>
      <c r="AU27" s="15">
        <v>7625000</v>
      </c>
      <c r="AV27" s="15">
        <v>7625000</v>
      </c>
      <c r="AW27" s="17" t="e">
        <f>AV27/#REF!</f>
        <v>#REF!</v>
      </c>
      <c r="AX27" s="15">
        <v>1</v>
      </c>
      <c r="AY27" s="15">
        <v>7625000</v>
      </c>
      <c r="AZ27" s="15">
        <v>7625000</v>
      </c>
      <c r="BA27" s="17" t="e">
        <f>AZ27/#REF!</f>
        <v>#REF!</v>
      </c>
      <c r="BB27" s="14"/>
      <c r="BC27" s="14"/>
    </row>
    <row r="28" spans="1:55">
      <c r="A28" s="14" t="s">
        <v>13</v>
      </c>
      <c r="B28" s="14" t="s">
        <v>59</v>
      </c>
      <c r="C28" s="14" t="s">
        <v>15</v>
      </c>
      <c r="D28" s="14" t="s">
        <v>60</v>
      </c>
      <c r="E28" s="75"/>
      <c r="F28" s="14">
        <v>1</v>
      </c>
      <c r="G28" s="21">
        <v>5575000</v>
      </c>
      <c r="H28" s="15">
        <f t="shared" si="1"/>
        <v>5575000</v>
      </c>
      <c r="I28" s="16">
        <f t="shared" si="2"/>
        <v>365.80229498126471</v>
      </c>
      <c r="J28" s="15">
        <v>1</v>
      </c>
      <c r="K28" s="21">
        <v>5575000</v>
      </c>
      <c r="L28" s="15">
        <f t="shared" si="4"/>
        <v>5575000</v>
      </c>
      <c r="M28" s="16">
        <f t="shared" si="5"/>
        <v>365.80229498126471</v>
      </c>
      <c r="N28" s="15">
        <v>1</v>
      </c>
      <c r="O28" s="21">
        <v>5575000</v>
      </c>
      <c r="P28" s="15">
        <f t="shared" si="18"/>
        <v>5575000</v>
      </c>
      <c r="Q28" s="16">
        <f t="shared" si="19"/>
        <v>365.80229498126471</v>
      </c>
      <c r="R28" s="15">
        <v>1</v>
      </c>
      <c r="S28" s="21">
        <v>5575000</v>
      </c>
      <c r="T28" s="18">
        <f t="shared" si="10"/>
        <v>5575000</v>
      </c>
      <c r="U28" s="17">
        <f t="shared" si="11"/>
        <v>365.80229498126471</v>
      </c>
      <c r="V28" s="15">
        <v>1</v>
      </c>
      <c r="W28" s="21">
        <v>5575000</v>
      </c>
      <c r="X28" s="18">
        <f t="shared" si="13"/>
        <v>5575000</v>
      </c>
      <c r="Y28" s="16">
        <v>389.15794109412229</v>
      </c>
      <c r="Z28" s="15">
        <v>1</v>
      </c>
      <c r="AA28" s="21">
        <v>5575000</v>
      </c>
      <c r="AB28" s="15">
        <f t="shared" si="16"/>
        <v>5575000</v>
      </c>
      <c r="AC28" s="16">
        <f t="shared" si="17"/>
        <v>365.80229498126471</v>
      </c>
      <c r="AD28" s="15"/>
      <c r="AE28" s="21">
        <v>5575000</v>
      </c>
      <c r="AF28" s="15">
        <f t="shared" si="20"/>
        <v>0</v>
      </c>
      <c r="AG28" s="16">
        <v>389.15794109412229</v>
      </c>
      <c r="AH28" s="15">
        <v>1</v>
      </c>
      <c r="AI28" s="22">
        <v>5575000</v>
      </c>
      <c r="AJ28" s="22">
        <v>5575000</v>
      </c>
      <c r="AK28" s="17" t="e">
        <f>AJ28/#REF!</f>
        <v>#REF!</v>
      </c>
      <c r="AL28" s="15">
        <v>1</v>
      </c>
      <c r="AM28" s="22">
        <v>5575000</v>
      </c>
      <c r="AN28" s="22">
        <v>5575000</v>
      </c>
      <c r="AO28" s="17" t="e">
        <f>AN28/#REF!</f>
        <v>#REF!</v>
      </c>
      <c r="AP28" s="15">
        <v>1</v>
      </c>
      <c r="AQ28" s="22">
        <v>5575000</v>
      </c>
      <c r="AR28" s="22">
        <v>5575000</v>
      </c>
      <c r="AS28" s="17" t="e">
        <f>AR28/#REF!</f>
        <v>#REF!</v>
      </c>
      <c r="AT28" s="15">
        <v>1</v>
      </c>
      <c r="AU28" s="22">
        <v>5575000</v>
      </c>
      <c r="AV28" s="22">
        <v>5575000</v>
      </c>
      <c r="AW28" s="17" t="e">
        <f>AV28/#REF!</f>
        <v>#REF!</v>
      </c>
      <c r="AX28" s="15">
        <v>1</v>
      </c>
      <c r="AY28" s="22">
        <v>5575000</v>
      </c>
      <c r="AZ28" s="22">
        <v>5575000</v>
      </c>
      <c r="BA28" s="17" t="e">
        <f>AZ28/#REF!</f>
        <v>#REF!</v>
      </c>
      <c r="BB28" s="14"/>
      <c r="BC28" s="14"/>
    </row>
    <row r="29" spans="1:55">
      <c r="A29" s="14" t="s">
        <v>13</v>
      </c>
      <c r="B29" s="14" t="s">
        <v>61</v>
      </c>
      <c r="C29" s="14" t="s">
        <v>15</v>
      </c>
      <c r="D29" s="14" t="s">
        <v>62</v>
      </c>
      <c r="E29" s="75"/>
      <c r="F29" s="14">
        <v>1</v>
      </c>
      <c r="G29" s="15">
        <v>4525000</v>
      </c>
      <c r="H29" s="15">
        <f t="shared" si="1"/>
        <v>4525000</v>
      </c>
      <c r="I29" s="16">
        <f t="shared" si="2"/>
        <v>296.90679547806684</v>
      </c>
      <c r="J29" s="15">
        <v>1</v>
      </c>
      <c r="K29" s="15">
        <v>4525000</v>
      </c>
      <c r="L29" s="15">
        <f t="shared" si="4"/>
        <v>4525000</v>
      </c>
      <c r="M29" s="16">
        <f t="shared" si="5"/>
        <v>296.90679547806684</v>
      </c>
      <c r="N29" s="15">
        <v>1</v>
      </c>
      <c r="O29" s="15">
        <v>4525000</v>
      </c>
      <c r="P29" s="15">
        <f t="shared" si="18"/>
        <v>4525000</v>
      </c>
      <c r="Q29" s="16">
        <f t="shared" si="19"/>
        <v>296.90679547806684</v>
      </c>
      <c r="R29" s="15">
        <v>1</v>
      </c>
      <c r="S29" s="15">
        <v>4525000</v>
      </c>
      <c r="T29" s="18">
        <f t="shared" si="10"/>
        <v>4525000</v>
      </c>
      <c r="U29" s="17">
        <f t="shared" si="11"/>
        <v>296.90679547806684</v>
      </c>
      <c r="V29" s="15">
        <v>1</v>
      </c>
      <c r="W29" s="15">
        <v>4525000</v>
      </c>
      <c r="X29" s="18">
        <f t="shared" si="13"/>
        <v>4525000</v>
      </c>
      <c r="Y29" s="16">
        <v>315.86362034993778</v>
      </c>
      <c r="Z29" s="15">
        <v>1</v>
      </c>
      <c r="AA29" s="15">
        <v>4525000</v>
      </c>
      <c r="AB29" s="15">
        <f t="shared" si="16"/>
        <v>4525000</v>
      </c>
      <c r="AC29" s="16">
        <f t="shared" si="17"/>
        <v>296.90679547806684</v>
      </c>
      <c r="AD29" s="15"/>
      <c r="AE29" s="15">
        <v>4525000</v>
      </c>
      <c r="AF29" s="15">
        <f t="shared" si="20"/>
        <v>0</v>
      </c>
      <c r="AG29" s="16">
        <v>315.86362034993778</v>
      </c>
      <c r="AH29" s="15">
        <v>1</v>
      </c>
      <c r="AI29" s="15">
        <v>4525000</v>
      </c>
      <c r="AJ29" s="15">
        <v>4525000</v>
      </c>
      <c r="AK29" s="17" t="e">
        <f>AJ29/#REF!</f>
        <v>#REF!</v>
      </c>
      <c r="AL29" s="15">
        <v>1</v>
      </c>
      <c r="AM29" s="15">
        <v>4525000</v>
      </c>
      <c r="AN29" s="15">
        <v>4525000</v>
      </c>
      <c r="AO29" s="17" t="e">
        <f>AN29/#REF!</f>
        <v>#REF!</v>
      </c>
      <c r="AP29" s="15">
        <v>1</v>
      </c>
      <c r="AQ29" s="15">
        <v>4525000</v>
      </c>
      <c r="AR29" s="15">
        <v>4525000</v>
      </c>
      <c r="AS29" s="17" t="e">
        <f>AR29/#REF!</f>
        <v>#REF!</v>
      </c>
      <c r="AT29" s="15">
        <v>1</v>
      </c>
      <c r="AU29" s="15">
        <v>4525000</v>
      </c>
      <c r="AV29" s="15">
        <v>4525000</v>
      </c>
      <c r="AW29" s="17" t="e">
        <f>AV29/#REF!</f>
        <v>#REF!</v>
      </c>
      <c r="AX29" s="15">
        <v>1</v>
      </c>
      <c r="AY29" s="15">
        <v>4525000</v>
      </c>
      <c r="AZ29" s="15">
        <v>4525000</v>
      </c>
      <c r="BA29" s="17" t="e">
        <f>AZ29/#REF!</f>
        <v>#REF!</v>
      </c>
      <c r="BB29" s="14"/>
      <c r="BC29" s="14"/>
    </row>
    <row r="30" spans="1:55">
      <c r="A30" s="14" t="s">
        <v>13</v>
      </c>
      <c r="B30" s="14" t="s">
        <v>63</v>
      </c>
      <c r="C30" s="14" t="s">
        <v>15</v>
      </c>
      <c r="D30" s="14" t="s">
        <v>64</v>
      </c>
      <c r="E30" s="75"/>
      <c r="F30" s="14">
        <v>1</v>
      </c>
      <c r="G30" s="15">
        <v>5575000</v>
      </c>
      <c r="H30" s="20">
        <f t="shared" si="1"/>
        <v>5575000</v>
      </c>
      <c r="I30" s="16">
        <f>H30/$D$2</f>
        <v>365.80229498126471</v>
      </c>
      <c r="J30" s="15">
        <v>1</v>
      </c>
      <c r="K30" s="21">
        <v>5575000</v>
      </c>
      <c r="L30" s="15">
        <f t="shared" si="4"/>
        <v>5575000</v>
      </c>
      <c r="M30" s="16">
        <f t="shared" si="5"/>
        <v>365.80229498126471</v>
      </c>
      <c r="N30" s="15">
        <v>1</v>
      </c>
      <c r="O30" s="21">
        <v>5575000</v>
      </c>
      <c r="P30" s="15">
        <f t="shared" si="18"/>
        <v>5575000</v>
      </c>
      <c r="Q30" s="16">
        <f t="shared" si="19"/>
        <v>365.80229498126471</v>
      </c>
      <c r="R30" s="15">
        <v>1</v>
      </c>
      <c r="S30" s="21">
        <v>5575000</v>
      </c>
      <c r="T30" s="18">
        <f t="shared" si="10"/>
        <v>5575000</v>
      </c>
      <c r="U30" s="17">
        <f t="shared" si="11"/>
        <v>365.80229498126471</v>
      </c>
      <c r="V30" s="15">
        <v>1</v>
      </c>
      <c r="W30" s="21">
        <v>5575000</v>
      </c>
      <c r="X30" s="18">
        <f t="shared" si="13"/>
        <v>5575000</v>
      </c>
      <c r="Y30" s="16">
        <v>389.15794109412229</v>
      </c>
      <c r="Z30" s="15">
        <v>1</v>
      </c>
      <c r="AA30" s="21">
        <v>5575000</v>
      </c>
      <c r="AB30" s="15">
        <f t="shared" si="16"/>
        <v>5575000</v>
      </c>
      <c r="AC30" s="16">
        <f t="shared" si="17"/>
        <v>365.80229498126471</v>
      </c>
      <c r="AD30" s="15"/>
      <c r="AE30" s="21">
        <v>5575000</v>
      </c>
      <c r="AF30" s="15">
        <f t="shared" si="20"/>
        <v>0</v>
      </c>
      <c r="AG30" s="16">
        <v>389.15794109412229</v>
      </c>
      <c r="AH30" s="15">
        <v>1</v>
      </c>
      <c r="AI30" s="22">
        <v>5575000</v>
      </c>
      <c r="AJ30" s="22">
        <v>5575000</v>
      </c>
      <c r="AK30" s="17" t="e">
        <f>AJ30/#REF!</f>
        <v>#REF!</v>
      </c>
      <c r="AL30" s="15">
        <v>1</v>
      </c>
      <c r="AM30" s="22">
        <v>5575000</v>
      </c>
      <c r="AN30" s="22">
        <v>5575000</v>
      </c>
      <c r="AO30" s="17" t="e">
        <f>AN30/#REF!</f>
        <v>#REF!</v>
      </c>
      <c r="AP30" s="15">
        <v>1</v>
      </c>
      <c r="AQ30" s="22">
        <v>5575000</v>
      </c>
      <c r="AR30" s="22">
        <v>5575000</v>
      </c>
      <c r="AS30" s="17" t="e">
        <f>AR30/#REF!</f>
        <v>#REF!</v>
      </c>
      <c r="AT30" s="15">
        <v>1</v>
      </c>
      <c r="AU30" s="22">
        <v>5575000</v>
      </c>
      <c r="AV30" s="22">
        <v>5575000</v>
      </c>
      <c r="AW30" s="17" t="e">
        <f>AV30/#REF!</f>
        <v>#REF!</v>
      </c>
      <c r="AX30" s="15">
        <v>1</v>
      </c>
      <c r="AY30" s="22">
        <v>5575000</v>
      </c>
      <c r="AZ30" s="22">
        <v>5575000</v>
      </c>
      <c r="BA30" s="17" t="e">
        <f>AZ30/#REF!</f>
        <v>#REF!</v>
      </c>
      <c r="BB30" s="14"/>
      <c r="BC30" s="14"/>
    </row>
    <row r="31" spans="1:55">
      <c r="A31" s="14" t="s">
        <v>13</v>
      </c>
      <c r="B31" s="14" t="s">
        <v>65</v>
      </c>
      <c r="C31" s="14" t="s">
        <v>15</v>
      </c>
      <c r="D31" s="14" t="s">
        <v>66</v>
      </c>
      <c r="E31" s="75"/>
      <c r="F31" s="14"/>
      <c r="G31" s="14"/>
      <c r="H31" s="20"/>
      <c r="I31" s="16">
        <f t="shared" si="2"/>
        <v>0</v>
      </c>
      <c r="J31" s="14"/>
      <c r="K31" s="15"/>
      <c r="L31" s="20"/>
      <c r="M31" s="14"/>
      <c r="N31" s="14"/>
      <c r="O31" s="15"/>
      <c r="P31" s="15">
        <f t="shared" si="18"/>
        <v>0</v>
      </c>
      <c r="Q31" s="16">
        <f>P31/$D$2</f>
        <v>0</v>
      </c>
      <c r="R31" s="14"/>
      <c r="S31" s="15"/>
      <c r="T31" s="18">
        <f t="shared" si="10"/>
        <v>0</v>
      </c>
      <c r="U31" s="17">
        <f t="shared" si="11"/>
        <v>0</v>
      </c>
      <c r="V31" s="14"/>
      <c r="W31" s="15"/>
      <c r="X31" s="18">
        <f t="shared" si="13"/>
        <v>0</v>
      </c>
      <c r="Y31" s="14"/>
      <c r="Z31" s="14"/>
      <c r="AA31" s="15"/>
      <c r="AB31" s="15">
        <f t="shared" si="16"/>
        <v>0</v>
      </c>
      <c r="AC31" s="16">
        <f t="shared" si="17"/>
        <v>0</v>
      </c>
      <c r="AD31" s="14"/>
      <c r="AE31" s="15"/>
      <c r="AF31" s="15">
        <f t="shared" si="20"/>
        <v>0</v>
      </c>
      <c r="AG31" s="17">
        <v>402.07170236809765</v>
      </c>
      <c r="AH31" s="14"/>
      <c r="AI31" s="23"/>
      <c r="AJ31" s="20"/>
      <c r="AK31" s="17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</row>
    <row r="32" spans="1:55">
      <c r="A32" s="14" t="s">
        <v>13</v>
      </c>
      <c r="B32" s="14" t="s">
        <v>67</v>
      </c>
      <c r="C32" s="14" t="s">
        <v>15</v>
      </c>
      <c r="D32" s="14" t="s">
        <v>68</v>
      </c>
      <c r="E32" s="75"/>
      <c r="F32" s="14">
        <v>1</v>
      </c>
      <c r="G32" s="21">
        <v>4675000</v>
      </c>
      <c r="H32" s="20">
        <v>4675000</v>
      </c>
      <c r="I32" s="16">
        <f t="shared" si="2"/>
        <v>306.74900969280941</v>
      </c>
      <c r="J32" s="15">
        <v>1</v>
      </c>
      <c r="K32" s="22">
        <v>4675000</v>
      </c>
      <c r="L32" s="20">
        <v>4675000</v>
      </c>
      <c r="M32" s="24">
        <v>326.33423759910698</v>
      </c>
      <c r="N32" s="15">
        <v>1</v>
      </c>
      <c r="O32" s="22">
        <v>4675000</v>
      </c>
      <c r="P32" s="15">
        <f t="shared" si="18"/>
        <v>4675000</v>
      </c>
      <c r="Q32" s="16">
        <f t="shared" ref="Q32" si="21">P32/$D$2</f>
        <v>306.74900969280941</v>
      </c>
      <c r="R32" s="15">
        <v>1</v>
      </c>
      <c r="S32" s="22">
        <v>4675000</v>
      </c>
      <c r="T32" s="18">
        <f t="shared" si="10"/>
        <v>4675000</v>
      </c>
      <c r="U32" s="17">
        <f t="shared" si="11"/>
        <v>306.74900969280941</v>
      </c>
      <c r="V32" s="15">
        <v>1</v>
      </c>
      <c r="W32" s="22">
        <v>4675000</v>
      </c>
      <c r="X32" s="18">
        <f t="shared" si="13"/>
        <v>4675000</v>
      </c>
      <c r="Y32" s="16">
        <v>326.33423759910698</v>
      </c>
      <c r="Z32" s="15">
        <v>1</v>
      </c>
      <c r="AA32" s="22">
        <v>4675000</v>
      </c>
      <c r="AB32" s="15">
        <f t="shared" si="16"/>
        <v>4675000</v>
      </c>
      <c r="AC32" s="16">
        <f t="shared" si="17"/>
        <v>306.74900969280941</v>
      </c>
      <c r="AD32" s="15"/>
      <c r="AE32" s="22">
        <v>4675000</v>
      </c>
      <c r="AF32" s="15">
        <f t="shared" si="20"/>
        <v>0</v>
      </c>
      <c r="AG32" s="16">
        <v>326.33423759910698</v>
      </c>
      <c r="AH32" s="15">
        <v>1</v>
      </c>
      <c r="AI32" s="22">
        <v>4675000</v>
      </c>
      <c r="AJ32" s="15">
        <v>4675000</v>
      </c>
      <c r="AK32" s="17" t="e">
        <f>AJ32/#REF!</f>
        <v>#REF!</v>
      </c>
      <c r="AL32" s="15">
        <v>1</v>
      </c>
      <c r="AM32" s="22">
        <v>4675000</v>
      </c>
      <c r="AN32" s="15">
        <v>4675000</v>
      </c>
      <c r="AO32" s="17" t="e">
        <f>AN32/#REF!</f>
        <v>#REF!</v>
      </c>
      <c r="AP32" s="15">
        <v>1</v>
      </c>
      <c r="AQ32" s="22">
        <v>4675000</v>
      </c>
      <c r="AR32" s="15">
        <v>4675000</v>
      </c>
      <c r="AS32" s="17" t="e">
        <f>AR32/#REF!</f>
        <v>#REF!</v>
      </c>
      <c r="AT32" s="15">
        <v>1</v>
      </c>
      <c r="AU32" s="22">
        <v>4675000</v>
      </c>
      <c r="AV32" s="15">
        <v>4675000</v>
      </c>
      <c r="AW32" s="17" t="e">
        <f>AV32/#REF!</f>
        <v>#REF!</v>
      </c>
      <c r="AX32" s="15">
        <v>1</v>
      </c>
      <c r="AY32" s="22">
        <v>4675000</v>
      </c>
      <c r="AZ32" s="15">
        <v>4675000</v>
      </c>
      <c r="BA32" s="17" t="e">
        <f>AZ32/#REF!</f>
        <v>#REF!</v>
      </c>
      <c r="BB32" s="14"/>
      <c r="BC32" s="14"/>
    </row>
    <row r="33" spans="1:56">
      <c r="A33" s="14" t="s">
        <v>13</v>
      </c>
      <c r="B33" s="14" t="s">
        <v>69</v>
      </c>
      <c r="C33" s="14" t="s">
        <v>15</v>
      </c>
      <c r="D33" s="14" t="s">
        <v>70</v>
      </c>
      <c r="E33" s="75"/>
      <c r="F33" s="15">
        <v>11</v>
      </c>
      <c r="G33" s="15"/>
      <c r="H33" s="20"/>
      <c r="I33" s="16">
        <f t="shared" si="2"/>
        <v>0</v>
      </c>
      <c r="J33" s="15">
        <v>11</v>
      </c>
      <c r="K33" s="25"/>
      <c r="L33" s="20"/>
      <c r="M33" s="15"/>
      <c r="N33" s="15">
        <v>11</v>
      </c>
      <c r="O33" s="25"/>
      <c r="P33" s="20">
        <v>45489950</v>
      </c>
      <c r="Q33" s="16">
        <f>P33/$D$2</f>
        <v>2984.8122167861852</v>
      </c>
      <c r="R33" s="15">
        <v>11</v>
      </c>
      <c r="S33" s="26"/>
      <c r="T33" s="20"/>
      <c r="U33" s="17">
        <f t="shared" si="11"/>
        <v>0</v>
      </c>
      <c r="V33" s="15"/>
      <c r="W33" s="15"/>
      <c r="X33" s="15">
        <v>45572450.039999999</v>
      </c>
      <c r="Y33" s="16">
        <v>3181.1445431715065</v>
      </c>
      <c r="Z33" s="15">
        <v>11</v>
      </c>
      <c r="AA33" s="15">
        <v>4142950.0036363634</v>
      </c>
      <c r="AB33" s="15">
        <f t="shared" si="16"/>
        <v>45572450.039999999</v>
      </c>
      <c r="AC33" s="16">
        <f t="shared" si="17"/>
        <v>2990.2254372288839</v>
      </c>
      <c r="AD33" s="15"/>
      <c r="AE33" s="15">
        <v>4448571.6601720005</v>
      </c>
      <c r="AF33" s="15">
        <f t="shared" si="20"/>
        <v>0</v>
      </c>
      <c r="AG33" s="16">
        <v>3415.8150157446671</v>
      </c>
      <c r="AH33" s="15">
        <v>11</v>
      </c>
      <c r="AI33" s="15">
        <v>4230722</v>
      </c>
      <c r="AJ33" s="15">
        <f>AI33*AH33</f>
        <v>46537942</v>
      </c>
      <c r="AK33" s="16" t="e">
        <f>AJ33/#REF!</f>
        <v>#REF!</v>
      </c>
      <c r="AL33" s="15">
        <v>11</v>
      </c>
      <c r="AM33" s="15">
        <v>4230722</v>
      </c>
      <c r="AN33" s="15">
        <f>AM33*AL33</f>
        <v>46537942</v>
      </c>
      <c r="AO33" s="16" t="e">
        <f>AN33/#REF!</f>
        <v>#REF!</v>
      </c>
      <c r="AP33" s="15">
        <v>11</v>
      </c>
      <c r="AQ33" s="15">
        <v>4230722</v>
      </c>
      <c r="AR33" s="15">
        <f>AQ33*AP33</f>
        <v>46537942</v>
      </c>
      <c r="AS33" s="16" t="e">
        <f>AR33/#REF!</f>
        <v>#REF!</v>
      </c>
      <c r="AT33" s="15">
        <v>11</v>
      </c>
      <c r="AU33" s="15">
        <v>4230722</v>
      </c>
      <c r="AV33" s="15">
        <f>AU33*AT33</f>
        <v>46537942</v>
      </c>
      <c r="AW33" s="16" t="e">
        <f>AV33/#REF!</f>
        <v>#REF!</v>
      </c>
      <c r="AX33" s="15">
        <v>11</v>
      </c>
      <c r="AY33" s="15">
        <v>4230722</v>
      </c>
      <c r="AZ33" s="15">
        <f>AY33*AX33</f>
        <v>46537942</v>
      </c>
      <c r="BA33" s="16" t="e">
        <f>AZ33/#REF!</f>
        <v>#REF!</v>
      </c>
      <c r="BB33" s="14"/>
      <c r="BC33" s="14"/>
    </row>
    <row r="34" spans="1:56">
      <c r="A34" s="14" t="s">
        <v>13</v>
      </c>
      <c r="B34" s="14" t="s">
        <v>71</v>
      </c>
      <c r="C34" s="14" t="s">
        <v>15</v>
      </c>
      <c r="D34" s="14" t="s">
        <v>72</v>
      </c>
      <c r="E34" s="75"/>
      <c r="F34" s="14"/>
      <c r="G34" s="14"/>
      <c r="H34" s="20"/>
      <c r="I34" s="16">
        <f t="shared" si="2"/>
        <v>0</v>
      </c>
      <c r="J34" s="14"/>
      <c r="K34" s="14"/>
      <c r="L34" s="20"/>
      <c r="M34" s="14"/>
      <c r="N34" s="14"/>
      <c r="O34" s="27"/>
      <c r="P34" s="20"/>
      <c r="Q34" s="14"/>
      <c r="R34" s="14">
        <v>0</v>
      </c>
      <c r="S34" s="27"/>
      <c r="T34" s="20">
        <v>0</v>
      </c>
      <c r="U34" s="14">
        <v>0</v>
      </c>
      <c r="V34" s="15"/>
      <c r="W34" s="27"/>
      <c r="X34" s="15"/>
      <c r="Y34" s="16">
        <v>0</v>
      </c>
      <c r="Z34" s="15"/>
      <c r="AA34" s="14"/>
      <c r="AB34" s="15"/>
      <c r="AC34" s="16">
        <v>0</v>
      </c>
      <c r="AD34" s="15"/>
      <c r="AE34" s="14"/>
      <c r="AF34" s="15">
        <f t="shared" si="20"/>
        <v>0</v>
      </c>
      <c r="AG34" s="16">
        <v>0</v>
      </c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</row>
    <row r="35" spans="1:56">
      <c r="I35" s="67">
        <f>SUM(I6:I34)</f>
        <v>7885.8879248695239</v>
      </c>
      <c r="M35" s="67">
        <f>SUM(M6:M34)</f>
        <v>9158.5002077760182</v>
      </c>
      <c r="Q35" s="67">
        <f>SUM(Q6:Q34)</f>
        <v>12092.790755247557</v>
      </c>
      <c r="U35" s="67">
        <f>SUM(U6:U34)</f>
        <v>8866.9290644719476</v>
      </c>
      <c r="Y35" s="128">
        <f>SUM(Y6:Y34)</f>
        <v>12634.801677352712</v>
      </c>
      <c r="AC35" s="67">
        <f>SUM(AC6:AC34)</f>
        <v>13660.500040910805</v>
      </c>
    </row>
    <row r="36" spans="1:56">
      <c r="G36">
        <f>+I38/173</f>
        <v>18751.265895953758</v>
      </c>
    </row>
    <row r="38" spans="1:56" ht="18.75">
      <c r="A38" s="28" t="s">
        <v>91</v>
      </c>
      <c r="B38" s="29"/>
      <c r="D38" s="30">
        <v>15240.473</v>
      </c>
      <c r="E38" s="74"/>
      <c r="H38" t="s">
        <v>100</v>
      </c>
      <c r="I38" s="72">
        <v>3243969</v>
      </c>
    </row>
    <row r="39" spans="1:56" ht="16.5" customHeight="1">
      <c r="A39" s="4" t="s">
        <v>0</v>
      </c>
      <c r="B39" s="5" t="s">
        <v>1</v>
      </c>
      <c r="C39" s="6" t="s">
        <v>2</v>
      </c>
      <c r="D39" s="7" t="s">
        <v>3</v>
      </c>
      <c r="E39" s="73"/>
      <c r="F39" s="168">
        <v>45495</v>
      </c>
      <c r="G39" s="168"/>
      <c r="H39" s="168"/>
      <c r="I39" s="168"/>
      <c r="J39" s="168">
        <v>45527</v>
      </c>
      <c r="K39" s="168"/>
      <c r="L39" s="168"/>
      <c r="M39" s="168"/>
      <c r="N39" s="169">
        <v>45557</v>
      </c>
      <c r="O39" s="170"/>
      <c r="P39" s="170"/>
      <c r="Q39" s="171"/>
      <c r="R39" s="169">
        <v>45587</v>
      </c>
      <c r="S39" s="170"/>
      <c r="T39" s="170"/>
      <c r="U39" s="171"/>
      <c r="V39" s="169">
        <v>45618</v>
      </c>
      <c r="W39" s="170"/>
      <c r="X39" s="170"/>
      <c r="Y39" s="171"/>
      <c r="Z39" s="165" t="s">
        <v>92</v>
      </c>
      <c r="AA39" s="166"/>
      <c r="AB39" s="166"/>
      <c r="AC39" s="167"/>
      <c r="AD39" s="165" t="s">
        <v>93</v>
      </c>
      <c r="AE39" s="166"/>
      <c r="AF39" s="166"/>
      <c r="AG39" s="167"/>
      <c r="AH39" s="165" t="s">
        <v>94</v>
      </c>
      <c r="AI39" s="166"/>
      <c r="AJ39" s="166"/>
      <c r="AK39" s="167"/>
      <c r="AL39" s="165" t="s">
        <v>95</v>
      </c>
      <c r="AM39" s="166"/>
      <c r="AN39" s="166"/>
      <c r="AO39" s="167"/>
      <c r="AP39" s="165" t="s">
        <v>96</v>
      </c>
      <c r="AQ39" s="166"/>
      <c r="AR39" s="166"/>
      <c r="AS39" s="167"/>
      <c r="AT39" s="165" t="s">
        <v>97</v>
      </c>
      <c r="AU39" s="166"/>
      <c r="AV39" s="166"/>
      <c r="AW39" s="167"/>
      <c r="AX39" s="165" t="s">
        <v>98</v>
      </c>
      <c r="AY39" s="166"/>
      <c r="AZ39" s="166"/>
      <c r="BA39" s="167"/>
      <c r="BB39" s="163" t="s">
        <v>4</v>
      </c>
      <c r="BC39" s="163" t="s">
        <v>5</v>
      </c>
    </row>
    <row r="40" spans="1:56">
      <c r="A40" s="8"/>
      <c r="B40" s="9"/>
      <c r="C40" s="10"/>
      <c r="D40" s="11"/>
      <c r="E40" s="11"/>
      <c r="F40" s="155" t="s">
        <v>6</v>
      </c>
      <c r="G40" s="157" t="s">
        <v>7</v>
      </c>
      <c r="H40" s="154" t="s">
        <v>8</v>
      </c>
      <c r="I40" s="154"/>
      <c r="J40" s="155" t="s">
        <v>6</v>
      </c>
      <c r="K40" s="157" t="s">
        <v>7</v>
      </c>
      <c r="L40" s="154" t="s">
        <v>8</v>
      </c>
      <c r="M40" s="154"/>
      <c r="N40" s="155" t="s">
        <v>6</v>
      </c>
      <c r="O40" s="157" t="s">
        <v>7</v>
      </c>
      <c r="P40" s="154" t="s">
        <v>8</v>
      </c>
      <c r="Q40" s="154"/>
      <c r="R40" s="155" t="s">
        <v>6</v>
      </c>
      <c r="S40" s="157" t="s">
        <v>7</v>
      </c>
      <c r="T40" s="154" t="s">
        <v>8</v>
      </c>
      <c r="U40" s="154"/>
      <c r="V40" s="155" t="s">
        <v>6</v>
      </c>
      <c r="W40" s="157" t="s">
        <v>7</v>
      </c>
      <c r="X40" s="154" t="s">
        <v>8</v>
      </c>
      <c r="Y40" s="154"/>
      <c r="Z40" s="155" t="s">
        <v>6</v>
      </c>
      <c r="AA40" s="157" t="s">
        <v>7</v>
      </c>
      <c r="AB40" s="154" t="s">
        <v>8</v>
      </c>
      <c r="AC40" s="154"/>
      <c r="AD40" s="155" t="s">
        <v>6</v>
      </c>
      <c r="AE40" s="157" t="s">
        <v>7</v>
      </c>
      <c r="AF40" s="154" t="s">
        <v>8</v>
      </c>
      <c r="AG40" s="154"/>
      <c r="AH40" s="155" t="s">
        <v>6</v>
      </c>
      <c r="AI40" s="157" t="s">
        <v>7</v>
      </c>
      <c r="AJ40" s="154" t="s">
        <v>8</v>
      </c>
      <c r="AK40" s="154"/>
      <c r="AL40" s="155" t="s">
        <v>6</v>
      </c>
      <c r="AM40" s="157" t="s">
        <v>7</v>
      </c>
      <c r="AN40" s="154" t="s">
        <v>8</v>
      </c>
      <c r="AO40" s="154"/>
      <c r="AP40" s="155" t="s">
        <v>6</v>
      </c>
      <c r="AQ40" s="157" t="s">
        <v>7</v>
      </c>
      <c r="AR40" s="154" t="s">
        <v>8</v>
      </c>
      <c r="AS40" s="154"/>
      <c r="AT40" s="155" t="s">
        <v>6</v>
      </c>
      <c r="AU40" s="157" t="s">
        <v>7</v>
      </c>
      <c r="AV40" s="154" t="s">
        <v>8</v>
      </c>
      <c r="AW40" s="154"/>
      <c r="AX40" s="155" t="s">
        <v>6</v>
      </c>
      <c r="AY40" s="157" t="s">
        <v>7</v>
      </c>
      <c r="AZ40" s="154" t="s">
        <v>8</v>
      </c>
      <c r="BA40" s="154"/>
      <c r="BB40" s="163"/>
      <c r="BC40" s="163"/>
    </row>
    <row r="41" spans="1:56">
      <c r="A41" s="8"/>
      <c r="B41" s="9"/>
      <c r="C41" s="10"/>
      <c r="D41" s="11"/>
      <c r="E41" s="11"/>
      <c r="F41" s="157"/>
      <c r="G41" s="158"/>
      <c r="H41" s="12" t="s">
        <v>9</v>
      </c>
      <c r="I41" s="12" t="s">
        <v>10</v>
      </c>
      <c r="J41" s="157"/>
      <c r="K41" s="158"/>
      <c r="L41" s="13" t="s">
        <v>11</v>
      </c>
      <c r="M41" s="13" t="s">
        <v>12</v>
      </c>
      <c r="N41" s="156"/>
      <c r="O41" s="158"/>
      <c r="P41" s="13" t="s">
        <v>11</v>
      </c>
      <c r="Q41" s="13" t="s">
        <v>12</v>
      </c>
      <c r="R41" s="156"/>
      <c r="S41" s="158"/>
      <c r="T41" s="13" t="s">
        <v>11</v>
      </c>
      <c r="U41" s="13" t="s">
        <v>12</v>
      </c>
      <c r="V41" s="156"/>
      <c r="W41" s="158"/>
      <c r="X41" s="13" t="s">
        <v>11</v>
      </c>
      <c r="Y41" s="13" t="s">
        <v>12</v>
      </c>
      <c r="Z41" s="156"/>
      <c r="AA41" s="158"/>
      <c r="AB41" s="13" t="s">
        <v>11</v>
      </c>
      <c r="AC41" s="13" t="s">
        <v>12</v>
      </c>
      <c r="AD41" s="156"/>
      <c r="AE41" s="158"/>
      <c r="AF41" s="13" t="s">
        <v>11</v>
      </c>
      <c r="AG41" s="13" t="s">
        <v>12</v>
      </c>
      <c r="AH41" s="156"/>
      <c r="AI41" s="158"/>
      <c r="AJ41" s="13" t="s">
        <v>11</v>
      </c>
      <c r="AK41" s="13" t="s">
        <v>12</v>
      </c>
      <c r="AL41" s="156"/>
      <c r="AM41" s="158"/>
      <c r="AN41" s="13" t="s">
        <v>11</v>
      </c>
      <c r="AO41" s="13" t="s">
        <v>12</v>
      </c>
      <c r="AP41" s="156"/>
      <c r="AQ41" s="158"/>
      <c r="AR41" s="13" t="s">
        <v>11</v>
      </c>
      <c r="AS41" s="13" t="s">
        <v>12</v>
      </c>
      <c r="AT41" s="156"/>
      <c r="AU41" s="158"/>
      <c r="AV41" s="13" t="s">
        <v>11</v>
      </c>
      <c r="AW41" s="13" t="s">
        <v>12</v>
      </c>
      <c r="AX41" s="156"/>
      <c r="AY41" s="158"/>
      <c r="AZ41" s="13" t="s">
        <v>11</v>
      </c>
      <c r="BA41" s="13" t="s">
        <v>12</v>
      </c>
      <c r="BB41" s="164"/>
      <c r="BC41" s="164"/>
    </row>
    <row r="42" spans="1:56">
      <c r="A42" s="14" t="s">
        <v>13</v>
      </c>
      <c r="B42" s="14" t="s">
        <v>14</v>
      </c>
      <c r="C42" s="14" t="s">
        <v>15</v>
      </c>
      <c r="D42" s="14" t="s">
        <v>16</v>
      </c>
      <c r="E42" s="75"/>
      <c r="F42" s="14">
        <v>359</v>
      </c>
      <c r="G42" s="18">
        <f>3243969/173</f>
        <v>18751.265895953758</v>
      </c>
      <c r="H42" s="31">
        <f>G42*F42</f>
        <v>6731704.4566473989</v>
      </c>
      <c r="I42" s="17">
        <f t="shared" ref="I42:I70" si="22">H42/$D$38</f>
        <v>441.69918195107192</v>
      </c>
      <c r="J42" s="14">
        <v>391.5</v>
      </c>
      <c r="K42" s="18">
        <f>3243969/173</f>
        <v>18751.265895953758</v>
      </c>
      <c r="L42" s="31">
        <f>K42*J42</f>
        <v>7341120.5982658966</v>
      </c>
      <c r="M42" s="17">
        <f t="shared" ref="M42:M66" si="23">L42/$D$2</f>
        <v>481.68587669594615</v>
      </c>
      <c r="N42" s="14">
        <v>375</v>
      </c>
      <c r="O42" s="18">
        <f>3243969/173</f>
        <v>18751.265895953758</v>
      </c>
      <c r="P42" s="31">
        <f>O42*N42</f>
        <v>7031724.7109826598</v>
      </c>
      <c r="Q42" s="17">
        <f t="shared" ref="Q42:Q66" si="24">P42/$D$2</f>
        <v>461.38493936393314</v>
      </c>
      <c r="R42" s="14">
        <v>359</v>
      </c>
      <c r="S42" s="18">
        <f>3243969/173</f>
        <v>18751.265895953758</v>
      </c>
      <c r="T42" s="31">
        <f>S42*R42</f>
        <v>6731704.4566473989</v>
      </c>
      <c r="U42" s="17">
        <f t="shared" ref="U42:U66" si="25">T42/$D$2</f>
        <v>441.69918195107192</v>
      </c>
      <c r="V42" s="14">
        <v>375.5</v>
      </c>
      <c r="W42" s="18">
        <f>3243969/173</f>
        <v>18751.265895953758</v>
      </c>
      <c r="X42" s="31">
        <f>W42*V42</f>
        <v>7041100.3439306365</v>
      </c>
      <c r="Y42" s="17">
        <f t="shared" ref="Y42:Y66" si="26">X42/$D$2</f>
        <v>462.00011928308504</v>
      </c>
      <c r="Z42" s="32">
        <v>353.5</v>
      </c>
      <c r="AA42" s="18">
        <f>3243969/173</f>
        <v>18751.265895953758</v>
      </c>
      <c r="AB42" s="31">
        <f>AA42*Z42</f>
        <v>6628572.4942196533</v>
      </c>
      <c r="AC42" s="17">
        <f t="shared" ref="AC42:AC66" si="27">AB42/$D$2</f>
        <v>434.93220284040092</v>
      </c>
      <c r="AD42" s="33">
        <v>386</v>
      </c>
      <c r="AE42" s="18">
        <v>19458.87</v>
      </c>
      <c r="AF42" s="31">
        <f>AE42*AD42</f>
        <v>7511123.8199999994</v>
      </c>
      <c r="AG42" s="17">
        <f t="shared" ref="AG42:AG66" si="28">AF42/$D$2</f>
        <v>492.84059753263557</v>
      </c>
      <c r="AH42" s="32">
        <v>380.5</v>
      </c>
      <c r="AI42" s="18">
        <v>19458.87</v>
      </c>
      <c r="AJ42" s="31">
        <f>AI42*AH42</f>
        <v>7404100.0349999992</v>
      </c>
      <c r="AK42" s="17">
        <f t="shared" ref="AK42:AK70" si="29">AJ42/$D$2</f>
        <v>485.8182574123519</v>
      </c>
      <c r="AL42" s="14">
        <v>349</v>
      </c>
      <c r="AM42" s="18">
        <v>19458.87</v>
      </c>
      <c r="AN42" s="31">
        <f>AM42*AL42</f>
        <v>6791145.6299999999</v>
      </c>
      <c r="AO42" s="17">
        <f t="shared" ref="AO42:AO66" si="30">AN42/$D$2</f>
        <v>445.59940035981822</v>
      </c>
      <c r="AP42" s="14">
        <v>375</v>
      </c>
      <c r="AQ42" s="18">
        <v>19458.87</v>
      </c>
      <c r="AR42" s="31">
        <f>AQ42*AP42</f>
        <v>7297076.25</v>
      </c>
      <c r="AS42" s="17">
        <f t="shared" ref="AS42:AS66" si="31">AR42/$D$2</f>
        <v>478.79591729206828</v>
      </c>
      <c r="AT42" s="32">
        <v>397.5</v>
      </c>
      <c r="AU42" s="18">
        <v>19458.87</v>
      </c>
      <c r="AV42" s="31">
        <f>AU42*AT42</f>
        <v>7734900.8249999993</v>
      </c>
      <c r="AW42" s="17">
        <f t="shared" ref="AW42:AW66" si="32">AV42/$D$2</f>
        <v>507.52367232959233</v>
      </c>
      <c r="AX42" s="32">
        <v>386</v>
      </c>
      <c r="AY42" s="18">
        <v>19458.87</v>
      </c>
      <c r="AZ42" s="31">
        <f>AY42*AX42</f>
        <v>7511123.8199999994</v>
      </c>
      <c r="BA42" s="17">
        <f t="shared" ref="BA42:BA66" si="33">AZ42/$D$2</f>
        <v>492.84059753263557</v>
      </c>
      <c r="BB42" s="20">
        <f>F42+J42+N42+R42+V42+Z42+AD42+AH42+AL42+AP42+AT42+AX42</f>
        <v>4487.5</v>
      </c>
      <c r="BC42" s="20">
        <f>I42+M42+Q42+U42+Y42+AC42+AG42+AK42+AO42+AS42+AW42+BA42</f>
        <v>5626.8199445446107</v>
      </c>
      <c r="BD42" s="34"/>
    </row>
    <row r="43" spans="1:56">
      <c r="A43" s="14" t="s">
        <v>13</v>
      </c>
      <c r="B43" s="14" t="s">
        <v>17</v>
      </c>
      <c r="C43" s="14" t="s">
        <v>15</v>
      </c>
      <c r="D43" s="14" t="s">
        <v>18</v>
      </c>
      <c r="E43" s="75"/>
      <c r="F43" s="14">
        <v>359</v>
      </c>
      <c r="G43" s="18">
        <f t="shared" ref="G43:G52" si="34">3243969/173</f>
        <v>18751.265895953758</v>
      </c>
      <c r="H43" s="31">
        <f t="shared" ref="H43:H70" si="35">G43*F43</f>
        <v>6731704.4566473989</v>
      </c>
      <c r="I43" s="17">
        <f t="shared" si="22"/>
        <v>441.69918195107192</v>
      </c>
      <c r="J43" s="14">
        <v>391.5</v>
      </c>
      <c r="K43" s="18">
        <f t="shared" ref="K43:K52" si="36">3243969/173</f>
        <v>18751.265895953758</v>
      </c>
      <c r="L43" s="31">
        <f t="shared" ref="L43:L70" si="37">K43*J43</f>
        <v>7341120.5982658966</v>
      </c>
      <c r="M43" s="17">
        <f t="shared" si="23"/>
        <v>481.68587669594615</v>
      </c>
      <c r="N43" s="14">
        <v>375</v>
      </c>
      <c r="O43" s="18">
        <f t="shared" ref="O43:O52" si="38">3243969/173</f>
        <v>18751.265895953758</v>
      </c>
      <c r="P43" s="31">
        <f t="shared" ref="P43:P52" si="39">O43*N43</f>
        <v>7031724.7109826598</v>
      </c>
      <c r="Q43" s="17">
        <f t="shared" si="24"/>
        <v>461.38493936393314</v>
      </c>
      <c r="R43" s="14">
        <v>359</v>
      </c>
      <c r="S43" s="18">
        <f t="shared" ref="S43:S52" si="40">3243969/173</f>
        <v>18751.265895953758</v>
      </c>
      <c r="T43" s="31">
        <f t="shared" ref="T43:T52" si="41">S43*R43</f>
        <v>6731704.4566473989</v>
      </c>
      <c r="U43" s="17">
        <f t="shared" si="25"/>
        <v>441.69918195107192</v>
      </c>
      <c r="V43" s="14">
        <v>375.5</v>
      </c>
      <c r="W43" s="18">
        <f t="shared" ref="W43:W52" si="42">3243969/173</f>
        <v>18751.265895953758</v>
      </c>
      <c r="X43" s="31">
        <f t="shared" ref="X43:X52" si="43">W43*V43</f>
        <v>7041100.3439306365</v>
      </c>
      <c r="Y43" s="17">
        <f t="shared" si="26"/>
        <v>462.00011928308504</v>
      </c>
      <c r="Z43" s="32">
        <v>353.5</v>
      </c>
      <c r="AA43" s="18">
        <f t="shared" ref="AA43:AA52" si="44">3243969/173</f>
        <v>18751.265895953758</v>
      </c>
      <c r="AB43" s="31">
        <f t="shared" ref="AB43:AB52" si="45">AA43*Z43</f>
        <v>6628572.4942196533</v>
      </c>
      <c r="AC43" s="17">
        <f t="shared" si="27"/>
        <v>434.93220284040092</v>
      </c>
      <c r="AD43" s="33">
        <v>386</v>
      </c>
      <c r="AE43" s="18">
        <v>19458.87</v>
      </c>
      <c r="AF43" s="31">
        <f t="shared" ref="AF43:AF52" si="46">AE43*AD43</f>
        <v>7511123.8199999994</v>
      </c>
      <c r="AG43" s="17">
        <f t="shared" si="28"/>
        <v>492.84059753263557</v>
      </c>
      <c r="AH43" s="32">
        <v>380.5</v>
      </c>
      <c r="AI43" s="18">
        <v>19458.87</v>
      </c>
      <c r="AJ43" s="31">
        <f t="shared" ref="AJ43:AJ52" si="47">AI43*AH43</f>
        <v>7404100.0349999992</v>
      </c>
      <c r="AK43" s="17">
        <f t="shared" si="29"/>
        <v>485.8182574123519</v>
      </c>
      <c r="AL43" s="14">
        <v>349</v>
      </c>
      <c r="AM43" s="18">
        <v>19458.87</v>
      </c>
      <c r="AN43" s="31">
        <f t="shared" ref="AN43:AN52" si="48">AM43*AL43</f>
        <v>6791145.6299999999</v>
      </c>
      <c r="AO43" s="17">
        <f t="shared" si="30"/>
        <v>445.59940035981822</v>
      </c>
      <c r="AP43" s="14">
        <v>375</v>
      </c>
      <c r="AQ43" s="18">
        <v>19458.87</v>
      </c>
      <c r="AR43" s="31">
        <f t="shared" ref="AR43:AR52" si="49">AQ43*AP43</f>
        <v>7297076.25</v>
      </c>
      <c r="AS43" s="17">
        <f t="shared" si="31"/>
        <v>478.79591729206828</v>
      </c>
      <c r="AT43" s="32">
        <v>397.5</v>
      </c>
      <c r="AU43" s="18">
        <v>19458.87</v>
      </c>
      <c r="AV43" s="31">
        <f t="shared" ref="AV43:AV52" si="50">AU43*AT43</f>
        <v>7734900.8249999993</v>
      </c>
      <c r="AW43" s="17">
        <f t="shared" si="32"/>
        <v>507.52367232959233</v>
      </c>
      <c r="AX43" s="32">
        <v>386</v>
      </c>
      <c r="AY43" s="18">
        <v>19458.87</v>
      </c>
      <c r="AZ43" s="31">
        <f t="shared" ref="AZ43:AZ52" si="51">AY43*AX43</f>
        <v>7511123.8199999994</v>
      </c>
      <c r="BA43" s="17">
        <f t="shared" si="33"/>
        <v>492.84059753263557</v>
      </c>
      <c r="BB43" s="20">
        <f t="shared" ref="BB43:BB70" si="52">F43+J43+N43+R43+V43+Z43+AD43+AH43+AL43+AP43+AT43+AX43</f>
        <v>4487.5</v>
      </c>
      <c r="BC43" s="20">
        <f t="shared" ref="BC43:BC69" si="53">I43+M43+Q43+U43+Y43+AC43+AG43+AK43+AO43+AS43+AW43+BA43</f>
        <v>5626.8199445446107</v>
      </c>
      <c r="BD43" s="34"/>
    </row>
    <row r="44" spans="1:56">
      <c r="A44" s="14" t="s">
        <v>13</v>
      </c>
      <c r="B44" s="14" t="s">
        <v>19</v>
      </c>
      <c r="C44" s="14" t="s">
        <v>15</v>
      </c>
      <c r="D44" s="14" t="s">
        <v>20</v>
      </c>
      <c r="E44" s="75"/>
      <c r="F44" s="14">
        <v>359</v>
      </c>
      <c r="G44" s="18">
        <f t="shared" si="34"/>
        <v>18751.265895953758</v>
      </c>
      <c r="H44" s="31">
        <f t="shared" si="35"/>
        <v>6731704.4566473989</v>
      </c>
      <c r="I44" s="17">
        <f t="shared" si="22"/>
        <v>441.69918195107192</v>
      </c>
      <c r="J44" s="14">
        <v>391.5</v>
      </c>
      <c r="K44" s="18">
        <f t="shared" si="36"/>
        <v>18751.265895953758</v>
      </c>
      <c r="L44" s="31">
        <f t="shared" si="37"/>
        <v>7341120.5982658966</v>
      </c>
      <c r="M44" s="17">
        <f t="shared" si="23"/>
        <v>481.68587669594615</v>
      </c>
      <c r="N44" s="14">
        <v>375</v>
      </c>
      <c r="O44" s="18">
        <f t="shared" si="38"/>
        <v>18751.265895953758</v>
      </c>
      <c r="P44" s="31">
        <f t="shared" si="39"/>
        <v>7031724.7109826598</v>
      </c>
      <c r="Q44" s="17">
        <f t="shared" si="24"/>
        <v>461.38493936393314</v>
      </c>
      <c r="R44" s="14">
        <v>359</v>
      </c>
      <c r="S44" s="18">
        <f t="shared" si="40"/>
        <v>18751.265895953758</v>
      </c>
      <c r="T44" s="31">
        <f t="shared" si="41"/>
        <v>6731704.4566473989</v>
      </c>
      <c r="U44" s="17">
        <f t="shared" si="25"/>
        <v>441.69918195107192</v>
      </c>
      <c r="V44" s="14">
        <v>375.5</v>
      </c>
      <c r="W44" s="18">
        <f t="shared" si="42"/>
        <v>18751.265895953758</v>
      </c>
      <c r="X44" s="31">
        <f t="shared" si="43"/>
        <v>7041100.3439306365</v>
      </c>
      <c r="Y44" s="17">
        <f t="shared" si="26"/>
        <v>462.00011928308504</v>
      </c>
      <c r="Z44" s="32">
        <v>353.5</v>
      </c>
      <c r="AA44" s="18">
        <f t="shared" si="44"/>
        <v>18751.265895953758</v>
      </c>
      <c r="AB44" s="31">
        <f t="shared" si="45"/>
        <v>6628572.4942196533</v>
      </c>
      <c r="AC44" s="17">
        <f t="shared" si="27"/>
        <v>434.93220284040092</v>
      </c>
      <c r="AD44" s="33">
        <v>386</v>
      </c>
      <c r="AE44" s="18">
        <v>19458.87</v>
      </c>
      <c r="AF44" s="31">
        <f t="shared" si="46"/>
        <v>7511123.8199999994</v>
      </c>
      <c r="AG44" s="17">
        <f t="shared" si="28"/>
        <v>492.84059753263557</v>
      </c>
      <c r="AH44" s="32">
        <v>380.5</v>
      </c>
      <c r="AI44" s="18">
        <v>19458.87</v>
      </c>
      <c r="AJ44" s="31">
        <f t="shared" si="47"/>
        <v>7404100.0349999992</v>
      </c>
      <c r="AK44" s="17">
        <f t="shared" si="29"/>
        <v>485.8182574123519</v>
      </c>
      <c r="AL44" s="14">
        <v>349</v>
      </c>
      <c r="AM44" s="18">
        <v>19458.87</v>
      </c>
      <c r="AN44" s="31">
        <f t="shared" si="48"/>
        <v>6791145.6299999999</v>
      </c>
      <c r="AO44" s="17">
        <f t="shared" si="30"/>
        <v>445.59940035981822</v>
      </c>
      <c r="AP44" s="14">
        <v>375</v>
      </c>
      <c r="AQ44" s="18">
        <v>19458.87</v>
      </c>
      <c r="AR44" s="31">
        <f t="shared" si="49"/>
        <v>7297076.25</v>
      </c>
      <c r="AS44" s="17">
        <f t="shared" si="31"/>
        <v>478.79591729206828</v>
      </c>
      <c r="AT44" s="32">
        <v>397.5</v>
      </c>
      <c r="AU44" s="18">
        <v>19458.87</v>
      </c>
      <c r="AV44" s="31">
        <f t="shared" si="50"/>
        <v>7734900.8249999993</v>
      </c>
      <c r="AW44" s="17">
        <f t="shared" si="32"/>
        <v>507.52367232959233</v>
      </c>
      <c r="AX44" s="32">
        <v>386</v>
      </c>
      <c r="AY44" s="18">
        <v>19458.87</v>
      </c>
      <c r="AZ44" s="31">
        <f t="shared" si="51"/>
        <v>7511123.8199999994</v>
      </c>
      <c r="BA44" s="17">
        <f t="shared" si="33"/>
        <v>492.84059753263557</v>
      </c>
      <c r="BB44" s="20">
        <f t="shared" si="52"/>
        <v>4487.5</v>
      </c>
      <c r="BC44" s="20">
        <f t="shared" si="53"/>
        <v>5626.8199445446107</v>
      </c>
      <c r="BD44" s="34"/>
    </row>
    <row r="45" spans="1:56">
      <c r="A45" s="14" t="s">
        <v>13</v>
      </c>
      <c r="B45" s="14" t="s">
        <v>21</v>
      </c>
      <c r="C45" s="14" t="s">
        <v>15</v>
      </c>
      <c r="D45" s="14" t="s">
        <v>22</v>
      </c>
      <c r="E45" s="75"/>
      <c r="F45" s="14">
        <v>359</v>
      </c>
      <c r="G45" s="18">
        <f t="shared" si="34"/>
        <v>18751.265895953758</v>
      </c>
      <c r="H45" s="31">
        <f t="shared" si="35"/>
        <v>6731704.4566473989</v>
      </c>
      <c r="I45" s="17">
        <f t="shared" si="22"/>
        <v>441.69918195107192</v>
      </c>
      <c r="J45" s="14">
        <v>391.5</v>
      </c>
      <c r="K45" s="18">
        <f t="shared" si="36"/>
        <v>18751.265895953758</v>
      </c>
      <c r="L45" s="31">
        <f t="shared" si="37"/>
        <v>7341120.5982658966</v>
      </c>
      <c r="M45" s="17">
        <f t="shared" si="23"/>
        <v>481.68587669594615</v>
      </c>
      <c r="N45" s="14">
        <v>375</v>
      </c>
      <c r="O45" s="18">
        <f t="shared" si="38"/>
        <v>18751.265895953758</v>
      </c>
      <c r="P45" s="31">
        <f t="shared" si="39"/>
        <v>7031724.7109826598</v>
      </c>
      <c r="Q45" s="17">
        <f t="shared" si="24"/>
        <v>461.38493936393314</v>
      </c>
      <c r="R45" s="14">
        <v>359</v>
      </c>
      <c r="S45" s="18">
        <f t="shared" si="40"/>
        <v>18751.265895953758</v>
      </c>
      <c r="T45" s="31">
        <f t="shared" si="41"/>
        <v>6731704.4566473989</v>
      </c>
      <c r="U45" s="17">
        <f t="shared" si="25"/>
        <v>441.69918195107192</v>
      </c>
      <c r="V45" s="14">
        <v>375.5</v>
      </c>
      <c r="W45" s="18">
        <f t="shared" si="42"/>
        <v>18751.265895953758</v>
      </c>
      <c r="X45" s="31">
        <f t="shared" si="43"/>
        <v>7041100.3439306365</v>
      </c>
      <c r="Y45" s="17">
        <f t="shared" si="26"/>
        <v>462.00011928308504</v>
      </c>
      <c r="Z45" s="32">
        <v>353.5</v>
      </c>
      <c r="AA45" s="18">
        <f t="shared" si="44"/>
        <v>18751.265895953758</v>
      </c>
      <c r="AB45" s="31">
        <f t="shared" si="45"/>
        <v>6628572.4942196533</v>
      </c>
      <c r="AC45" s="17">
        <f t="shared" si="27"/>
        <v>434.93220284040092</v>
      </c>
      <c r="AD45" s="33">
        <v>386</v>
      </c>
      <c r="AE45" s="18">
        <v>19458.87</v>
      </c>
      <c r="AF45" s="31">
        <f t="shared" si="46"/>
        <v>7511123.8199999994</v>
      </c>
      <c r="AG45" s="17">
        <f t="shared" si="28"/>
        <v>492.84059753263557</v>
      </c>
      <c r="AH45" s="32">
        <v>380.5</v>
      </c>
      <c r="AI45" s="18">
        <v>19458.87</v>
      </c>
      <c r="AJ45" s="31">
        <f t="shared" si="47"/>
        <v>7404100.0349999992</v>
      </c>
      <c r="AK45" s="17">
        <f t="shared" si="29"/>
        <v>485.8182574123519</v>
      </c>
      <c r="AL45" s="14">
        <v>349</v>
      </c>
      <c r="AM45" s="18">
        <v>19458.87</v>
      </c>
      <c r="AN45" s="31">
        <f t="shared" si="48"/>
        <v>6791145.6299999999</v>
      </c>
      <c r="AO45" s="17">
        <f t="shared" si="30"/>
        <v>445.59940035981822</v>
      </c>
      <c r="AP45" s="14">
        <v>375</v>
      </c>
      <c r="AQ45" s="18">
        <v>19458.87</v>
      </c>
      <c r="AR45" s="31">
        <f t="shared" si="49"/>
        <v>7297076.25</v>
      </c>
      <c r="AS45" s="17">
        <f t="shared" si="31"/>
        <v>478.79591729206828</v>
      </c>
      <c r="AT45" s="32">
        <v>397.5</v>
      </c>
      <c r="AU45" s="18">
        <v>19458.87</v>
      </c>
      <c r="AV45" s="31">
        <f t="shared" si="50"/>
        <v>7734900.8249999993</v>
      </c>
      <c r="AW45" s="17">
        <f t="shared" si="32"/>
        <v>507.52367232959233</v>
      </c>
      <c r="AX45" s="32">
        <v>386</v>
      </c>
      <c r="AY45" s="18">
        <v>19458.87</v>
      </c>
      <c r="AZ45" s="31">
        <f t="shared" si="51"/>
        <v>7511123.8199999994</v>
      </c>
      <c r="BA45" s="17">
        <f t="shared" si="33"/>
        <v>492.84059753263557</v>
      </c>
      <c r="BB45" s="20">
        <f t="shared" si="52"/>
        <v>4487.5</v>
      </c>
      <c r="BC45" s="20">
        <f t="shared" si="53"/>
        <v>5626.8199445446107</v>
      </c>
      <c r="BD45" s="34"/>
    </row>
    <row r="46" spans="1:56">
      <c r="A46" s="14" t="s">
        <v>13</v>
      </c>
      <c r="B46" s="14" t="s">
        <v>23</v>
      </c>
      <c r="C46" s="14" t="s">
        <v>15</v>
      </c>
      <c r="D46" s="14" t="s">
        <v>24</v>
      </c>
      <c r="E46" s="75"/>
      <c r="F46" s="14">
        <v>359</v>
      </c>
      <c r="G46" s="18">
        <f t="shared" si="34"/>
        <v>18751.265895953758</v>
      </c>
      <c r="H46" s="31">
        <f t="shared" si="35"/>
        <v>6731704.4566473989</v>
      </c>
      <c r="I46" s="17">
        <f t="shared" si="22"/>
        <v>441.69918195107192</v>
      </c>
      <c r="J46" s="14">
        <v>676.5</v>
      </c>
      <c r="K46" s="18">
        <f t="shared" si="36"/>
        <v>18751.265895953758</v>
      </c>
      <c r="L46" s="31">
        <f t="shared" si="37"/>
        <v>12685231.378612718</v>
      </c>
      <c r="M46" s="17">
        <f t="shared" si="23"/>
        <v>832.33843061253526</v>
      </c>
      <c r="N46" s="14">
        <v>375</v>
      </c>
      <c r="O46" s="18">
        <f t="shared" si="38"/>
        <v>18751.265895953758</v>
      </c>
      <c r="P46" s="31">
        <f t="shared" si="39"/>
        <v>7031724.7109826598</v>
      </c>
      <c r="Q46" s="17">
        <f t="shared" si="24"/>
        <v>461.38493936393314</v>
      </c>
      <c r="R46" s="14">
        <v>359</v>
      </c>
      <c r="S46" s="18">
        <f t="shared" si="40"/>
        <v>18751.265895953758</v>
      </c>
      <c r="T46" s="31">
        <f t="shared" si="41"/>
        <v>6731704.4566473989</v>
      </c>
      <c r="U46" s="17">
        <f t="shared" si="25"/>
        <v>441.69918195107192</v>
      </c>
      <c r="V46" s="14">
        <v>489.5</v>
      </c>
      <c r="W46" s="18">
        <f t="shared" si="42"/>
        <v>18751.265895953758</v>
      </c>
      <c r="X46" s="31">
        <f t="shared" si="43"/>
        <v>9178744.6560693644</v>
      </c>
      <c r="Y46" s="17">
        <f t="shared" si="26"/>
        <v>602.26114084972062</v>
      </c>
      <c r="Z46" s="32">
        <v>491.5</v>
      </c>
      <c r="AA46" s="18">
        <f t="shared" si="44"/>
        <v>18751.265895953758</v>
      </c>
      <c r="AB46" s="31">
        <f t="shared" si="45"/>
        <v>9216247.1878612731</v>
      </c>
      <c r="AC46" s="17">
        <f t="shared" si="27"/>
        <v>604.72186052632833</v>
      </c>
      <c r="AD46" s="33">
        <v>506</v>
      </c>
      <c r="AE46" s="18">
        <v>19458.87</v>
      </c>
      <c r="AF46" s="31">
        <f t="shared" si="46"/>
        <v>9846188.2199999988</v>
      </c>
      <c r="AG46" s="17">
        <f t="shared" si="28"/>
        <v>646.05529106609742</v>
      </c>
      <c r="AH46" s="32">
        <v>506.5</v>
      </c>
      <c r="AI46" s="18">
        <v>19458.87</v>
      </c>
      <c r="AJ46" s="31">
        <f t="shared" si="47"/>
        <v>9855917.6549999993</v>
      </c>
      <c r="AK46" s="17">
        <f t="shared" si="29"/>
        <v>646.6936856224869</v>
      </c>
      <c r="AL46" s="14">
        <v>457</v>
      </c>
      <c r="AM46" s="18">
        <v>19458.87</v>
      </c>
      <c r="AN46" s="31">
        <f t="shared" si="48"/>
        <v>8892703.5899999999</v>
      </c>
      <c r="AO46" s="17">
        <f t="shared" si="30"/>
        <v>583.4926245399339</v>
      </c>
      <c r="AP46" s="14">
        <v>507</v>
      </c>
      <c r="AQ46" s="18">
        <v>19458.87</v>
      </c>
      <c r="AR46" s="31">
        <f t="shared" si="49"/>
        <v>9865647.0899999999</v>
      </c>
      <c r="AS46" s="17">
        <f t="shared" si="31"/>
        <v>647.33208017887637</v>
      </c>
      <c r="AT46" s="32">
        <v>487.5</v>
      </c>
      <c r="AU46" s="18">
        <v>19458.87</v>
      </c>
      <c r="AV46" s="31">
        <f t="shared" si="50"/>
        <v>9486199.125</v>
      </c>
      <c r="AW46" s="17">
        <f t="shared" si="32"/>
        <v>622.43469247968881</v>
      </c>
      <c r="AX46" s="32">
        <v>506</v>
      </c>
      <c r="AY46" s="18">
        <v>19458.87</v>
      </c>
      <c r="AZ46" s="31">
        <f t="shared" si="51"/>
        <v>9846188.2199999988</v>
      </c>
      <c r="BA46" s="17">
        <f t="shared" si="33"/>
        <v>646.05529106609742</v>
      </c>
      <c r="BB46" s="20">
        <f t="shared" si="52"/>
        <v>5720.5</v>
      </c>
      <c r="BC46" s="20">
        <f t="shared" si="53"/>
        <v>7176.1684002078409</v>
      </c>
      <c r="BD46" s="34"/>
    </row>
    <row r="47" spans="1:56">
      <c r="A47" s="14" t="s">
        <v>13</v>
      </c>
      <c r="B47" s="14" t="s">
        <v>25</v>
      </c>
      <c r="C47" s="14" t="s">
        <v>15</v>
      </c>
      <c r="D47" s="14" t="s">
        <v>26</v>
      </c>
      <c r="E47" s="75"/>
      <c r="F47" s="14">
        <v>359</v>
      </c>
      <c r="G47" s="18">
        <f t="shared" si="34"/>
        <v>18751.265895953758</v>
      </c>
      <c r="H47" s="31">
        <f t="shared" si="35"/>
        <v>6731704.4566473989</v>
      </c>
      <c r="I47" s="17">
        <f t="shared" si="22"/>
        <v>441.69918195107192</v>
      </c>
      <c r="J47" s="14">
        <v>391.5</v>
      </c>
      <c r="K47" s="18">
        <f t="shared" si="36"/>
        <v>18751.265895953758</v>
      </c>
      <c r="L47" s="31">
        <f t="shared" si="37"/>
        <v>7341120.5982658966</v>
      </c>
      <c r="M47" s="17">
        <f t="shared" si="23"/>
        <v>481.68587669594615</v>
      </c>
      <c r="N47" s="14">
        <v>375</v>
      </c>
      <c r="O47" s="18">
        <f t="shared" si="38"/>
        <v>18751.265895953758</v>
      </c>
      <c r="P47" s="31">
        <f t="shared" si="39"/>
        <v>7031724.7109826598</v>
      </c>
      <c r="Q47" s="17">
        <f t="shared" si="24"/>
        <v>461.38493936393314</v>
      </c>
      <c r="R47" s="14">
        <v>359</v>
      </c>
      <c r="S47" s="18">
        <f t="shared" si="40"/>
        <v>18751.265895953758</v>
      </c>
      <c r="T47" s="31">
        <f t="shared" si="41"/>
        <v>6731704.4566473989</v>
      </c>
      <c r="U47" s="17">
        <f t="shared" si="25"/>
        <v>441.69918195107192</v>
      </c>
      <c r="V47" s="14">
        <v>375.5</v>
      </c>
      <c r="W47" s="18">
        <f t="shared" si="42"/>
        <v>18751.265895953758</v>
      </c>
      <c r="X47" s="31">
        <f t="shared" si="43"/>
        <v>7041100.3439306365</v>
      </c>
      <c r="Y47" s="17">
        <f t="shared" si="26"/>
        <v>462.00011928308504</v>
      </c>
      <c r="Z47" s="32">
        <v>353.5</v>
      </c>
      <c r="AA47" s="18">
        <f t="shared" si="44"/>
        <v>18751.265895953758</v>
      </c>
      <c r="AB47" s="31">
        <f t="shared" si="45"/>
        <v>6628572.4942196533</v>
      </c>
      <c r="AC47" s="17">
        <f t="shared" si="27"/>
        <v>434.93220284040092</v>
      </c>
      <c r="AD47" s="33">
        <v>386</v>
      </c>
      <c r="AE47" s="18">
        <v>19458.87</v>
      </c>
      <c r="AF47" s="31">
        <f t="shared" si="46"/>
        <v>7511123.8199999994</v>
      </c>
      <c r="AG47" s="17">
        <f t="shared" si="28"/>
        <v>492.84059753263557</v>
      </c>
      <c r="AH47" s="32">
        <v>380.5</v>
      </c>
      <c r="AI47" s="18">
        <v>19458.87</v>
      </c>
      <c r="AJ47" s="31">
        <f t="shared" si="47"/>
        <v>7404100.0349999992</v>
      </c>
      <c r="AK47" s="17">
        <f t="shared" si="29"/>
        <v>485.8182574123519</v>
      </c>
      <c r="AL47" s="14">
        <v>349</v>
      </c>
      <c r="AM47" s="18">
        <v>19458.87</v>
      </c>
      <c r="AN47" s="31">
        <f t="shared" si="48"/>
        <v>6791145.6299999999</v>
      </c>
      <c r="AO47" s="17">
        <f t="shared" si="30"/>
        <v>445.59940035981822</v>
      </c>
      <c r="AP47" s="14">
        <v>375</v>
      </c>
      <c r="AQ47" s="18">
        <v>19458.87</v>
      </c>
      <c r="AR47" s="31">
        <f t="shared" si="49"/>
        <v>7297076.25</v>
      </c>
      <c r="AS47" s="17">
        <f t="shared" si="31"/>
        <v>478.79591729206828</v>
      </c>
      <c r="AT47" s="32">
        <v>397.5</v>
      </c>
      <c r="AU47" s="18">
        <v>19458.87</v>
      </c>
      <c r="AV47" s="31">
        <f t="shared" si="50"/>
        <v>7734900.8249999993</v>
      </c>
      <c r="AW47" s="17">
        <f t="shared" si="32"/>
        <v>507.52367232959233</v>
      </c>
      <c r="AX47" s="32">
        <v>386</v>
      </c>
      <c r="AY47" s="18">
        <v>19458.87</v>
      </c>
      <c r="AZ47" s="31">
        <f t="shared" si="51"/>
        <v>7511123.8199999994</v>
      </c>
      <c r="BA47" s="17">
        <f t="shared" si="33"/>
        <v>492.84059753263557</v>
      </c>
      <c r="BB47" s="20">
        <f t="shared" si="52"/>
        <v>4487.5</v>
      </c>
      <c r="BC47" s="20">
        <f t="shared" si="53"/>
        <v>5626.8199445446107</v>
      </c>
      <c r="BD47" s="34"/>
    </row>
    <row r="48" spans="1:56">
      <c r="A48" s="14" t="s">
        <v>13</v>
      </c>
      <c r="B48" s="14" t="s">
        <v>27</v>
      </c>
      <c r="C48" s="14" t="s">
        <v>15</v>
      </c>
      <c r="D48" s="14" t="s">
        <v>28</v>
      </c>
      <c r="E48" s="75"/>
      <c r="F48" s="14">
        <v>359</v>
      </c>
      <c r="G48" s="18">
        <f t="shared" si="34"/>
        <v>18751.265895953758</v>
      </c>
      <c r="H48" s="31">
        <f t="shared" si="35"/>
        <v>6731704.4566473989</v>
      </c>
      <c r="I48" s="17">
        <f t="shared" si="22"/>
        <v>441.69918195107192</v>
      </c>
      <c r="J48" s="14">
        <v>391.5</v>
      </c>
      <c r="K48" s="18">
        <f t="shared" si="36"/>
        <v>18751.265895953758</v>
      </c>
      <c r="L48" s="31">
        <f t="shared" si="37"/>
        <v>7341120.5982658966</v>
      </c>
      <c r="M48" s="17">
        <f t="shared" si="23"/>
        <v>481.68587669594615</v>
      </c>
      <c r="N48" s="14">
        <v>375</v>
      </c>
      <c r="O48" s="18">
        <f t="shared" si="38"/>
        <v>18751.265895953758</v>
      </c>
      <c r="P48" s="31">
        <f t="shared" si="39"/>
        <v>7031724.7109826598</v>
      </c>
      <c r="Q48" s="17">
        <f t="shared" si="24"/>
        <v>461.38493936393314</v>
      </c>
      <c r="R48" s="14">
        <v>359</v>
      </c>
      <c r="S48" s="18">
        <f t="shared" si="40"/>
        <v>18751.265895953758</v>
      </c>
      <c r="T48" s="31">
        <f t="shared" si="41"/>
        <v>6731704.4566473989</v>
      </c>
      <c r="U48" s="17">
        <f t="shared" si="25"/>
        <v>441.69918195107192</v>
      </c>
      <c r="V48" s="14">
        <v>375.5</v>
      </c>
      <c r="W48" s="18">
        <f t="shared" si="42"/>
        <v>18751.265895953758</v>
      </c>
      <c r="X48" s="31">
        <f t="shared" si="43"/>
        <v>7041100.3439306365</v>
      </c>
      <c r="Y48" s="17">
        <f t="shared" si="26"/>
        <v>462.00011928308504</v>
      </c>
      <c r="Z48" s="32">
        <v>353.5</v>
      </c>
      <c r="AA48" s="18">
        <f t="shared" si="44"/>
        <v>18751.265895953758</v>
      </c>
      <c r="AB48" s="31">
        <f t="shared" si="45"/>
        <v>6628572.4942196533</v>
      </c>
      <c r="AC48" s="17">
        <f t="shared" si="27"/>
        <v>434.93220284040092</v>
      </c>
      <c r="AD48" s="33">
        <v>386</v>
      </c>
      <c r="AE48" s="18">
        <v>19458.87</v>
      </c>
      <c r="AF48" s="31">
        <f t="shared" si="46"/>
        <v>7511123.8199999994</v>
      </c>
      <c r="AG48" s="17">
        <f t="shared" si="28"/>
        <v>492.84059753263557</v>
      </c>
      <c r="AH48" s="32">
        <v>380.5</v>
      </c>
      <c r="AI48" s="18">
        <v>19458.87</v>
      </c>
      <c r="AJ48" s="31">
        <f t="shared" si="47"/>
        <v>7404100.0349999992</v>
      </c>
      <c r="AK48" s="17">
        <f t="shared" si="29"/>
        <v>485.8182574123519</v>
      </c>
      <c r="AL48" s="14">
        <v>349</v>
      </c>
      <c r="AM48" s="18">
        <v>19458.87</v>
      </c>
      <c r="AN48" s="31">
        <f t="shared" si="48"/>
        <v>6791145.6299999999</v>
      </c>
      <c r="AO48" s="17">
        <f t="shared" si="30"/>
        <v>445.59940035981822</v>
      </c>
      <c r="AP48" s="14">
        <v>375</v>
      </c>
      <c r="AQ48" s="18">
        <v>19458.87</v>
      </c>
      <c r="AR48" s="31">
        <f t="shared" si="49"/>
        <v>7297076.25</v>
      </c>
      <c r="AS48" s="17">
        <f t="shared" si="31"/>
        <v>478.79591729206828</v>
      </c>
      <c r="AT48" s="32">
        <v>397.5</v>
      </c>
      <c r="AU48" s="18">
        <v>19458.87</v>
      </c>
      <c r="AV48" s="31">
        <f t="shared" si="50"/>
        <v>7734900.8249999993</v>
      </c>
      <c r="AW48" s="17">
        <f t="shared" si="32"/>
        <v>507.52367232959233</v>
      </c>
      <c r="AX48" s="32">
        <v>386</v>
      </c>
      <c r="AY48" s="18">
        <v>19458.87</v>
      </c>
      <c r="AZ48" s="31">
        <f t="shared" si="51"/>
        <v>7511123.8199999994</v>
      </c>
      <c r="BA48" s="17">
        <f t="shared" si="33"/>
        <v>492.84059753263557</v>
      </c>
      <c r="BB48" s="20">
        <f t="shared" si="52"/>
        <v>4487.5</v>
      </c>
      <c r="BC48" s="20">
        <f t="shared" si="53"/>
        <v>5626.8199445446107</v>
      </c>
      <c r="BD48" s="34"/>
    </row>
    <row r="49" spans="1:56">
      <c r="A49" s="14" t="s">
        <v>13</v>
      </c>
      <c r="B49" s="14" t="s">
        <v>29</v>
      </c>
      <c r="C49" s="14" t="s">
        <v>15</v>
      </c>
      <c r="D49" s="14" t="s">
        <v>30</v>
      </c>
      <c r="F49" s="14">
        <v>359</v>
      </c>
      <c r="G49" s="18">
        <f t="shared" si="34"/>
        <v>18751.265895953758</v>
      </c>
      <c r="H49" s="31">
        <f t="shared" si="35"/>
        <v>6731704.4566473989</v>
      </c>
      <c r="I49" s="17">
        <f t="shared" si="22"/>
        <v>441.69918195107192</v>
      </c>
      <c r="J49" s="14">
        <v>391.5</v>
      </c>
      <c r="K49" s="18">
        <f t="shared" si="36"/>
        <v>18751.265895953758</v>
      </c>
      <c r="L49" s="31">
        <f t="shared" si="37"/>
        <v>7341120.5982658966</v>
      </c>
      <c r="M49" s="17">
        <f t="shared" si="23"/>
        <v>481.68587669594615</v>
      </c>
      <c r="N49" s="14">
        <v>375</v>
      </c>
      <c r="O49" s="18">
        <f t="shared" si="38"/>
        <v>18751.265895953758</v>
      </c>
      <c r="P49" s="31">
        <f t="shared" si="39"/>
        <v>7031724.7109826598</v>
      </c>
      <c r="Q49" s="17">
        <f t="shared" si="24"/>
        <v>461.38493936393314</v>
      </c>
      <c r="R49" s="14">
        <v>359</v>
      </c>
      <c r="S49" s="18">
        <f t="shared" si="40"/>
        <v>18751.265895953758</v>
      </c>
      <c r="T49" s="31">
        <f t="shared" si="41"/>
        <v>6731704.4566473989</v>
      </c>
      <c r="U49" s="17">
        <f t="shared" si="25"/>
        <v>441.69918195107192</v>
      </c>
      <c r="V49" s="14">
        <v>375.5</v>
      </c>
      <c r="W49" s="18">
        <f t="shared" si="42"/>
        <v>18751.265895953758</v>
      </c>
      <c r="X49" s="31">
        <f t="shared" si="43"/>
        <v>7041100.3439306365</v>
      </c>
      <c r="Y49" s="17">
        <f t="shared" si="26"/>
        <v>462.00011928308504</v>
      </c>
      <c r="Z49" s="32">
        <v>353.5</v>
      </c>
      <c r="AA49" s="18">
        <f t="shared" si="44"/>
        <v>18751.265895953758</v>
      </c>
      <c r="AB49" s="31">
        <f t="shared" si="45"/>
        <v>6628572.4942196533</v>
      </c>
      <c r="AC49" s="17">
        <f t="shared" si="27"/>
        <v>434.93220284040092</v>
      </c>
      <c r="AD49" s="33">
        <v>386</v>
      </c>
      <c r="AE49" s="18">
        <v>19458.87</v>
      </c>
      <c r="AF49" s="31">
        <f t="shared" si="46"/>
        <v>7511123.8199999994</v>
      </c>
      <c r="AG49" s="17">
        <f t="shared" si="28"/>
        <v>492.84059753263557</v>
      </c>
      <c r="AH49" s="32">
        <v>380.5</v>
      </c>
      <c r="AI49" s="18">
        <v>19458.87</v>
      </c>
      <c r="AJ49" s="31">
        <f t="shared" si="47"/>
        <v>7404100.0349999992</v>
      </c>
      <c r="AK49" s="17">
        <f t="shared" si="29"/>
        <v>485.8182574123519</v>
      </c>
      <c r="AL49" s="14">
        <v>349</v>
      </c>
      <c r="AM49" s="18">
        <v>19458.87</v>
      </c>
      <c r="AN49" s="31">
        <f t="shared" si="48"/>
        <v>6791145.6299999999</v>
      </c>
      <c r="AO49" s="17">
        <f t="shared" si="30"/>
        <v>445.59940035981822</v>
      </c>
      <c r="AP49" s="14">
        <v>375</v>
      </c>
      <c r="AQ49" s="18">
        <v>19458.87</v>
      </c>
      <c r="AR49" s="31">
        <f t="shared" si="49"/>
        <v>7297076.25</v>
      </c>
      <c r="AS49" s="17">
        <f t="shared" si="31"/>
        <v>478.79591729206828</v>
      </c>
      <c r="AT49" s="32">
        <v>397.5</v>
      </c>
      <c r="AU49" s="18">
        <v>19458.87</v>
      </c>
      <c r="AV49" s="31">
        <f t="shared" si="50"/>
        <v>7734900.8249999993</v>
      </c>
      <c r="AW49" s="17">
        <f t="shared" si="32"/>
        <v>507.52367232959233</v>
      </c>
      <c r="AX49" s="32">
        <v>386</v>
      </c>
      <c r="AY49" s="18">
        <v>19458.87</v>
      </c>
      <c r="AZ49" s="31">
        <f t="shared" si="51"/>
        <v>7511123.8199999994</v>
      </c>
      <c r="BA49" s="17">
        <f t="shared" si="33"/>
        <v>492.84059753263557</v>
      </c>
      <c r="BB49" s="20">
        <f t="shared" si="52"/>
        <v>4487.5</v>
      </c>
      <c r="BC49" s="20">
        <f t="shared" si="53"/>
        <v>5626.8199445446107</v>
      </c>
      <c r="BD49" s="34"/>
    </row>
    <row r="50" spans="1:56">
      <c r="A50" s="14" t="s">
        <v>13</v>
      </c>
      <c r="B50" s="14" t="s">
        <v>31</v>
      </c>
      <c r="C50" s="14" t="s">
        <v>15</v>
      </c>
      <c r="D50" s="14" t="s">
        <v>32</v>
      </c>
      <c r="E50" s="75"/>
      <c r="F50" s="14">
        <v>200</v>
      </c>
      <c r="G50" s="18">
        <f t="shared" si="34"/>
        <v>18751.265895953758</v>
      </c>
      <c r="H50" s="31">
        <f t="shared" si="35"/>
        <v>3750253.1791907516</v>
      </c>
      <c r="I50" s="17">
        <f t="shared" si="22"/>
        <v>246.0719676607643</v>
      </c>
      <c r="J50" s="14">
        <v>200</v>
      </c>
      <c r="K50" s="18">
        <f t="shared" si="36"/>
        <v>18751.265895953758</v>
      </c>
      <c r="L50" s="31">
        <f t="shared" si="37"/>
        <v>3750253.1791907516</v>
      </c>
      <c r="M50" s="17">
        <f t="shared" si="23"/>
        <v>246.0719676607643</v>
      </c>
      <c r="N50" s="14">
        <v>200</v>
      </c>
      <c r="O50" s="18">
        <f t="shared" si="38"/>
        <v>18751.265895953758</v>
      </c>
      <c r="P50" s="31">
        <f t="shared" si="39"/>
        <v>3750253.1791907516</v>
      </c>
      <c r="Q50" s="17">
        <f t="shared" si="24"/>
        <v>246.0719676607643</v>
      </c>
      <c r="R50" s="14">
        <v>200</v>
      </c>
      <c r="S50" s="18">
        <f t="shared" si="40"/>
        <v>18751.265895953758</v>
      </c>
      <c r="T50" s="31">
        <f t="shared" si="41"/>
        <v>3750253.1791907516</v>
      </c>
      <c r="U50" s="17">
        <f t="shared" si="25"/>
        <v>246.0719676607643</v>
      </c>
      <c r="V50" s="14">
        <v>200</v>
      </c>
      <c r="W50" s="18">
        <f t="shared" si="42"/>
        <v>18751.265895953758</v>
      </c>
      <c r="X50" s="31">
        <f t="shared" si="43"/>
        <v>3750253.1791907516</v>
      </c>
      <c r="Y50" s="17">
        <f t="shared" si="26"/>
        <v>246.0719676607643</v>
      </c>
      <c r="Z50" s="14">
        <v>200</v>
      </c>
      <c r="AA50" s="18">
        <f t="shared" si="44"/>
        <v>18751.265895953758</v>
      </c>
      <c r="AB50" s="31">
        <f t="shared" si="45"/>
        <v>3750253.1791907516</v>
      </c>
      <c r="AC50" s="17">
        <f t="shared" si="27"/>
        <v>246.0719676607643</v>
      </c>
      <c r="AD50" s="32">
        <v>240</v>
      </c>
      <c r="AE50" s="18">
        <v>19458.87</v>
      </c>
      <c r="AF50" s="31">
        <f t="shared" si="46"/>
        <v>4670128.8</v>
      </c>
      <c r="AG50" s="17">
        <f t="shared" si="28"/>
        <v>306.42938706692371</v>
      </c>
      <c r="AH50" s="32">
        <v>210</v>
      </c>
      <c r="AI50" s="18">
        <v>19458.87</v>
      </c>
      <c r="AJ50" s="31">
        <f t="shared" si="47"/>
        <v>4086362.6999999997</v>
      </c>
      <c r="AK50" s="17">
        <f t="shared" si="29"/>
        <v>268.12571368355822</v>
      </c>
      <c r="AL50" s="32">
        <v>210</v>
      </c>
      <c r="AM50" s="18">
        <v>19458.87</v>
      </c>
      <c r="AN50" s="31">
        <f t="shared" si="48"/>
        <v>4086362.6999999997</v>
      </c>
      <c r="AO50" s="17">
        <f t="shared" si="30"/>
        <v>268.12571368355822</v>
      </c>
      <c r="AP50" s="32">
        <v>210</v>
      </c>
      <c r="AQ50" s="18">
        <v>19458.87</v>
      </c>
      <c r="AR50" s="31">
        <f t="shared" si="49"/>
        <v>4086362.6999999997</v>
      </c>
      <c r="AS50" s="17">
        <f t="shared" si="31"/>
        <v>268.12571368355822</v>
      </c>
      <c r="AT50" s="32">
        <v>240</v>
      </c>
      <c r="AU50" s="18">
        <v>19458.87</v>
      </c>
      <c r="AV50" s="31">
        <f t="shared" si="50"/>
        <v>4670128.8</v>
      </c>
      <c r="AW50" s="17">
        <f t="shared" si="32"/>
        <v>306.42938706692371</v>
      </c>
      <c r="AX50" s="32">
        <v>240</v>
      </c>
      <c r="AY50" s="18">
        <v>19458.87</v>
      </c>
      <c r="AZ50" s="31">
        <f t="shared" si="51"/>
        <v>4670128.8</v>
      </c>
      <c r="BA50" s="17">
        <f t="shared" si="33"/>
        <v>306.42938706692371</v>
      </c>
      <c r="BB50" s="20">
        <f t="shared" si="52"/>
        <v>2550</v>
      </c>
      <c r="BC50" s="20">
        <f t="shared" si="53"/>
        <v>3200.0971082160322</v>
      </c>
      <c r="BD50" s="34"/>
    </row>
    <row r="51" spans="1:56">
      <c r="A51" s="14" t="s">
        <v>13</v>
      </c>
      <c r="B51" s="14" t="s">
        <v>33</v>
      </c>
      <c r="C51" s="14" t="s">
        <v>15</v>
      </c>
      <c r="D51" s="14" t="s">
        <v>34</v>
      </c>
      <c r="E51" s="75"/>
      <c r="F51" s="14">
        <v>200</v>
      </c>
      <c r="G51" s="18">
        <f t="shared" si="34"/>
        <v>18751.265895953758</v>
      </c>
      <c r="H51" s="31">
        <f t="shared" si="35"/>
        <v>3750253.1791907516</v>
      </c>
      <c r="I51" s="17">
        <f t="shared" si="22"/>
        <v>246.0719676607643</v>
      </c>
      <c r="J51" s="14">
        <v>200</v>
      </c>
      <c r="K51" s="18">
        <f t="shared" si="36"/>
        <v>18751.265895953758</v>
      </c>
      <c r="L51" s="31">
        <f t="shared" si="37"/>
        <v>3750253.1791907516</v>
      </c>
      <c r="M51" s="17">
        <f t="shared" si="23"/>
        <v>246.0719676607643</v>
      </c>
      <c r="N51" s="14">
        <v>200</v>
      </c>
      <c r="O51" s="18">
        <f t="shared" si="38"/>
        <v>18751.265895953758</v>
      </c>
      <c r="P51" s="31">
        <f t="shared" si="39"/>
        <v>3750253.1791907516</v>
      </c>
      <c r="Q51" s="17">
        <f t="shared" si="24"/>
        <v>246.0719676607643</v>
      </c>
      <c r="R51" s="14">
        <v>200</v>
      </c>
      <c r="S51" s="18">
        <f t="shared" si="40"/>
        <v>18751.265895953758</v>
      </c>
      <c r="T51" s="31">
        <f t="shared" si="41"/>
        <v>3750253.1791907516</v>
      </c>
      <c r="U51" s="17">
        <f t="shared" si="25"/>
        <v>246.0719676607643</v>
      </c>
      <c r="V51" s="14">
        <v>200</v>
      </c>
      <c r="W51" s="18">
        <f t="shared" si="42"/>
        <v>18751.265895953758</v>
      </c>
      <c r="X51" s="31">
        <f t="shared" si="43"/>
        <v>3750253.1791907516</v>
      </c>
      <c r="Y51" s="17">
        <f t="shared" si="26"/>
        <v>246.0719676607643</v>
      </c>
      <c r="Z51" s="14">
        <v>200</v>
      </c>
      <c r="AA51" s="18">
        <f t="shared" si="44"/>
        <v>18751.265895953758</v>
      </c>
      <c r="AB51" s="31">
        <f t="shared" si="45"/>
        <v>3750253.1791907516</v>
      </c>
      <c r="AC51" s="17">
        <f t="shared" si="27"/>
        <v>246.0719676607643</v>
      </c>
      <c r="AD51" s="32">
        <v>240</v>
      </c>
      <c r="AE51" s="18">
        <v>19458.87</v>
      </c>
      <c r="AF51" s="31">
        <f t="shared" si="46"/>
        <v>4670128.8</v>
      </c>
      <c r="AG51" s="17">
        <f t="shared" si="28"/>
        <v>306.42938706692371</v>
      </c>
      <c r="AH51" s="32">
        <v>210</v>
      </c>
      <c r="AI51" s="18">
        <v>19458.87</v>
      </c>
      <c r="AJ51" s="31">
        <f t="shared" si="47"/>
        <v>4086362.6999999997</v>
      </c>
      <c r="AK51" s="17">
        <f t="shared" si="29"/>
        <v>268.12571368355822</v>
      </c>
      <c r="AL51" s="32">
        <v>210</v>
      </c>
      <c r="AM51" s="18">
        <v>19458.87</v>
      </c>
      <c r="AN51" s="31">
        <f t="shared" si="48"/>
        <v>4086362.6999999997</v>
      </c>
      <c r="AO51" s="17">
        <f t="shared" si="30"/>
        <v>268.12571368355822</v>
      </c>
      <c r="AP51" s="32">
        <v>210</v>
      </c>
      <c r="AQ51" s="18">
        <v>19458.87</v>
      </c>
      <c r="AR51" s="31">
        <f t="shared" si="49"/>
        <v>4086362.6999999997</v>
      </c>
      <c r="AS51" s="17">
        <f t="shared" si="31"/>
        <v>268.12571368355822</v>
      </c>
      <c r="AT51" s="32">
        <v>240</v>
      </c>
      <c r="AU51" s="18">
        <v>19458.87</v>
      </c>
      <c r="AV51" s="31">
        <f t="shared" si="50"/>
        <v>4670128.8</v>
      </c>
      <c r="AW51" s="17">
        <f t="shared" si="32"/>
        <v>306.42938706692371</v>
      </c>
      <c r="AX51" s="32">
        <v>240</v>
      </c>
      <c r="AY51" s="18">
        <v>19458.87</v>
      </c>
      <c r="AZ51" s="31">
        <f t="shared" si="51"/>
        <v>4670128.8</v>
      </c>
      <c r="BA51" s="17">
        <f t="shared" si="33"/>
        <v>306.42938706692371</v>
      </c>
      <c r="BB51" s="20">
        <f t="shared" si="52"/>
        <v>2550</v>
      </c>
      <c r="BC51" s="20">
        <f t="shared" si="53"/>
        <v>3200.0971082160322</v>
      </c>
      <c r="BD51" s="34"/>
    </row>
    <row r="52" spans="1:56">
      <c r="A52" s="14" t="s">
        <v>13</v>
      </c>
      <c r="B52" s="14" t="s">
        <v>35</v>
      </c>
      <c r="C52" s="14" t="s">
        <v>15</v>
      </c>
      <c r="D52" s="14" t="s">
        <v>36</v>
      </c>
      <c r="E52" s="75"/>
      <c r="F52" s="14">
        <v>200</v>
      </c>
      <c r="G52" s="18">
        <f t="shared" si="34"/>
        <v>18751.265895953758</v>
      </c>
      <c r="H52" s="31">
        <f t="shared" si="35"/>
        <v>3750253.1791907516</v>
      </c>
      <c r="I52" s="17">
        <f t="shared" si="22"/>
        <v>246.0719676607643</v>
      </c>
      <c r="J52" s="14">
        <v>200</v>
      </c>
      <c r="K52" s="18">
        <f t="shared" si="36"/>
        <v>18751.265895953758</v>
      </c>
      <c r="L52" s="31">
        <f t="shared" si="37"/>
        <v>3750253.1791907516</v>
      </c>
      <c r="M52" s="17">
        <f t="shared" si="23"/>
        <v>246.0719676607643</v>
      </c>
      <c r="N52" s="14">
        <v>200</v>
      </c>
      <c r="O52" s="18">
        <f t="shared" si="38"/>
        <v>18751.265895953758</v>
      </c>
      <c r="P52" s="31">
        <f t="shared" si="39"/>
        <v>3750253.1791907516</v>
      </c>
      <c r="Q52" s="17">
        <f t="shared" si="24"/>
        <v>246.0719676607643</v>
      </c>
      <c r="R52" s="14">
        <v>200</v>
      </c>
      <c r="S52" s="18">
        <f t="shared" si="40"/>
        <v>18751.265895953758</v>
      </c>
      <c r="T52" s="31">
        <f t="shared" si="41"/>
        <v>3750253.1791907516</v>
      </c>
      <c r="U52" s="17">
        <f t="shared" si="25"/>
        <v>246.0719676607643</v>
      </c>
      <c r="V52" s="14">
        <v>200</v>
      </c>
      <c r="W52" s="18">
        <f t="shared" si="42"/>
        <v>18751.265895953758</v>
      </c>
      <c r="X52" s="31">
        <f t="shared" si="43"/>
        <v>3750253.1791907516</v>
      </c>
      <c r="Y52" s="17">
        <f t="shared" si="26"/>
        <v>246.0719676607643</v>
      </c>
      <c r="Z52" s="14">
        <v>200</v>
      </c>
      <c r="AA52" s="18">
        <f t="shared" si="44"/>
        <v>18751.265895953758</v>
      </c>
      <c r="AB52" s="31">
        <f t="shared" si="45"/>
        <v>3750253.1791907516</v>
      </c>
      <c r="AC52" s="17">
        <f t="shared" si="27"/>
        <v>246.0719676607643</v>
      </c>
      <c r="AD52" s="32">
        <v>240</v>
      </c>
      <c r="AE52" s="18">
        <v>19458.87</v>
      </c>
      <c r="AF52" s="31">
        <f t="shared" si="46"/>
        <v>4670128.8</v>
      </c>
      <c r="AG52" s="17">
        <f t="shared" si="28"/>
        <v>306.42938706692371</v>
      </c>
      <c r="AH52" s="32">
        <v>210</v>
      </c>
      <c r="AI52" s="18">
        <v>19458.87</v>
      </c>
      <c r="AJ52" s="31">
        <f t="shared" si="47"/>
        <v>4086362.6999999997</v>
      </c>
      <c r="AK52" s="17">
        <f t="shared" si="29"/>
        <v>268.12571368355822</v>
      </c>
      <c r="AL52" s="32">
        <v>210</v>
      </c>
      <c r="AM52" s="18">
        <v>19458.87</v>
      </c>
      <c r="AN52" s="31">
        <f t="shared" si="48"/>
        <v>4086362.6999999997</v>
      </c>
      <c r="AO52" s="17">
        <f t="shared" si="30"/>
        <v>268.12571368355822</v>
      </c>
      <c r="AP52" s="32">
        <v>210</v>
      </c>
      <c r="AQ52" s="18">
        <v>19458.87</v>
      </c>
      <c r="AR52" s="31">
        <f t="shared" si="49"/>
        <v>4086362.6999999997</v>
      </c>
      <c r="AS52" s="17">
        <f t="shared" si="31"/>
        <v>268.12571368355822</v>
      </c>
      <c r="AT52" s="32">
        <v>240</v>
      </c>
      <c r="AU52" s="18">
        <v>19458.87</v>
      </c>
      <c r="AV52" s="31">
        <f t="shared" si="50"/>
        <v>4670128.8</v>
      </c>
      <c r="AW52" s="17">
        <f t="shared" si="32"/>
        <v>306.42938706692371</v>
      </c>
      <c r="AX52" s="32">
        <v>240</v>
      </c>
      <c r="AY52" s="18">
        <v>19458.87</v>
      </c>
      <c r="AZ52" s="31">
        <f t="shared" si="51"/>
        <v>4670128.8</v>
      </c>
      <c r="BA52" s="17">
        <f t="shared" si="33"/>
        <v>306.42938706692371</v>
      </c>
      <c r="BB52" s="20">
        <f t="shared" si="52"/>
        <v>2550</v>
      </c>
      <c r="BC52" s="20">
        <f t="shared" si="53"/>
        <v>3200.0971082160322</v>
      </c>
      <c r="BD52" s="34"/>
    </row>
    <row r="53" spans="1:56">
      <c r="A53" s="14" t="s">
        <v>13</v>
      </c>
      <c r="B53" s="14" t="s">
        <v>37</v>
      </c>
      <c r="C53" s="14" t="s">
        <v>15</v>
      </c>
      <c r="D53" s="14" t="s">
        <v>38</v>
      </c>
      <c r="E53" s="83">
        <v>46356</v>
      </c>
      <c r="F53" s="14">
        <v>1</v>
      </c>
      <c r="G53" s="15">
        <v>27200000</v>
      </c>
      <c r="H53" s="31">
        <f t="shared" si="35"/>
        <v>27200000</v>
      </c>
      <c r="I53" s="17">
        <f t="shared" si="22"/>
        <v>1784.721510939982</v>
      </c>
      <c r="J53" s="14">
        <v>1</v>
      </c>
      <c r="K53" s="15">
        <v>27200000</v>
      </c>
      <c r="L53" s="31">
        <f t="shared" si="37"/>
        <v>27200000</v>
      </c>
      <c r="M53" s="17">
        <f t="shared" si="23"/>
        <v>1784.721510939982</v>
      </c>
      <c r="N53" s="14">
        <v>1</v>
      </c>
      <c r="O53" s="15">
        <v>27200000</v>
      </c>
      <c r="P53" s="31">
        <f t="shared" ref="P53:P61" si="54">O53*N53</f>
        <v>27200000</v>
      </c>
      <c r="Q53" s="17">
        <f t="shared" si="24"/>
        <v>1784.721510939982</v>
      </c>
      <c r="R53" s="14">
        <v>1</v>
      </c>
      <c r="S53" s="15">
        <v>27200000</v>
      </c>
      <c r="T53" s="31">
        <f t="shared" ref="T53:T61" si="55">S53*R53</f>
        <v>27200000</v>
      </c>
      <c r="U53" s="17">
        <f t="shared" si="25"/>
        <v>1784.721510939982</v>
      </c>
      <c r="V53" s="14">
        <v>1</v>
      </c>
      <c r="W53" s="15">
        <v>27200000</v>
      </c>
      <c r="X53" s="31">
        <f t="shared" ref="X53:X61" si="56">W53*V53</f>
        <v>27200000</v>
      </c>
      <c r="Y53" s="17">
        <f t="shared" si="26"/>
        <v>1784.721510939982</v>
      </c>
      <c r="Z53" s="32">
        <v>1</v>
      </c>
      <c r="AA53" s="15">
        <v>27200000</v>
      </c>
      <c r="AB53" s="31">
        <f t="shared" ref="AB53:AB61" si="57">AA53*Z53</f>
        <v>27200000</v>
      </c>
      <c r="AC53" s="17">
        <f t="shared" si="27"/>
        <v>1784.721510939982</v>
      </c>
      <c r="AD53" s="32">
        <v>1</v>
      </c>
      <c r="AE53" s="15">
        <v>27200000</v>
      </c>
      <c r="AF53" s="31">
        <f t="shared" ref="AF53:AF61" si="58">AE53*AD53</f>
        <v>27200000</v>
      </c>
      <c r="AG53" s="17">
        <f t="shared" si="28"/>
        <v>1784.721510939982</v>
      </c>
      <c r="AH53" s="32">
        <v>1</v>
      </c>
      <c r="AI53" s="15">
        <v>27200000</v>
      </c>
      <c r="AJ53" s="31">
        <f t="shared" ref="AJ53:AJ61" si="59">AI53*AH53</f>
        <v>27200000</v>
      </c>
      <c r="AK53" s="17">
        <f t="shared" si="29"/>
        <v>1784.721510939982</v>
      </c>
      <c r="AL53" s="14">
        <v>1</v>
      </c>
      <c r="AM53" s="15">
        <v>27200000</v>
      </c>
      <c r="AN53" s="31">
        <f t="shared" ref="AN53:AN61" si="60">AM53*AL53</f>
        <v>27200000</v>
      </c>
      <c r="AO53" s="17">
        <f t="shared" si="30"/>
        <v>1784.721510939982</v>
      </c>
      <c r="AP53" s="14">
        <v>1</v>
      </c>
      <c r="AQ53" s="15">
        <v>27200000</v>
      </c>
      <c r="AR53" s="31">
        <f t="shared" ref="AR53:AR61" si="61">AQ53*AP53</f>
        <v>27200000</v>
      </c>
      <c r="AS53" s="17">
        <f t="shared" si="31"/>
        <v>1784.721510939982</v>
      </c>
      <c r="AT53" s="32">
        <v>1</v>
      </c>
      <c r="AU53" s="15">
        <v>27200000</v>
      </c>
      <c r="AV53" s="31">
        <f t="shared" ref="AV53:AV61" si="62">AU53*AT53</f>
        <v>27200000</v>
      </c>
      <c r="AW53" s="17">
        <f t="shared" si="32"/>
        <v>1784.721510939982</v>
      </c>
      <c r="AX53" s="32">
        <v>1</v>
      </c>
      <c r="AY53" s="15">
        <v>27200000</v>
      </c>
      <c r="AZ53" s="31">
        <f t="shared" ref="AZ53:AZ61" si="63">AY53*AX53</f>
        <v>27200000</v>
      </c>
      <c r="BA53" s="17">
        <f t="shared" si="33"/>
        <v>1784.721510939982</v>
      </c>
      <c r="BB53" s="20">
        <f t="shared" si="52"/>
        <v>12</v>
      </c>
      <c r="BC53" s="20">
        <f t="shared" si="53"/>
        <v>21416.658131279779</v>
      </c>
    </row>
    <row r="54" spans="1:56">
      <c r="A54" s="14" t="s">
        <v>13</v>
      </c>
      <c r="B54" s="14" t="s">
        <v>39</v>
      </c>
      <c r="C54" s="14" t="s">
        <v>15</v>
      </c>
      <c r="D54" s="14" t="s">
        <v>40</v>
      </c>
      <c r="E54" s="83">
        <v>46056</v>
      </c>
      <c r="F54" s="14">
        <v>1</v>
      </c>
      <c r="G54" s="18">
        <v>8225000</v>
      </c>
      <c r="H54" s="31">
        <f t="shared" si="35"/>
        <v>8225000</v>
      </c>
      <c r="I54" s="17">
        <f t="shared" si="22"/>
        <v>539.68141277504969</v>
      </c>
      <c r="J54" s="14">
        <v>1</v>
      </c>
      <c r="K54" s="18">
        <v>8225000</v>
      </c>
      <c r="L54" s="31">
        <f t="shared" si="37"/>
        <v>8225000</v>
      </c>
      <c r="M54" s="17">
        <f t="shared" si="23"/>
        <v>539.68141277504969</v>
      </c>
      <c r="N54" s="14">
        <v>1</v>
      </c>
      <c r="O54" s="18">
        <v>8225000</v>
      </c>
      <c r="P54" s="31">
        <f t="shared" si="54"/>
        <v>8225000</v>
      </c>
      <c r="Q54" s="17">
        <f t="shared" si="24"/>
        <v>539.68141277504969</v>
      </c>
      <c r="R54" s="14">
        <v>1</v>
      </c>
      <c r="S54" s="18">
        <v>8225000</v>
      </c>
      <c r="T54" s="31">
        <f t="shared" si="55"/>
        <v>8225000</v>
      </c>
      <c r="U54" s="17">
        <f t="shared" si="25"/>
        <v>539.68141277504969</v>
      </c>
      <c r="V54" s="14">
        <v>1</v>
      </c>
      <c r="W54" s="18">
        <v>8225000</v>
      </c>
      <c r="X54" s="31">
        <f t="shared" si="56"/>
        <v>8225000</v>
      </c>
      <c r="Y54" s="17">
        <f t="shared" si="26"/>
        <v>539.68141277504969</v>
      </c>
      <c r="Z54" s="32">
        <v>1</v>
      </c>
      <c r="AA54" s="18">
        <v>8225000</v>
      </c>
      <c r="AB54" s="31">
        <f t="shared" si="57"/>
        <v>8225000</v>
      </c>
      <c r="AC54" s="17">
        <f t="shared" si="27"/>
        <v>539.68141277504969</v>
      </c>
      <c r="AD54" s="32">
        <v>1</v>
      </c>
      <c r="AE54" s="18">
        <v>8225000</v>
      </c>
      <c r="AF54" s="31">
        <f t="shared" si="58"/>
        <v>8225000</v>
      </c>
      <c r="AG54" s="17">
        <f t="shared" si="28"/>
        <v>539.68141277504969</v>
      </c>
      <c r="AH54" s="32">
        <v>1</v>
      </c>
      <c r="AI54" s="18">
        <v>8225000</v>
      </c>
      <c r="AJ54" s="31">
        <f t="shared" si="59"/>
        <v>8225000</v>
      </c>
      <c r="AK54" s="17">
        <f t="shared" si="29"/>
        <v>539.68141277504969</v>
      </c>
      <c r="AL54" s="14">
        <v>1</v>
      </c>
      <c r="AM54" s="18">
        <v>8225000</v>
      </c>
      <c r="AN54" s="31">
        <f t="shared" si="60"/>
        <v>8225000</v>
      </c>
      <c r="AO54" s="17">
        <f t="shared" si="30"/>
        <v>539.68141277504969</v>
      </c>
      <c r="AP54" s="14">
        <v>1</v>
      </c>
      <c r="AQ54" s="18">
        <v>8225000</v>
      </c>
      <c r="AR54" s="31">
        <f t="shared" si="61"/>
        <v>8225000</v>
      </c>
      <c r="AS54" s="17">
        <f t="shared" si="31"/>
        <v>539.68141277504969</v>
      </c>
      <c r="AT54" s="32">
        <v>1</v>
      </c>
      <c r="AU54" s="18">
        <v>8225000</v>
      </c>
      <c r="AV54" s="31">
        <f t="shared" si="62"/>
        <v>8225000</v>
      </c>
      <c r="AW54" s="17">
        <f t="shared" si="32"/>
        <v>539.68141277504969</v>
      </c>
      <c r="AX54" s="32">
        <v>1</v>
      </c>
      <c r="AY54" s="18">
        <v>8225000</v>
      </c>
      <c r="AZ54" s="31">
        <f t="shared" si="63"/>
        <v>8225000</v>
      </c>
      <c r="BA54" s="17">
        <f t="shared" si="33"/>
        <v>539.68141277504969</v>
      </c>
      <c r="BB54" s="20">
        <f t="shared" si="52"/>
        <v>12</v>
      </c>
      <c r="BC54" s="20">
        <f t="shared" si="53"/>
        <v>6476.1769533005945</v>
      </c>
    </row>
    <row r="55" spans="1:56">
      <c r="A55" s="14" t="s">
        <v>13</v>
      </c>
      <c r="B55" s="14" t="s">
        <v>41</v>
      </c>
      <c r="C55" s="14" t="s">
        <v>15</v>
      </c>
      <c r="D55" s="14" t="s">
        <v>42</v>
      </c>
      <c r="E55" s="83">
        <v>46325</v>
      </c>
      <c r="F55" s="14">
        <v>1</v>
      </c>
      <c r="G55" s="15">
        <v>9000000</v>
      </c>
      <c r="H55" s="31">
        <f t="shared" si="35"/>
        <v>9000000</v>
      </c>
      <c r="I55" s="17">
        <f t="shared" si="22"/>
        <v>590.53285288455288</v>
      </c>
      <c r="J55" s="14">
        <v>1</v>
      </c>
      <c r="K55" s="15">
        <v>9000000</v>
      </c>
      <c r="L55" s="31">
        <f t="shared" si="37"/>
        <v>9000000</v>
      </c>
      <c r="M55" s="17">
        <f t="shared" si="23"/>
        <v>590.53285288455288</v>
      </c>
      <c r="N55" s="14">
        <v>1</v>
      </c>
      <c r="O55" s="15">
        <v>9000000</v>
      </c>
      <c r="P55" s="31">
        <f t="shared" si="54"/>
        <v>9000000</v>
      </c>
      <c r="Q55" s="17">
        <f t="shared" si="24"/>
        <v>590.53285288455288</v>
      </c>
      <c r="R55" s="14">
        <v>1</v>
      </c>
      <c r="S55" s="15">
        <v>9000000</v>
      </c>
      <c r="T55" s="31">
        <f t="shared" si="55"/>
        <v>9000000</v>
      </c>
      <c r="U55" s="17">
        <f t="shared" si="25"/>
        <v>590.53285288455288</v>
      </c>
      <c r="V55" s="14">
        <v>1</v>
      </c>
      <c r="W55" s="15">
        <v>9000000</v>
      </c>
      <c r="X55" s="31">
        <f t="shared" si="56"/>
        <v>9000000</v>
      </c>
      <c r="Y55" s="17">
        <f t="shared" si="26"/>
        <v>590.53285288455288</v>
      </c>
      <c r="Z55" s="32">
        <v>2</v>
      </c>
      <c r="AA55" s="15">
        <v>9000000</v>
      </c>
      <c r="AB55" s="31">
        <f t="shared" si="57"/>
        <v>18000000</v>
      </c>
      <c r="AC55" s="17">
        <f t="shared" si="27"/>
        <v>1181.0657057691058</v>
      </c>
      <c r="AD55" s="32">
        <v>1</v>
      </c>
      <c r="AE55" s="35">
        <v>9000000</v>
      </c>
      <c r="AF55" s="31">
        <f t="shared" si="58"/>
        <v>9000000</v>
      </c>
      <c r="AG55" s="17">
        <f t="shared" si="28"/>
        <v>590.53285288455288</v>
      </c>
      <c r="AH55" s="32">
        <v>1</v>
      </c>
      <c r="AI55" s="35">
        <v>9000000</v>
      </c>
      <c r="AJ55" s="31">
        <f t="shared" si="59"/>
        <v>9000000</v>
      </c>
      <c r="AK55" s="17">
        <f t="shared" si="29"/>
        <v>590.53285288455288</v>
      </c>
      <c r="AL55" s="14">
        <v>1</v>
      </c>
      <c r="AM55" s="35">
        <v>9000000</v>
      </c>
      <c r="AN55" s="31">
        <f t="shared" si="60"/>
        <v>9000000</v>
      </c>
      <c r="AO55" s="17">
        <f t="shared" si="30"/>
        <v>590.53285288455288</v>
      </c>
      <c r="AP55" s="14">
        <v>1</v>
      </c>
      <c r="AQ55" s="35">
        <v>9000000</v>
      </c>
      <c r="AR55" s="31">
        <f t="shared" si="61"/>
        <v>9000000</v>
      </c>
      <c r="AS55" s="17">
        <f t="shared" si="31"/>
        <v>590.53285288455288</v>
      </c>
      <c r="AT55" s="32">
        <v>1</v>
      </c>
      <c r="AU55" s="35">
        <v>9000000</v>
      </c>
      <c r="AV55" s="31">
        <f t="shared" si="62"/>
        <v>9000000</v>
      </c>
      <c r="AW55" s="17">
        <f t="shared" si="32"/>
        <v>590.53285288455288</v>
      </c>
      <c r="AX55" s="32">
        <v>1</v>
      </c>
      <c r="AY55" s="35">
        <v>9000000</v>
      </c>
      <c r="AZ55" s="31">
        <f t="shared" si="63"/>
        <v>9000000</v>
      </c>
      <c r="BA55" s="17">
        <f t="shared" si="33"/>
        <v>590.53285288455288</v>
      </c>
      <c r="BB55" s="20">
        <f t="shared" si="52"/>
        <v>13</v>
      </c>
      <c r="BC55" s="20">
        <f t="shared" si="53"/>
        <v>7676.927087499188</v>
      </c>
    </row>
    <row r="56" spans="1:56">
      <c r="A56" s="14" t="s">
        <v>13</v>
      </c>
      <c r="B56" s="14" t="s">
        <v>43</v>
      </c>
      <c r="C56" s="14" t="s">
        <v>15</v>
      </c>
      <c r="D56" s="14" t="s">
        <v>44</v>
      </c>
      <c r="E56" s="83">
        <v>45507</v>
      </c>
      <c r="F56" s="14">
        <v>1</v>
      </c>
      <c r="G56" s="15">
        <v>4475000</v>
      </c>
      <c r="H56" s="31">
        <f t="shared" si="35"/>
        <v>4475000</v>
      </c>
      <c r="I56" s="17">
        <f t="shared" si="22"/>
        <v>293.62605740648598</v>
      </c>
      <c r="J56" s="14">
        <v>1</v>
      </c>
      <c r="K56" s="15">
        <v>4475000</v>
      </c>
      <c r="L56" s="31">
        <f t="shared" si="37"/>
        <v>4475000</v>
      </c>
      <c r="M56" s="17">
        <f t="shared" si="23"/>
        <v>293.62605740648598</v>
      </c>
      <c r="N56" s="14">
        <v>1</v>
      </c>
      <c r="O56" s="15">
        <v>4475000</v>
      </c>
      <c r="P56" s="31">
        <f t="shared" si="54"/>
        <v>4475000</v>
      </c>
      <c r="Q56" s="17">
        <f t="shared" si="24"/>
        <v>293.62605740648598</v>
      </c>
      <c r="R56" s="14">
        <v>1</v>
      </c>
      <c r="S56" s="15">
        <v>4475000</v>
      </c>
      <c r="T56" s="31">
        <f t="shared" si="55"/>
        <v>4475000</v>
      </c>
      <c r="U56" s="17">
        <f t="shared" si="25"/>
        <v>293.62605740648598</v>
      </c>
      <c r="V56" s="14">
        <v>1</v>
      </c>
      <c r="W56" s="15">
        <v>4475000</v>
      </c>
      <c r="X56" s="31">
        <f t="shared" si="56"/>
        <v>4475000</v>
      </c>
      <c r="Y56" s="17">
        <f t="shared" si="26"/>
        <v>293.62605740648598</v>
      </c>
      <c r="Z56" s="32">
        <v>1</v>
      </c>
      <c r="AA56" s="15">
        <v>4475000</v>
      </c>
      <c r="AB56" s="31">
        <f t="shared" si="57"/>
        <v>4475000</v>
      </c>
      <c r="AC56" s="17">
        <f t="shared" si="27"/>
        <v>293.62605740648598</v>
      </c>
      <c r="AD56" s="32">
        <v>1</v>
      </c>
      <c r="AE56" s="15">
        <v>4475000</v>
      </c>
      <c r="AF56" s="31">
        <f t="shared" si="58"/>
        <v>4475000</v>
      </c>
      <c r="AG56" s="17">
        <f t="shared" si="28"/>
        <v>293.62605740648598</v>
      </c>
      <c r="AH56" s="32">
        <v>1</v>
      </c>
      <c r="AI56" s="15">
        <v>4475000</v>
      </c>
      <c r="AJ56" s="31">
        <f t="shared" si="59"/>
        <v>4475000</v>
      </c>
      <c r="AK56" s="17">
        <f t="shared" si="29"/>
        <v>293.62605740648598</v>
      </c>
      <c r="AL56" s="14">
        <v>1</v>
      </c>
      <c r="AM56" s="15">
        <v>4475000</v>
      </c>
      <c r="AN56" s="31">
        <f t="shared" si="60"/>
        <v>4475000</v>
      </c>
      <c r="AO56" s="17">
        <f t="shared" si="30"/>
        <v>293.62605740648598</v>
      </c>
      <c r="AP56" s="14">
        <v>1</v>
      </c>
      <c r="AQ56" s="15">
        <v>4475000</v>
      </c>
      <c r="AR56" s="31">
        <f t="shared" si="61"/>
        <v>4475000</v>
      </c>
      <c r="AS56" s="17">
        <f t="shared" si="31"/>
        <v>293.62605740648598</v>
      </c>
      <c r="AT56" s="32">
        <v>1</v>
      </c>
      <c r="AU56" s="15">
        <v>4475000</v>
      </c>
      <c r="AV56" s="31">
        <f t="shared" si="62"/>
        <v>4475000</v>
      </c>
      <c r="AW56" s="17">
        <f t="shared" si="32"/>
        <v>293.62605740648598</v>
      </c>
      <c r="AX56" s="32">
        <v>1</v>
      </c>
      <c r="AY56" s="15">
        <v>4475000</v>
      </c>
      <c r="AZ56" s="31">
        <f t="shared" si="63"/>
        <v>4475000</v>
      </c>
      <c r="BA56" s="17">
        <f t="shared" si="33"/>
        <v>293.62605740648598</v>
      </c>
      <c r="BB56" s="20">
        <f t="shared" si="52"/>
        <v>12</v>
      </c>
      <c r="BC56" s="20">
        <f t="shared" si="53"/>
        <v>3523.5126888778309</v>
      </c>
      <c r="BD56" s="34"/>
    </row>
    <row r="57" spans="1:56">
      <c r="A57" s="14" t="s">
        <v>13</v>
      </c>
      <c r="B57" s="14" t="s">
        <v>45</v>
      </c>
      <c r="C57" s="14" t="s">
        <v>15</v>
      </c>
      <c r="D57" s="14" t="s">
        <v>46</v>
      </c>
      <c r="E57" s="83">
        <v>46418</v>
      </c>
      <c r="F57" s="14">
        <v>1</v>
      </c>
      <c r="G57" s="15">
        <v>9000000</v>
      </c>
      <c r="H57" s="31">
        <f t="shared" si="35"/>
        <v>9000000</v>
      </c>
      <c r="I57" s="17">
        <f t="shared" si="22"/>
        <v>590.53285288455288</v>
      </c>
      <c r="J57" s="14">
        <v>1</v>
      </c>
      <c r="K57" s="15">
        <v>9000000</v>
      </c>
      <c r="L57" s="31">
        <f t="shared" si="37"/>
        <v>9000000</v>
      </c>
      <c r="M57" s="17">
        <f t="shared" si="23"/>
        <v>590.53285288455288</v>
      </c>
      <c r="N57" s="14">
        <v>1</v>
      </c>
      <c r="O57" s="15">
        <v>9000000</v>
      </c>
      <c r="P57" s="31">
        <f t="shared" si="54"/>
        <v>9000000</v>
      </c>
      <c r="Q57" s="17">
        <f t="shared" si="24"/>
        <v>590.53285288455288</v>
      </c>
      <c r="R57" s="14">
        <v>1</v>
      </c>
      <c r="S57" s="15">
        <v>9000000</v>
      </c>
      <c r="T57" s="31">
        <f t="shared" si="55"/>
        <v>9000000</v>
      </c>
      <c r="U57" s="17">
        <f t="shared" si="25"/>
        <v>590.53285288455288</v>
      </c>
      <c r="V57" s="14">
        <v>1</v>
      </c>
      <c r="W57" s="15">
        <v>9000000</v>
      </c>
      <c r="X57" s="31">
        <f t="shared" si="56"/>
        <v>9000000</v>
      </c>
      <c r="Y57" s="17">
        <f t="shared" si="26"/>
        <v>590.53285288455288</v>
      </c>
      <c r="Z57" s="32">
        <v>1</v>
      </c>
      <c r="AA57" s="15">
        <v>9000000</v>
      </c>
      <c r="AB57" s="31">
        <f t="shared" si="57"/>
        <v>9000000</v>
      </c>
      <c r="AC57" s="17">
        <f t="shared" si="27"/>
        <v>590.53285288455288</v>
      </c>
      <c r="AD57" s="32">
        <v>1</v>
      </c>
      <c r="AE57" s="15">
        <v>9000000</v>
      </c>
      <c r="AF57" s="31">
        <f t="shared" si="58"/>
        <v>9000000</v>
      </c>
      <c r="AG57" s="17">
        <f t="shared" si="28"/>
        <v>590.53285288455288</v>
      </c>
      <c r="AH57" s="32">
        <v>1</v>
      </c>
      <c r="AI57" s="15">
        <v>9000000</v>
      </c>
      <c r="AJ57" s="31">
        <f t="shared" si="59"/>
        <v>9000000</v>
      </c>
      <c r="AK57" s="17">
        <f t="shared" si="29"/>
        <v>590.53285288455288</v>
      </c>
      <c r="AL57" s="14">
        <v>1</v>
      </c>
      <c r="AM57" s="15">
        <v>9000000</v>
      </c>
      <c r="AN57" s="31">
        <f t="shared" si="60"/>
        <v>9000000</v>
      </c>
      <c r="AO57" s="17">
        <f t="shared" si="30"/>
        <v>590.53285288455288</v>
      </c>
      <c r="AP57" s="14">
        <v>1</v>
      </c>
      <c r="AQ57" s="15">
        <v>9000000</v>
      </c>
      <c r="AR57" s="31">
        <f t="shared" si="61"/>
        <v>9000000</v>
      </c>
      <c r="AS57" s="17">
        <f t="shared" si="31"/>
        <v>590.53285288455288</v>
      </c>
      <c r="AT57" s="32">
        <v>1</v>
      </c>
      <c r="AU57" s="15">
        <v>9000000</v>
      </c>
      <c r="AV57" s="31">
        <f t="shared" si="62"/>
        <v>9000000</v>
      </c>
      <c r="AW57" s="17">
        <f t="shared" si="32"/>
        <v>590.53285288455288</v>
      </c>
      <c r="AX57" s="32">
        <v>1</v>
      </c>
      <c r="AY57" s="15">
        <v>9000000</v>
      </c>
      <c r="AZ57" s="31">
        <f t="shared" si="63"/>
        <v>9000000</v>
      </c>
      <c r="BA57" s="17">
        <f t="shared" si="33"/>
        <v>590.53285288455288</v>
      </c>
      <c r="BB57" s="20">
        <f t="shared" si="52"/>
        <v>12</v>
      </c>
      <c r="BC57" s="20">
        <f t="shared" si="53"/>
        <v>7086.394234614635</v>
      </c>
    </row>
    <row r="58" spans="1:56">
      <c r="A58" s="14" t="s">
        <v>13</v>
      </c>
      <c r="B58" s="14" t="s">
        <v>47</v>
      </c>
      <c r="C58" s="14" t="s">
        <v>15</v>
      </c>
      <c r="D58" s="14" t="s">
        <v>48</v>
      </c>
      <c r="E58" s="77">
        <v>45719</v>
      </c>
      <c r="F58" s="14">
        <v>1</v>
      </c>
      <c r="G58" s="15">
        <v>5225000</v>
      </c>
      <c r="H58" s="31">
        <f t="shared" si="35"/>
        <v>5225000</v>
      </c>
      <c r="I58" s="17">
        <f t="shared" si="22"/>
        <v>342.83712848019877</v>
      </c>
      <c r="J58" s="14">
        <v>1</v>
      </c>
      <c r="K58" s="15">
        <v>5225000</v>
      </c>
      <c r="L58" s="31">
        <f t="shared" si="37"/>
        <v>5225000</v>
      </c>
      <c r="M58" s="17">
        <f t="shared" si="23"/>
        <v>342.83712848019877</v>
      </c>
      <c r="N58" s="14">
        <v>1</v>
      </c>
      <c r="O58" s="15">
        <v>5225000</v>
      </c>
      <c r="P58" s="31">
        <f t="shared" si="54"/>
        <v>5225000</v>
      </c>
      <c r="Q58" s="17">
        <f t="shared" si="24"/>
        <v>342.83712848019877</v>
      </c>
      <c r="R58" s="14">
        <v>1</v>
      </c>
      <c r="S58" s="15">
        <v>5225000</v>
      </c>
      <c r="T58" s="31">
        <f t="shared" si="55"/>
        <v>5225000</v>
      </c>
      <c r="U58" s="17">
        <f t="shared" si="25"/>
        <v>342.83712848019877</v>
      </c>
      <c r="V58" s="14">
        <v>1</v>
      </c>
      <c r="W58" s="15">
        <v>5225000</v>
      </c>
      <c r="X58" s="31">
        <f t="shared" si="56"/>
        <v>5225000</v>
      </c>
      <c r="Y58" s="17">
        <f t="shared" si="26"/>
        <v>342.83712848019877</v>
      </c>
      <c r="Z58" s="32">
        <v>1</v>
      </c>
      <c r="AA58" s="15">
        <v>5225000</v>
      </c>
      <c r="AB58" s="31">
        <f t="shared" si="57"/>
        <v>5225000</v>
      </c>
      <c r="AC58" s="17">
        <f t="shared" si="27"/>
        <v>342.83712848019877</v>
      </c>
      <c r="AD58" s="32">
        <v>1</v>
      </c>
      <c r="AE58" s="15">
        <v>5225000</v>
      </c>
      <c r="AF58" s="31">
        <f t="shared" si="58"/>
        <v>5225000</v>
      </c>
      <c r="AG58" s="17">
        <f t="shared" si="28"/>
        <v>342.83712848019877</v>
      </c>
      <c r="AH58" s="32">
        <v>1</v>
      </c>
      <c r="AI58" s="15">
        <v>5225000</v>
      </c>
      <c r="AJ58" s="31">
        <f t="shared" si="59"/>
        <v>5225000</v>
      </c>
      <c r="AK58" s="17">
        <f t="shared" si="29"/>
        <v>342.83712848019877</v>
      </c>
      <c r="AL58" s="14">
        <v>1</v>
      </c>
      <c r="AM58" s="15">
        <v>5225000</v>
      </c>
      <c r="AN58" s="31">
        <f t="shared" si="60"/>
        <v>5225000</v>
      </c>
      <c r="AO58" s="17">
        <f t="shared" si="30"/>
        <v>342.83712848019877</v>
      </c>
      <c r="AP58" s="84">
        <v>1</v>
      </c>
      <c r="AQ58" s="70">
        <v>9500000</v>
      </c>
      <c r="AR58" s="85">
        <f t="shared" si="61"/>
        <v>9500000</v>
      </c>
      <c r="AS58" s="86">
        <f t="shared" si="31"/>
        <v>623.34023360036133</v>
      </c>
      <c r="AT58" s="84">
        <v>1</v>
      </c>
      <c r="AU58" s="70">
        <v>9500000</v>
      </c>
      <c r="AV58" s="85">
        <f t="shared" si="62"/>
        <v>9500000</v>
      </c>
      <c r="AW58" s="86">
        <f t="shared" si="32"/>
        <v>623.34023360036133</v>
      </c>
      <c r="AX58" s="84">
        <v>1</v>
      </c>
      <c r="AY58" s="70">
        <v>9500000</v>
      </c>
      <c r="AZ58" s="85">
        <f t="shared" si="63"/>
        <v>9500000</v>
      </c>
      <c r="BA58" s="86">
        <f t="shared" si="33"/>
        <v>623.34023360036133</v>
      </c>
      <c r="BB58" s="88">
        <f t="shared" si="52"/>
        <v>12</v>
      </c>
      <c r="BC58" s="88">
        <f t="shared" si="53"/>
        <v>4955.5548571228728</v>
      </c>
    </row>
    <row r="59" spans="1:56">
      <c r="A59" s="14" t="s">
        <v>13</v>
      </c>
      <c r="B59" s="14" t="s">
        <v>49</v>
      </c>
      <c r="C59" s="14" t="s">
        <v>15</v>
      </c>
      <c r="D59" s="14" t="s">
        <v>50</v>
      </c>
      <c r="E59" s="77">
        <v>46325</v>
      </c>
      <c r="F59" s="14">
        <v>1</v>
      </c>
      <c r="G59" s="15">
        <v>9000000</v>
      </c>
      <c r="H59" s="31">
        <f t="shared" si="35"/>
        <v>9000000</v>
      </c>
      <c r="I59" s="17">
        <f t="shared" si="22"/>
        <v>590.53285288455288</v>
      </c>
      <c r="J59" s="14">
        <v>1</v>
      </c>
      <c r="K59" s="15">
        <v>9000000</v>
      </c>
      <c r="L59" s="31">
        <f t="shared" si="37"/>
        <v>9000000</v>
      </c>
      <c r="M59" s="17">
        <f t="shared" si="23"/>
        <v>590.53285288455288</v>
      </c>
      <c r="N59" s="14">
        <v>1</v>
      </c>
      <c r="O59" s="15">
        <v>9000000</v>
      </c>
      <c r="P59" s="31">
        <f t="shared" si="54"/>
        <v>9000000</v>
      </c>
      <c r="Q59" s="17">
        <f t="shared" si="24"/>
        <v>590.53285288455288</v>
      </c>
      <c r="R59" s="14">
        <v>1</v>
      </c>
      <c r="S59" s="23">
        <v>9000000</v>
      </c>
      <c r="T59" s="31">
        <f t="shared" si="55"/>
        <v>9000000</v>
      </c>
      <c r="U59" s="17">
        <f t="shared" si="25"/>
        <v>590.53285288455288</v>
      </c>
      <c r="V59" s="14">
        <v>1</v>
      </c>
      <c r="W59" s="23">
        <v>9000000</v>
      </c>
      <c r="X59" s="31">
        <f t="shared" si="56"/>
        <v>9000000</v>
      </c>
      <c r="Y59" s="17">
        <f t="shared" si="26"/>
        <v>590.53285288455288</v>
      </c>
      <c r="Z59" s="32">
        <v>1</v>
      </c>
      <c r="AA59" s="23">
        <v>9000000</v>
      </c>
      <c r="AB59" s="31">
        <f t="shared" si="57"/>
        <v>9000000</v>
      </c>
      <c r="AC59" s="17">
        <f t="shared" si="27"/>
        <v>590.53285288455288</v>
      </c>
      <c r="AD59" s="32">
        <v>1</v>
      </c>
      <c r="AE59" s="23">
        <v>9000000</v>
      </c>
      <c r="AF59" s="31">
        <f t="shared" si="58"/>
        <v>9000000</v>
      </c>
      <c r="AG59" s="17">
        <f t="shared" si="28"/>
        <v>590.53285288455288</v>
      </c>
      <c r="AH59" s="32">
        <v>1</v>
      </c>
      <c r="AI59" s="23">
        <v>9000000</v>
      </c>
      <c r="AJ59" s="31">
        <f t="shared" si="59"/>
        <v>9000000</v>
      </c>
      <c r="AK59" s="17">
        <f t="shared" si="29"/>
        <v>590.53285288455288</v>
      </c>
      <c r="AL59" s="14">
        <v>1</v>
      </c>
      <c r="AM59" s="23">
        <v>9000000</v>
      </c>
      <c r="AN59" s="31">
        <f t="shared" si="60"/>
        <v>9000000</v>
      </c>
      <c r="AO59" s="17">
        <f t="shared" si="30"/>
        <v>590.53285288455288</v>
      </c>
      <c r="AP59" s="14">
        <v>1</v>
      </c>
      <c r="AQ59" s="23">
        <v>9000000</v>
      </c>
      <c r="AR59" s="31">
        <f t="shared" si="61"/>
        <v>9000000</v>
      </c>
      <c r="AS59" s="17">
        <f t="shared" si="31"/>
        <v>590.53285288455288</v>
      </c>
      <c r="AT59" s="32">
        <v>1</v>
      </c>
      <c r="AU59" s="23">
        <v>9000000</v>
      </c>
      <c r="AV59" s="31">
        <f t="shared" si="62"/>
        <v>9000000</v>
      </c>
      <c r="AW59" s="17">
        <f t="shared" si="32"/>
        <v>590.53285288455288</v>
      </c>
      <c r="AX59" s="32">
        <v>1</v>
      </c>
      <c r="AY59" s="23">
        <v>9000000</v>
      </c>
      <c r="AZ59" s="31">
        <f t="shared" si="63"/>
        <v>9000000</v>
      </c>
      <c r="BA59" s="17">
        <f t="shared" si="33"/>
        <v>590.53285288455288</v>
      </c>
      <c r="BB59" s="20">
        <f t="shared" si="52"/>
        <v>12</v>
      </c>
      <c r="BC59" s="20">
        <f t="shared" si="53"/>
        <v>7086.394234614635</v>
      </c>
    </row>
    <row r="60" spans="1:56">
      <c r="A60" s="14" t="s">
        <v>13</v>
      </c>
      <c r="B60" s="14" t="s">
        <v>51</v>
      </c>
      <c r="C60" s="14" t="s">
        <v>15</v>
      </c>
      <c r="D60" s="14" t="s">
        <v>52</v>
      </c>
      <c r="E60" s="77">
        <v>46056</v>
      </c>
      <c r="F60" s="14">
        <v>1</v>
      </c>
      <c r="G60" s="15">
        <v>9000000</v>
      </c>
      <c r="H60" s="31">
        <f t="shared" si="35"/>
        <v>9000000</v>
      </c>
      <c r="I60" s="17">
        <f t="shared" si="22"/>
        <v>590.53285288455288</v>
      </c>
      <c r="J60" s="14">
        <v>1</v>
      </c>
      <c r="K60" s="15">
        <v>9000000</v>
      </c>
      <c r="L60" s="31">
        <f t="shared" si="37"/>
        <v>9000000</v>
      </c>
      <c r="M60" s="17">
        <f t="shared" si="23"/>
        <v>590.53285288455288</v>
      </c>
      <c r="N60" s="14">
        <v>1</v>
      </c>
      <c r="O60" s="15">
        <v>9000000</v>
      </c>
      <c r="P60" s="31">
        <f t="shared" si="54"/>
        <v>9000000</v>
      </c>
      <c r="Q60" s="17">
        <f t="shared" si="24"/>
        <v>590.53285288455288</v>
      </c>
      <c r="R60" s="14">
        <v>1</v>
      </c>
      <c r="S60" s="23">
        <v>9000000</v>
      </c>
      <c r="T60" s="31">
        <f t="shared" si="55"/>
        <v>9000000</v>
      </c>
      <c r="U60" s="17">
        <f t="shared" si="25"/>
        <v>590.53285288455288</v>
      </c>
      <c r="V60" s="14">
        <v>1</v>
      </c>
      <c r="W60" s="23">
        <v>9000000</v>
      </c>
      <c r="X60" s="31">
        <f t="shared" si="56"/>
        <v>9000000</v>
      </c>
      <c r="Y60" s="17">
        <f t="shared" si="26"/>
        <v>590.53285288455288</v>
      </c>
      <c r="Z60" s="32">
        <v>1</v>
      </c>
      <c r="AA60" s="23">
        <v>9000000</v>
      </c>
      <c r="AB60" s="31">
        <f t="shared" si="57"/>
        <v>9000000</v>
      </c>
      <c r="AC60" s="17">
        <f t="shared" si="27"/>
        <v>590.53285288455288</v>
      </c>
      <c r="AD60" s="32">
        <v>1</v>
      </c>
      <c r="AE60" s="23">
        <v>9000000</v>
      </c>
      <c r="AF60" s="31">
        <f t="shared" si="58"/>
        <v>9000000</v>
      </c>
      <c r="AG60" s="17">
        <f t="shared" si="28"/>
        <v>590.53285288455288</v>
      </c>
      <c r="AH60" s="32">
        <v>1</v>
      </c>
      <c r="AI60" s="23">
        <v>9000000</v>
      </c>
      <c r="AJ60" s="31">
        <f t="shared" si="59"/>
        <v>9000000</v>
      </c>
      <c r="AK60" s="17">
        <f t="shared" si="29"/>
        <v>590.53285288455288</v>
      </c>
      <c r="AL60" s="14">
        <v>1</v>
      </c>
      <c r="AM60" s="23">
        <v>9000000</v>
      </c>
      <c r="AN60" s="31">
        <f t="shared" si="60"/>
        <v>9000000</v>
      </c>
      <c r="AO60" s="17">
        <f t="shared" si="30"/>
        <v>590.53285288455288</v>
      </c>
      <c r="AP60" s="14">
        <v>1</v>
      </c>
      <c r="AQ60" s="23">
        <v>9000000</v>
      </c>
      <c r="AR60" s="31">
        <f t="shared" si="61"/>
        <v>9000000</v>
      </c>
      <c r="AS60" s="17">
        <f t="shared" si="31"/>
        <v>590.53285288455288</v>
      </c>
      <c r="AT60" s="32">
        <v>1</v>
      </c>
      <c r="AU60" s="23">
        <v>9000000</v>
      </c>
      <c r="AV60" s="31">
        <f t="shared" si="62"/>
        <v>9000000</v>
      </c>
      <c r="AW60" s="17">
        <f t="shared" si="32"/>
        <v>590.53285288455288</v>
      </c>
      <c r="AX60" s="32">
        <v>1</v>
      </c>
      <c r="AY60" s="23">
        <v>9000000</v>
      </c>
      <c r="AZ60" s="31">
        <f t="shared" si="63"/>
        <v>9000000</v>
      </c>
      <c r="BA60" s="17">
        <f t="shared" si="33"/>
        <v>590.53285288455288</v>
      </c>
      <c r="BB60" s="20">
        <f t="shared" si="52"/>
        <v>12</v>
      </c>
      <c r="BC60" s="20">
        <f t="shared" si="53"/>
        <v>7086.394234614635</v>
      </c>
    </row>
    <row r="61" spans="1:56">
      <c r="A61" s="14" t="s">
        <v>13</v>
      </c>
      <c r="B61" s="14" t="s">
        <v>53</v>
      </c>
      <c r="C61" s="14" t="s">
        <v>15</v>
      </c>
      <c r="D61" s="14" t="s">
        <v>54</v>
      </c>
      <c r="E61" s="77">
        <v>45716</v>
      </c>
      <c r="F61" s="14">
        <v>2</v>
      </c>
      <c r="G61" s="15">
        <v>4425000</v>
      </c>
      <c r="H61" s="31">
        <f t="shared" si="35"/>
        <v>8850000</v>
      </c>
      <c r="I61" s="17">
        <f t="shared" si="22"/>
        <v>580.69063866981037</v>
      </c>
      <c r="J61" s="14">
        <v>2</v>
      </c>
      <c r="K61" s="15">
        <v>4425000</v>
      </c>
      <c r="L61" s="31">
        <f t="shared" si="37"/>
        <v>8850000</v>
      </c>
      <c r="M61" s="17">
        <f t="shared" si="23"/>
        <v>580.69063866981037</v>
      </c>
      <c r="N61" s="14">
        <v>2</v>
      </c>
      <c r="O61" s="15">
        <v>4425000</v>
      </c>
      <c r="P61" s="31">
        <f t="shared" si="54"/>
        <v>8850000</v>
      </c>
      <c r="Q61" s="17">
        <f t="shared" si="24"/>
        <v>580.69063866981037</v>
      </c>
      <c r="R61" s="14">
        <v>2</v>
      </c>
      <c r="S61" s="15">
        <v>4425000</v>
      </c>
      <c r="T61" s="31">
        <f t="shared" si="55"/>
        <v>8850000</v>
      </c>
      <c r="U61" s="17">
        <f t="shared" si="25"/>
        <v>580.69063866981037</v>
      </c>
      <c r="V61" s="14">
        <v>2</v>
      </c>
      <c r="W61" s="15">
        <v>4425000</v>
      </c>
      <c r="X61" s="31">
        <f t="shared" si="56"/>
        <v>8850000</v>
      </c>
      <c r="Y61" s="17">
        <f t="shared" si="26"/>
        <v>580.69063866981037</v>
      </c>
      <c r="Z61" s="32">
        <v>2</v>
      </c>
      <c r="AA61" s="15">
        <v>4425000</v>
      </c>
      <c r="AB61" s="31">
        <f t="shared" si="57"/>
        <v>8850000</v>
      </c>
      <c r="AC61" s="17">
        <f t="shared" si="27"/>
        <v>580.69063866981037</v>
      </c>
      <c r="AD61" s="32">
        <v>2</v>
      </c>
      <c r="AE61" s="15">
        <v>4425000</v>
      </c>
      <c r="AF61" s="31">
        <f t="shared" si="58"/>
        <v>8850000</v>
      </c>
      <c r="AG61" s="17">
        <f t="shared" si="28"/>
        <v>580.69063866981037</v>
      </c>
      <c r="AH61" s="32">
        <v>2</v>
      </c>
      <c r="AI61" s="15">
        <v>4425000</v>
      </c>
      <c r="AJ61" s="31">
        <f t="shared" si="59"/>
        <v>8850000</v>
      </c>
      <c r="AK61" s="17">
        <f t="shared" si="29"/>
        <v>580.69063866981037</v>
      </c>
      <c r="AL61" s="84">
        <v>2</v>
      </c>
      <c r="AM61" s="70">
        <v>6000000</v>
      </c>
      <c r="AN61" s="85">
        <f t="shared" si="60"/>
        <v>12000000</v>
      </c>
      <c r="AO61" s="86">
        <f t="shared" si="30"/>
        <v>787.3771371794038</v>
      </c>
      <c r="AP61" s="84">
        <v>2</v>
      </c>
      <c r="AQ61" s="70">
        <v>6000000</v>
      </c>
      <c r="AR61" s="85">
        <f t="shared" si="61"/>
        <v>12000000</v>
      </c>
      <c r="AS61" s="86">
        <f t="shared" si="31"/>
        <v>787.3771371794038</v>
      </c>
      <c r="AT61" s="87">
        <v>2</v>
      </c>
      <c r="AU61" s="70">
        <v>6000000</v>
      </c>
      <c r="AV61" s="85">
        <f t="shared" si="62"/>
        <v>12000000</v>
      </c>
      <c r="AW61" s="86">
        <f t="shared" si="32"/>
        <v>787.3771371794038</v>
      </c>
      <c r="AX61" s="87">
        <v>2</v>
      </c>
      <c r="AY61" s="70">
        <v>6000000</v>
      </c>
      <c r="AZ61" s="85">
        <f t="shared" si="63"/>
        <v>12000000</v>
      </c>
      <c r="BA61" s="86">
        <f t="shared" si="33"/>
        <v>787.3771371794038</v>
      </c>
      <c r="BB61" s="88">
        <f t="shared" si="52"/>
        <v>24</v>
      </c>
      <c r="BC61" s="88">
        <f t="shared" si="53"/>
        <v>7795.0336580760968</v>
      </c>
    </row>
    <row r="62" spans="1:56">
      <c r="A62" s="14" t="s">
        <v>13</v>
      </c>
      <c r="B62" s="14" t="s">
        <v>55</v>
      </c>
      <c r="C62" s="14" t="s">
        <v>15</v>
      </c>
      <c r="D62" s="14" t="s">
        <v>74</v>
      </c>
      <c r="E62" s="77">
        <v>46081</v>
      </c>
      <c r="F62" s="14">
        <v>1</v>
      </c>
      <c r="G62" s="15">
        <v>9000000</v>
      </c>
      <c r="H62" s="31">
        <f t="shared" si="35"/>
        <v>9000000</v>
      </c>
      <c r="I62" s="17">
        <f t="shared" si="22"/>
        <v>590.53285288455288</v>
      </c>
      <c r="J62" s="14">
        <v>1</v>
      </c>
      <c r="K62" s="15">
        <v>9000000</v>
      </c>
      <c r="L62" s="31">
        <f t="shared" si="37"/>
        <v>9000000</v>
      </c>
      <c r="M62" s="17">
        <f t="shared" si="23"/>
        <v>590.53285288455288</v>
      </c>
      <c r="N62" s="14">
        <v>1</v>
      </c>
      <c r="O62" s="15">
        <v>9000000</v>
      </c>
      <c r="P62" s="31">
        <f>O62*N62</f>
        <v>9000000</v>
      </c>
      <c r="Q62" s="17">
        <f t="shared" si="24"/>
        <v>590.53285288455288</v>
      </c>
      <c r="R62" s="14">
        <v>1</v>
      </c>
      <c r="S62" s="15">
        <v>9000000</v>
      </c>
      <c r="T62" s="31">
        <f>S62*R62</f>
        <v>9000000</v>
      </c>
      <c r="U62" s="17">
        <f t="shared" si="25"/>
        <v>590.53285288455288</v>
      </c>
      <c r="V62" s="14">
        <v>1</v>
      </c>
      <c r="W62" s="15">
        <v>9000000</v>
      </c>
      <c r="X62" s="31">
        <f>W62*V62</f>
        <v>9000000</v>
      </c>
      <c r="Y62" s="17">
        <f t="shared" si="26"/>
        <v>590.53285288455288</v>
      </c>
      <c r="Z62" s="32">
        <v>1</v>
      </c>
      <c r="AA62" s="15">
        <v>9000000</v>
      </c>
      <c r="AB62" s="31">
        <f>AA62*Z62</f>
        <v>9000000</v>
      </c>
      <c r="AC62" s="17">
        <f t="shared" si="27"/>
        <v>590.53285288455288</v>
      </c>
      <c r="AD62" s="32">
        <v>1</v>
      </c>
      <c r="AE62" s="15">
        <v>9000000</v>
      </c>
      <c r="AF62" s="31">
        <f>AE62*AD62</f>
        <v>9000000</v>
      </c>
      <c r="AG62" s="17">
        <f t="shared" si="28"/>
        <v>590.53285288455288</v>
      </c>
      <c r="AH62" s="32">
        <v>1</v>
      </c>
      <c r="AI62" s="15">
        <v>9000000</v>
      </c>
      <c r="AJ62" s="31">
        <f t="shared" ref="AJ62:AJ68" si="64">AI62*AH62</f>
        <v>9000000</v>
      </c>
      <c r="AK62" s="17">
        <f t="shared" si="29"/>
        <v>590.53285288455288</v>
      </c>
      <c r="AL62" s="14">
        <v>1</v>
      </c>
      <c r="AM62" s="15">
        <v>9000000</v>
      </c>
      <c r="AN62" s="31">
        <f>AM62*AL62</f>
        <v>9000000</v>
      </c>
      <c r="AO62" s="17">
        <f t="shared" si="30"/>
        <v>590.53285288455288</v>
      </c>
      <c r="AP62" s="14">
        <v>1</v>
      </c>
      <c r="AQ62" s="15">
        <v>9000000</v>
      </c>
      <c r="AR62" s="31">
        <f t="shared" ref="AR62:AR68" si="65">AQ62*AP62</f>
        <v>9000000</v>
      </c>
      <c r="AS62" s="17">
        <f t="shared" si="31"/>
        <v>590.53285288455288</v>
      </c>
      <c r="AT62" s="32">
        <v>1</v>
      </c>
      <c r="AU62" s="15">
        <v>9000000</v>
      </c>
      <c r="AV62" s="31">
        <f>AU62*AT62</f>
        <v>9000000</v>
      </c>
      <c r="AW62" s="17">
        <f t="shared" si="32"/>
        <v>590.53285288455288</v>
      </c>
      <c r="AX62" s="32">
        <v>1</v>
      </c>
      <c r="AY62" s="15">
        <v>9000000</v>
      </c>
      <c r="AZ62" s="31">
        <f>AY62*AX62</f>
        <v>9000000</v>
      </c>
      <c r="BA62" s="17">
        <f t="shared" si="33"/>
        <v>590.53285288455288</v>
      </c>
      <c r="BB62" s="20">
        <f t="shared" si="52"/>
        <v>12</v>
      </c>
      <c r="BC62" s="20">
        <f t="shared" si="53"/>
        <v>7086.394234614635</v>
      </c>
    </row>
    <row r="63" spans="1:56">
      <c r="A63" s="14" t="s">
        <v>13</v>
      </c>
      <c r="B63" s="14" t="s">
        <v>57</v>
      </c>
      <c r="C63" s="14" t="s">
        <v>15</v>
      </c>
      <c r="D63" s="14" t="s">
        <v>58</v>
      </c>
      <c r="E63" s="77">
        <v>45838</v>
      </c>
      <c r="F63" s="14">
        <v>1</v>
      </c>
      <c r="G63" s="15">
        <v>7625000</v>
      </c>
      <c r="H63" s="31">
        <f t="shared" si="35"/>
        <v>7625000</v>
      </c>
      <c r="I63" s="17">
        <f t="shared" si="22"/>
        <v>500.31255591607953</v>
      </c>
      <c r="J63" s="14">
        <v>1</v>
      </c>
      <c r="K63" s="15">
        <v>7625000</v>
      </c>
      <c r="L63" s="31">
        <f t="shared" si="37"/>
        <v>7625000</v>
      </c>
      <c r="M63" s="17">
        <f t="shared" si="23"/>
        <v>500.31255591607953</v>
      </c>
      <c r="N63" s="14">
        <v>1</v>
      </c>
      <c r="O63" s="15">
        <v>7625000</v>
      </c>
      <c r="P63" s="31">
        <f>O63*N63</f>
        <v>7625000</v>
      </c>
      <c r="Q63" s="17">
        <f t="shared" si="24"/>
        <v>500.31255591607953</v>
      </c>
      <c r="R63" s="14">
        <v>1</v>
      </c>
      <c r="S63" s="15">
        <v>7625000</v>
      </c>
      <c r="T63" s="31">
        <f>S63*R63</f>
        <v>7625000</v>
      </c>
      <c r="U63" s="17">
        <f t="shared" si="25"/>
        <v>500.31255591607953</v>
      </c>
      <c r="V63" s="14">
        <v>1</v>
      </c>
      <c r="W63" s="15">
        <v>7625000</v>
      </c>
      <c r="X63" s="31">
        <f>W63*V63</f>
        <v>7625000</v>
      </c>
      <c r="Y63" s="17">
        <f t="shared" si="26"/>
        <v>500.31255591607953</v>
      </c>
      <c r="Z63" s="32">
        <v>1</v>
      </c>
      <c r="AA63" s="15">
        <v>7625000</v>
      </c>
      <c r="AB63" s="31">
        <f>AA63*Z63</f>
        <v>7625000</v>
      </c>
      <c r="AC63" s="17">
        <f t="shared" si="27"/>
        <v>500.31255591607953</v>
      </c>
      <c r="AD63" s="32">
        <v>1</v>
      </c>
      <c r="AE63" s="15">
        <v>7625000</v>
      </c>
      <c r="AF63" s="31">
        <f>AE63*AD63</f>
        <v>7625000</v>
      </c>
      <c r="AG63" s="17">
        <f t="shared" si="28"/>
        <v>500.31255591607953</v>
      </c>
      <c r="AH63" s="32">
        <v>1</v>
      </c>
      <c r="AI63" s="15">
        <v>7625000</v>
      </c>
      <c r="AJ63" s="31">
        <f t="shared" si="64"/>
        <v>7625000</v>
      </c>
      <c r="AK63" s="17">
        <f t="shared" si="29"/>
        <v>500.31255591607953</v>
      </c>
      <c r="AL63" s="14">
        <v>1</v>
      </c>
      <c r="AM63" s="15">
        <v>7625000</v>
      </c>
      <c r="AN63" s="31">
        <f>AM63*AL63</f>
        <v>7625000</v>
      </c>
      <c r="AO63" s="17">
        <f t="shared" si="30"/>
        <v>500.31255591607953</v>
      </c>
      <c r="AP63" s="14">
        <v>1</v>
      </c>
      <c r="AQ63" s="15">
        <v>7625000</v>
      </c>
      <c r="AR63" s="31">
        <f t="shared" si="65"/>
        <v>7625000</v>
      </c>
      <c r="AS63" s="17">
        <f t="shared" si="31"/>
        <v>500.31255591607953</v>
      </c>
      <c r="AT63" s="32">
        <v>1</v>
      </c>
      <c r="AU63" s="15">
        <v>7625000</v>
      </c>
      <c r="AV63" s="31">
        <f>AU63*AT63</f>
        <v>7625000</v>
      </c>
      <c r="AW63" s="17">
        <f t="shared" si="32"/>
        <v>500.31255591607953</v>
      </c>
      <c r="AX63" s="32">
        <v>1</v>
      </c>
      <c r="AY63" s="15">
        <v>7625000</v>
      </c>
      <c r="AZ63" s="31">
        <f>AY63*AX63</f>
        <v>7625000</v>
      </c>
      <c r="BA63" s="17">
        <f t="shared" si="33"/>
        <v>500.31255591607953</v>
      </c>
      <c r="BB63" s="20">
        <f t="shared" si="52"/>
        <v>12</v>
      </c>
      <c r="BC63" s="20">
        <f t="shared" si="53"/>
        <v>6003.7506709929548</v>
      </c>
    </row>
    <row r="64" spans="1:56">
      <c r="A64" s="14" t="s">
        <v>13</v>
      </c>
      <c r="B64" s="14" t="s">
        <v>59</v>
      </c>
      <c r="C64" s="14" t="s">
        <v>15</v>
      </c>
      <c r="D64" s="14" t="s">
        <v>60</v>
      </c>
      <c r="E64" s="77">
        <v>45852</v>
      </c>
      <c r="F64" s="14">
        <v>1</v>
      </c>
      <c r="G64" s="22">
        <v>5575000</v>
      </c>
      <c r="H64" s="31">
        <f t="shared" si="35"/>
        <v>5575000</v>
      </c>
      <c r="I64" s="17">
        <f t="shared" si="22"/>
        <v>365.80229498126471</v>
      </c>
      <c r="J64" s="14">
        <v>1</v>
      </c>
      <c r="K64" s="22">
        <v>5575000</v>
      </c>
      <c r="L64" s="31">
        <f t="shared" si="37"/>
        <v>5575000</v>
      </c>
      <c r="M64" s="17">
        <f t="shared" si="23"/>
        <v>365.80229498126471</v>
      </c>
      <c r="N64" s="14">
        <v>1</v>
      </c>
      <c r="O64" s="22">
        <v>5575000</v>
      </c>
      <c r="P64" s="31">
        <f>O64*N64</f>
        <v>5575000</v>
      </c>
      <c r="Q64" s="17">
        <f t="shared" si="24"/>
        <v>365.80229498126471</v>
      </c>
      <c r="R64" s="14">
        <v>1</v>
      </c>
      <c r="S64" s="22">
        <v>5575000</v>
      </c>
      <c r="T64" s="31">
        <f>S64*R64</f>
        <v>5575000</v>
      </c>
      <c r="U64" s="17">
        <f t="shared" si="25"/>
        <v>365.80229498126471</v>
      </c>
      <c r="V64" s="14">
        <v>1</v>
      </c>
      <c r="W64" s="22">
        <v>5575000</v>
      </c>
      <c r="X64" s="31">
        <f>W64*V64</f>
        <v>5575000</v>
      </c>
      <c r="Y64" s="17">
        <f t="shared" si="26"/>
        <v>365.80229498126471</v>
      </c>
      <c r="Z64" s="32">
        <v>1</v>
      </c>
      <c r="AA64" s="22">
        <v>5575000</v>
      </c>
      <c r="AB64" s="31">
        <f>AA64*Z64</f>
        <v>5575000</v>
      </c>
      <c r="AC64" s="17">
        <f t="shared" si="27"/>
        <v>365.80229498126471</v>
      </c>
      <c r="AD64" s="32">
        <v>1</v>
      </c>
      <c r="AE64" s="22">
        <v>5575000</v>
      </c>
      <c r="AF64" s="31">
        <f>AE64*AD64</f>
        <v>5575000</v>
      </c>
      <c r="AG64" s="17">
        <f t="shared" si="28"/>
        <v>365.80229498126471</v>
      </c>
      <c r="AH64" s="32">
        <v>1</v>
      </c>
      <c r="AI64" s="22">
        <v>5575000</v>
      </c>
      <c r="AJ64" s="31">
        <f t="shared" si="64"/>
        <v>5575000</v>
      </c>
      <c r="AK64" s="17">
        <f t="shared" si="29"/>
        <v>365.80229498126471</v>
      </c>
      <c r="AL64" s="14">
        <v>1</v>
      </c>
      <c r="AM64" s="22">
        <v>5575000</v>
      </c>
      <c r="AN64" s="31">
        <f>AM64*AL64</f>
        <v>5575000</v>
      </c>
      <c r="AO64" s="17">
        <f t="shared" si="30"/>
        <v>365.80229498126471</v>
      </c>
      <c r="AP64" s="14">
        <v>1</v>
      </c>
      <c r="AQ64" s="22">
        <v>5575000</v>
      </c>
      <c r="AR64" s="31">
        <f t="shared" si="65"/>
        <v>5575000</v>
      </c>
      <c r="AS64" s="17">
        <f t="shared" si="31"/>
        <v>365.80229498126471</v>
      </c>
      <c r="AT64" s="32">
        <v>1</v>
      </c>
      <c r="AU64" s="22">
        <v>5575000</v>
      </c>
      <c r="AV64" s="31">
        <f>AU64*AT64</f>
        <v>5575000</v>
      </c>
      <c r="AW64" s="17">
        <f t="shared" si="32"/>
        <v>365.80229498126471</v>
      </c>
      <c r="AX64" s="32">
        <v>1</v>
      </c>
      <c r="AY64" s="22">
        <v>5575000</v>
      </c>
      <c r="AZ64" s="31">
        <f>AY64*AX64</f>
        <v>5575000</v>
      </c>
      <c r="BA64" s="17">
        <f t="shared" si="33"/>
        <v>365.80229498126471</v>
      </c>
      <c r="BB64" s="20">
        <f t="shared" si="52"/>
        <v>12</v>
      </c>
      <c r="BC64" s="20">
        <f t="shared" si="53"/>
        <v>4389.627539775177</v>
      </c>
    </row>
    <row r="65" spans="1:55" s="89" customFormat="1">
      <c r="A65" s="84" t="s">
        <v>13</v>
      </c>
      <c r="B65" s="84" t="s">
        <v>61</v>
      </c>
      <c r="C65" s="84" t="s">
        <v>15</v>
      </c>
      <c r="D65" s="84" t="s">
        <v>62</v>
      </c>
      <c r="E65" s="78">
        <v>45412</v>
      </c>
      <c r="F65" s="84">
        <v>1</v>
      </c>
      <c r="G65" s="70">
        <v>4525000</v>
      </c>
      <c r="H65" s="85">
        <f t="shared" si="35"/>
        <v>4525000</v>
      </c>
      <c r="I65" s="86">
        <f t="shared" si="22"/>
        <v>296.90679547806684</v>
      </c>
      <c r="J65" s="84">
        <v>1</v>
      </c>
      <c r="K65" s="70">
        <v>4525000</v>
      </c>
      <c r="L65" s="85">
        <f t="shared" si="37"/>
        <v>4525000</v>
      </c>
      <c r="M65" s="86">
        <f t="shared" si="23"/>
        <v>296.90679547806684</v>
      </c>
      <c r="N65" s="84">
        <v>1</v>
      </c>
      <c r="O65" s="70">
        <v>4525000</v>
      </c>
      <c r="P65" s="85">
        <f>O65*N65</f>
        <v>4525000</v>
      </c>
      <c r="Q65" s="86">
        <f t="shared" si="24"/>
        <v>296.90679547806684</v>
      </c>
      <c r="R65" s="84">
        <v>1</v>
      </c>
      <c r="S65" s="70">
        <v>4525000</v>
      </c>
      <c r="T65" s="85">
        <f>S65*R65</f>
        <v>4525000</v>
      </c>
      <c r="U65" s="86">
        <f t="shared" si="25"/>
        <v>296.90679547806684</v>
      </c>
      <c r="V65" s="84">
        <v>1</v>
      </c>
      <c r="W65" s="70">
        <v>4525000</v>
      </c>
      <c r="X65" s="85">
        <f>W65*V65</f>
        <v>4525000</v>
      </c>
      <c r="Y65" s="86">
        <f t="shared" si="26"/>
        <v>296.90679547806684</v>
      </c>
      <c r="Z65" s="87">
        <v>1</v>
      </c>
      <c r="AA65" s="70">
        <v>4525000</v>
      </c>
      <c r="AB65" s="85">
        <f>AA65*Z65</f>
        <v>4525000</v>
      </c>
      <c r="AC65" s="86">
        <f t="shared" si="27"/>
        <v>296.90679547806684</v>
      </c>
      <c r="AD65" s="87">
        <v>1</v>
      </c>
      <c r="AE65" s="70">
        <v>4525000</v>
      </c>
      <c r="AF65" s="85">
        <f>AE65*AD65</f>
        <v>4525000</v>
      </c>
      <c r="AG65" s="86">
        <f t="shared" si="28"/>
        <v>296.90679547806684</v>
      </c>
      <c r="AH65" s="87">
        <v>1</v>
      </c>
      <c r="AI65" s="70">
        <v>4525000</v>
      </c>
      <c r="AJ65" s="85">
        <f t="shared" si="64"/>
        <v>4525000</v>
      </c>
      <c r="AK65" s="86">
        <f t="shared" si="29"/>
        <v>296.90679547806684</v>
      </c>
      <c r="AL65" s="84">
        <v>1</v>
      </c>
      <c r="AM65" s="70">
        <v>4525000</v>
      </c>
      <c r="AN65" s="85">
        <f>AM65*AL65</f>
        <v>4525000</v>
      </c>
      <c r="AO65" s="86">
        <f t="shared" si="30"/>
        <v>296.90679547806684</v>
      </c>
      <c r="AP65" s="84">
        <v>1</v>
      </c>
      <c r="AQ65" s="70">
        <v>4525000</v>
      </c>
      <c r="AR65" s="85">
        <f t="shared" si="65"/>
        <v>4525000</v>
      </c>
      <c r="AS65" s="86">
        <f t="shared" si="31"/>
        <v>296.90679547806684</v>
      </c>
      <c r="AT65" s="87">
        <v>1</v>
      </c>
      <c r="AU65" s="70">
        <v>6050000</v>
      </c>
      <c r="AV65" s="85">
        <f>AU65*AT65</f>
        <v>6050000</v>
      </c>
      <c r="AW65" s="86">
        <f t="shared" si="32"/>
        <v>396.96930666128276</v>
      </c>
      <c r="AX65" s="87">
        <v>1</v>
      </c>
      <c r="AY65" s="70">
        <v>6050000</v>
      </c>
      <c r="AZ65" s="85">
        <f>AY65*AX65</f>
        <v>6050000</v>
      </c>
      <c r="BA65" s="86">
        <f t="shared" si="33"/>
        <v>396.96930666128276</v>
      </c>
      <c r="BB65" s="88">
        <f t="shared" si="52"/>
        <v>12</v>
      </c>
      <c r="BC65" s="88">
        <f t="shared" si="53"/>
        <v>3763.0065681032333</v>
      </c>
    </row>
    <row r="66" spans="1:55">
      <c r="A66" s="14" t="s">
        <v>13</v>
      </c>
      <c r="B66" s="14" t="s">
        <v>63</v>
      </c>
      <c r="C66" s="14" t="s">
        <v>15</v>
      </c>
      <c r="D66" s="14" t="s">
        <v>64</v>
      </c>
      <c r="E66" s="77">
        <v>45869</v>
      </c>
      <c r="F66" s="14">
        <v>1</v>
      </c>
      <c r="G66" s="22">
        <v>5575000</v>
      </c>
      <c r="H66" s="31">
        <f t="shared" si="35"/>
        <v>5575000</v>
      </c>
      <c r="I66" s="17">
        <f t="shared" si="22"/>
        <v>365.80229498126471</v>
      </c>
      <c r="J66" s="14">
        <v>1</v>
      </c>
      <c r="K66" s="22">
        <v>5575000</v>
      </c>
      <c r="L66" s="31">
        <f t="shared" si="37"/>
        <v>5575000</v>
      </c>
      <c r="M66" s="17">
        <f t="shared" si="23"/>
        <v>365.80229498126471</v>
      </c>
      <c r="N66" s="14">
        <v>1</v>
      </c>
      <c r="O66" s="22">
        <v>5575000</v>
      </c>
      <c r="P66" s="31">
        <f>O66*N66</f>
        <v>5575000</v>
      </c>
      <c r="Q66" s="17">
        <f t="shared" si="24"/>
        <v>365.80229498126471</v>
      </c>
      <c r="R66" s="14">
        <v>1</v>
      </c>
      <c r="S66" s="22">
        <v>5575000</v>
      </c>
      <c r="T66" s="31">
        <f>S66*R66</f>
        <v>5575000</v>
      </c>
      <c r="U66" s="17">
        <f t="shared" si="25"/>
        <v>365.80229498126471</v>
      </c>
      <c r="V66" s="14">
        <v>1</v>
      </c>
      <c r="W66" s="22">
        <v>5575000</v>
      </c>
      <c r="X66" s="31">
        <f>W66*V66</f>
        <v>5575000</v>
      </c>
      <c r="Y66" s="17">
        <f t="shared" si="26"/>
        <v>365.80229498126471</v>
      </c>
      <c r="Z66" s="32">
        <v>1</v>
      </c>
      <c r="AA66" s="22">
        <v>5575000</v>
      </c>
      <c r="AB66" s="31">
        <f>AA66*Z66</f>
        <v>5575000</v>
      </c>
      <c r="AC66" s="17">
        <f t="shared" si="27"/>
        <v>365.80229498126471</v>
      </c>
      <c r="AD66" s="32">
        <v>1</v>
      </c>
      <c r="AE66" s="22">
        <v>5575000</v>
      </c>
      <c r="AF66" s="31">
        <f>AE66*AD66</f>
        <v>5575000</v>
      </c>
      <c r="AG66" s="17">
        <f t="shared" si="28"/>
        <v>365.80229498126471</v>
      </c>
      <c r="AH66" s="32">
        <v>1</v>
      </c>
      <c r="AI66" s="22">
        <v>5575000</v>
      </c>
      <c r="AJ66" s="31">
        <f t="shared" si="64"/>
        <v>5575000</v>
      </c>
      <c r="AK66" s="17">
        <f t="shared" si="29"/>
        <v>365.80229498126471</v>
      </c>
      <c r="AL66" s="14">
        <v>1</v>
      </c>
      <c r="AM66" s="22">
        <v>5575000</v>
      </c>
      <c r="AN66" s="31">
        <f>AM66*AL66</f>
        <v>5575000</v>
      </c>
      <c r="AO66" s="17">
        <f t="shared" si="30"/>
        <v>365.80229498126471</v>
      </c>
      <c r="AP66" s="14">
        <v>1</v>
      </c>
      <c r="AQ66" s="22">
        <v>5575000</v>
      </c>
      <c r="AR66" s="31">
        <f t="shared" si="65"/>
        <v>5575000</v>
      </c>
      <c r="AS66" s="17">
        <f t="shared" si="31"/>
        <v>365.80229498126471</v>
      </c>
      <c r="AT66" s="32">
        <v>1</v>
      </c>
      <c r="AU66" s="22">
        <v>5575000</v>
      </c>
      <c r="AV66" s="31">
        <f>AU66*AT66</f>
        <v>5575000</v>
      </c>
      <c r="AW66" s="17">
        <f t="shared" si="32"/>
        <v>365.80229498126471</v>
      </c>
      <c r="AX66" s="32">
        <v>1</v>
      </c>
      <c r="AY66" s="22">
        <v>5575000</v>
      </c>
      <c r="AZ66" s="31">
        <f>AY66*AX66</f>
        <v>5575000</v>
      </c>
      <c r="BA66" s="17">
        <f t="shared" si="33"/>
        <v>365.80229498126471</v>
      </c>
      <c r="BB66" s="20">
        <f t="shared" si="52"/>
        <v>12</v>
      </c>
      <c r="BC66" s="20">
        <f t="shared" si="53"/>
        <v>4389.627539775177</v>
      </c>
    </row>
    <row r="67" spans="1:55">
      <c r="A67" s="14" t="s">
        <v>13</v>
      </c>
      <c r="B67" s="14" t="s">
        <v>65</v>
      </c>
      <c r="C67" s="14" t="s">
        <v>15</v>
      </c>
      <c r="D67" s="14" t="s">
        <v>66</v>
      </c>
      <c r="E67" s="75"/>
      <c r="F67" s="14"/>
      <c r="G67" s="14"/>
      <c r="H67" s="31">
        <f t="shared" si="35"/>
        <v>0</v>
      </c>
      <c r="I67" s="17">
        <f t="shared" si="22"/>
        <v>0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32"/>
      <c r="AA67" s="14"/>
      <c r="AB67" s="14"/>
      <c r="AC67" s="14"/>
      <c r="AD67" s="33"/>
      <c r="AE67" s="14"/>
      <c r="AF67" s="14"/>
      <c r="AG67" s="14"/>
      <c r="AH67" s="32">
        <v>11</v>
      </c>
      <c r="AI67" s="23">
        <v>500000</v>
      </c>
      <c r="AJ67" s="31">
        <f t="shared" si="64"/>
        <v>5500000</v>
      </c>
      <c r="AK67" s="17">
        <f t="shared" si="29"/>
        <v>360.8811878738934</v>
      </c>
      <c r="AL67" s="14"/>
      <c r="AM67" s="23"/>
      <c r="AN67" s="14"/>
      <c r="AO67" s="14"/>
      <c r="AP67" s="14"/>
      <c r="AQ67" s="23"/>
      <c r="AR67" s="14"/>
      <c r="AS67" s="14"/>
      <c r="AT67" s="32"/>
      <c r="AU67" s="23"/>
      <c r="AV67" s="14"/>
      <c r="AW67" s="14"/>
      <c r="AX67" s="32"/>
      <c r="AY67" s="23"/>
      <c r="AZ67" s="14"/>
      <c r="BA67" s="14"/>
      <c r="BB67" s="20">
        <f t="shared" si="52"/>
        <v>11</v>
      </c>
      <c r="BC67" s="20">
        <f t="shared" si="53"/>
        <v>360.8811878738934</v>
      </c>
    </row>
    <row r="68" spans="1:55">
      <c r="A68" s="14" t="s">
        <v>13</v>
      </c>
      <c r="B68" s="14" t="s">
        <v>69</v>
      </c>
      <c r="C68" s="14" t="s">
        <v>15</v>
      </c>
      <c r="D68" s="14" t="s">
        <v>70</v>
      </c>
      <c r="E68" s="75"/>
      <c r="F68" s="14">
        <v>11</v>
      </c>
      <c r="G68" s="23">
        <v>4718735</v>
      </c>
      <c r="H68" s="31">
        <f t="shared" si="35"/>
        <v>51906085</v>
      </c>
      <c r="I68" s="17">
        <f t="shared" si="22"/>
        <v>3405.8053841242331</v>
      </c>
      <c r="J68" s="14">
        <v>11</v>
      </c>
      <c r="K68" s="23">
        <v>4711235</v>
      </c>
      <c r="L68" s="31">
        <f t="shared" si="37"/>
        <v>51823585</v>
      </c>
      <c r="M68" s="17">
        <f>L68/$D$2</f>
        <v>3400.3921663061246</v>
      </c>
      <c r="N68" s="14">
        <v>11</v>
      </c>
      <c r="O68" s="23">
        <v>4696235</v>
      </c>
      <c r="P68" s="31">
        <f>O68*N68</f>
        <v>51658585</v>
      </c>
      <c r="Q68" s="17">
        <f>P68/$D$2</f>
        <v>3389.5657306699077</v>
      </c>
      <c r="R68" s="14">
        <v>11</v>
      </c>
      <c r="S68" s="23">
        <v>4718735</v>
      </c>
      <c r="T68" s="31">
        <f>S68*R68</f>
        <v>51906085</v>
      </c>
      <c r="U68" s="17">
        <f>T68/$D$2</f>
        <v>3405.8053841242331</v>
      </c>
      <c r="V68" s="14">
        <v>11</v>
      </c>
      <c r="W68" s="23">
        <v>4703735</v>
      </c>
      <c r="X68" s="31">
        <f>W68*V68</f>
        <v>51741085</v>
      </c>
      <c r="Y68" s="17">
        <f>X68/$D$2</f>
        <v>3394.9789484880162</v>
      </c>
      <c r="Z68" s="14">
        <v>11</v>
      </c>
      <c r="AA68" s="23">
        <v>4696235</v>
      </c>
      <c r="AB68" s="31">
        <f>AA68*Z68</f>
        <v>51658585</v>
      </c>
      <c r="AC68" s="17">
        <f>AB68/$D$2</f>
        <v>3389.5657306699077</v>
      </c>
      <c r="AD68" s="14">
        <v>11</v>
      </c>
      <c r="AE68" s="23"/>
      <c r="AF68" s="31">
        <f>AE68*AD68</f>
        <v>0</v>
      </c>
      <c r="AG68" s="17">
        <f>AF68/$D$2</f>
        <v>0</v>
      </c>
      <c r="AH68" s="32">
        <v>11</v>
      </c>
      <c r="AI68" s="23">
        <v>4881346.4651520001</v>
      </c>
      <c r="AJ68" s="31">
        <f t="shared" si="64"/>
        <v>53694811.116672002</v>
      </c>
      <c r="AK68" s="17">
        <f t="shared" si="29"/>
        <v>3523.1722215361688</v>
      </c>
      <c r="AL68" s="14">
        <v>11</v>
      </c>
      <c r="AM68" s="23">
        <v>4881346.4651520001</v>
      </c>
      <c r="AN68" s="31">
        <f>AM68*AL68</f>
        <v>53694811.116672002</v>
      </c>
      <c r="AO68" s="17">
        <f>AN68/$D$2</f>
        <v>3523.1722215361688</v>
      </c>
      <c r="AP68" s="14">
        <v>11</v>
      </c>
      <c r="AQ68" s="23">
        <v>4881346.4651520001</v>
      </c>
      <c r="AR68" s="31">
        <f t="shared" si="65"/>
        <v>53694811.116672002</v>
      </c>
      <c r="AS68" s="17">
        <f>AR68/$D$2</f>
        <v>3523.1722215361688</v>
      </c>
      <c r="AT68" s="14">
        <v>11</v>
      </c>
      <c r="AU68" s="23">
        <v>4881346.4651520001</v>
      </c>
      <c r="AV68" s="31">
        <f>AU68*AT68</f>
        <v>53694811.116672002</v>
      </c>
      <c r="AW68" s="17">
        <f>AV68/$D$2</f>
        <v>3523.1722215361688</v>
      </c>
      <c r="AX68" s="14">
        <v>11</v>
      </c>
      <c r="AY68" s="23">
        <v>4881346.4651520001</v>
      </c>
      <c r="AZ68" s="31">
        <f>AY68*AX68</f>
        <v>53694811.116672002</v>
      </c>
      <c r="BA68" s="17">
        <f>AZ68/$D$2</f>
        <v>3523.1722215361688</v>
      </c>
      <c r="BB68" s="20">
        <f t="shared" si="52"/>
        <v>132</v>
      </c>
      <c r="BC68" s="20">
        <f t="shared" si="53"/>
        <v>38001.974452063267</v>
      </c>
    </row>
    <row r="69" spans="1:55">
      <c r="A69" s="14" t="s">
        <v>13</v>
      </c>
      <c r="B69" s="14" t="s">
        <v>67</v>
      </c>
      <c r="C69" s="14" t="s">
        <v>15</v>
      </c>
      <c r="D69" s="14" t="s">
        <v>68</v>
      </c>
      <c r="E69" s="77">
        <v>45565</v>
      </c>
      <c r="F69" s="14">
        <v>1</v>
      </c>
      <c r="G69" s="21">
        <v>4675000</v>
      </c>
      <c r="H69" s="31">
        <f t="shared" si="35"/>
        <v>4675000</v>
      </c>
      <c r="I69" s="17">
        <f t="shared" si="22"/>
        <v>306.74900969280941</v>
      </c>
      <c r="J69" s="14">
        <v>1</v>
      </c>
      <c r="K69" s="21">
        <v>4675000</v>
      </c>
      <c r="L69" s="31">
        <f t="shared" si="37"/>
        <v>4675000</v>
      </c>
      <c r="M69" s="17">
        <f>L69/$D$2</f>
        <v>306.74900969280941</v>
      </c>
      <c r="N69" s="14">
        <v>1</v>
      </c>
      <c r="O69" s="21">
        <v>4675000</v>
      </c>
      <c r="P69" s="31">
        <f>O69*N69</f>
        <v>4675000</v>
      </c>
      <c r="Q69" s="17">
        <f>P69/$D$2</f>
        <v>306.74900969280941</v>
      </c>
      <c r="R69" s="14">
        <v>1</v>
      </c>
      <c r="S69" s="21">
        <v>4675000</v>
      </c>
      <c r="T69" s="31">
        <f>S69*R69</f>
        <v>4675000</v>
      </c>
      <c r="U69" s="17">
        <f>T69/$D$2</f>
        <v>306.74900969280941</v>
      </c>
      <c r="V69" s="14">
        <v>1</v>
      </c>
      <c r="W69" s="21">
        <v>4675000</v>
      </c>
      <c r="X69" s="31">
        <f>W69*V69</f>
        <v>4675000</v>
      </c>
      <c r="Y69" s="17">
        <f>X69/$D$2</f>
        <v>306.74900969280941</v>
      </c>
      <c r="Z69" s="32">
        <v>1</v>
      </c>
      <c r="AA69" s="21">
        <v>4675000</v>
      </c>
      <c r="AB69" s="31">
        <f>AA69*Z69</f>
        <v>4675000</v>
      </c>
      <c r="AC69" s="17">
        <f>AB69/$D$2</f>
        <v>306.74900969280941</v>
      </c>
      <c r="AD69" s="32">
        <v>1</v>
      </c>
      <c r="AE69" s="21">
        <v>4675000</v>
      </c>
      <c r="AF69" s="31">
        <f>AE69*AD69</f>
        <v>4675000</v>
      </c>
      <c r="AG69" s="17">
        <f>AF69/$D$2</f>
        <v>306.74900969280941</v>
      </c>
      <c r="AH69" s="32">
        <v>1</v>
      </c>
      <c r="AI69" s="21">
        <v>4675000</v>
      </c>
      <c r="AJ69" s="31">
        <f>AI69*AH69</f>
        <v>4675000</v>
      </c>
      <c r="AK69" s="17">
        <f t="shared" si="29"/>
        <v>306.74900969280941</v>
      </c>
      <c r="AL69" s="14">
        <v>1</v>
      </c>
      <c r="AM69" s="21">
        <v>4675000</v>
      </c>
      <c r="AN69" s="31">
        <f>AM69*AL69</f>
        <v>4675000</v>
      </c>
      <c r="AO69" s="17">
        <f>AN69/$D$2</f>
        <v>306.74900969280941</v>
      </c>
      <c r="AP69" s="14">
        <v>1</v>
      </c>
      <c r="AQ69" s="21">
        <v>4675000</v>
      </c>
      <c r="AR69" s="31">
        <f>AQ69*AP69</f>
        <v>4675000</v>
      </c>
      <c r="AS69" s="17">
        <f>AR69/$D$2</f>
        <v>306.74900969280941</v>
      </c>
      <c r="AT69" s="32">
        <v>1</v>
      </c>
      <c r="AU69" s="21">
        <v>4675000</v>
      </c>
      <c r="AV69" s="31">
        <f>AU69*AT69</f>
        <v>4675000</v>
      </c>
      <c r="AW69" s="17">
        <f>AV69/$D$2</f>
        <v>306.74900969280941</v>
      </c>
      <c r="AX69" s="32">
        <v>1</v>
      </c>
      <c r="AY69" s="21">
        <v>4675000</v>
      </c>
      <c r="AZ69" s="31">
        <f>AY69*AX69</f>
        <v>4675000</v>
      </c>
      <c r="BA69" s="17">
        <f>AZ69/$D$2</f>
        <v>306.74900969280941</v>
      </c>
      <c r="BB69" s="20">
        <f t="shared" si="52"/>
        <v>12</v>
      </c>
      <c r="BC69" s="20">
        <f t="shared" si="53"/>
        <v>3680.9881163137138</v>
      </c>
    </row>
    <row r="70" spans="1:55">
      <c r="A70" s="14" t="s">
        <v>13</v>
      </c>
      <c r="B70" s="14" t="s">
        <v>71</v>
      </c>
      <c r="C70" s="14" t="s">
        <v>15</v>
      </c>
      <c r="D70" s="14" t="s">
        <v>72</v>
      </c>
      <c r="E70" s="75"/>
      <c r="F70" s="14">
        <v>20</v>
      </c>
      <c r="G70" s="15">
        <v>1500000</v>
      </c>
      <c r="H70" s="31">
        <f t="shared" si="35"/>
        <v>30000000</v>
      </c>
      <c r="I70" s="17">
        <f t="shared" si="22"/>
        <v>1968.4428429485095</v>
      </c>
      <c r="J70" s="14">
        <v>20</v>
      </c>
      <c r="K70" s="15">
        <v>1500000</v>
      </c>
      <c r="L70" s="31">
        <f t="shared" si="37"/>
        <v>30000000</v>
      </c>
      <c r="M70" s="17">
        <f>L70/$D$2</f>
        <v>1968.4428429485095</v>
      </c>
      <c r="N70" s="14">
        <v>20</v>
      </c>
      <c r="O70" s="15">
        <v>1500000</v>
      </c>
      <c r="P70" s="31">
        <f>O70*N70</f>
        <v>30000000</v>
      </c>
      <c r="Q70" s="17">
        <f>P70/$D$2</f>
        <v>1968.4428429485095</v>
      </c>
      <c r="R70" s="14">
        <v>20</v>
      </c>
      <c r="S70" s="15">
        <v>1500000</v>
      </c>
      <c r="T70" s="31">
        <f>S70*R70</f>
        <v>30000000</v>
      </c>
      <c r="U70" s="17">
        <f>T70/$D$2</f>
        <v>1968.4428429485095</v>
      </c>
      <c r="V70" s="14">
        <v>20</v>
      </c>
      <c r="W70" s="15">
        <v>1500000</v>
      </c>
      <c r="X70" s="31">
        <f>W70*V70</f>
        <v>30000000</v>
      </c>
      <c r="Y70" s="17">
        <f>X70/$D$2</f>
        <v>1968.4428429485095</v>
      </c>
      <c r="Z70" s="36">
        <v>20</v>
      </c>
      <c r="AA70" s="15">
        <v>1500000</v>
      </c>
      <c r="AB70" s="31">
        <f>AA70*Z70</f>
        <v>30000000</v>
      </c>
      <c r="AC70" s="17">
        <f>AB70/$D$2</f>
        <v>1968.4428429485095</v>
      </c>
      <c r="AD70" s="36">
        <v>20</v>
      </c>
      <c r="AE70" s="15">
        <v>1500000</v>
      </c>
      <c r="AF70" s="31">
        <f>AE70*AD70</f>
        <v>30000000</v>
      </c>
      <c r="AG70" s="17">
        <f>AF70/$D$2</f>
        <v>1968.4428429485095</v>
      </c>
      <c r="AH70" s="36">
        <v>20</v>
      </c>
      <c r="AI70" s="15">
        <v>1500000</v>
      </c>
      <c r="AJ70" s="31">
        <f>AI70*AH70</f>
        <v>30000000</v>
      </c>
      <c r="AK70" s="17">
        <f t="shared" si="29"/>
        <v>1968.4428429485095</v>
      </c>
      <c r="AL70" s="14">
        <v>20</v>
      </c>
      <c r="AM70" s="15">
        <v>1500000</v>
      </c>
      <c r="AN70" s="31">
        <f>AM70*AL70</f>
        <v>30000000</v>
      </c>
      <c r="AO70" s="17">
        <f>AN70/$D$2</f>
        <v>1968.4428429485095</v>
      </c>
      <c r="AP70" s="14">
        <v>20</v>
      </c>
      <c r="AQ70" s="15">
        <v>1500000</v>
      </c>
      <c r="AR70" s="31">
        <f>AQ70*AP70</f>
        <v>30000000</v>
      </c>
      <c r="AS70" s="17">
        <f>AR70/$D$2</f>
        <v>1968.4428429485095</v>
      </c>
      <c r="AT70" s="36">
        <v>20</v>
      </c>
      <c r="AU70" s="15">
        <v>1500000</v>
      </c>
      <c r="AV70" s="31">
        <f>AU70*AT70</f>
        <v>30000000</v>
      </c>
      <c r="AW70" s="17">
        <f>AV70/$D$2</f>
        <v>1968.4428429485095</v>
      </c>
      <c r="AX70" s="36">
        <v>20</v>
      </c>
      <c r="AY70" s="15">
        <v>1500000</v>
      </c>
      <c r="AZ70" s="31">
        <f>AY70*AX70</f>
        <v>30000000</v>
      </c>
      <c r="BA70" s="17">
        <f>AZ70/$D$2</f>
        <v>1968.4428429485095</v>
      </c>
      <c r="BB70" s="20">
        <f t="shared" si="52"/>
        <v>240</v>
      </c>
      <c r="BC70" s="20">
        <f>I70+M70+Q70+U70+Y70+AC70+AG70+AK70+AO70+AS70+AW70+BA70</f>
        <v>23621.314115382109</v>
      </c>
    </row>
    <row r="71" spans="1:55">
      <c r="BB71" s="37">
        <f>SUM(BB42:BB70)</f>
        <v>45359</v>
      </c>
      <c r="BC71" s="37">
        <f>SUM(BC42:BC70)</f>
        <v>220564.80984156267</v>
      </c>
    </row>
    <row r="76" spans="1:55" ht="48" hidden="1" thickBot="1">
      <c r="A76" s="38" t="s">
        <v>75</v>
      </c>
      <c r="B76" s="159" t="s">
        <v>76</v>
      </c>
      <c r="C76" s="160"/>
      <c r="D76" s="39" t="s">
        <v>77</v>
      </c>
      <c r="E76" s="79"/>
      <c r="F76" s="161" t="s">
        <v>78</v>
      </c>
      <c r="G76" s="162"/>
      <c r="H76" s="40" t="s">
        <v>79</v>
      </c>
      <c r="I76" s="39" t="s">
        <v>80</v>
      </c>
      <c r="J76" s="39" t="s">
        <v>81</v>
      </c>
      <c r="K76" s="39" t="s">
        <v>82</v>
      </c>
      <c r="L76" s="39" t="s">
        <v>83</v>
      </c>
      <c r="M76" s="40" t="s">
        <v>84</v>
      </c>
      <c r="N76" s="40" t="s">
        <v>85</v>
      </c>
      <c r="O76" s="41" t="s">
        <v>86</v>
      </c>
    </row>
    <row r="77" spans="1:55" ht="32.25" hidden="1" customHeight="1">
      <c r="A77" s="42">
        <v>1</v>
      </c>
      <c r="B77" s="153"/>
      <c r="C77" s="153"/>
      <c r="D77" s="43"/>
      <c r="E77" s="80"/>
      <c r="F77" s="149" t="s">
        <v>88</v>
      </c>
      <c r="G77" s="149"/>
      <c r="H77" s="44">
        <v>2023</v>
      </c>
      <c r="I77" s="45">
        <v>9000000</v>
      </c>
      <c r="J77" s="44" t="s">
        <v>87</v>
      </c>
      <c r="K77" s="46">
        <v>44986</v>
      </c>
      <c r="L77" s="46">
        <v>46081</v>
      </c>
      <c r="M77" s="47">
        <v>3</v>
      </c>
      <c r="N77" s="48" t="s">
        <v>13</v>
      </c>
      <c r="O77" s="49">
        <f t="shared" ref="O77:O82" ca="1" si="66">ROUNDDOWN((L77-NOW())/30,0)</f>
        <v>26</v>
      </c>
    </row>
    <row r="78" spans="1:55" ht="32.25" hidden="1" customHeight="1">
      <c r="A78" s="50">
        <v>2</v>
      </c>
      <c r="B78" s="149"/>
      <c r="C78" s="149"/>
      <c r="D78" s="51"/>
      <c r="E78" s="81"/>
      <c r="F78" s="149" t="s">
        <v>88</v>
      </c>
      <c r="G78" s="149"/>
      <c r="H78" s="52">
        <v>2022</v>
      </c>
      <c r="I78" s="53">
        <v>7625000</v>
      </c>
      <c r="J78" s="52" t="s">
        <v>89</v>
      </c>
      <c r="K78" s="54">
        <v>44743</v>
      </c>
      <c r="L78" s="54">
        <v>45838</v>
      </c>
      <c r="M78" s="55">
        <v>3</v>
      </c>
      <c r="N78" s="56" t="s">
        <v>13</v>
      </c>
      <c r="O78" s="57">
        <f ca="1">ROUNDDOWN((L78-NOW())/30,0)</f>
        <v>18</v>
      </c>
    </row>
    <row r="79" spans="1:55" ht="32.25" hidden="1" customHeight="1">
      <c r="A79" s="50">
        <v>3</v>
      </c>
      <c r="B79" s="149"/>
      <c r="C79" s="149"/>
      <c r="D79" s="51"/>
      <c r="E79" s="81"/>
      <c r="F79" s="149" t="s">
        <v>88</v>
      </c>
      <c r="G79" s="149"/>
      <c r="H79" s="52">
        <v>2022</v>
      </c>
      <c r="I79" s="53">
        <v>5575000</v>
      </c>
      <c r="J79" s="52" t="s">
        <v>89</v>
      </c>
      <c r="K79" s="54">
        <v>44757</v>
      </c>
      <c r="L79" s="54">
        <v>45852</v>
      </c>
      <c r="M79" s="55">
        <v>3</v>
      </c>
      <c r="N79" s="56" t="s">
        <v>13</v>
      </c>
      <c r="O79" s="57">
        <f t="shared" ca="1" si="66"/>
        <v>18</v>
      </c>
    </row>
    <row r="80" spans="1:55" ht="32.25" hidden="1" customHeight="1">
      <c r="A80" s="50">
        <v>4</v>
      </c>
      <c r="B80" s="149"/>
      <c r="C80" s="149"/>
      <c r="D80" s="51"/>
      <c r="E80" s="81"/>
      <c r="F80" s="149" t="s">
        <v>88</v>
      </c>
      <c r="G80" s="149"/>
      <c r="H80" s="52">
        <v>2022</v>
      </c>
      <c r="I80" s="53">
        <v>5575000</v>
      </c>
      <c r="J80" s="52" t="s">
        <v>89</v>
      </c>
      <c r="K80" s="54">
        <v>44774</v>
      </c>
      <c r="L80" s="54">
        <v>45869</v>
      </c>
      <c r="M80" s="55">
        <v>3</v>
      </c>
      <c r="N80" s="56" t="s">
        <v>13</v>
      </c>
      <c r="O80" s="57">
        <f t="shared" ca="1" si="66"/>
        <v>19</v>
      </c>
    </row>
    <row r="81" spans="1:15" ht="32.25" hidden="1" customHeight="1">
      <c r="A81" s="50">
        <v>5</v>
      </c>
      <c r="B81" s="150"/>
      <c r="C81" s="150"/>
      <c r="D81" s="51"/>
      <c r="E81" s="81"/>
      <c r="F81" s="149" t="s">
        <v>88</v>
      </c>
      <c r="G81" s="149"/>
      <c r="H81" s="52">
        <v>2021</v>
      </c>
      <c r="I81" s="53">
        <v>4525000</v>
      </c>
      <c r="J81" s="52" t="s">
        <v>89</v>
      </c>
      <c r="K81" s="54">
        <v>44317</v>
      </c>
      <c r="L81" s="58">
        <v>45412</v>
      </c>
      <c r="M81" s="55">
        <v>3</v>
      </c>
      <c r="N81" s="56" t="s">
        <v>13</v>
      </c>
      <c r="O81" s="57">
        <f t="shared" ca="1" si="66"/>
        <v>3</v>
      </c>
    </row>
    <row r="82" spans="1:15" ht="32.25" hidden="1" customHeight="1" thickBot="1">
      <c r="A82" s="59">
        <v>6</v>
      </c>
      <c r="B82" s="151"/>
      <c r="C82" s="151"/>
      <c r="D82" s="60"/>
      <c r="E82" s="82"/>
      <c r="F82" s="152" t="s">
        <v>88</v>
      </c>
      <c r="G82" s="152"/>
      <c r="H82" s="61">
        <v>2021</v>
      </c>
      <c r="I82" s="62">
        <v>4675000</v>
      </c>
      <c r="J82" s="61" t="s">
        <v>89</v>
      </c>
      <c r="K82" s="63">
        <v>44470</v>
      </c>
      <c r="L82" s="63">
        <v>45565</v>
      </c>
      <c r="M82" s="64">
        <v>3</v>
      </c>
      <c r="N82" s="65" t="s">
        <v>13</v>
      </c>
      <c r="O82" s="66">
        <f t="shared" ca="1" si="66"/>
        <v>8</v>
      </c>
    </row>
  </sheetData>
  <mergeCells count="114">
    <mergeCell ref="BB3:BB5"/>
    <mergeCell ref="BC3:BC5"/>
    <mergeCell ref="F4:F5"/>
    <mergeCell ref="G4:G5"/>
    <mergeCell ref="H4:I4"/>
    <mergeCell ref="J4:J5"/>
    <mergeCell ref="K4:K5"/>
    <mergeCell ref="L4:M4"/>
    <mergeCell ref="N4:N5"/>
    <mergeCell ref="O4:O5"/>
    <mergeCell ref="AD3:AG3"/>
    <mergeCell ref="AH3:AK3"/>
    <mergeCell ref="AL3:AO3"/>
    <mergeCell ref="AP3:AS3"/>
    <mergeCell ref="AT3:AW3"/>
    <mergeCell ref="AX3:BA3"/>
    <mergeCell ref="F3:I3"/>
    <mergeCell ref="J3:M3"/>
    <mergeCell ref="N3:Q3"/>
    <mergeCell ref="R3:U3"/>
    <mergeCell ref="V3:Y3"/>
    <mergeCell ref="Z3:AC3"/>
    <mergeCell ref="AA4:AA5"/>
    <mergeCell ref="AB4:AC4"/>
    <mergeCell ref="AD4:AD5"/>
    <mergeCell ref="AE4:AE5"/>
    <mergeCell ref="P4:Q4"/>
    <mergeCell ref="R4:R5"/>
    <mergeCell ref="S4:S5"/>
    <mergeCell ref="T4:U4"/>
    <mergeCell ref="V4:V5"/>
    <mergeCell ref="W4:W5"/>
    <mergeCell ref="AV4:AW4"/>
    <mergeCell ref="AX4:AX5"/>
    <mergeCell ref="AY4:AY5"/>
    <mergeCell ref="AZ4:BA4"/>
    <mergeCell ref="F39:I39"/>
    <mergeCell ref="J39:M39"/>
    <mergeCell ref="N39:Q39"/>
    <mergeCell ref="R39:U39"/>
    <mergeCell ref="V39:Y39"/>
    <mergeCell ref="Z39:AC39"/>
    <mergeCell ref="AN4:AO4"/>
    <mergeCell ref="AP4:AP5"/>
    <mergeCell ref="AQ4:AQ5"/>
    <mergeCell ref="AR4:AS4"/>
    <mergeCell ref="AT4:AT5"/>
    <mergeCell ref="AU4:AU5"/>
    <mergeCell ref="AF4:AG4"/>
    <mergeCell ref="AH4:AH5"/>
    <mergeCell ref="AI4:AI5"/>
    <mergeCell ref="AJ4:AK4"/>
    <mergeCell ref="AL4:AL5"/>
    <mergeCell ref="AM4:AM5"/>
    <mergeCell ref="X4:Y4"/>
    <mergeCell ref="Z4:Z5"/>
    <mergeCell ref="P40:Q40"/>
    <mergeCell ref="R40:R41"/>
    <mergeCell ref="S40:S41"/>
    <mergeCell ref="T40:U40"/>
    <mergeCell ref="V40:V41"/>
    <mergeCell ref="W40:W41"/>
    <mergeCell ref="BB39:BB41"/>
    <mergeCell ref="BC39:BC41"/>
    <mergeCell ref="F40:F41"/>
    <mergeCell ref="G40:G41"/>
    <mergeCell ref="H40:I40"/>
    <mergeCell ref="J40:J41"/>
    <mergeCell ref="K40:K41"/>
    <mergeCell ref="L40:M40"/>
    <mergeCell ref="N40:N41"/>
    <mergeCell ref="O40:O41"/>
    <mergeCell ref="AD39:AG39"/>
    <mergeCell ref="AH39:AK39"/>
    <mergeCell ref="AL39:AO39"/>
    <mergeCell ref="AP39:AS39"/>
    <mergeCell ref="AT39:AW39"/>
    <mergeCell ref="AX39:BA39"/>
    <mergeCell ref="AV40:AW40"/>
    <mergeCell ref="AX40:AX41"/>
    <mergeCell ref="AY40:AY41"/>
    <mergeCell ref="AZ40:BA40"/>
    <mergeCell ref="B76:C76"/>
    <mergeCell ref="F76:G76"/>
    <mergeCell ref="AN40:AO40"/>
    <mergeCell ref="AP40:AP41"/>
    <mergeCell ref="AQ40:AQ41"/>
    <mergeCell ref="AR40:AS40"/>
    <mergeCell ref="AT40:AT41"/>
    <mergeCell ref="AU40:AU41"/>
    <mergeCell ref="AF40:AG40"/>
    <mergeCell ref="AH40:AH41"/>
    <mergeCell ref="AI40:AI41"/>
    <mergeCell ref="AJ40:AK40"/>
    <mergeCell ref="AL40:AL41"/>
    <mergeCell ref="AM40:AM41"/>
    <mergeCell ref="X40:Y40"/>
    <mergeCell ref="Z40:Z41"/>
    <mergeCell ref="AA40:AA41"/>
    <mergeCell ref="AB40:AC40"/>
    <mergeCell ref="AD40:AD41"/>
    <mergeCell ref="AE40:AE41"/>
    <mergeCell ref="B80:C80"/>
    <mergeCell ref="F80:G80"/>
    <mergeCell ref="B81:C81"/>
    <mergeCell ref="F81:G81"/>
    <mergeCell ref="B82:C82"/>
    <mergeCell ref="F82:G82"/>
    <mergeCell ref="B77:C77"/>
    <mergeCell ref="F77:G77"/>
    <mergeCell ref="B78:C78"/>
    <mergeCell ref="F78:G78"/>
    <mergeCell ref="B79:C79"/>
    <mergeCell ref="F79:G79"/>
  </mergeCells>
  <conditionalFormatting sqref="E69">
    <cfRule type="expression" dxfId="29" priority="19">
      <formula>$S69:$S319="Penting"</formula>
    </cfRule>
    <cfRule type="expression" dxfId="28" priority="20">
      <formula>$M69:$M319=""</formula>
    </cfRule>
    <cfRule type="expression" dxfId="27" priority="21">
      <formula>$M69:$M319="Cancel"</formula>
    </cfRule>
    <cfRule type="expression" dxfId="26" priority="22">
      <formula>$M69:$M319="End"</formula>
    </cfRule>
    <cfRule type="expression" dxfId="25" priority="23">
      <formula>$M69:$M319&lt;=0</formula>
    </cfRule>
    <cfRule type="expression" dxfId="24" priority="24">
      <formula>$M69:$M319&lt;4</formula>
    </cfRule>
  </conditionalFormatting>
  <conditionalFormatting sqref="E62">
    <cfRule type="expression" dxfId="23" priority="115">
      <formula>$S62:$S311="Penting"</formula>
    </cfRule>
    <cfRule type="expression" dxfId="22" priority="116">
      <formula>$M62:$M311=""</formula>
    </cfRule>
    <cfRule type="expression" dxfId="21" priority="117">
      <formula>$M62:$M311="Cancel"</formula>
    </cfRule>
    <cfRule type="expression" dxfId="20" priority="118">
      <formula>$M62:$M311="End"</formula>
    </cfRule>
    <cfRule type="expression" dxfId="19" priority="119">
      <formula>$M62:$M311&lt;=0</formula>
    </cfRule>
    <cfRule type="expression" dxfId="18" priority="120">
      <formula>$M62:$M311&lt;4</formula>
    </cfRule>
  </conditionalFormatting>
  <conditionalFormatting sqref="E60 E54 E63:E66">
    <cfRule type="expression" dxfId="17" priority="193">
      <formula>$S54:$S302="Penting"</formula>
    </cfRule>
    <cfRule type="expression" dxfId="16" priority="194">
      <formula>$M54:$M302=""</formula>
    </cfRule>
    <cfRule type="expression" dxfId="15" priority="195">
      <formula>$M54:$M302="Cancel"</formula>
    </cfRule>
    <cfRule type="expression" dxfId="14" priority="196">
      <formula>$M54:$M302="End"</formula>
    </cfRule>
    <cfRule type="expression" dxfId="13" priority="197">
      <formula>$M54:$M302&lt;=0</formula>
    </cfRule>
    <cfRule type="expression" dxfId="12" priority="198">
      <formula>$M54:$M302&lt;4</formula>
    </cfRule>
  </conditionalFormatting>
  <conditionalFormatting sqref="E61 E53 E59 E55:E57">
    <cfRule type="expression" dxfId="11" priority="211">
      <formula>$S53:$S299="Penting"</formula>
    </cfRule>
    <cfRule type="expression" dxfId="10" priority="212">
      <formula>$M53:$M299=""</formula>
    </cfRule>
    <cfRule type="expression" dxfId="9" priority="213">
      <formula>$M53:$M299="Cancel"</formula>
    </cfRule>
    <cfRule type="expression" dxfId="8" priority="214">
      <formula>$M53:$M299="End"</formula>
    </cfRule>
    <cfRule type="expression" dxfId="7" priority="215">
      <formula>$M53:$M299&lt;=0</formula>
    </cfRule>
    <cfRule type="expression" dxfId="6" priority="216">
      <formula>$M53:$M299&lt;4</formula>
    </cfRule>
  </conditionalFormatting>
  <conditionalFormatting sqref="E58">
    <cfRule type="expression" dxfId="5" priority="235">
      <formula>$S49:$S295="Penting"</formula>
    </cfRule>
    <cfRule type="expression" dxfId="4" priority="236">
      <formula>$M49:$M295=""</formula>
    </cfRule>
    <cfRule type="expression" dxfId="3" priority="237">
      <formula>$M49:$M295="Cancel"</formula>
    </cfRule>
    <cfRule type="expression" dxfId="2" priority="238">
      <formula>$M49:$M295="End"</formula>
    </cfRule>
    <cfRule type="expression" dxfId="1" priority="239">
      <formula>$M49:$M295&lt;=0</formula>
    </cfRule>
    <cfRule type="expression" dxfId="0" priority="240">
      <formula>$M49:$M295&lt;4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 Pengemudi 2024</vt:lpstr>
      <vt:lpstr>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</dc:creator>
  <cp:lastModifiedBy>GA-03</cp:lastModifiedBy>
  <dcterms:created xsi:type="dcterms:W3CDTF">2023-12-26T02:59:37Z</dcterms:created>
  <dcterms:modified xsi:type="dcterms:W3CDTF">2024-01-06T07:31:03Z</dcterms:modified>
</cp:coreProperties>
</file>