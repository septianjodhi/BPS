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GA\GA-03- MIKI\2. PERJALANAN DINAS\DOMESTIC\"/>
    </mc:Choice>
  </mc:AlternateContent>
  <bookViews>
    <workbookView xWindow="0" yWindow="0" windowWidth="21600" windowHeight="9180"/>
  </bookViews>
  <sheets>
    <sheet name="LOKAL" sheetId="1" r:id="rId1"/>
    <sheet name="serah terima JF" sheetId="2" r:id="rId2"/>
    <sheet name="Sheet1" sheetId="3" r:id="rId3"/>
    <sheet name="Sheet2" sheetId="4" r:id="rId4"/>
  </sheets>
  <externalReferences>
    <externalReference r:id="rId5"/>
    <externalReference r:id="rId6"/>
  </externalReferences>
  <definedNames>
    <definedName name="_xlnm.Print_Area" localSheetId="0">LOKAL!$D$82:$N$87</definedName>
    <definedName name="_xlnm.Print_Area" localSheetId="1">'serah terima JF'!$A$1:$P$22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3" i="1" l="1"/>
  <c r="M122" i="1"/>
  <c r="M121" i="1"/>
  <c r="M82" i="1" l="1"/>
  <c r="M84" i="1"/>
  <c r="M72" i="1" l="1"/>
  <c r="M71" i="1"/>
  <c r="M51" i="1" l="1"/>
  <c r="M52" i="1"/>
  <c r="M53" i="1"/>
  <c r="M54" i="1"/>
  <c r="M50" i="1"/>
  <c r="E7" i="3" l="1"/>
  <c r="F5" i="3" s="1"/>
  <c r="L19" i="2" l="1"/>
  <c r="L17" i="2"/>
  <c r="L16" i="2"/>
  <c r="L21" i="2"/>
  <c r="L20" i="2"/>
  <c r="M20" i="2" s="1"/>
  <c r="L15" i="2"/>
  <c r="L14" i="2"/>
  <c r="L13" i="2"/>
  <c r="L12" i="2"/>
  <c r="L11" i="2"/>
  <c r="L10" i="2"/>
  <c r="L9" i="2"/>
  <c r="L8" i="2"/>
  <c r="L7" i="2"/>
  <c r="M7" i="2" s="1"/>
  <c r="L6" i="2"/>
  <c r="L5" i="2"/>
  <c r="M5" i="2" s="1"/>
  <c r="M22" i="2" l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</calcChain>
</file>

<file path=xl/sharedStrings.xml><?xml version="1.0" encoding="utf-8"?>
<sst xmlns="http://schemas.openxmlformats.org/spreadsheetml/2006/main" count="1070" uniqueCount="351">
  <si>
    <t>NO</t>
  </si>
  <si>
    <t>TANGGAL</t>
  </si>
  <si>
    <t>START</t>
  </si>
  <si>
    <t>FINISH</t>
  </si>
  <si>
    <t>NAMA</t>
  </si>
  <si>
    <t>DEPT. / SECT.</t>
  </si>
  <si>
    <t>NIK</t>
  </si>
  <si>
    <t>NOMOR REKENING</t>
  </si>
  <si>
    <t>PEJALANAN DINAS LOKAL KARYAWAN</t>
  </si>
  <si>
    <t>QA / QA</t>
  </si>
  <si>
    <t>PRD / PRD</t>
  </si>
  <si>
    <t>PE / PE</t>
  </si>
  <si>
    <t>MUNHAMIR</t>
  </si>
  <si>
    <t>JABATAN</t>
  </si>
  <si>
    <t>SPV</t>
  </si>
  <si>
    <t>SRI PURWANTI</t>
  </si>
  <si>
    <t>CSPV</t>
  </si>
  <si>
    <t>NURUL ZUNI ASIYAM</t>
  </si>
  <si>
    <t>PGA</t>
  </si>
  <si>
    <t>MGR</t>
  </si>
  <si>
    <t>0012</t>
  </si>
  <si>
    <t>ARI WIJAYANTI</t>
  </si>
  <si>
    <t>PGA / HR</t>
  </si>
  <si>
    <t>FAJAR ADI DEWA</t>
  </si>
  <si>
    <t>TUJUAN</t>
  </si>
  <si>
    <t>KEPENTINGA</t>
  </si>
  <si>
    <t>HPPM</t>
  </si>
  <si>
    <t>JAI</t>
  </si>
  <si>
    <t>HR FORUM</t>
  </si>
  <si>
    <t>TRAINING GPAC-V</t>
  </si>
  <si>
    <t>PIC GA</t>
  </si>
  <si>
    <t>RENNY</t>
  </si>
  <si>
    <t>1360004573306</t>
  </si>
  <si>
    <t>1360004491400</t>
  </si>
  <si>
    <t>1360004492853</t>
  </si>
  <si>
    <t>1360004486319</t>
  </si>
  <si>
    <t>1360004469372</t>
  </si>
  <si>
    <t>SAMI - JF</t>
  </si>
  <si>
    <t>PELATIHAN KALIBRASI</t>
  </si>
  <si>
    <t>QA / CAL</t>
  </si>
  <si>
    <t>GL</t>
  </si>
  <si>
    <t>TKN</t>
  </si>
  <si>
    <t>B00577</t>
  </si>
  <si>
    <t>A. YAZIDU HUDA</t>
  </si>
  <si>
    <t>GHOFAR ABDUL GHANI</t>
  </si>
  <si>
    <t>1360006910829</t>
  </si>
  <si>
    <t>1360010613237</t>
  </si>
  <si>
    <t>PROSES BELAJAR ASSEMBLY 930 B</t>
  </si>
  <si>
    <t>PP</t>
  </si>
  <si>
    <t>LL</t>
  </si>
  <si>
    <t>OPT</t>
  </si>
  <si>
    <t>SRI HASNANI</t>
  </si>
  <si>
    <t>ERNI E.</t>
  </si>
  <si>
    <t>FEPTI W.</t>
  </si>
  <si>
    <t>PUJI</t>
  </si>
  <si>
    <t>VARIDA F.</t>
  </si>
  <si>
    <t>MOH FAHRUL IMAM</t>
  </si>
  <si>
    <t>LUHITA</t>
  </si>
  <si>
    <t>PRD</t>
  </si>
  <si>
    <t>SC</t>
  </si>
  <si>
    <t>LQC</t>
  </si>
  <si>
    <t>LC</t>
  </si>
  <si>
    <t>FARIDA</t>
  </si>
  <si>
    <t>TITIN C.</t>
  </si>
  <si>
    <t>CANDRA</t>
  </si>
  <si>
    <t>ALI</t>
  </si>
  <si>
    <t>ERNA</t>
  </si>
  <si>
    <t xml:space="preserve">AGUS </t>
  </si>
  <si>
    <t>SITI NELI</t>
  </si>
  <si>
    <t>QA</t>
  </si>
  <si>
    <t>ANDRI YONO</t>
  </si>
  <si>
    <t>ZAINAL</t>
  </si>
  <si>
    <t>AMMOUNT UPD</t>
  </si>
  <si>
    <t>1360006814591</t>
  </si>
  <si>
    <t>1360004486616</t>
  </si>
  <si>
    <t>1360004494958</t>
  </si>
  <si>
    <t>1360007993501</t>
  </si>
  <si>
    <t>1360010439542</t>
  </si>
  <si>
    <t>1360004494297</t>
  </si>
  <si>
    <t>1360011744080</t>
  </si>
  <si>
    <t>1360007773473</t>
  </si>
  <si>
    <t>1360004495724</t>
  </si>
  <si>
    <t>1360010614524</t>
  </si>
  <si>
    <t>1360004491418</t>
  </si>
  <si>
    <t>1360004471964</t>
  </si>
  <si>
    <t>1360010441084</t>
  </si>
  <si>
    <t>1360011999874</t>
  </si>
  <si>
    <t>1360006918350</t>
  </si>
  <si>
    <t>1360010444526</t>
  </si>
  <si>
    <t>BENCHMARK PP ACTIVITY &amp; OBEYA</t>
  </si>
  <si>
    <t>SINICHI KISHIMOTO</t>
  </si>
  <si>
    <t>PP / PPM</t>
  </si>
  <si>
    <t>C.SPV</t>
  </si>
  <si>
    <t>KUS HERYYONO</t>
  </si>
  <si>
    <t>BOBBY BAGAS P.</t>
  </si>
  <si>
    <t>PP1</t>
  </si>
  <si>
    <t>SEPTIAN ANDRIANTO</t>
  </si>
  <si>
    <t>TERIMA UPD</t>
  </si>
  <si>
    <t>TTD / NIK</t>
  </si>
  <si>
    <t>TOTAL</t>
  </si>
  <si>
    <t>1360004590128</t>
  </si>
  <si>
    <t>1360004472095</t>
  </si>
  <si>
    <t>1360018024957</t>
  </si>
  <si>
    <t>JAI &amp; SAI</t>
  </si>
  <si>
    <t>KOMPARE DATA IDL &amp; DATA HR</t>
  </si>
  <si>
    <t>PGA / PED</t>
  </si>
  <si>
    <t>NUNING DIAN PERTIWI</t>
  </si>
  <si>
    <t>PGA / QS</t>
  </si>
  <si>
    <t>DARMUJI</t>
  </si>
  <si>
    <t>AHMAD MUBARAK</t>
  </si>
  <si>
    <t>1360010321162</t>
  </si>
  <si>
    <t>SUAI</t>
  </si>
  <si>
    <t>BENCHMARK WAREHOUSE</t>
  </si>
  <si>
    <t>LOG / WHS</t>
  </si>
  <si>
    <t>SUWANDI</t>
  </si>
  <si>
    <t>LOG / LD</t>
  </si>
  <si>
    <t>TOYIIN</t>
  </si>
  <si>
    <t>YUSUF DWI SUSILO</t>
  </si>
  <si>
    <t>1360004469927</t>
  </si>
  <si>
    <t>1360004471261</t>
  </si>
  <si>
    <t>1360004470446</t>
  </si>
  <si>
    <t>1360004475700</t>
  </si>
  <si>
    <t>1360004472020</t>
  </si>
  <si>
    <t>1360004496292</t>
  </si>
  <si>
    <t>PEMERINDO MANUFACTURING INDONESIA</t>
  </si>
  <si>
    <t>UPDATE TEKNOLOGI DAN SUPPLIER</t>
  </si>
  <si>
    <t>ANDRY SUSANTO</t>
  </si>
  <si>
    <t>1360004471873</t>
  </si>
  <si>
    <t>PGA / SHE</t>
  </si>
  <si>
    <t>JOKO ADI WALUYO</t>
  </si>
  <si>
    <t>Jl. Dr. Ide Anak Agung Gede Kav E.1.2 No. 123 Kawasan Mega Kuningan Jakarta</t>
  </si>
  <si>
    <t>Undangan Penganugerahan Mitra Bakti Husada</t>
  </si>
  <si>
    <t>1360004476534</t>
  </si>
  <si>
    <t>PROSES BFT</t>
  </si>
  <si>
    <t>PP / PP1</t>
  </si>
  <si>
    <t>FURSIAM</t>
  </si>
  <si>
    <t>MOHAMAD ISTAQORY</t>
  </si>
  <si>
    <t>All</t>
  </si>
  <si>
    <t>FM</t>
  </si>
  <si>
    <t>TEPPEI MIMURA</t>
  </si>
  <si>
    <t>DFM</t>
  </si>
  <si>
    <t>MANSUR ISNAENI</t>
  </si>
  <si>
    <t>TRN</t>
  </si>
  <si>
    <t>DENNY ANDRIATNO PRIBADI</t>
  </si>
  <si>
    <t>PUDJI SRI SAPUTRI</t>
  </si>
  <si>
    <t>Line Cho</t>
  </si>
  <si>
    <t>JULIATI</t>
  </si>
  <si>
    <t>LUSIA TRI WULANDARI</t>
  </si>
  <si>
    <t>PASI CIKARANG</t>
  </si>
  <si>
    <t>CONVENSI QCC PASI</t>
  </si>
  <si>
    <t>SAI-JAI</t>
  </si>
  <si>
    <t>BENCHMARK TOYOTA (CONTROL PROSES TOYOTA LINE)</t>
  </si>
  <si>
    <t>KATSUHITO GONDA</t>
  </si>
  <si>
    <t>ARY SUSANTO</t>
  </si>
  <si>
    <t>NAUFALY TITO S.</t>
  </si>
  <si>
    <t>SUSANTO</t>
  </si>
  <si>
    <t>SM</t>
  </si>
  <si>
    <t>HENDRIA AYUNITA SAPUTRA</t>
  </si>
  <si>
    <t>1360004494594</t>
  </si>
  <si>
    <t>1360004494164</t>
  </si>
  <si>
    <t>1350004442651</t>
  </si>
  <si>
    <t>1370007097377</t>
  </si>
  <si>
    <t>1360004470057</t>
  </si>
  <si>
    <t>1360004469992</t>
  </si>
  <si>
    <t>1360004490428</t>
  </si>
  <si>
    <t>PASI-J</t>
  </si>
  <si>
    <t>MEETING YIG FATP</t>
  </si>
  <si>
    <t>FA</t>
  </si>
  <si>
    <t>GM</t>
  </si>
  <si>
    <t>BAMBANG RIANTO</t>
  </si>
  <si>
    <t>MAULVI BAHRUL MUHITH</t>
  </si>
  <si>
    <t>MEI RUBIRITANTI</t>
  </si>
  <si>
    <t>LOG</t>
  </si>
  <si>
    <t>WAHYUDI</t>
  </si>
  <si>
    <t>M. HUSNUL MUBAROK</t>
  </si>
  <si>
    <t>PE</t>
  </si>
  <si>
    <t>PEMI</t>
  </si>
  <si>
    <t>FOLLOW UP CONCERN TRANSFER MESIN DARI PEMI KE SAMI TUGU</t>
  </si>
  <si>
    <t>1360004469703</t>
  </si>
  <si>
    <t>1360004494065</t>
  </si>
  <si>
    <t>1360032998459</t>
  </si>
  <si>
    <t>1360004480684</t>
  </si>
  <si>
    <t>1420007122673</t>
  </si>
  <si>
    <t>1360004976962</t>
  </si>
  <si>
    <t>1360004470297</t>
  </si>
  <si>
    <t>1360004768831</t>
  </si>
  <si>
    <t>1360004574106</t>
  </si>
  <si>
    <t>PASI C &amp; J</t>
  </si>
  <si>
    <t>AUDIT LSM</t>
  </si>
  <si>
    <t>PGA / IT</t>
  </si>
  <si>
    <t>SEPTIAN JODHI MAHENDRA</t>
  </si>
  <si>
    <t>BONIR ARIO TUBAGUS</t>
  </si>
  <si>
    <t>BUDI PURNOMO</t>
  </si>
  <si>
    <t>YAMAMOTO TORU</t>
  </si>
  <si>
    <t>SAI &amp; JAI</t>
  </si>
  <si>
    <t>BENCHMARK</t>
  </si>
  <si>
    <t>ADITYA FAHRIZAL</t>
  </si>
  <si>
    <t>GIYARNA</t>
  </si>
  <si>
    <t>M. ARIFIN</t>
  </si>
  <si>
    <t>ARIE CAHYADI</t>
  </si>
  <si>
    <t>TAKZIAH</t>
  </si>
  <si>
    <t>WONOGIRI</t>
  </si>
  <si>
    <t>1360032641794</t>
  </si>
  <si>
    <t>1360004471253</t>
  </si>
  <si>
    <t>1360004489818</t>
  </si>
  <si>
    <t>9000008630478</t>
  </si>
  <si>
    <t>1360004470107</t>
  </si>
  <si>
    <t>1360004470966</t>
  </si>
  <si>
    <t>1360004573215</t>
  </si>
  <si>
    <t xml:space="preserve">PASI </t>
  </si>
  <si>
    <t>KEPENTINGAN</t>
  </si>
  <si>
    <t>C-SPV</t>
  </si>
  <si>
    <t>LILIS NURYAWATI</t>
  </si>
  <si>
    <t>YIG PRICING MEETING</t>
  </si>
  <si>
    <t>-</t>
  </si>
  <si>
    <t>PGA / PeD</t>
  </si>
  <si>
    <t>PRD (FAST)</t>
  </si>
  <si>
    <t>HERLAMBANG DIAN INDRA PRAJA</t>
  </si>
  <si>
    <t>PANASONIC JAKARTA</t>
  </si>
  <si>
    <t>NUR FADHILAH</t>
  </si>
  <si>
    <t>AMBAR LIRTIMAS</t>
  </si>
  <si>
    <t>PROJECT SIENTA</t>
  </si>
  <si>
    <t>SLC</t>
  </si>
  <si>
    <t>INSP</t>
  </si>
  <si>
    <t>ACHMAD HANAFI</t>
  </si>
  <si>
    <t>ARI YULIYANTO</t>
  </si>
  <si>
    <t>1360011174189</t>
  </si>
  <si>
    <t>1390010853335</t>
  </si>
  <si>
    <t>1360007871855</t>
  </si>
  <si>
    <t>1360004481385</t>
  </si>
  <si>
    <t>1360006918848</t>
  </si>
  <si>
    <t>1360013308389</t>
  </si>
  <si>
    <t>NO INV. VP</t>
  </si>
  <si>
    <t>UPD/LOKAL/PRD/2402/01</t>
  </si>
  <si>
    <t>UPD/LOKAL/PRD/2402/02</t>
  </si>
  <si>
    <t>UPD/LOKAL/PP/2402/01</t>
  </si>
  <si>
    <t>MIFTA</t>
  </si>
  <si>
    <t>RETNOWATI NAWANG</t>
  </si>
  <si>
    <t>10 &amp; 15 FEB 2024</t>
  </si>
  <si>
    <t>PROJECT 930B</t>
  </si>
  <si>
    <t>10, 20, 21 FEB 2024</t>
  </si>
  <si>
    <t>10, 17, 20, 21 FEB 2024</t>
  </si>
  <si>
    <t>LINA M.</t>
  </si>
  <si>
    <t>UPD/LOKAL/QA/2402/02</t>
  </si>
  <si>
    <t>MIRNANINGSIH</t>
  </si>
  <si>
    <t>TRAINING PROJECT 39PL</t>
  </si>
  <si>
    <t>UPD/LOKAL/JCP/07022024</t>
  </si>
  <si>
    <t>SAI</t>
  </si>
  <si>
    <t>YIG MPC FORUM</t>
  </si>
  <si>
    <t>YIG QA FORUM</t>
  </si>
  <si>
    <t>TAUFIQ ZEIN AMRULLAH</t>
  </si>
  <si>
    <t>MARYANTO</t>
  </si>
  <si>
    <t>IT</t>
  </si>
  <si>
    <t>ABDUL KARIS</t>
  </si>
  <si>
    <t>AGUS FREDDY KURNIAWAN</t>
  </si>
  <si>
    <t>1360010073820</t>
  </si>
  <si>
    <t>1360004494446</t>
  </si>
  <si>
    <t>1360004491921</t>
  </si>
  <si>
    <t>1360006906306</t>
  </si>
  <si>
    <t>1360013521817</t>
  </si>
  <si>
    <t>1360013964991</t>
  </si>
  <si>
    <t>1360004630155</t>
  </si>
  <si>
    <t>1360004517840</t>
  </si>
  <si>
    <t>BM PROJECT 930B</t>
  </si>
  <si>
    <t>AIMATUS SHOLEKHAH</t>
  </si>
  <si>
    <t>NUR FATMAWATI</t>
  </si>
  <si>
    <t>FILIA</t>
  </si>
  <si>
    <t>ERNI ERIYANTI</t>
  </si>
  <si>
    <t>UPD/JF/PP/2404/01</t>
  </si>
  <si>
    <t>UPD/LOKAL/PP/2404/01</t>
  </si>
  <si>
    <t>ASS MGR</t>
  </si>
  <si>
    <t>AGUS NANANG SETIAWAN</t>
  </si>
  <si>
    <t>ELFIRA LUTFIA W.</t>
  </si>
  <si>
    <t>UPD/LOKAL/TRN/2405-001</t>
  </si>
  <si>
    <t>CEK GENBA 7S SAMI JF</t>
  </si>
  <si>
    <t>HENY Y</t>
  </si>
  <si>
    <t>ANIK M</t>
  </si>
  <si>
    <t>UPD/LOKAL/PP/2405-001</t>
  </si>
  <si>
    <t>RETNOWATI NAWANGSIH</t>
  </si>
  <si>
    <t>ISMIATININGSIH</t>
  </si>
  <si>
    <t>UMI LAILIYAH</t>
  </si>
  <si>
    <t>SUPPORT PROSES JUNKAN CPA</t>
  </si>
  <si>
    <t>UPD/LOKAL/PP/2405-002</t>
  </si>
  <si>
    <t>SUPPORT PROSES JUNKAN 930B FASE 1A</t>
  </si>
  <si>
    <t>KM</t>
  </si>
  <si>
    <t>RETNO</t>
  </si>
  <si>
    <t>INA</t>
  </si>
  <si>
    <t>MIFTAKHATUN</t>
  </si>
  <si>
    <t>1360004487200</t>
  </si>
  <si>
    <t>1360010302401</t>
  </si>
  <si>
    <t>1360004470636</t>
  </si>
  <si>
    <t>1360004573058</t>
  </si>
  <si>
    <t>1360005958928</t>
  </si>
  <si>
    <t>1360004485238</t>
  </si>
  <si>
    <t>UPD/LOKAL/NYS/2405-001</t>
  </si>
  <si>
    <t>ASEAN MEETING</t>
  </si>
  <si>
    <t>NYS</t>
  </si>
  <si>
    <t>PUPUT ANDRIYANTO</t>
  </si>
  <si>
    <t>1360004915895</t>
  </si>
  <si>
    <t>UPD/LOKAL/PRD/2405-001</t>
  </si>
  <si>
    <t>ANALISA DOWNTIME</t>
  </si>
  <si>
    <t>TUTIK H</t>
  </si>
  <si>
    <t>NANIK S</t>
  </si>
  <si>
    <t>ANALISA CPA</t>
  </si>
  <si>
    <t>RAHMA ROSITA</t>
  </si>
  <si>
    <t>UPD/LOKAL/PRD/2405-002</t>
  </si>
  <si>
    <t>UPD/LOKAL/QA/2405-001</t>
  </si>
  <si>
    <t>ANALISA DEFECT</t>
  </si>
  <si>
    <t>HERU PONCO NUGROHO</t>
  </si>
  <si>
    <t>UPD/LOKAL/NYS/2405-002</t>
  </si>
  <si>
    <t>UPD/LOKAL/PE/2405-001</t>
  </si>
  <si>
    <t>SUROKO</t>
  </si>
  <si>
    <t>MUH ABDUL MUQIT</t>
  </si>
  <si>
    <t>1360010444070</t>
  </si>
  <si>
    <t>1360004487358</t>
  </si>
  <si>
    <t>1360004477979</t>
  </si>
  <si>
    <t>1360006918939</t>
  </si>
  <si>
    <t>1360007796730</t>
  </si>
  <si>
    <t>1360004470727</t>
  </si>
  <si>
    <t>UPD/LOKAL/PGA/2406-001</t>
  </si>
  <si>
    <t>HINO MOTOR MANUFACTURING INDONESIA</t>
  </si>
  <si>
    <t>COORD. SPV</t>
  </si>
  <si>
    <t>FAJAR ADIDEWA</t>
  </si>
  <si>
    <t>UPD/LOKAL/PRD/2406-001</t>
  </si>
  <si>
    <t>SUMARTONO</t>
  </si>
  <si>
    <t>UPD/LOKAL/PE/2406-001</t>
  </si>
  <si>
    <t>IFNU ANGGRAITO</t>
  </si>
  <si>
    <t>UPD/LOKAL/QA/2406-001</t>
  </si>
  <si>
    <t>B00865</t>
  </si>
  <si>
    <t>NUGROHO ADI SAPUTRO</t>
  </si>
  <si>
    <t>UPD/LOKAL/PP/2406-001</t>
  </si>
  <si>
    <t>AGUS WIDODO</t>
  </si>
  <si>
    <t>Superior Single</t>
  </si>
  <si>
    <t>Superior Twin</t>
  </si>
  <si>
    <t>1360004483183</t>
  </si>
  <si>
    <t>1350007957010</t>
  </si>
  <si>
    <t>1360010816566</t>
  </si>
  <si>
    <t>1360004494511</t>
  </si>
  <si>
    <t>LP MEETING</t>
  </si>
  <si>
    <t>FARIS YATIMAH HANDAYANI</t>
  </si>
  <si>
    <t>ADM</t>
  </si>
  <si>
    <t>WAIS AL QURNIE</t>
  </si>
  <si>
    <t>1360004483761</t>
  </si>
  <si>
    <t>1360011346415</t>
  </si>
  <si>
    <t>UPD/LOKAL/PE/2405-002</t>
  </si>
  <si>
    <t>UPD/LOKAL/QA/2406-002</t>
  </si>
  <si>
    <t>PT. HPPM &amp; PASI</t>
  </si>
  <si>
    <t>MANAGER</t>
  </si>
  <si>
    <t>TRAINING CARA VERIFIKASI GENBA</t>
  </si>
  <si>
    <t>UPD/LOKAL/PGA/2407-001</t>
  </si>
  <si>
    <t>AUDIT ISMS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</si>
</sst>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[$-409]dd\-mmm\-yy;@"/>
    <numFmt numFmtId="167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0" tint="-0.499984740745262"/>
      <name val="Times New Roman"/>
      <family val="1"/>
    </font>
    <font>
      <sz val="11"/>
      <color theme="1"/>
      <name val="Calibri"/>
      <family val="2"/>
      <scheme val="minor"/>
    </font>
    <font>
      <sz val="12"/>
      <color theme="0" tint="-0.499984740745262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2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166" fontId="1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166" fontId="4" fillId="0" borderId="1" xfId="0" applyNumberFormat="1" applyFont="1" applyBorder="1" applyAlignment="1">
      <alignment horizontal="center" vertical="center"/>
    </xf>
    <xf numFmtId="167" fontId="1" fillId="0" borderId="0" xfId="1" applyNumberFormat="1" applyFont="1" applyAlignment="1">
      <alignment vertical="center"/>
    </xf>
    <xf numFmtId="167" fontId="4" fillId="0" borderId="3" xfId="1" applyNumberFormat="1" applyFont="1" applyBorder="1" applyAlignment="1">
      <alignment vertical="center"/>
    </xf>
    <xf numFmtId="167" fontId="4" fillId="0" borderId="1" xfId="1" applyNumberFormat="1" applyFont="1" applyBorder="1" applyAlignment="1">
      <alignment vertical="center"/>
    </xf>
    <xf numFmtId="167" fontId="1" fillId="0" borderId="1" xfId="1" applyNumberFormat="1" applyFont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7" fontId="7" fillId="0" borderId="1" xfId="1" applyNumberFormat="1" applyFont="1" applyBorder="1" applyAlignment="1">
      <alignment vertical="center"/>
    </xf>
    <xf numFmtId="0" fontId="8" fillId="2" borderId="1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66" fontId="1" fillId="0" borderId="0" xfId="0" applyNumberFormat="1" applyFont="1" applyAlignment="1">
      <alignment horizontal="left" vertical="center" wrapText="1"/>
    </xf>
    <xf numFmtId="166" fontId="7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167" fontId="7" fillId="0" borderId="3" xfId="1" applyNumberFormat="1" applyFont="1" applyBorder="1" applyAlignment="1">
      <alignment vertical="center"/>
    </xf>
    <xf numFmtId="166" fontId="7" fillId="0" borderId="3" xfId="0" applyNumberFormat="1" applyFont="1" applyBorder="1" applyAlignment="1">
      <alignment horizontal="center" vertical="center"/>
    </xf>
    <xf numFmtId="166" fontId="7" fillId="0" borderId="3" xfId="0" applyNumberFormat="1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/>
    </xf>
    <xf numFmtId="166" fontId="7" fillId="0" borderId="6" xfId="0" applyNumberFormat="1" applyFont="1" applyBorder="1" applyAlignment="1">
      <alignment horizontal="center" vertical="center"/>
    </xf>
    <xf numFmtId="166" fontId="7" fillId="0" borderId="6" xfId="0" applyNumberFormat="1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167" fontId="7" fillId="0" borderId="6" xfId="1" applyNumberFormat="1" applyFont="1" applyBorder="1" applyAlignment="1">
      <alignment vertical="center"/>
    </xf>
    <xf numFmtId="0" fontId="8" fillId="2" borderId="6" xfId="0" applyFont="1" applyFill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166" fontId="7" fillId="0" borderId="10" xfId="0" applyNumberFormat="1" applyFont="1" applyBorder="1" applyAlignment="1">
      <alignment horizontal="center" vertical="center"/>
    </xf>
    <xf numFmtId="166" fontId="7" fillId="0" borderId="10" xfId="0" applyNumberFormat="1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167" fontId="7" fillId="0" borderId="10" xfId="1" applyNumberFormat="1" applyFont="1" applyBorder="1" applyAlignment="1">
      <alignment vertical="center"/>
    </xf>
    <xf numFmtId="0" fontId="8" fillId="2" borderId="10" xfId="0" applyFont="1" applyFill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3" xfId="0" quotePrefix="1" applyFont="1" applyBorder="1" applyAlignment="1">
      <alignment horizontal="center" vertical="center"/>
    </xf>
    <xf numFmtId="166" fontId="2" fillId="0" borderId="1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7" fontId="9" fillId="0" borderId="3" xfId="1" applyNumberFormat="1" applyFont="1" applyBorder="1" applyAlignment="1">
      <alignment vertical="center"/>
    </xf>
    <xf numFmtId="167" fontId="0" fillId="0" borderId="0" xfId="1" applyNumberFormat="1" applyFont="1"/>
    <xf numFmtId="0" fontId="10" fillId="2" borderId="1" xfId="0" applyFont="1" applyFill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166" fontId="7" fillId="0" borderId="2" xfId="0" applyNumberFormat="1" applyFont="1" applyBorder="1" applyAlignment="1">
      <alignment horizontal="center" vertical="center"/>
    </xf>
    <xf numFmtId="166" fontId="7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167" fontId="7" fillId="0" borderId="2" xfId="1" applyNumberFormat="1" applyFont="1" applyBorder="1" applyAlignment="1">
      <alignment vertical="center"/>
    </xf>
    <xf numFmtId="0" fontId="8" fillId="2" borderId="2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166" fontId="1" fillId="0" borderId="0" xfId="0" applyNumberFormat="1" applyFont="1" applyAlignment="1">
      <alignment vertical="center"/>
    </xf>
    <xf numFmtId="166" fontId="4" fillId="0" borderId="3" xfId="0" applyNumberFormat="1" applyFont="1" applyBorder="1" applyAlignment="1">
      <alignment vertical="center"/>
    </xf>
    <xf numFmtId="166" fontId="4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quotePrefix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6" fillId="2" borderId="1" xfId="0" quotePrefix="1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166" fontId="4" fillId="3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0" fontId="4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6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166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166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166" fontId="4" fillId="0" borderId="4" xfId="0" applyNumberFormat="1" applyFont="1" applyBorder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166" fontId="2" fillId="0" borderId="2" xfId="0" applyNumberFormat="1" applyFont="1" applyBorder="1" applyAlignment="1">
      <alignment vertical="center"/>
    </xf>
    <xf numFmtId="166" fontId="2" fillId="0" borderId="7" xfId="0" applyNumberFormat="1" applyFont="1" applyBorder="1" applyAlignment="1">
      <alignment vertical="center"/>
    </xf>
    <xf numFmtId="167" fontId="2" fillId="0" borderId="2" xfId="1" applyNumberFormat="1" applyFont="1" applyBorder="1" applyAlignment="1">
      <alignment horizontal="center" vertical="center" wrapText="1"/>
    </xf>
    <xf numFmtId="167" fontId="2" fillId="0" borderId="7" xfId="1" applyNumberFormat="1" applyFont="1" applyBorder="1" applyAlignment="1">
      <alignment horizontal="center" vertical="center" wrapText="1"/>
    </xf>
    <xf numFmtId="166" fontId="2" fillId="0" borderId="4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166" fontId="2" fillId="0" borderId="1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 wrapText="1"/>
    </xf>
    <xf numFmtId="166" fontId="2" fillId="0" borderId="1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67" fontId="7" fillId="0" borderId="9" xfId="1" applyNumberFormat="1" applyFont="1" applyBorder="1" applyAlignment="1">
      <alignment horizontal="center" vertical="center"/>
    </xf>
    <xf numFmtId="167" fontId="7" fillId="0" borderId="7" xfId="1" applyNumberFormat="1" applyFont="1" applyBorder="1" applyAlignment="1">
      <alignment horizontal="center" vertical="center"/>
    </xf>
    <xf numFmtId="167" fontId="7" fillId="0" borderId="8" xfId="1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7" fontId="2" fillId="0" borderId="12" xfId="1" applyNumberFormat="1" applyFont="1" applyBorder="1" applyAlignment="1">
      <alignment horizontal="center" vertical="center" wrapText="1"/>
    </xf>
    <xf numFmtId="167" fontId="0" fillId="0" borderId="0" xfId="1" applyNumberFormat="1" applyFont="1" applyAlignment="1">
      <alignment horizontal="center" wrapText="1"/>
    </xf>
    <xf numFmtId="167" fontId="0" fillId="0" borderId="0" xfId="1" applyNumberFormat="1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7">
    <cellStyle name="Comma" xfId="1" builtinId="3"/>
    <cellStyle name="Comma [0] 2" xfId="2"/>
    <cellStyle name="Comma [0] 2 2" xfId="6"/>
    <cellStyle name="Comma 2" xfId="5"/>
    <cellStyle name="Comma 3" xfId="4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PERHITUNGAN%20SPD/24.01%20tanggal%2025%20-%2026%20Januari%202024%20QA%20to%20SAI%20&amp;%20JA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PERHITUNGAN%20SPD/24.02%20tanggal%2014%20-%2016%20Februari%202024%20FA%20to%20PASI%20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HAP 1"/>
      <sheetName val="TAPAH 2 (Rincian)"/>
      <sheetName val="TAHAP 2 (SPD)"/>
      <sheetName val="Sheet1"/>
      <sheetName val="Sheet2"/>
    </sheetNames>
    <sheetDataSet>
      <sheetData sheetId="0"/>
      <sheetData sheetId="1"/>
      <sheetData sheetId="2">
        <row r="35">
          <cell r="L35">
            <v>212500</v>
          </cell>
          <cell r="M35">
            <v>0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HAP 1"/>
      <sheetName val="TAPAH 2.2 (Rincian)"/>
      <sheetName val="TAHAP 2.1 (SPD)"/>
    </sheetNames>
    <sheetDataSet>
      <sheetData sheetId="0"/>
      <sheetData sheetId="1"/>
      <sheetData sheetId="2">
        <row r="32">
          <cell r="L32">
            <v>230000</v>
          </cell>
          <cell r="M32">
            <v>0</v>
          </cell>
        </row>
        <row r="33">
          <cell r="L33">
            <v>170000</v>
          </cell>
          <cell r="M3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430"/>
  <sheetViews>
    <sheetView showGridLines="0" tabSelected="1" zoomScale="85" zoomScaleNormal="85" workbookViewId="0">
      <pane xSplit="2" ySplit="4" topLeftCell="D127" activePane="bottomRight" state="frozen"/>
      <selection pane="topRight" activeCell="C1" sqref="C1"/>
      <selection pane="bottomLeft" activeCell="A5" sqref="A5"/>
      <selection pane="bottomRight" activeCell="M139" sqref="M139"/>
    </sheetView>
  </sheetViews>
  <sheetFormatPr defaultRowHeight="15.75" x14ac:dyDescent="0.25"/>
  <cols>
    <col min="1" max="1" width="1.7109375" style="1" customWidth="1"/>
    <col min="2" max="2" width="5.7109375" style="2" customWidth="1"/>
    <col min="3" max="3" width="12.7109375" style="2" hidden="1" customWidth="1"/>
    <col min="4" max="4" width="26.7109375" style="2" customWidth="1"/>
    <col min="5" max="6" width="12.7109375" style="3" customWidth="1"/>
    <col min="7" max="7" width="15.7109375" style="65" customWidth="1"/>
    <col min="8" max="8" width="30.7109375" style="65" customWidth="1"/>
    <col min="9" max="9" width="15.7109375" style="1" customWidth="1"/>
    <col min="10" max="10" width="15.7109375" style="68" customWidth="1"/>
    <col min="11" max="11" width="10.7109375" style="68" customWidth="1"/>
    <col min="12" max="12" width="25.7109375" style="1" customWidth="1"/>
    <col min="13" max="13" width="13.7109375" style="15" customWidth="1"/>
    <col min="14" max="14" width="20.7109375" style="76" customWidth="1"/>
    <col min="15" max="16" width="15.7109375" style="1" customWidth="1"/>
    <col min="17" max="16384" width="9.140625" style="1"/>
  </cols>
  <sheetData>
    <row r="1" spans="2:14" x14ac:dyDescent="0.25">
      <c r="N1" s="77"/>
    </row>
    <row r="2" spans="2:14" ht="20.100000000000001" customHeight="1" x14ac:dyDescent="0.25">
      <c r="B2" s="5" t="s">
        <v>8</v>
      </c>
      <c r="C2" s="5"/>
      <c r="D2" s="5"/>
      <c r="N2" s="77"/>
    </row>
    <row r="3" spans="2:14" s="2" customFormat="1" ht="20.100000000000001" customHeight="1" x14ac:dyDescent="0.25">
      <c r="B3" s="99" t="s">
        <v>0</v>
      </c>
      <c r="C3" s="99" t="s">
        <v>30</v>
      </c>
      <c r="D3" s="99" t="s">
        <v>232</v>
      </c>
      <c r="E3" s="107" t="s">
        <v>1</v>
      </c>
      <c r="F3" s="108"/>
      <c r="G3" s="103" t="s">
        <v>24</v>
      </c>
      <c r="H3" s="103" t="s">
        <v>210</v>
      </c>
      <c r="I3" s="109" t="s">
        <v>5</v>
      </c>
      <c r="J3" s="99" t="s">
        <v>13</v>
      </c>
      <c r="K3" s="99" t="s">
        <v>6</v>
      </c>
      <c r="L3" s="99" t="s">
        <v>4</v>
      </c>
      <c r="M3" s="105" t="s">
        <v>72</v>
      </c>
      <c r="N3" s="101" t="s">
        <v>7</v>
      </c>
    </row>
    <row r="4" spans="2:14" s="2" customFormat="1" ht="20.100000000000001" customHeight="1" thickBot="1" x14ac:dyDescent="0.3">
      <c r="B4" s="100"/>
      <c r="C4" s="100"/>
      <c r="D4" s="100"/>
      <c r="E4" s="4" t="s">
        <v>2</v>
      </c>
      <c r="F4" s="4" t="s">
        <v>3</v>
      </c>
      <c r="G4" s="104"/>
      <c r="H4" s="104"/>
      <c r="I4" s="110"/>
      <c r="J4" s="100"/>
      <c r="K4" s="100"/>
      <c r="L4" s="100"/>
      <c r="M4" s="106"/>
      <c r="N4" s="102"/>
    </row>
    <row r="5" spans="2:14" s="13" customFormat="1" ht="20.100000000000001" hidden="1" customHeight="1" thickTop="1" x14ac:dyDescent="0.25">
      <c r="B5" s="8">
        <v>1</v>
      </c>
      <c r="C5" s="8" t="s">
        <v>31</v>
      </c>
      <c r="D5" s="8"/>
      <c r="E5" s="9">
        <v>45245</v>
      </c>
      <c r="F5" s="9">
        <v>45247</v>
      </c>
      <c r="G5" s="66" t="s">
        <v>26</v>
      </c>
      <c r="H5" s="66" t="s">
        <v>29</v>
      </c>
      <c r="I5" s="10" t="s">
        <v>9</v>
      </c>
      <c r="J5" s="69" t="s">
        <v>14</v>
      </c>
      <c r="K5" s="69">
        <v>7094</v>
      </c>
      <c r="L5" s="10" t="s">
        <v>12</v>
      </c>
      <c r="M5" s="16"/>
      <c r="N5" s="19" t="s">
        <v>32</v>
      </c>
    </row>
    <row r="6" spans="2:14" s="13" customFormat="1" ht="20.100000000000001" hidden="1" customHeight="1" x14ac:dyDescent="0.25">
      <c r="B6" s="11">
        <v>2</v>
      </c>
      <c r="C6" s="8" t="s">
        <v>31</v>
      </c>
      <c r="D6" s="8"/>
      <c r="E6" s="9">
        <v>45245</v>
      </c>
      <c r="F6" s="9">
        <v>45247</v>
      </c>
      <c r="G6" s="66" t="s">
        <v>26</v>
      </c>
      <c r="H6" s="66" t="s">
        <v>29</v>
      </c>
      <c r="I6" s="12" t="s">
        <v>10</v>
      </c>
      <c r="J6" s="70" t="s">
        <v>14</v>
      </c>
      <c r="K6" s="70">
        <v>1206</v>
      </c>
      <c r="L6" s="12" t="s">
        <v>15</v>
      </c>
      <c r="M6" s="17"/>
      <c r="N6" s="19" t="s">
        <v>33</v>
      </c>
    </row>
    <row r="7" spans="2:14" s="13" customFormat="1" ht="20.100000000000001" hidden="1" customHeight="1" x14ac:dyDescent="0.25">
      <c r="B7" s="8">
        <v>3</v>
      </c>
      <c r="C7" s="8" t="s">
        <v>31</v>
      </c>
      <c r="D7" s="8"/>
      <c r="E7" s="9">
        <v>45245</v>
      </c>
      <c r="F7" s="9">
        <v>45247</v>
      </c>
      <c r="G7" s="66" t="s">
        <v>26</v>
      </c>
      <c r="H7" s="66" t="s">
        <v>29</v>
      </c>
      <c r="I7" s="12" t="s">
        <v>11</v>
      </c>
      <c r="J7" s="70" t="s">
        <v>16</v>
      </c>
      <c r="K7" s="70">
        <v>148</v>
      </c>
      <c r="L7" s="12" t="s">
        <v>17</v>
      </c>
      <c r="M7" s="17"/>
      <c r="N7" s="19" t="s">
        <v>34</v>
      </c>
    </row>
    <row r="8" spans="2:14" s="13" customFormat="1" ht="20.100000000000001" hidden="1" customHeight="1" x14ac:dyDescent="0.25">
      <c r="B8" s="8">
        <v>4</v>
      </c>
      <c r="C8" s="8" t="s">
        <v>31</v>
      </c>
      <c r="D8" s="8"/>
      <c r="E8" s="9">
        <v>45245</v>
      </c>
      <c r="F8" s="9">
        <v>45247</v>
      </c>
      <c r="G8" s="66" t="s">
        <v>27</v>
      </c>
      <c r="H8" s="66" t="s">
        <v>28</v>
      </c>
      <c r="I8" s="12" t="s">
        <v>18</v>
      </c>
      <c r="J8" s="70" t="s">
        <v>19</v>
      </c>
      <c r="K8" s="70" t="s">
        <v>20</v>
      </c>
      <c r="L8" s="12" t="s">
        <v>21</v>
      </c>
      <c r="M8" s="17"/>
      <c r="N8" s="19" t="s">
        <v>35</v>
      </c>
    </row>
    <row r="9" spans="2:14" s="13" customFormat="1" ht="20.100000000000001" hidden="1" customHeight="1" x14ac:dyDescent="0.25">
      <c r="B9" s="11">
        <v>5</v>
      </c>
      <c r="C9" s="8" t="s">
        <v>31</v>
      </c>
      <c r="D9" s="8"/>
      <c r="E9" s="9">
        <v>45245</v>
      </c>
      <c r="F9" s="9">
        <v>45247</v>
      </c>
      <c r="G9" s="66" t="s">
        <v>27</v>
      </c>
      <c r="H9" s="66" t="s">
        <v>28</v>
      </c>
      <c r="I9" s="12" t="s">
        <v>22</v>
      </c>
      <c r="J9" s="70" t="s">
        <v>16</v>
      </c>
      <c r="K9" s="70">
        <v>1160</v>
      </c>
      <c r="L9" s="12" t="s">
        <v>23</v>
      </c>
      <c r="M9" s="17"/>
      <c r="N9" s="19" t="s">
        <v>36</v>
      </c>
    </row>
    <row r="10" spans="2:14" s="13" customFormat="1" ht="20.100000000000001" hidden="1" customHeight="1" x14ac:dyDescent="0.25">
      <c r="B10" s="8">
        <v>6</v>
      </c>
      <c r="C10" s="8" t="s">
        <v>31</v>
      </c>
      <c r="D10" s="8"/>
      <c r="E10" s="14">
        <v>45250</v>
      </c>
      <c r="F10" s="14">
        <v>45250</v>
      </c>
      <c r="G10" s="67" t="s">
        <v>37</v>
      </c>
      <c r="H10" s="67" t="s">
        <v>38</v>
      </c>
      <c r="I10" s="12" t="s">
        <v>39</v>
      </c>
      <c r="J10" s="70" t="s">
        <v>40</v>
      </c>
      <c r="K10" s="71">
        <v>9488</v>
      </c>
      <c r="L10" s="12" t="s">
        <v>43</v>
      </c>
      <c r="M10" s="17"/>
      <c r="N10" s="79" t="s">
        <v>45</v>
      </c>
    </row>
    <row r="11" spans="2:14" s="13" customFormat="1" ht="20.100000000000001" hidden="1" customHeight="1" x14ac:dyDescent="0.25">
      <c r="B11" s="8">
        <v>7</v>
      </c>
      <c r="C11" s="8" t="s">
        <v>31</v>
      </c>
      <c r="D11" s="8"/>
      <c r="E11" s="14">
        <v>45250</v>
      </c>
      <c r="F11" s="14">
        <v>45250</v>
      </c>
      <c r="G11" s="67" t="s">
        <v>37</v>
      </c>
      <c r="H11" s="67" t="s">
        <v>38</v>
      </c>
      <c r="I11" s="12" t="s">
        <v>39</v>
      </c>
      <c r="J11" s="70" t="s">
        <v>41</v>
      </c>
      <c r="K11" s="70" t="s">
        <v>42</v>
      </c>
      <c r="L11" s="12" t="s">
        <v>44</v>
      </c>
      <c r="M11" s="17"/>
      <c r="N11" s="79" t="s">
        <v>46</v>
      </c>
    </row>
    <row r="12" spans="2:14" s="13" customFormat="1" ht="20.100000000000001" hidden="1" customHeight="1" x14ac:dyDescent="0.25">
      <c r="B12" s="11">
        <v>8</v>
      </c>
      <c r="C12" s="8" t="s">
        <v>31</v>
      </c>
      <c r="D12" s="8"/>
      <c r="E12" s="14">
        <v>45260</v>
      </c>
      <c r="F12" s="14">
        <v>45266</v>
      </c>
      <c r="G12" s="67" t="s">
        <v>37</v>
      </c>
      <c r="H12" s="67" t="s">
        <v>47</v>
      </c>
      <c r="I12" s="12" t="s">
        <v>48</v>
      </c>
      <c r="J12" s="70" t="s">
        <v>49</v>
      </c>
      <c r="K12" s="71">
        <v>9275</v>
      </c>
      <c r="L12" s="12" t="s">
        <v>52</v>
      </c>
      <c r="M12" s="17">
        <f>13000*5</f>
        <v>65000</v>
      </c>
      <c r="N12" s="19" t="s">
        <v>73</v>
      </c>
    </row>
    <row r="13" spans="2:14" s="13" customFormat="1" ht="20.100000000000001" hidden="1" customHeight="1" x14ac:dyDescent="0.25">
      <c r="B13" s="8">
        <v>9</v>
      </c>
      <c r="C13" s="8" t="s">
        <v>31</v>
      </c>
      <c r="D13" s="8"/>
      <c r="E13" s="14">
        <v>45260</v>
      </c>
      <c r="F13" s="14">
        <v>45266</v>
      </c>
      <c r="G13" s="67" t="s">
        <v>37</v>
      </c>
      <c r="H13" s="67" t="s">
        <v>47</v>
      </c>
      <c r="I13" s="12" t="s">
        <v>48</v>
      </c>
      <c r="J13" s="70" t="s">
        <v>50</v>
      </c>
      <c r="K13" s="70">
        <v>815</v>
      </c>
      <c r="L13" s="12" t="s">
        <v>51</v>
      </c>
      <c r="M13" s="17">
        <f t="shared" ref="M13:M27" si="0">13000*5</f>
        <v>65000</v>
      </c>
      <c r="N13" s="19" t="s">
        <v>74</v>
      </c>
    </row>
    <row r="14" spans="2:14" s="13" customFormat="1" ht="20.100000000000001" hidden="1" customHeight="1" x14ac:dyDescent="0.25">
      <c r="B14" s="8">
        <v>10</v>
      </c>
      <c r="C14" s="8" t="s">
        <v>31</v>
      </c>
      <c r="D14" s="8"/>
      <c r="E14" s="14">
        <v>45260</v>
      </c>
      <c r="F14" s="14">
        <v>45266</v>
      </c>
      <c r="G14" s="67" t="s">
        <v>37</v>
      </c>
      <c r="H14" s="67" t="s">
        <v>47</v>
      </c>
      <c r="I14" s="12" t="s">
        <v>58</v>
      </c>
      <c r="J14" s="70" t="s">
        <v>61</v>
      </c>
      <c r="K14" s="70">
        <v>6137</v>
      </c>
      <c r="L14" s="12" t="s">
        <v>53</v>
      </c>
      <c r="M14" s="17">
        <f t="shared" si="0"/>
        <v>65000</v>
      </c>
      <c r="N14" s="19" t="s">
        <v>75</v>
      </c>
    </row>
    <row r="15" spans="2:14" s="13" customFormat="1" ht="20.100000000000001" hidden="1" customHeight="1" x14ac:dyDescent="0.25">
      <c r="B15" s="11">
        <v>11</v>
      </c>
      <c r="C15" s="8" t="s">
        <v>31</v>
      </c>
      <c r="D15" s="8"/>
      <c r="E15" s="14">
        <v>45260</v>
      </c>
      <c r="F15" s="14">
        <v>45266</v>
      </c>
      <c r="G15" s="67" t="s">
        <v>37</v>
      </c>
      <c r="H15" s="67" t="s">
        <v>47</v>
      </c>
      <c r="I15" s="12" t="s">
        <v>58</v>
      </c>
      <c r="J15" s="70" t="s">
        <v>59</v>
      </c>
      <c r="K15" s="70">
        <v>10848</v>
      </c>
      <c r="L15" s="12" t="s">
        <v>54</v>
      </c>
      <c r="M15" s="17">
        <f t="shared" si="0"/>
        <v>65000</v>
      </c>
      <c r="N15" s="19" t="s">
        <v>76</v>
      </c>
    </row>
    <row r="16" spans="2:14" s="13" customFormat="1" ht="20.100000000000001" hidden="1" customHeight="1" x14ac:dyDescent="0.25">
      <c r="B16" s="8">
        <v>12</v>
      </c>
      <c r="C16" s="8" t="s">
        <v>31</v>
      </c>
      <c r="D16" s="8"/>
      <c r="E16" s="14">
        <v>45260</v>
      </c>
      <c r="F16" s="14">
        <v>45266</v>
      </c>
      <c r="G16" s="67" t="s">
        <v>37</v>
      </c>
      <c r="H16" s="67" t="s">
        <v>47</v>
      </c>
      <c r="I16" s="12" t="s">
        <v>58</v>
      </c>
      <c r="J16" s="70" t="s">
        <v>60</v>
      </c>
      <c r="K16" s="70">
        <v>10640</v>
      </c>
      <c r="L16" s="12" t="s">
        <v>55</v>
      </c>
      <c r="M16" s="17">
        <f t="shared" si="0"/>
        <v>65000</v>
      </c>
      <c r="N16" s="19" t="s">
        <v>77</v>
      </c>
    </row>
    <row r="17" spans="2:14" s="13" customFormat="1" ht="20.100000000000001" hidden="1" customHeight="1" x14ac:dyDescent="0.25">
      <c r="B17" s="8">
        <v>13</v>
      </c>
      <c r="C17" s="8" t="s">
        <v>31</v>
      </c>
      <c r="D17" s="8"/>
      <c r="E17" s="14">
        <v>45260</v>
      </c>
      <c r="F17" s="14">
        <v>45266</v>
      </c>
      <c r="G17" s="67" t="s">
        <v>37</v>
      </c>
      <c r="H17" s="67" t="s">
        <v>47</v>
      </c>
      <c r="I17" s="12" t="s">
        <v>58</v>
      </c>
      <c r="J17" s="70" t="s">
        <v>60</v>
      </c>
      <c r="K17" s="70">
        <v>5432</v>
      </c>
      <c r="L17" s="12" t="s">
        <v>56</v>
      </c>
      <c r="M17" s="17">
        <f t="shared" si="0"/>
        <v>65000</v>
      </c>
      <c r="N17" s="19" t="s">
        <v>78</v>
      </c>
    </row>
    <row r="18" spans="2:14" s="13" customFormat="1" ht="20.100000000000001" hidden="1" customHeight="1" x14ac:dyDescent="0.25">
      <c r="B18" s="11">
        <v>14</v>
      </c>
      <c r="C18" s="8" t="s">
        <v>31</v>
      </c>
      <c r="D18" s="8"/>
      <c r="E18" s="14">
        <v>45260</v>
      </c>
      <c r="F18" s="14">
        <v>45266</v>
      </c>
      <c r="G18" s="67" t="s">
        <v>37</v>
      </c>
      <c r="H18" s="67" t="s">
        <v>47</v>
      </c>
      <c r="I18" s="12" t="s">
        <v>58</v>
      </c>
      <c r="J18" s="70" t="s">
        <v>50</v>
      </c>
      <c r="K18" s="70">
        <v>15618</v>
      </c>
      <c r="L18" s="12" t="s">
        <v>57</v>
      </c>
      <c r="M18" s="17">
        <f t="shared" si="0"/>
        <v>65000</v>
      </c>
      <c r="N18" s="19" t="s">
        <v>79</v>
      </c>
    </row>
    <row r="19" spans="2:14" s="13" customFormat="1" ht="20.100000000000001" hidden="1" customHeight="1" x14ac:dyDescent="0.25">
      <c r="B19" s="8">
        <v>15</v>
      </c>
      <c r="C19" s="8" t="s">
        <v>31</v>
      </c>
      <c r="D19" s="8"/>
      <c r="E19" s="14">
        <v>45260</v>
      </c>
      <c r="F19" s="14">
        <v>45266</v>
      </c>
      <c r="G19" s="67" t="s">
        <v>37</v>
      </c>
      <c r="H19" s="67" t="s">
        <v>47</v>
      </c>
      <c r="I19" s="12" t="s">
        <v>58</v>
      </c>
      <c r="J19" s="70" t="s">
        <v>50</v>
      </c>
      <c r="K19" s="70">
        <v>10338</v>
      </c>
      <c r="L19" s="12" t="s">
        <v>62</v>
      </c>
      <c r="M19" s="17">
        <f t="shared" si="0"/>
        <v>65000</v>
      </c>
      <c r="N19" s="19" t="s">
        <v>80</v>
      </c>
    </row>
    <row r="20" spans="2:14" s="13" customFormat="1" ht="20.100000000000001" hidden="1" customHeight="1" x14ac:dyDescent="0.25">
      <c r="B20" s="8">
        <v>16</v>
      </c>
      <c r="C20" s="8" t="s">
        <v>31</v>
      </c>
      <c r="D20" s="8"/>
      <c r="E20" s="14">
        <v>45260</v>
      </c>
      <c r="F20" s="14">
        <v>45266</v>
      </c>
      <c r="G20" s="67" t="s">
        <v>37</v>
      </c>
      <c r="H20" s="67" t="s">
        <v>47</v>
      </c>
      <c r="I20" s="12" t="s">
        <v>58</v>
      </c>
      <c r="J20" s="70" t="s">
        <v>50</v>
      </c>
      <c r="K20" s="70">
        <v>811</v>
      </c>
      <c r="L20" s="12" t="s">
        <v>63</v>
      </c>
      <c r="M20" s="17">
        <f t="shared" si="0"/>
        <v>65000</v>
      </c>
      <c r="N20" s="19" t="s">
        <v>81</v>
      </c>
    </row>
    <row r="21" spans="2:14" s="13" customFormat="1" ht="20.100000000000001" hidden="1" customHeight="1" x14ac:dyDescent="0.25">
      <c r="B21" s="11">
        <v>17</v>
      </c>
      <c r="C21" s="8" t="s">
        <v>31</v>
      </c>
      <c r="D21" s="8"/>
      <c r="E21" s="14">
        <v>45260</v>
      </c>
      <c r="F21" s="14">
        <v>45266</v>
      </c>
      <c r="G21" s="67" t="s">
        <v>37</v>
      </c>
      <c r="H21" s="67" t="s">
        <v>47</v>
      </c>
      <c r="I21" s="12" t="s">
        <v>58</v>
      </c>
      <c r="J21" s="70" t="s">
        <v>50</v>
      </c>
      <c r="K21" s="70">
        <v>13145</v>
      </c>
      <c r="L21" s="12" t="s">
        <v>64</v>
      </c>
      <c r="M21" s="17">
        <f t="shared" si="0"/>
        <v>65000</v>
      </c>
      <c r="N21" s="19" t="s">
        <v>82</v>
      </c>
    </row>
    <row r="22" spans="2:14" s="13" customFormat="1" ht="20.100000000000001" hidden="1" customHeight="1" x14ac:dyDescent="0.25">
      <c r="B22" s="8">
        <v>18</v>
      </c>
      <c r="C22" s="8" t="s">
        <v>31</v>
      </c>
      <c r="D22" s="8"/>
      <c r="E22" s="14">
        <v>45260</v>
      </c>
      <c r="F22" s="14">
        <v>45266</v>
      </c>
      <c r="G22" s="67" t="s">
        <v>37</v>
      </c>
      <c r="H22" s="67" t="s">
        <v>47</v>
      </c>
      <c r="I22" s="12" t="s">
        <v>58</v>
      </c>
      <c r="J22" s="70" t="s">
        <v>40</v>
      </c>
      <c r="K22" s="70">
        <v>6357</v>
      </c>
      <c r="L22" s="12" t="s">
        <v>65</v>
      </c>
      <c r="M22" s="17">
        <f t="shared" si="0"/>
        <v>65000</v>
      </c>
      <c r="N22" s="19" t="s">
        <v>83</v>
      </c>
    </row>
    <row r="23" spans="2:14" s="13" customFormat="1" ht="20.100000000000001" hidden="1" customHeight="1" x14ac:dyDescent="0.25">
      <c r="B23" s="8">
        <v>19</v>
      </c>
      <c r="C23" s="8" t="s">
        <v>31</v>
      </c>
      <c r="D23" s="8"/>
      <c r="E23" s="14">
        <v>45260</v>
      </c>
      <c r="F23" s="14">
        <v>45266</v>
      </c>
      <c r="G23" s="67" t="s">
        <v>37</v>
      </c>
      <c r="H23" s="67" t="s">
        <v>47</v>
      </c>
      <c r="I23" s="12" t="s">
        <v>69</v>
      </c>
      <c r="J23" s="70" t="s">
        <v>40</v>
      </c>
      <c r="K23" s="70">
        <v>5767</v>
      </c>
      <c r="L23" s="12" t="s">
        <v>66</v>
      </c>
      <c r="M23" s="17">
        <f t="shared" si="0"/>
        <v>65000</v>
      </c>
      <c r="N23" s="19" t="s">
        <v>84</v>
      </c>
    </row>
    <row r="24" spans="2:14" s="13" customFormat="1" ht="20.100000000000001" hidden="1" customHeight="1" x14ac:dyDescent="0.25">
      <c r="B24" s="8">
        <v>20</v>
      </c>
      <c r="C24" s="8" t="s">
        <v>31</v>
      </c>
      <c r="D24" s="8"/>
      <c r="E24" s="14">
        <v>45260</v>
      </c>
      <c r="F24" s="14">
        <v>45266</v>
      </c>
      <c r="G24" s="67" t="s">
        <v>37</v>
      </c>
      <c r="H24" s="67" t="s">
        <v>47</v>
      </c>
      <c r="I24" s="12" t="s">
        <v>69</v>
      </c>
      <c r="J24" s="70" t="s">
        <v>40</v>
      </c>
      <c r="K24" s="70">
        <v>12233</v>
      </c>
      <c r="L24" s="12" t="s">
        <v>67</v>
      </c>
      <c r="M24" s="17">
        <f t="shared" si="0"/>
        <v>65000</v>
      </c>
      <c r="N24" s="19" t="s">
        <v>85</v>
      </c>
    </row>
    <row r="25" spans="2:14" s="13" customFormat="1" ht="20.100000000000001" hidden="1" customHeight="1" x14ac:dyDescent="0.25">
      <c r="B25" s="8">
        <v>21</v>
      </c>
      <c r="C25" s="8" t="s">
        <v>31</v>
      </c>
      <c r="D25" s="8"/>
      <c r="E25" s="14">
        <v>45260</v>
      </c>
      <c r="F25" s="14">
        <v>45266</v>
      </c>
      <c r="G25" s="67" t="s">
        <v>37</v>
      </c>
      <c r="H25" s="67" t="s">
        <v>47</v>
      </c>
      <c r="I25" s="12" t="s">
        <v>58</v>
      </c>
      <c r="J25" s="70" t="s">
        <v>40</v>
      </c>
      <c r="K25" s="70">
        <v>16108</v>
      </c>
      <c r="L25" s="12" t="s">
        <v>68</v>
      </c>
      <c r="M25" s="17">
        <f t="shared" si="0"/>
        <v>65000</v>
      </c>
      <c r="N25" s="19" t="s">
        <v>86</v>
      </c>
    </row>
    <row r="26" spans="2:14" s="13" customFormat="1" ht="20.100000000000001" hidden="1" customHeight="1" x14ac:dyDescent="0.25">
      <c r="B26" s="8">
        <v>22</v>
      </c>
      <c r="C26" s="8" t="s">
        <v>31</v>
      </c>
      <c r="D26" s="8"/>
      <c r="E26" s="14">
        <v>45260</v>
      </c>
      <c r="F26" s="14">
        <v>45266</v>
      </c>
      <c r="G26" s="67" t="s">
        <v>37</v>
      </c>
      <c r="H26" s="67" t="s">
        <v>47</v>
      </c>
      <c r="I26" s="12" t="s">
        <v>58</v>
      </c>
      <c r="J26" s="70" t="s">
        <v>40</v>
      </c>
      <c r="K26" s="70">
        <v>9578</v>
      </c>
      <c r="L26" s="12" t="s">
        <v>70</v>
      </c>
      <c r="M26" s="17">
        <f t="shared" si="0"/>
        <v>65000</v>
      </c>
      <c r="N26" s="19" t="s">
        <v>87</v>
      </c>
    </row>
    <row r="27" spans="2:14" s="13" customFormat="1" ht="20.100000000000001" hidden="1" customHeight="1" x14ac:dyDescent="0.25">
      <c r="B27" s="8">
        <v>23</v>
      </c>
      <c r="C27" s="8" t="s">
        <v>31</v>
      </c>
      <c r="D27" s="8"/>
      <c r="E27" s="14">
        <v>45260</v>
      </c>
      <c r="F27" s="14">
        <v>45266</v>
      </c>
      <c r="G27" s="67" t="s">
        <v>37</v>
      </c>
      <c r="H27" s="67" t="s">
        <v>47</v>
      </c>
      <c r="I27" s="12" t="s">
        <v>58</v>
      </c>
      <c r="J27" s="70" t="s">
        <v>40</v>
      </c>
      <c r="K27" s="70">
        <v>12837</v>
      </c>
      <c r="L27" s="12" t="s">
        <v>71</v>
      </c>
      <c r="M27" s="17">
        <f t="shared" si="0"/>
        <v>65000</v>
      </c>
      <c r="N27" s="19" t="s">
        <v>88</v>
      </c>
    </row>
    <row r="28" spans="2:14" s="13" customFormat="1" ht="20.100000000000001" hidden="1" customHeight="1" x14ac:dyDescent="0.25">
      <c r="B28" s="8">
        <v>24</v>
      </c>
      <c r="C28" s="11" t="s">
        <v>31</v>
      </c>
      <c r="D28" s="11"/>
      <c r="E28" s="14">
        <v>45267</v>
      </c>
      <c r="F28" s="14">
        <v>45268</v>
      </c>
      <c r="G28" s="67" t="s">
        <v>27</v>
      </c>
      <c r="H28" s="67" t="s">
        <v>89</v>
      </c>
      <c r="I28" s="12" t="s">
        <v>48</v>
      </c>
      <c r="J28" s="70" t="s">
        <v>19</v>
      </c>
      <c r="K28" s="70">
        <v>26848</v>
      </c>
      <c r="L28" s="12" t="s">
        <v>90</v>
      </c>
      <c r="M28" s="17">
        <v>212500</v>
      </c>
      <c r="N28" s="74" t="s">
        <v>110</v>
      </c>
    </row>
    <row r="29" spans="2:14" s="13" customFormat="1" ht="20.100000000000001" hidden="1" customHeight="1" x14ac:dyDescent="0.25">
      <c r="B29" s="8">
        <v>25</v>
      </c>
      <c r="C29" s="11" t="s">
        <v>31</v>
      </c>
      <c r="D29" s="11"/>
      <c r="E29" s="14">
        <v>45267</v>
      </c>
      <c r="F29" s="14">
        <v>45268</v>
      </c>
      <c r="G29" s="67" t="s">
        <v>27</v>
      </c>
      <c r="H29" s="67" t="s">
        <v>89</v>
      </c>
      <c r="I29" s="12" t="s">
        <v>91</v>
      </c>
      <c r="J29" s="70" t="s">
        <v>92</v>
      </c>
      <c r="K29" s="70">
        <v>4356</v>
      </c>
      <c r="L29" s="12" t="s">
        <v>93</v>
      </c>
      <c r="M29" s="17">
        <v>175000</v>
      </c>
      <c r="N29" s="75" t="s">
        <v>100</v>
      </c>
    </row>
    <row r="30" spans="2:14" s="13" customFormat="1" ht="20.100000000000001" hidden="1" customHeight="1" x14ac:dyDescent="0.25">
      <c r="B30" s="8">
        <v>26</v>
      </c>
      <c r="C30" s="11" t="s">
        <v>31</v>
      </c>
      <c r="D30" s="11"/>
      <c r="E30" s="14">
        <v>45267</v>
      </c>
      <c r="F30" s="14">
        <v>45268</v>
      </c>
      <c r="G30" s="67" t="s">
        <v>27</v>
      </c>
      <c r="H30" s="67" t="s">
        <v>89</v>
      </c>
      <c r="I30" s="12" t="s">
        <v>95</v>
      </c>
      <c r="J30" s="70" t="s">
        <v>14</v>
      </c>
      <c r="K30" s="70">
        <v>1064</v>
      </c>
      <c r="L30" s="12" t="s">
        <v>96</v>
      </c>
      <c r="M30" s="17">
        <v>175000</v>
      </c>
      <c r="N30" s="75" t="s">
        <v>101</v>
      </c>
    </row>
    <row r="31" spans="2:14" s="13" customFormat="1" ht="20.100000000000001" hidden="1" customHeight="1" x14ac:dyDescent="0.25">
      <c r="B31" s="8">
        <v>27</v>
      </c>
      <c r="C31" s="11" t="s">
        <v>31</v>
      </c>
      <c r="D31" s="11"/>
      <c r="E31" s="14">
        <v>45267</v>
      </c>
      <c r="F31" s="14">
        <v>45268</v>
      </c>
      <c r="G31" s="67" t="s">
        <v>27</v>
      </c>
      <c r="H31" s="67" t="s">
        <v>89</v>
      </c>
      <c r="I31" s="12" t="s">
        <v>91</v>
      </c>
      <c r="J31" s="70" t="s">
        <v>50</v>
      </c>
      <c r="K31" s="70">
        <v>24996</v>
      </c>
      <c r="L31" s="12" t="s">
        <v>94</v>
      </c>
      <c r="M31" s="17">
        <v>132500</v>
      </c>
      <c r="N31" s="75" t="s">
        <v>102</v>
      </c>
    </row>
    <row r="32" spans="2:14" s="13" customFormat="1" ht="20.100000000000001" hidden="1" customHeight="1" x14ac:dyDescent="0.25">
      <c r="B32" s="8">
        <v>28</v>
      </c>
      <c r="C32" s="11" t="s">
        <v>31</v>
      </c>
      <c r="D32" s="11"/>
      <c r="E32" s="14">
        <v>45264</v>
      </c>
      <c r="F32" s="14">
        <v>45264</v>
      </c>
      <c r="G32" s="67" t="s">
        <v>103</v>
      </c>
      <c r="H32" s="67" t="s">
        <v>104</v>
      </c>
      <c r="I32" s="12" t="s">
        <v>105</v>
      </c>
      <c r="J32" s="70" t="s">
        <v>14</v>
      </c>
      <c r="K32" s="70">
        <v>2412</v>
      </c>
      <c r="L32" s="12" t="s">
        <v>106</v>
      </c>
      <c r="M32" s="17">
        <v>392500</v>
      </c>
      <c r="N32" s="74" t="s">
        <v>118</v>
      </c>
    </row>
    <row r="33" spans="2:14" s="13" customFormat="1" ht="20.100000000000001" hidden="1" customHeight="1" x14ac:dyDescent="0.25">
      <c r="B33" s="8">
        <v>29</v>
      </c>
      <c r="C33" s="11" t="s">
        <v>31</v>
      </c>
      <c r="D33" s="11"/>
      <c r="E33" s="14">
        <v>45264</v>
      </c>
      <c r="F33" s="14">
        <v>45264</v>
      </c>
      <c r="G33" s="67" t="s">
        <v>103</v>
      </c>
      <c r="H33" s="67" t="s">
        <v>104</v>
      </c>
      <c r="I33" s="12" t="s">
        <v>107</v>
      </c>
      <c r="J33" s="70" t="s">
        <v>14</v>
      </c>
      <c r="K33" s="70">
        <v>1158</v>
      </c>
      <c r="L33" s="12" t="s">
        <v>108</v>
      </c>
      <c r="M33" s="17">
        <v>392500</v>
      </c>
      <c r="N33" s="74" t="s">
        <v>119</v>
      </c>
    </row>
    <row r="34" spans="2:14" s="13" customFormat="1" ht="20.100000000000001" hidden="1" customHeight="1" x14ac:dyDescent="0.25">
      <c r="B34" s="8">
        <v>30</v>
      </c>
      <c r="C34" s="11" t="s">
        <v>31</v>
      </c>
      <c r="D34" s="11"/>
      <c r="E34" s="14">
        <v>45264</v>
      </c>
      <c r="F34" s="14">
        <v>45264</v>
      </c>
      <c r="G34" s="67" t="s">
        <v>103</v>
      </c>
      <c r="H34" s="67" t="s">
        <v>104</v>
      </c>
      <c r="I34" s="12" t="s">
        <v>58</v>
      </c>
      <c r="J34" s="70" t="s">
        <v>19</v>
      </c>
      <c r="K34" s="70">
        <v>1651</v>
      </c>
      <c r="L34" s="12" t="s">
        <v>109</v>
      </c>
      <c r="M34" s="17">
        <v>392500</v>
      </c>
      <c r="N34" s="74" t="s">
        <v>120</v>
      </c>
    </row>
    <row r="35" spans="2:14" s="13" customFormat="1" ht="20.100000000000001" hidden="1" customHeight="1" x14ac:dyDescent="0.25">
      <c r="B35" s="8">
        <v>31</v>
      </c>
      <c r="C35" s="11" t="s">
        <v>31</v>
      </c>
      <c r="D35" s="11"/>
      <c r="E35" s="14">
        <v>45272</v>
      </c>
      <c r="F35" s="14">
        <v>45273</v>
      </c>
      <c r="G35" s="67" t="s">
        <v>111</v>
      </c>
      <c r="H35" s="67" t="s">
        <v>112</v>
      </c>
      <c r="I35" s="12" t="s">
        <v>113</v>
      </c>
      <c r="J35" s="70" t="s">
        <v>16</v>
      </c>
      <c r="K35" s="70">
        <v>37</v>
      </c>
      <c r="L35" s="12" t="s">
        <v>114</v>
      </c>
      <c r="M35" s="17">
        <v>162500</v>
      </c>
      <c r="N35" s="74" t="s">
        <v>121</v>
      </c>
    </row>
    <row r="36" spans="2:14" s="13" customFormat="1" ht="20.100000000000001" hidden="1" customHeight="1" x14ac:dyDescent="0.25">
      <c r="B36" s="8">
        <v>32</v>
      </c>
      <c r="C36" s="11" t="s">
        <v>31</v>
      </c>
      <c r="D36" s="11"/>
      <c r="E36" s="14">
        <v>45272</v>
      </c>
      <c r="F36" s="14">
        <v>45273</v>
      </c>
      <c r="G36" s="67" t="s">
        <v>111</v>
      </c>
      <c r="H36" s="67" t="s">
        <v>112</v>
      </c>
      <c r="I36" s="12" t="s">
        <v>115</v>
      </c>
      <c r="J36" s="70" t="s">
        <v>14</v>
      </c>
      <c r="K36" s="70">
        <v>5480</v>
      </c>
      <c r="L36" s="12" t="s">
        <v>116</v>
      </c>
      <c r="M36" s="17">
        <v>162500</v>
      </c>
      <c r="N36" s="74" t="s">
        <v>122</v>
      </c>
    </row>
    <row r="37" spans="2:14" s="13" customFormat="1" ht="20.100000000000001" hidden="1" customHeight="1" x14ac:dyDescent="0.25">
      <c r="B37" s="8">
        <v>33</v>
      </c>
      <c r="C37" s="11" t="s">
        <v>31</v>
      </c>
      <c r="D37" s="11"/>
      <c r="E37" s="14">
        <v>45272</v>
      </c>
      <c r="F37" s="14">
        <v>45273</v>
      </c>
      <c r="G37" s="67" t="s">
        <v>111</v>
      </c>
      <c r="H37" s="67" t="s">
        <v>112</v>
      </c>
      <c r="I37" s="12" t="s">
        <v>58</v>
      </c>
      <c r="J37" s="70" t="s">
        <v>14</v>
      </c>
      <c r="K37" s="70">
        <v>6107</v>
      </c>
      <c r="L37" s="12" t="s">
        <v>117</v>
      </c>
      <c r="M37" s="17">
        <v>162500</v>
      </c>
      <c r="N37" s="74" t="s">
        <v>123</v>
      </c>
    </row>
    <row r="38" spans="2:14" s="13" customFormat="1" ht="20.100000000000001" hidden="1" customHeight="1" x14ac:dyDescent="0.25">
      <c r="B38" s="8">
        <v>34</v>
      </c>
      <c r="C38" s="11" t="s">
        <v>31</v>
      </c>
      <c r="D38" s="11"/>
      <c r="E38" s="14">
        <v>45268</v>
      </c>
      <c r="F38" s="14">
        <v>45268</v>
      </c>
      <c r="G38" s="67" t="s">
        <v>124</v>
      </c>
      <c r="H38" s="67" t="s">
        <v>125</v>
      </c>
      <c r="I38" s="12" t="s">
        <v>11</v>
      </c>
      <c r="J38" s="70" t="s">
        <v>16</v>
      </c>
      <c r="K38" s="70">
        <v>148</v>
      </c>
      <c r="L38" s="12" t="s">
        <v>17</v>
      </c>
      <c r="M38" s="17">
        <v>107500</v>
      </c>
      <c r="N38" s="75" t="s">
        <v>34</v>
      </c>
    </row>
    <row r="39" spans="2:14" s="13" customFormat="1" ht="20.100000000000001" hidden="1" customHeight="1" x14ac:dyDescent="0.25">
      <c r="B39" s="8">
        <v>35</v>
      </c>
      <c r="C39" s="11" t="s">
        <v>31</v>
      </c>
      <c r="D39" s="11"/>
      <c r="E39" s="14">
        <v>45268</v>
      </c>
      <c r="F39" s="14">
        <v>45268</v>
      </c>
      <c r="G39" s="67" t="s">
        <v>124</v>
      </c>
      <c r="H39" s="67" t="s">
        <v>125</v>
      </c>
      <c r="I39" s="12" t="s">
        <v>11</v>
      </c>
      <c r="J39" s="70" t="s">
        <v>16</v>
      </c>
      <c r="K39" s="70">
        <v>596</v>
      </c>
      <c r="L39" s="12" t="s">
        <v>126</v>
      </c>
      <c r="M39" s="17">
        <v>107500</v>
      </c>
      <c r="N39" s="75" t="s">
        <v>127</v>
      </c>
    </row>
    <row r="40" spans="2:14" s="13" customFormat="1" ht="20.100000000000001" hidden="1" customHeight="1" x14ac:dyDescent="0.25">
      <c r="B40" s="8">
        <v>36</v>
      </c>
      <c r="C40" s="11" t="s">
        <v>31</v>
      </c>
      <c r="D40" s="11"/>
      <c r="E40" s="14">
        <v>45271</v>
      </c>
      <c r="F40" s="14">
        <v>45272</v>
      </c>
      <c r="G40" s="67" t="s">
        <v>130</v>
      </c>
      <c r="H40" s="67" t="s">
        <v>131</v>
      </c>
      <c r="I40" s="12" t="s">
        <v>128</v>
      </c>
      <c r="J40" s="70" t="s">
        <v>14</v>
      </c>
      <c r="K40" s="70">
        <v>13</v>
      </c>
      <c r="L40" s="12" t="s">
        <v>129</v>
      </c>
      <c r="M40" s="17">
        <v>162500</v>
      </c>
      <c r="N40" s="74" t="s">
        <v>132</v>
      </c>
    </row>
    <row r="41" spans="2:14" s="13" customFormat="1" ht="20.100000000000001" hidden="1" customHeight="1" x14ac:dyDescent="0.25">
      <c r="B41" s="11">
        <v>37</v>
      </c>
      <c r="C41" s="11" t="s">
        <v>31</v>
      </c>
      <c r="D41" s="11"/>
      <c r="E41" s="14">
        <v>45271</v>
      </c>
      <c r="F41" s="14">
        <v>45272</v>
      </c>
      <c r="G41" s="67" t="s">
        <v>130</v>
      </c>
      <c r="H41" s="67" t="s">
        <v>131</v>
      </c>
      <c r="I41" s="12" t="s">
        <v>105</v>
      </c>
      <c r="J41" s="70" t="s">
        <v>14</v>
      </c>
      <c r="K41" s="70">
        <v>2412</v>
      </c>
      <c r="L41" s="12" t="s">
        <v>106</v>
      </c>
      <c r="M41" s="17">
        <v>162500</v>
      </c>
      <c r="N41" s="75" t="s">
        <v>118</v>
      </c>
    </row>
    <row r="42" spans="2:14" s="13" customFormat="1" ht="20.100000000000001" hidden="1" customHeight="1" x14ac:dyDescent="0.25">
      <c r="B42" s="8">
        <v>38</v>
      </c>
      <c r="C42" s="11" t="s">
        <v>31</v>
      </c>
      <c r="D42" s="11"/>
      <c r="E42" s="14">
        <v>45654</v>
      </c>
      <c r="F42" s="14">
        <v>45654</v>
      </c>
      <c r="G42" s="67" t="s">
        <v>37</v>
      </c>
      <c r="H42" s="67" t="s">
        <v>133</v>
      </c>
      <c r="I42" s="12" t="s">
        <v>134</v>
      </c>
      <c r="J42" s="70" t="s">
        <v>40</v>
      </c>
      <c r="K42" s="70">
        <v>5702</v>
      </c>
      <c r="L42" s="12" t="s">
        <v>135</v>
      </c>
      <c r="M42" s="17">
        <v>13000</v>
      </c>
      <c r="N42" s="75" t="s">
        <v>158</v>
      </c>
    </row>
    <row r="43" spans="2:14" s="13" customFormat="1" ht="20.100000000000001" hidden="1" customHeight="1" x14ac:dyDescent="0.25">
      <c r="B43" s="11">
        <v>39</v>
      </c>
      <c r="C43" s="11" t="s">
        <v>31</v>
      </c>
      <c r="D43" s="11"/>
      <c r="E43" s="14">
        <v>45654</v>
      </c>
      <c r="F43" s="14">
        <v>45654</v>
      </c>
      <c r="G43" s="67" t="s">
        <v>37</v>
      </c>
      <c r="H43" s="67" t="s">
        <v>133</v>
      </c>
      <c r="I43" s="12" t="s">
        <v>134</v>
      </c>
      <c r="J43" s="70" t="s">
        <v>50</v>
      </c>
      <c r="K43" s="70">
        <v>5546</v>
      </c>
      <c r="L43" s="12" t="s">
        <v>136</v>
      </c>
      <c r="M43" s="17">
        <v>13000</v>
      </c>
      <c r="N43" s="75" t="s">
        <v>159</v>
      </c>
    </row>
    <row r="44" spans="2:14" s="13" customFormat="1" ht="20.100000000000001" customHeight="1" thickTop="1" x14ac:dyDescent="0.25">
      <c r="B44" s="8">
        <v>40</v>
      </c>
      <c r="C44" s="11" t="s">
        <v>31</v>
      </c>
      <c r="D44" s="11"/>
      <c r="E44" s="14">
        <v>45302</v>
      </c>
      <c r="F44" s="14">
        <v>45303</v>
      </c>
      <c r="G44" s="67" t="s">
        <v>148</v>
      </c>
      <c r="H44" s="67" t="s">
        <v>149</v>
      </c>
      <c r="I44" s="12" t="s">
        <v>137</v>
      </c>
      <c r="J44" s="70" t="s">
        <v>138</v>
      </c>
      <c r="K44" s="70">
        <v>25251</v>
      </c>
      <c r="L44" s="12" t="s">
        <v>139</v>
      </c>
      <c r="M44" s="17">
        <v>190000</v>
      </c>
      <c r="N44" s="75"/>
    </row>
    <row r="45" spans="2:14" s="13" customFormat="1" ht="20.100000000000001" hidden="1" customHeight="1" x14ac:dyDescent="0.25">
      <c r="B45" s="11">
        <v>41</v>
      </c>
      <c r="C45" s="11" t="s">
        <v>31</v>
      </c>
      <c r="D45" s="11"/>
      <c r="E45" s="14">
        <v>45302</v>
      </c>
      <c r="F45" s="14">
        <v>45303</v>
      </c>
      <c r="G45" s="67" t="s">
        <v>148</v>
      </c>
      <c r="H45" s="67" t="s">
        <v>149</v>
      </c>
      <c r="I45" s="12" t="s">
        <v>137</v>
      </c>
      <c r="J45" s="70" t="s">
        <v>140</v>
      </c>
      <c r="K45" s="70">
        <v>10</v>
      </c>
      <c r="L45" s="12" t="s">
        <v>141</v>
      </c>
      <c r="M45" s="17">
        <v>190000</v>
      </c>
      <c r="N45" s="75" t="s">
        <v>160</v>
      </c>
    </row>
    <row r="46" spans="2:14" s="13" customFormat="1" ht="20.100000000000001" hidden="1" customHeight="1" x14ac:dyDescent="0.25">
      <c r="B46" s="8">
        <v>42</v>
      </c>
      <c r="C46" s="11" t="s">
        <v>31</v>
      </c>
      <c r="D46" s="11"/>
      <c r="E46" s="14">
        <v>45302</v>
      </c>
      <c r="F46" s="14">
        <v>45303</v>
      </c>
      <c r="G46" s="67" t="s">
        <v>148</v>
      </c>
      <c r="H46" s="67" t="s">
        <v>149</v>
      </c>
      <c r="I46" s="12" t="s">
        <v>142</v>
      </c>
      <c r="J46" s="70" t="s">
        <v>14</v>
      </c>
      <c r="K46" s="70">
        <v>13648</v>
      </c>
      <c r="L46" s="12" t="s">
        <v>143</v>
      </c>
      <c r="M46" s="17">
        <v>162500</v>
      </c>
      <c r="N46" s="75" t="s">
        <v>161</v>
      </c>
    </row>
    <row r="47" spans="2:14" s="13" customFormat="1" ht="20.100000000000001" hidden="1" customHeight="1" x14ac:dyDescent="0.25">
      <c r="B47" s="11">
        <v>43</v>
      </c>
      <c r="C47" s="11" t="s">
        <v>31</v>
      </c>
      <c r="D47" s="11"/>
      <c r="E47" s="14">
        <v>45302</v>
      </c>
      <c r="F47" s="14">
        <v>45303</v>
      </c>
      <c r="G47" s="67" t="s">
        <v>148</v>
      </c>
      <c r="H47" s="67" t="s">
        <v>149</v>
      </c>
      <c r="I47" s="12" t="s">
        <v>58</v>
      </c>
      <c r="J47" s="70" t="s">
        <v>14</v>
      </c>
      <c r="K47" s="70">
        <v>284</v>
      </c>
      <c r="L47" s="12" t="s">
        <v>144</v>
      </c>
      <c r="M47" s="17">
        <v>162500</v>
      </c>
      <c r="N47" s="75" t="s">
        <v>162</v>
      </c>
    </row>
    <row r="48" spans="2:14" s="13" customFormat="1" ht="20.100000000000001" hidden="1" customHeight="1" x14ac:dyDescent="0.25">
      <c r="B48" s="8">
        <v>44</v>
      </c>
      <c r="C48" s="11" t="s">
        <v>31</v>
      </c>
      <c r="D48" s="11"/>
      <c r="E48" s="14">
        <v>45302</v>
      </c>
      <c r="F48" s="14">
        <v>45303</v>
      </c>
      <c r="G48" s="67" t="s">
        <v>148</v>
      </c>
      <c r="H48" s="67" t="s">
        <v>149</v>
      </c>
      <c r="I48" s="12" t="s">
        <v>58</v>
      </c>
      <c r="J48" s="70" t="s">
        <v>145</v>
      </c>
      <c r="K48" s="70">
        <v>5425</v>
      </c>
      <c r="L48" s="12" t="s">
        <v>146</v>
      </c>
      <c r="M48" s="17">
        <v>130000</v>
      </c>
      <c r="N48" s="75" t="s">
        <v>163</v>
      </c>
    </row>
    <row r="49" spans="2:14" s="13" customFormat="1" ht="20.100000000000001" hidden="1" customHeight="1" x14ac:dyDescent="0.25">
      <c r="B49" s="11">
        <v>45</v>
      </c>
      <c r="C49" s="11" t="s">
        <v>31</v>
      </c>
      <c r="D49" s="11"/>
      <c r="E49" s="14">
        <v>45302</v>
      </c>
      <c r="F49" s="14">
        <v>45303</v>
      </c>
      <c r="G49" s="67" t="s">
        <v>148</v>
      </c>
      <c r="H49" s="67" t="s">
        <v>149</v>
      </c>
      <c r="I49" s="12" t="s">
        <v>58</v>
      </c>
      <c r="J49" s="70" t="s">
        <v>145</v>
      </c>
      <c r="K49" s="70">
        <v>519</v>
      </c>
      <c r="L49" s="12" t="s">
        <v>147</v>
      </c>
      <c r="M49" s="17">
        <v>130000</v>
      </c>
      <c r="N49" s="75" t="s">
        <v>164</v>
      </c>
    </row>
    <row r="50" spans="2:14" s="13" customFormat="1" ht="20.100000000000001" hidden="1" customHeight="1" x14ac:dyDescent="0.25">
      <c r="B50" s="8">
        <v>46</v>
      </c>
      <c r="C50" s="11" t="s">
        <v>31</v>
      </c>
      <c r="D50" s="11"/>
      <c r="E50" s="14">
        <v>45316</v>
      </c>
      <c r="F50" s="14">
        <v>45317</v>
      </c>
      <c r="G50" s="67" t="s">
        <v>150</v>
      </c>
      <c r="H50" s="67" t="s">
        <v>151</v>
      </c>
      <c r="I50" s="12" t="s">
        <v>69</v>
      </c>
      <c r="J50" s="12" t="s">
        <v>156</v>
      </c>
      <c r="K50" s="71">
        <v>25252</v>
      </c>
      <c r="L50" s="12" t="s">
        <v>152</v>
      </c>
      <c r="M50" s="17">
        <f>+'[1]TAHAP 2 (SPD)'!$L$35:$M$35</f>
        <v>0</v>
      </c>
      <c r="N50" s="75"/>
    </row>
    <row r="51" spans="2:14" s="13" customFormat="1" ht="20.100000000000001" hidden="1" customHeight="1" x14ac:dyDescent="0.25">
      <c r="B51" s="11">
        <v>47</v>
      </c>
      <c r="C51" s="11" t="s">
        <v>31</v>
      </c>
      <c r="D51" s="11"/>
      <c r="E51" s="14">
        <v>45316</v>
      </c>
      <c r="F51" s="14">
        <v>45317</v>
      </c>
      <c r="G51" s="67" t="s">
        <v>150</v>
      </c>
      <c r="H51" s="67" t="s">
        <v>151</v>
      </c>
      <c r="I51" s="12" t="s">
        <v>69</v>
      </c>
      <c r="J51" s="12" t="s">
        <v>16</v>
      </c>
      <c r="K51" s="71">
        <v>703</v>
      </c>
      <c r="L51" s="12" t="s">
        <v>153</v>
      </c>
      <c r="M51" s="17">
        <f>+'[1]TAHAP 2 (SPD)'!$L$35:$M$35</f>
        <v>0</v>
      </c>
      <c r="N51" s="75" t="s">
        <v>178</v>
      </c>
    </row>
    <row r="52" spans="2:14" s="13" customFormat="1" ht="20.100000000000001" hidden="1" customHeight="1" x14ac:dyDescent="0.25">
      <c r="B52" s="8">
        <v>48</v>
      </c>
      <c r="C52" s="11" t="s">
        <v>31</v>
      </c>
      <c r="D52" s="11"/>
      <c r="E52" s="14">
        <v>45316</v>
      </c>
      <c r="F52" s="14">
        <v>45317</v>
      </c>
      <c r="G52" s="67" t="s">
        <v>150</v>
      </c>
      <c r="H52" s="67" t="s">
        <v>151</v>
      </c>
      <c r="I52" s="12" t="s">
        <v>69</v>
      </c>
      <c r="J52" s="12" t="s">
        <v>14</v>
      </c>
      <c r="K52" s="71">
        <v>3644</v>
      </c>
      <c r="L52" s="12" t="s">
        <v>157</v>
      </c>
      <c r="M52" s="17">
        <f>+'[1]TAHAP 2 (SPD)'!$L$35:$M$35</f>
        <v>0</v>
      </c>
      <c r="N52" s="75" t="s">
        <v>179</v>
      </c>
    </row>
    <row r="53" spans="2:14" s="13" customFormat="1" ht="20.100000000000001" hidden="1" customHeight="1" x14ac:dyDescent="0.25">
      <c r="B53" s="11">
        <v>49</v>
      </c>
      <c r="C53" s="11" t="s">
        <v>31</v>
      </c>
      <c r="D53" s="11"/>
      <c r="E53" s="14">
        <v>45316</v>
      </c>
      <c r="F53" s="14">
        <v>45317</v>
      </c>
      <c r="G53" s="67" t="s">
        <v>150</v>
      </c>
      <c r="H53" s="67" t="s">
        <v>151</v>
      </c>
      <c r="I53" s="12" t="s">
        <v>69</v>
      </c>
      <c r="J53" s="12" t="s">
        <v>14</v>
      </c>
      <c r="K53" s="71">
        <v>29777</v>
      </c>
      <c r="L53" s="12" t="s">
        <v>154</v>
      </c>
      <c r="M53" s="17">
        <f>+'[1]TAHAP 2 (SPD)'!$L$35:$M$35</f>
        <v>0</v>
      </c>
      <c r="N53" s="75" t="s">
        <v>180</v>
      </c>
    </row>
    <row r="54" spans="2:14" s="13" customFormat="1" ht="20.100000000000001" hidden="1" customHeight="1" x14ac:dyDescent="0.25">
      <c r="B54" s="8">
        <v>50</v>
      </c>
      <c r="C54" s="11" t="s">
        <v>31</v>
      </c>
      <c r="D54" s="11"/>
      <c r="E54" s="14">
        <v>45316</v>
      </c>
      <c r="F54" s="14">
        <v>45317</v>
      </c>
      <c r="G54" s="67" t="s">
        <v>150</v>
      </c>
      <c r="H54" s="67" t="s">
        <v>151</v>
      </c>
      <c r="I54" s="12" t="s">
        <v>69</v>
      </c>
      <c r="J54" s="12" t="s">
        <v>49</v>
      </c>
      <c r="K54" s="71">
        <v>5825</v>
      </c>
      <c r="L54" s="12" t="s">
        <v>155</v>
      </c>
      <c r="M54" s="17">
        <f>+'[1]TAHAP 2 (SPD)'!$L$35:$M$35</f>
        <v>0</v>
      </c>
      <c r="N54" s="75" t="s">
        <v>181</v>
      </c>
    </row>
    <row r="55" spans="2:14" s="13" customFormat="1" ht="20.100000000000001" hidden="1" customHeight="1" x14ac:dyDescent="0.25">
      <c r="B55" s="11">
        <v>51</v>
      </c>
      <c r="C55" s="11" t="s">
        <v>31</v>
      </c>
      <c r="D55" s="11"/>
      <c r="E55" s="14">
        <v>45312</v>
      </c>
      <c r="F55" s="78">
        <v>45317</v>
      </c>
      <c r="G55" s="67" t="s">
        <v>165</v>
      </c>
      <c r="H55" s="67" t="s">
        <v>166</v>
      </c>
      <c r="I55" s="12" t="s">
        <v>167</v>
      </c>
      <c r="J55" s="70" t="s">
        <v>168</v>
      </c>
      <c r="K55" s="70">
        <v>18663</v>
      </c>
      <c r="L55" s="12" t="s">
        <v>169</v>
      </c>
      <c r="M55" s="17">
        <v>510000</v>
      </c>
      <c r="N55" s="75" t="s">
        <v>182</v>
      </c>
    </row>
    <row r="56" spans="2:14" s="13" customFormat="1" ht="20.100000000000001" hidden="1" customHeight="1" x14ac:dyDescent="0.25">
      <c r="B56" s="8">
        <v>52</v>
      </c>
      <c r="C56" s="11" t="s">
        <v>31</v>
      </c>
      <c r="D56" s="11"/>
      <c r="E56" s="14">
        <v>45312</v>
      </c>
      <c r="F56" s="14">
        <v>45314</v>
      </c>
      <c r="G56" s="67" t="s">
        <v>165</v>
      </c>
      <c r="H56" s="67" t="s">
        <v>166</v>
      </c>
      <c r="I56" s="12" t="s">
        <v>167</v>
      </c>
      <c r="J56" s="70" t="s">
        <v>16</v>
      </c>
      <c r="K56" s="70">
        <v>8381</v>
      </c>
      <c r="L56" s="12" t="s">
        <v>170</v>
      </c>
      <c r="M56" s="17">
        <v>230000</v>
      </c>
      <c r="N56" s="75" t="s">
        <v>183</v>
      </c>
    </row>
    <row r="57" spans="2:14" s="13" customFormat="1" ht="20.100000000000001" hidden="1" customHeight="1" x14ac:dyDescent="0.25">
      <c r="B57" s="11">
        <v>53</v>
      </c>
      <c r="C57" s="11" t="s">
        <v>31</v>
      </c>
      <c r="D57" s="11"/>
      <c r="E57" s="14">
        <v>45312</v>
      </c>
      <c r="F57" s="14">
        <v>45314</v>
      </c>
      <c r="G57" s="67" t="s">
        <v>165</v>
      </c>
      <c r="H57" s="67" t="s">
        <v>166</v>
      </c>
      <c r="I57" s="12" t="s">
        <v>167</v>
      </c>
      <c r="J57" s="70" t="s">
        <v>16</v>
      </c>
      <c r="K57" s="70">
        <v>1009</v>
      </c>
      <c r="L57" s="12" t="s">
        <v>171</v>
      </c>
      <c r="M57" s="17">
        <v>230000</v>
      </c>
      <c r="N57" s="75" t="s">
        <v>184</v>
      </c>
    </row>
    <row r="58" spans="2:14" s="13" customFormat="1" ht="20.100000000000001" hidden="1" customHeight="1" x14ac:dyDescent="0.25">
      <c r="B58" s="8">
        <v>54</v>
      </c>
      <c r="C58" s="11" t="s">
        <v>31</v>
      </c>
      <c r="D58" s="11"/>
      <c r="E58" s="14">
        <v>45307</v>
      </c>
      <c r="F58" s="14">
        <v>45308</v>
      </c>
      <c r="G58" s="67" t="s">
        <v>176</v>
      </c>
      <c r="H58" s="67" t="s">
        <v>177</v>
      </c>
      <c r="I58" s="12" t="s">
        <v>172</v>
      </c>
      <c r="J58" s="70" t="s">
        <v>92</v>
      </c>
      <c r="K58" s="70">
        <v>4960</v>
      </c>
      <c r="L58" s="12" t="s">
        <v>173</v>
      </c>
      <c r="M58" s="17">
        <v>135000</v>
      </c>
      <c r="N58" s="75" t="s">
        <v>185</v>
      </c>
    </row>
    <row r="59" spans="2:14" s="13" customFormat="1" ht="20.100000000000001" hidden="1" customHeight="1" x14ac:dyDescent="0.25">
      <c r="B59" s="11">
        <v>55</v>
      </c>
      <c r="C59" s="11" t="s">
        <v>31</v>
      </c>
      <c r="D59" s="11"/>
      <c r="E59" s="14">
        <v>45307</v>
      </c>
      <c r="F59" s="14">
        <v>45308</v>
      </c>
      <c r="G59" s="67" t="s">
        <v>176</v>
      </c>
      <c r="H59" s="67" t="s">
        <v>177</v>
      </c>
      <c r="I59" s="12" t="s">
        <v>48</v>
      </c>
      <c r="J59" s="70" t="s">
        <v>14</v>
      </c>
      <c r="K59" s="70">
        <v>7091</v>
      </c>
      <c r="L59" s="12" t="s">
        <v>174</v>
      </c>
      <c r="M59" s="17">
        <v>135000</v>
      </c>
      <c r="N59" s="75" t="s">
        <v>186</v>
      </c>
    </row>
    <row r="60" spans="2:14" s="13" customFormat="1" ht="20.100000000000001" hidden="1" customHeight="1" x14ac:dyDescent="0.25">
      <c r="B60" s="8">
        <v>56</v>
      </c>
      <c r="C60" s="11" t="s">
        <v>31</v>
      </c>
      <c r="D60" s="11"/>
      <c r="E60" s="14">
        <v>45307</v>
      </c>
      <c r="F60" s="14">
        <v>45308</v>
      </c>
      <c r="G60" s="67" t="s">
        <v>176</v>
      </c>
      <c r="H60" s="67" t="s">
        <v>177</v>
      </c>
      <c r="I60" s="12" t="s">
        <v>175</v>
      </c>
      <c r="J60" s="70" t="s">
        <v>92</v>
      </c>
      <c r="K60" s="70">
        <v>148</v>
      </c>
      <c r="L60" s="12" t="s">
        <v>17</v>
      </c>
      <c r="M60" s="17">
        <v>135000</v>
      </c>
      <c r="N60" s="75" t="s">
        <v>34</v>
      </c>
    </row>
    <row r="61" spans="2:14" s="13" customFormat="1" ht="20.100000000000001" hidden="1" customHeight="1" x14ac:dyDescent="0.25">
      <c r="B61" s="11">
        <v>57</v>
      </c>
      <c r="C61" s="11" t="s">
        <v>31</v>
      </c>
      <c r="D61" s="11"/>
      <c r="E61" s="14">
        <v>45319</v>
      </c>
      <c r="F61" s="14">
        <v>45322</v>
      </c>
      <c r="G61" s="67" t="s">
        <v>187</v>
      </c>
      <c r="H61" s="67" t="s">
        <v>188</v>
      </c>
      <c r="I61" s="12" t="s">
        <v>189</v>
      </c>
      <c r="J61" s="70" t="s">
        <v>14</v>
      </c>
      <c r="K61" s="70"/>
      <c r="L61" s="12" t="s">
        <v>190</v>
      </c>
      <c r="M61" s="17">
        <v>270000</v>
      </c>
      <c r="N61" s="75" t="s">
        <v>202</v>
      </c>
    </row>
    <row r="62" spans="2:14" s="13" customFormat="1" ht="20.100000000000001" hidden="1" customHeight="1" x14ac:dyDescent="0.25">
      <c r="B62" s="8">
        <v>58</v>
      </c>
      <c r="C62" s="11" t="s">
        <v>31</v>
      </c>
      <c r="D62" s="11"/>
      <c r="E62" s="14">
        <v>45320</v>
      </c>
      <c r="F62" s="14">
        <v>45322</v>
      </c>
      <c r="G62" s="67" t="s">
        <v>194</v>
      </c>
      <c r="H62" s="67" t="s">
        <v>195</v>
      </c>
      <c r="I62" s="12" t="s">
        <v>175</v>
      </c>
      <c r="J62" s="70" t="s">
        <v>156</v>
      </c>
      <c r="K62" s="70">
        <v>28032</v>
      </c>
      <c r="L62" s="12" t="s">
        <v>193</v>
      </c>
      <c r="M62" s="17">
        <v>270000</v>
      </c>
      <c r="N62" s="75"/>
    </row>
    <row r="63" spans="2:14" s="13" customFormat="1" ht="20.100000000000001" hidden="1" customHeight="1" x14ac:dyDescent="0.25">
      <c r="B63" s="11">
        <v>59</v>
      </c>
      <c r="C63" s="11" t="s">
        <v>31</v>
      </c>
      <c r="D63" s="11"/>
      <c r="E63" s="14">
        <v>45320</v>
      </c>
      <c r="F63" s="14">
        <v>45322</v>
      </c>
      <c r="G63" s="67" t="s">
        <v>194</v>
      </c>
      <c r="H63" s="67" t="s">
        <v>195</v>
      </c>
      <c r="I63" s="12" t="s">
        <v>175</v>
      </c>
      <c r="J63" s="70" t="s">
        <v>16</v>
      </c>
      <c r="K63" s="70">
        <v>596</v>
      </c>
      <c r="L63" s="12" t="s">
        <v>126</v>
      </c>
      <c r="M63" s="17">
        <v>230000</v>
      </c>
      <c r="N63" s="75" t="s">
        <v>127</v>
      </c>
    </row>
    <row r="64" spans="2:14" s="13" customFormat="1" ht="20.100000000000001" hidden="1" customHeight="1" x14ac:dyDescent="0.25">
      <c r="B64" s="8">
        <v>60</v>
      </c>
      <c r="C64" s="11" t="s">
        <v>31</v>
      </c>
      <c r="D64" s="11"/>
      <c r="E64" s="14">
        <v>45320</v>
      </c>
      <c r="F64" s="14">
        <v>45322</v>
      </c>
      <c r="G64" s="67" t="s">
        <v>194</v>
      </c>
      <c r="H64" s="67" t="s">
        <v>195</v>
      </c>
      <c r="I64" s="12" t="s">
        <v>175</v>
      </c>
      <c r="J64" s="70" t="s">
        <v>16</v>
      </c>
      <c r="K64" s="70">
        <v>2409</v>
      </c>
      <c r="L64" s="12" t="s">
        <v>191</v>
      </c>
      <c r="M64" s="17">
        <v>230000</v>
      </c>
      <c r="N64" s="75" t="s">
        <v>203</v>
      </c>
    </row>
    <row r="65" spans="2:14" s="13" customFormat="1" ht="20.100000000000001" hidden="1" customHeight="1" x14ac:dyDescent="0.25">
      <c r="B65" s="11">
        <v>61</v>
      </c>
      <c r="C65" s="11" t="s">
        <v>31</v>
      </c>
      <c r="D65" s="11"/>
      <c r="E65" s="14">
        <v>45320</v>
      </c>
      <c r="F65" s="14">
        <v>45322</v>
      </c>
      <c r="G65" s="67" t="s">
        <v>194</v>
      </c>
      <c r="H65" s="67" t="s">
        <v>195</v>
      </c>
      <c r="I65" s="12" t="s">
        <v>58</v>
      </c>
      <c r="J65" s="70" t="s">
        <v>14</v>
      </c>
      <c r="K65" s="70">
        <v>6107</v>
      </c>
      <c r="L65" s="12" t="s">
        <v>117</v>
      </c>
      <c r="M65" s="17">
        <v>230000</v>
      </c>
      <c r="N65" s="75" t="s">
        <v>123</v>
      </c>
    </row>
    <row r="66" spans="2:14" s="13" customFormat="1" ht="20.100000000000001" hidden="1" customHeight="1" x14ac:dyDescent="0.25">
      <c r="B66" s="8">
        <v>62</v>
      </c>
      <c r="C66" s="11" t="s">
        <v>31</v>
      </c>
      <c r="D66" s="11"/>
      <c r="E66" s="14">
        <v>45320</v>
      </c>
      <c r="F66" s="14">
        <v>45322</v>
      </c>
      <c r="G66" s="67" t="s">
        <v>194</v>
      </c>
      <c r="H66" s="67" t="s">
        <v>195</v>
      </c>
      <c r="I66" s="12" t="s">
        <v>175</v>
      </c>
      <c r="J66" s="70" t="s">
        <v>49</v>
      </c>
      <c r="K66" s="70">
        <v>5692</v>
      </c>
      <c r="L66" s="12" t="s">
        <v>192</v>
      </c>
      <c r="M66" s="17">
        <v>185000</v>
      </c>
      <c r="N66" s="75" t="s">
        <v>204</v>
      </c>
    </row>
    <row r="67" spans="2:14" s="13" customFormat="1" ht="20.100000000000001" hidden="1" customHeight="1" x14ac:dyDescent="0.25">
      <c r="B67" s="11">
        <v>63</v>
      </c>
      <c r="C67" s="11" t="s">
        <v>31</v>
      </c>
      <c r="D67" s="11"/>
      <c r="E67" s="14">
        <v>45316</v>
      </c>
      <c r="F67" s="14">
        <v>45316</v>
      </c>
      <c r="G67" s="67" t="s">
        <v>201</v>
      </c>
      <c r="H67" s="67" t="s">
        <v>200</v>
      </c>
      <c r="I67" s="12" t="s">
        <v>175</v>
      </c>
      <c r="J67" s="70" t="s">
        <v>14</v>
      </c>
      <c r="K67" s="70">
        <v>13647</v>
      </c>
      <c r="L67" s="12" t="s">
        <v>196</v>
      </c>
      <c r="M67" s="17">
        <v>20000</v>
      </c>
      <c r="N67" s="75" t="s">
        <v>205</v>
      </c>
    </row>
    <row r="68" spans="2:14" s="13" customFormat="1" ht="20.100000000000001" hidden="1" customHeight="1" x14ac:dyDescent="0.25">
      <c r="B68" s="8">
        <v>64</v>
      </c>
      <c r="C68" s="11" t="s">
        <v>31</v>
      </c>
      <c r="D68" s="11"/>
      <c r="E68" s="14">
        <v>45316</v>
      </c>
      <c r="F68" s="14">
        <v>45316</v>
      </c>
      <c r="G68" s="67" t="s">
        <v>201</v>
      </c>
      <c r="H68" s="67" t="s">
        <v>200</v>
      </c>
      <c r="I68" s="12" t="s">
        <v>175</v>
      </c>
      <c r="J68" s="70" t="s">
        <v>49</v>
      </c>
      <c r="K68" s="70">
        <v>5557</v>
      </c>
      <c r="L68" s="12" t="s">
        <v>197</v>
      </c>
      <c r="M68" s="17">
        <v>20000</v>
      </c>
      <c r="N68" s="75" t="s">
        <v>206</v>
      </c>
    </row>
    <row r="69" spans="2:14" s="13" customFormat="1" ht="20.100000000000001" hidden="1" customHeight="1" x14ac:dyDescent="0.25">
      <c r="B69" s="11">
        <v>65</v>
      </c>
      <c r="C69" s="11" t="s">
        <v>31</v>
      </c>
      <c r="D69" s="11"/>
      <c r="E69" s="14">
        <v>45316</v>
      </c>
      <c r="F69" s="14">
        <v>45316</v>
      </c>
      <c r="G69" s="67" t="s">
        <v>201</v>
      </c>
      <c r="H69" s="67" t="s">
        <v>200</v>
      </c>
      <c r="I69" s="12" t="s">
        <v>175</v>
      </c>
      <c r="J69" s="70" t="s">
        <v>49</v>
      </c>
      <c r="K69" s="70">
        <v>5559</v>
      </c>
      <c r="L69" s="12" t="s">
        <v>198</v>
      </c>
      <c r="M69" s="17">
        <v>20000</v>
      </c>
      <c r="N69" s="75" t="s">
        <v>207</v>
      </c>
    </row>
    <row r="70" spans="2:14" s="13" customFormat="1" ht="20.100000000000001" hidden="1" customHeight="1" x14ac:dyDescent="0.25">
      <c r="B70" s="8">
        <v>66</v>
      </c>
      <c r="C70" s="11" t="s">
        <v>31</v>
      </c>
      <c r="D70" s="11"/>
      <c r="E70" s="14">
        <v>45316</v>
      </c>
      <c r="F70" s="14">
        <v>45316</v>
      </c>
      <c r="G70" s="67" t="s">
        <v>201</v>
      </c>
      <c r="H70" s="67" t="s">
        <v>200</v>
      </c>
      <c r="I70" s="12" t="s">
        <v>175</v>
      </c>
      <c r="J70" s="70" t="s">
        <v>40</v>
      </c>
      <c r="K70" s="70">
        <v>7077</v>
      </c>
      <c r="L70" s="12" t="s">
        <v>199</v>
      </c>
      <c r="M70" s="17">
        <v>20000</v>
      </c>
      <c r="N70" s="75" t="s">
        <v>208</v>
      </c>
    </row>
    <row r="71" spans="2:14" ht="20.100000000000001" hidden="1" customHeight="1" x14ac:dyDescent="0.25">
      <c r="B71" s="11">
        <v>67</v>
      </c>
      <c r="C71" s="11" t="s">
        <v>31</v>
      </c>
      <c r="D71" s="11"/>
      <c r="E71" s="14">
        <v>45305</v>
      </c>
      <c r="F71" s="14">
        <v>45307</v>
      </c>
      <c r="G71" s="67" t="s">
        <v>209</v>
      </c>
      <c r="H71" s="67" t="s">
        <v>213</v>
      </c>
      <c r="I71" s="12" t="s">
        <v>167</v>
      </c>
      <c r="J71" s="70" t="s">
        <v>211</v>
      </c>
      <c r="K71" s="70">
        <v>8381</v>
      </c>
      <c r="L71" s="12" t="s">
        <v>170</v>
      </c>
      <c r="M71" s="17">
        <f>+'[2]TAHAP 2.1 (SPD)'!$L$32:$M$32</f>
        <v>0</v>
      </c>
      <c r="N71" s="56" t="s">
        <v>183</v>
      </c>
    </row>
    <row r="72" spans="2:14" ht="20.100000000000001" hidden="1" customHeight="1" x14ac:dyDescent="0.25">
      <c r="B72" s="11">
        <v>68</v>
      </c>
      <c r="C72" s="11" t="s">
        <v>31</v>
      </c>
      <c r="D72" s="11"/>
      <c r="E72" s="14">
        <v>45305</v>
      </c>
      <c r="F72" s="14">
        <v>45307</v>
      </c>
      <c r="G72" s="67" t="s">
        <v>209</v>
      </c>
      <c r="H72" s="67" t="s">
        <v>213</v>
      </c>
      <c r="I72" s="12" t="s">
        <v>167</v>
      </c>
      <c r="J72" s="70" t="s">
        <v>40</v>
      </c>
      <c r="K72" s="70">
        <v>13774</v>
      </c>
      <c r="L72" s="12" t="s">
        <v>212</v>
      </c>
      <c r="M72" s="17">
        <f>+'[2]TAHAP 2.1 (SPD)'!$L$33:$M$33</f>
        <v>0</v>
      </c>
      <c r="N72" s="56" t="s">
        <v>226</v>
      </c>
    </row>
    <row r="73" spans="2:14" s="13" customFormat="1" ht="20.100000000000001" customHeight="1" x14ac:dyDescent="0.25">
      <c r="B73" s="11">
        <v>69</v>
      </c>
      <c r="C73" s="11" t="s">
        <v>31</v>
      </c>
      <c r="D73" s="11"/>
      <c r="E73" s="14">
        <v>45348</v>
      </c>
      <c r="F73" s="14">
        <v>45350</v>
      </c>
      <c r="G73" s="67" t="s">
        <v>218</v>
      </c>
      <c r="H73" s="67" t="s">
        <v>195</v>
      </c>
      <c r="I73" s="12" t="s">
        <v>214</v>
      </c>
      <c r="J73" s="70" t="s">
        <v>140</v>
      </c>
      <c r="K73" s="70">
        <v>10</v>
      </c>
      <c r="L73" s="12" t="s">
        <v>141</v>
      </c>
      <c r="M73" s="17">
        <v>270000</v>
      </c>
      <c r="N73" s="75" t="s">
        <v>160</v>
      </c>
    </row>
    <row r="74" spans="2:14" s="13" customFormat="1" ht="20.100000000000001" customHeight="1" x14ac:dyDescent="0.25">
      <c r="B74" s="11">
        <v>70</v>
      </c>
      <c r="C74" s="11" t="s">
        <v>31</v>
      </c>
      <c r="D74" s="11"/>
      <c r="E74" s="14">
        <v>45347</v>
      </c>
      <c r="F74" s="14">
        <v>45350</v>
      </c>
      <c r="G74" s="67" t="s">
        <v>218</v>
      </c>
      <c r="H74" s="67" t="s">
        <v>195</v>
      </c>
      <c r="I74" s="12" t="s">
        <v>18</v>
      </c>
      <c r="J74" s="70" t="s">
        <v>19</v>
      </c>
      <c r="K74" s="70">
        <v>12</v>
      </c>
      <c r="L74" s="12" t="s">
        <v>21</v>
      </c>
      <c r="M74" s="17">
        <v>297500</v>
      </c>
      <c r="N74" s="75" t="s">
        <v>35</v>
      </c>
    </row>
    <row r="75" spans="2:14" s="13" customFormat="1" ht="20.100000000000001" customHeight="1" x14ac:dyDescent="0.25">
      <c r="B75" s="11">
        <v>71</v>
      </c>
      <c r="C75" s="11" t="s">
        <v>31</v>
      </c>
      <c r="D75" s="11"/>
      <c r="E75" s="14">
        <v>45347</v>
      </c>
      <c r="F75" s="14">
        <v>45349</v>
      </c>
      <c r="G75" s="67" t="s">
        <v>218</v>
      </c>
      <c r="H75" s="67" t="s">
        <v>195</v>
      </c>
      <c r="I75" s="12" t="s">
        <v>22</v>
      </c>
      <c r="J75" s="70" t="s">
        <v>92</v>
      </c>
      <c r="K75" s="70">
        <v>1160</v>
      </c>
      <c r="L75" s="12" t="s">
        <v>23</v>
      </c>
      <c r="M75" s="17">
        <v>230000</v>
      </c>
      <c r="N75" s="75" t="s">
        <v>36</v>
      </c>
    </row>
    <row r="76" spans="2:14" s="13" customFormat="1" ht="20.100000000000001" customHeight="1" x14ac:dyDescent="0.25">
      <c r="B76" s="11">
        <v>72</v>
      </c>
      <c r="C76" s="11" t="s">
        <v>31</v>
      </c>
      <c r="D76" s="11"/>
      <c r="E76" s="14">
        <v>45347</v>
      </c>
      <c r="F76" s="14">
        <v>45349</v>
      </c>
      <c r="G76" s="67" t="s">
        <v>218</v>
      </c>
      <c r="H76" s="67" t="s">
        <v>195</v>
      </c>
      <c r="I76" s="12" t="s">
        <v>215</v>
      </c>
      <c r="J76" s="70" t="s">
        <v>14</v>
      </c>
      <c r="K76" s="70">
        <v>2412</v>
      </c>
      <c r="L76" s="12" t="s">
        <v>106</v>
      </c>
      <c r="M76" s="17">
        <v>230000</v>
      </c>
      <c r="N76" s="75" t="s">
        <v>118</v>
      </c>
    </row>
    <row r="77" spans="2:14" s="13" customFormat="1" ht="20.100000000000001" customHeight="1" x14ac:dyDescent="0.25">
      <c r="B77" s="11">
        <v>73</v>
      </c>
      <c r="C77" s="11" t="s">
        <v>31</v>
      </c>
      <c r="D77" s="84" t="s">
        <v>234</v>
      </c>
      <c r="E77" s="14">
        <v>45347</v>
      </c>
      <c r="F77" s="14">
        <v>45349</v>
      </c>
      <c r="G77" s="67" t="s">
        <v>218</v>
      </c>
      <c r="H77" s="67" t="s">
        <v>195</v>
      </c>
      <c r="I77" s="12" t="s">
        <v>216</v>
      </c>
      <c r="J77" s="70" t="s">
        <v>14</v>
      </c>
      <c r="K77" s="70">
        <v>13649</v>
      </c>
      <c r="L77" s="12" t="s">
        <v>217</v>
      </c>
      <c r="M77" s="17">
        <v>230000</v>
      </c>
      <c r="N77" s="75" t="s">
        <v>227</v>
      </c>
    </row>
    <row r="78" spans="2:14" s="13" customFormat="1" ht="20.100000000000001" customHeight="1" x14ac:dyDescent="0.25">
      <c r="B78" s="11">
        <v>74</v>
      </c>
      <c r="C78" s="11" t="s">
        <v>31</v>
      </c>
      <c r="D78" s="84"/>
      <c r="E78" s="14">
        <v>45332</v>
      </c>
      <c r="F78" s="14">
        <v>45332</v>
      </c>
      <c r="G78" s="67" t="s">
        <v>37</v>
      </c>
      <c r="H78" s="67" t="s">
        <v>221</v>
      </c>
      <c r="I78" s="12" t="s">
        <v>69</v>
      </c>
      <c r="J78" s="70" t="s">
        <v>223</v>
      </c>
      <c r="K78" s="70">
        <v>10194</v>
      </c>
      <c r="L78" s="12" t="s">
        <v>219</v>
      </c>
      <c r="M78" s="17">
        <v>13000</v>
      </c>
      <c r="N78" s="75" t="s">
        <v>228</v>
      </c>
    </row>
    <row r="79" spans="2:14" s="13" customFormat="1" ht="20.100000000000001" customHeight="1" x14ac:dyDescent="0.25">
      <c r="B79" s="11">
        <v>75</v>
      </c>
      <c r="C79" s="11" t="s">
        <v>31</v>
      </c>
      <c r="D79" s="84"/>
      <c r="E79" s="14">
        <v>45332</v>
      </c>
      <c r="F79" s="14">
        <v>45332</v>
      </c>
      <c r="G79" s="67" t="s">
        <v>37</v>
      </c>
      <c r="H79" s="67" t="s">
        <v>221</v>
      </c>
      <c r="I79" s="12" t="s">
        <v>69</v>
      </c>
      <c r="J79" s="70" t="s">
        <v>40</v>
      </c>
      <c r="K79" s="70">
        <v>1099</v>
      </c>
      <c r="L79" s="12" t="s">
        <v>220</v>
      </c>
      <c r="M79" s="17">
        <v>13000</v>
      </c>
      <c r="N79" s="75" t="s">
        <v>229</v>
      </c>
    </row>
    <row r="80" spans="2:14" s="13" customFormat="1" ht="20.100000000000001" customHeight="1" x14ac:dyDescent="0.25">
      <c r="B80" s="11">
        <v>76</v>
      </c>
      <c r="C80" s="11" t="s">
        <v>31</v>
      </c>
      <c r="D80" s="84" t="s">
        <v>233</v>
      </c>
      <c r="E80" s="14">
        <v>45332</v>
      </c>
      <c r="F80" s="14">
        <v>45332</v>
      </c>
      <c r="G80" s="67" t="s">
        <v>37</v>
      </c>
      <c r="H80" s="67" t="s">
        <v>221</v>
      </c>
      <c r="I80" s="12" t="s">
        <v>58</v>
      </c>
      <c r="J80" s="70" t="s">
        <v>222</v>
      </c>
      <c r="K80" s="70">
        <v>9574</v>
      </c>
      <c r="L80" s="12" t="s">
        <v>224</v>
      </c>
      <c r="M80" s="17">
        <v>13000</v>
      </c>
      <c r="N80" s="75" t="s">
        <v>230</v>
      </c>
    </row>
    <row r="81" spans="2:14" s="13" customFormat="1" ht="20.100000000000001" customHeight="1" x14ac:dyDescent="0.25">
      <c r="B81" s="11">
        <v>77</v>
      </c>
      <c r="C81" s="11" t="s">
        <v>31</v>
      </c>
      <c r="D81" s="84" t="s">
        <v>233</v>
      </c>
      <c r="E81" s="14">
        <v>45332</v>
      </c>
      <c r="F81" s="14">
        <v>45332</v>
      </c>
      <c r="G81" s="67" t="s">
        <v>37</v>
      </c>
      <c r="H81" s="67" t="s">
        <v>221</v>
      </c>
      <c r="I81" s="12" t="s">
        <v>58</v>
      </c>
      <c r="J81" s="70" t="s">
        <v>50</v>
      </c>
      <c r="K81" s="70">
        <v>1697</v>
      </c>
      <c r="L81" s="12" t="s">
        <v>225</v>
      </c>
      <c r="M81" s="17">
        <v>13000</v>
      </c>
      <c r="N81" s="75" t="s">
        <v>231</v>
      </c>
    </row>
    <row r="82" spans="2:14" s="13" customFormat="1" ht="20.100000000000001" customHeight="1" x14ac:dyDescent="0.25">
      <c r="B82" s="11">
        <v>78</v>
      </c>
      <c r="C82" s="11"/>
      <c r="D82" s="84" t="s">
        <v>235</v>
      </c>
      <c r="E82" s="97" t="s">
        <v>240</v>
      </c>
      <c r="F82" s="98"/>
      <c r="G82" s="67" t="s">
        <v>37</v>
      </c>
      <c r="H82" s="67" t="s">
        <v>239</v>
      </c>
      <c r="I82" s="12" t="s">
        <v>48</v>
      </c>
      <c r="J82" s="70" t="s">
        <v>49</v>
      </c>
      <c r="K82" s="70">
        <v>9275</v>
      </c>
      <c r="L82" s="12" t="s">
        <v>52</v>
      </c>
      <c r="M82" s="17">
        <f>3*13000</f>
        <v>39000</v>
      </c>
      <c r="N82" s="75" t="s">
        <v>73</v>
      </c>
    </row>
    <row r="83" spans="2:14" s="13" customFormat="1" ht="20.100000000000001" customHeight="1" x14ac:dyDescent="0.25">
      <c r="B83" s="11">
        <v>79</v>
      </c>
      <c r="C83" s="11"/>
      <c r="D83" s="11" t="s">
        <v>235</v>
      </c>
      <c r="E83" s="97" t="s">
        <v>238</v>
      </c>
      <c r="F83" s="98"/>
      <c r="G83" s="67" t="s">
        <v>37</v>
      </c>
      <c r="H83" s="67" t="s">
        <v>239</v>
      </c>
      <c r="I83" s="12" t="s">
        <v>48</v>
      </c>
      <c r="J83" s="70" t="s">
        <v>50</v>
      </c>
      <c r="K83" s="70">
        <v>815</v>
      </c>
      <c r="L83" s="12" t="s">
        <v>51</v>
      </c>
      <c r="M83" s="17">
        <v>26000</v>
      </c>
      <c r="N83" s="75" t="s">
        <v>74</v>
      </c>
    </row>
    <row r="84" spans="2:14" s="13" customFormat="1" ht="20.100000000000001" customHeight="1" x14ac:dyDescent="0.25">
      <c r="B84" s="11">
        <v>80</v>
      </c>
      <c r="C84" s="11"/>
      <c r="D84" s="11" t="s">
        <v>235</v>
      </c>
      <c r="E84" s="97" t="s">
        <v>241</v>
      </c>
      <c r="F84" s="98"/>
      <c r="G84" s="67" t="s">
        <v>37</v>
      </c>
      <c r="H84" s="67" t="s">
        <v>239</v>
      </c>
      <c r="I84" s="12" t="s">
        <v>48</v>
      </c>
      <c r="J84" s="70" t="s">
        <v>50</v>
      </c>
      <c r="K84" s="70">
        <v>10510</v>
      </c>
      <c r="L84" s="12" t="s">
        <v>236</v>
      </c>
      <c r="M84" s="17">
        <f>4*13000</f>
        <v>52000</v>
      </c>
      <c r="N84" s="75" t="s">
        <v>255</v>
      </c>
    </row>
    <row r="85" spans="2:14" s="13" customFormat="1" ht="20.100000000000001" customHeight="1" x14ac:dyDescent="0.25">
      <c r="B85" s="11">
        <v>81</v>
      </c>
      <c r="C85" s="11"/>
      <c r="D85" s="11" t="s">
        <v>235</v>
      </c>
      <c r="E85" s="97">
        <v>45337</v>
      </c>
      <c r="F85" s="98"/>
      <c r="G85" s="67" t="s">
        <v>37</v>
      </c>
      <c r="H85" s="67" t="s">
        <v>239</v>
      </c>
      <c r="I85" s="12" t="s">
        <v>48</v>
      </c>
      <c r="J85" s="70" t="s">
        <v>40</v>
      </c>
      <c r="K85" s="70">
        <v>5702</v>
      </c>
      <c r="L85" s="12" t="s">
        <v>135</v>
      </c>
      <c r="M85" s="17">
        <v>13000</v>
      </c>
      <c r="N85" s="75" t="s">
        <v>158</v>
      </c>
    </row>
    <row r="86" spans="2:14" s="13" customFormat="1" ht="20.100000000000001" customHeight="1" x14ac:dyDescent="0.25">
      <c r="B86" s="11">
        <v>82</v>
      </c>
      <c r="C86" s="11"/>
      <c r="D86" s="11" t="s">
        <v>235</v>
      </c>
      <c r="E86" s="97">
        <v>45339</v>
      </c>
      <c r="F86" s="98"/>
      <c r="G86" s="67" t="s">
        <v>37</v>
      </c>
      <c r="H86" s="67" t="s">
        <v>239</v>
      </c>
      <c r="I86" s="12" t="s">
        <v>48</v>
      </c>
      <c r="J86" s="70" t="s">
        <v>50</v>
      </c>
      <c r="K86" s="70">
        <v>5799</v>
      </c>
      <c r="L86" s="12" t="s">
        <v>237</v>
      </c>
      <c r="M86" s="17">
        <v>13000</v>
      </c>
      <c r="N86" s="75" t="s">
        <v>256</v>
      </c>
    </row>
    <row r="87" spans="2:14" s="13" customFormat="1" ht="20.100000000000001" customHeight="1" x14ac:dyDescent="0.25">
      <c r="B87" s="11">
        <v>83</v>
      </c>
      <c r="C87" s="11"/>
      <c r="D87" s="11" t="s">
        <v>235</v>
      </c>
      <c r="E87" s="97">
        <v>45342</v>
      </c>
      <c r="F87" s="98"/>
      <c r="G87" s="67" t="s">
        <v>37</v>
      </c>
      <c r="H87" s="67" t="s">
        <v>239</v>
      </c>
      <c r="I87" s="12" t="s">
        <v>48</v>
      </c>
      <c r="J87" s="70" t="s">
        <v>50</v>
      </c>
      <c r="K87" s="70">
        <v>241</v>
      </c>
      <c r="L87" s="12" t="s">
        <v>242</v>
      </c>
      <c r="M87" s="17">
        <v>13000</v>
      </c>
      <c r="N87" s="75" t="s">
        <v>257</v>
      </c>
    </row>
    <row r="88" spans="2:14" s="13" customFormat="1" ht="20.100000000000001" customHeight="1" x14ac:dyDescent="0.25">
      <c r="B88" s="11">
        <v>84</v>
      </c>
      <c r="C88" s="11"/>
      <c r="D88" s="11" t="s">
        <v>243</v>
      </c>
      <c r="E88" s="97">
        <v>45348</v>
      </c>
      <c r="F88" s="98"/>
      <c r="G88" s="67" t="s">
        <v>37</v>
      </c>
      <c r="H88" s="67" t="s">
        <v>245</v>
      </c>
      <c r="I88" s="12" t="s">
        <v>69</v>
      </c>
      <c r="J88" s="70" t="s">
        <v>49</v>
      </c>
      <c r="K88" s="70">
        <v>5825</v>
      </c>
      <c r="L88" s="12" t="s">
        <v>155</v>
      </c>
      <c r="M88" s="17">
        <v>13000</v>
      </c>
      <c r="N88" s="75" t="s">
        <v>181</v>
      </c>
    </row>
    <row r="89" spans="2:14" s="13" customFormat="1" ht="20.100000000000001" customHeight="1" x14ac:dyDescent="0.25">
      <c r="B89" s="11">
        <v>85</v>
      </c>
      <c r="C89" s="11"/>
      <c r="D89" s="11" t="s">
        <v>243</v>
      </c>
      <c r="E89" s="97">
        <v>45348</v>
      </c>
      <c r="F89" s="98"/>
      <c r="G89" s="67" t="s">
        <v>37</v>
      </c>
      <c r="H89" s="67" t="s">
        <v>245</v>
      </c>
      <c r="I89" s="12" t="s">
        <v>69</v>
      </c>
      <c r="J89" s="70" t="s">
        <v>49</v>
      </c>
      <c r="K89" s="70">
        <v>9519</v>
      </c>
      <c r="L89" s="12" t="s">
        <v>244</v>
      </c>
      <c r="M89" s="17">
        <v>13000</v>
      </c>
      <c r="N89" s="75" t="s">
        <v>258</v>
      </c>
    </row>
    <row r="90" spans="2:14" s="13" customFormat="1" ht="20.100000000000001" customHeight="1" x14ac:dyDescent="0.25">
      <c r="B90" s="11">
        <v>86</v>
      </c>
      <c r="C90" s="11"/>
      <c r="D90" s="81" t="s">
        <v>246</v>
      </c>
      <c r="E90" s="14">
        <v>45404</v>
      </c>
      <c r="F90" s="14">
        <v>45406</v>
      </c>
      <c r="G90" s="67" t="s">
        <v>247</v>
      </c>
      <c r="H90" s="67" t="s">
        <v>248</v>
      </c>
      <c r="I90" s="12" t="s">
        <v>172</v>
      </c>
      <c r="J90" s="70" t="s">
        <v>14</v>
      </c>
      <c r="K90" s="70">
        <v>17880</v>
      </c>
      <c r="L90" s="12" t="s">
        <v>250</v>
      </c>
      <c r="M90" s="17">
        <v>232500</v>
      </c>
      <c r="N90" s="75" t="s">
        <v>259</v>
      </c>
    </row>
    <row r="91" spans="2:14" s="13" customFormat="1" ht="20.100000000000001" customHeight="1" x14ac:dyDescent="0.25">
      <c r="B91" s="11">
        <v>87</v>
      </c>
      <c r="C91" s="11"/>
      <c r="D91" s="11"/>
      <c r="E91" s="14">
        <v>45404</v>
      </c>
      <c r="F91" s="14">
        <v>45406</v>
      </c>
      <c r="G91" s="67" t="s">
        <v>247</v>
      </c>
      <c r="H91" s="67" t="s">
        <v>248</v>
      </c>
      <c r="I91" s="12" t="s">
        <v>172</v>
      </c>
      <c r="J91" s="70" t="s">
        <v>14</v>
      </c>
      <c r="K91" s="70">
        <v>18662</v>
      </c>
      <c r="L91" s="12" t="s">
        <v>251</v>
      </c>
      <c r="M91" s="17">
        <v>232500</v>
      </c>
      <c r="N91" s="75" t="s">
        <v>260</v>
      </c>
    </row>
    <row r="92" spans="2:14" s="13" customFormat="1" ht="20.100000000000001" customHeight="1" x14ac:dyDescent="0.25">
      <c r="B92" s="11">
        <v>88</v>
      </c>
      <c r="C92" s="11"/>
      <c r="D92" s="11"/>
      <c r="E92" s="14">
        <v>45407</v>
      </c>
      <c r="F92" s="14">
        <v>45408</v>
      </c>
      <c r="G92" s="67" t="s">
        <v>111</v>
      </c>
      <c r="H92" s="67" t="s">
        <v>249</v>
      </c>
      <c r="I92" s="12" t="s">
        <v>69</v>
      </c>
      <c r="J92" s="70" t="s">
        <v>19</v>
      </c>
      <c r="K92" s="70">
        <v>1651</v>
      </c>
      <c r="L92" s="12" t="s">
        <v>109</v>
      </c>
      <c r="M92" s="17">
        <v>190000</v>
      </c>
      <c r="N92" s="75" t="s">
        <v>120</v>
      </c>
    </row>
    <row r="93" spans="2:14" s="13" customFormat="1" ht="20.100000000000001" customHeight="1" x14ac:dyDescent="0.25">
      <c r="B93" s="11">
        <v>89</v>
      </c>
      <c r="C93" s="11"/>
      <c r="D93" s="11"/>
      <c r="E93" s="14">
        <v>45407</v>
      </c>
      <c r="F93" s="14">
        <v>45408</v>
      </c>
      <c r="G93" s="67" t="s">
        <v>111</v>
      </c>
      <c r="H93" s="67" t="s">
        <v>249</v>
      </c>
      <c r="I93" s="12" t="s">
        <v>69</v>
      </c>
      <c r="J93" s="70" t="s">
        <v>16</v>
      </c>
      <c r="K93" s="70">
        <v>703</v>
      </c>
      <c r="L93" s="12" t="s">
        <v>153</v>
      </c>
      <c r="M93" s="17">
        <v>190000</v>
      </c>
      <c r="N93" s="75" t="s">
        <v>178</v>
      </c>
    </row>
    <row r="94" spans="2:14" s="13" customFormat="1" ht="20.100000000000001" customHeight="1" x14ac:dyDescent="0.25">
      <c r="B94" s="11">
        <v>90</v>
      </c>
      <c r="C94" s="11"/>
      <c r="D94" s="11"/>
      <c r="E94" s="14">
        <v>45411</v>
      </c>
      <c r="F94" s="14">
        <v>45415</v>
      </c>
      <c r="G94" s="67" t="s">
        <v>194</v>
      </c>
      <c r="H94" s="67" t="s">
        <v>195</v>
      </c>
      <c r="I94" s="12" t="s">
        <v>252</v>
      </c>
      <c r="J94" s="70" t="s">
        <v>16</v>
      </c>
      <c r="K94" s="70">
        <v>8083</v>
      </c>
      <c r="L94" s="12" t="s">
        <v>253</v>
      </c>
      <c r="M94" s="17">
        <v>460000</v>
      </c>
      <c r="N94" s="75" t="s">
        <v>261</v>
      </c>
    </row>
    <row r="95" spans="2:14" s="13" customFormat="1" ht="20.100000000000001" customHeight="1" x14ac:dyDescent="0.25">
      <c r="B95" s="11">
        <v>91</v>
      </c>
      <c r="C95" s="11"/>
      <c r="D95" s="11"/>
      <c r="E95" s="14">
        <v>45411</v>
      </c>
      <c r="F95" s="14">
        <v>45415</v>
      </c>
      <c r="G95" s="67" t="s">
        <v>194</v>
      </c>
      <c r="H95" s="67" t="s">
        <v>195</v>
      </c>
      <c r="I95" s="12" t="s">
        <v>252</v>
      </c>
      <c r="J95" s="70" t="s">
        <v>14</v>
      </c>
      <c r="K95" s="70">
        <v>1908</v>
      </c>
      <c r="L95" s="12" t="s">
        <v>254</v>
      </c>
      <c r="M95" s="17">
        <v>460000</v>
      </c>
      <c r="N95" s="75" t="s">
        <v>262</v>
      </c>
    </row>
    <row r="96" spans="2:14" ht="20.100000000000001" customHeight="1" x14ac:dyDescent="0.25">
      <c r="B96" s="73">
        <v>92</v>
      </c>
      <c r="C96" s="73"/>
      <c r="D96" s="11" t="s">
        <v>268</v>
      </c>
      <c r="E96" s="14">
        <v>45398</v>
      </c>
      <c r="F96" s="14">
        <v>45398</v>
      </c>
      <c r="G96" s="67" t="s">
        <v>37</v>
      </c>
      <c r="H96" s="67" t="s">
        <v>263</v>
      </c>
      <c r="I96" s="12" t="s">
        <v>48</v>
      </c>
      <c r="J96" s="70" t="s">
        <v>50</v>
      </c>
      <c r="K96" s="70">
        <v>12068</v>
      </c>
      <c r="L96" s="12" t="s">
        <v>264</v>
      </c>
      <c r="M96" s="17">
        <v>13000</v>
      </c>
      <c r="N96" s="56"/>
    </row>
    <row r="97" spans="2:14" ht="20.100000000000001" customHeight="1" x14ac:dyDescent="0.25">
      <c r="B97" s="73">
        <v>93</v>
      </c>
      <c r="C97" s="73"/>
      <c r="D97" s="11" t="s">
        <v>268</v>
      </c>
      <c r="E97" s="14">
        <v>45398</v>
      </c>
      <c r="F97" s="14">
        <v>45398</v>
      </c>
      <c r="G97" s="67" t="s">
        <v>37</v>
      </c>
      <c r="H97" s="67" t="s">
        <v>263</v>
      </c>
      <c r="I97" s="12" t="s">
        <v>48</v>
      </c>
      <c r="J97" s="70" t="s">
        <v>50</v>
      </c>
      <c r="K97" s="70">
        <v>9578</v>
      </c>
      <c r="L97" s="12" t="s">
        <v>70</v>
      </c>
      <c r="M97" s="17">
        <v>13000</v>
      </c>
      <c r="N97" s="56"/>
    </row>
    <row r="98" spans="2:14" ht="20.100000000000001" customHeight="1" x14ac:dyDescent="0.25">
      <c r="B98" s="73">
        <v>94</v>
      </c>
      <c r="C98" s="73"/>
      <c r="D98" s="11" t="s">
        <v>268</v>
      </c>
      <c r="E98" s="14">
        <v>45398</v>
      </c>
      <c r="F98" s="14">
        <v>45398</v>
      </c>
      <c r="G98" s="67" t="s">
        <v>37</v>
      </c>
      <c r="H98" s="67" t="s">
        <v>263</v>
      </c>
      <c r="I98" s="12" t="s">
        <v>48</v>
      </c>
      <c r="J98" s="70" t="s">
        <v>50</v>
      </c>
      <c r="K98" s="70">
        <v>1146</v>
      </c>
      <c r="L98" s="12" t="s">
        <v>265</v>
      </c>
      <c r="M98" s="17">
        <v>13000</v>
      </c>
      <c r="N98" s="56"/>
    </row>
    <row r="99" spans="2:14" ht="20.100000000000001" customHeight="1" x14ac:dyDescent="0.25">
      <c r="B99" s="73">
        <v>95</v>
      </c>
      <c r="C99" s="73"/>
      <c r="D99" s="11" t="s">
        <v>268</v>
      </c>
      <c r="E99" s="14">
        <v>45398</v>
      </c>
      <c r="F99" s="14">
        <v>45398</v>
      </c>
      <c r="G99" s="67" t="s">
        <v>37</v>
      </c>
      <c r="H99" s="67" t="s">
        <v>263</v>
      </c>
      <c r="I99" s="12" t="s">
        <v>48</v>
      </c>
      <c r="J99" s="70" t="s">
        <v>50</v>
      </c>
      <c r="K99" s="70">
        <v>86</v>
      </c>
      <c r="L99" s="12" t="s">
        <v>266</v>
      </c>
      <c r="M99" s="17">
        <v>13000</v>
      </c>
      <c r="N99" s="56"/>
    </row>
    <row r="100" spans="2:14" ht="20.100000000000001" customHeight="1" x14ac:dyDescent="0.25">
      <c r="B100" s="73">
        <v>96</v>
      </c>
      <c r="C100" s="73"/>
      <c r="D100" s="11" t="s">
        <v>268</v>
      </c>
      <c r="E100" s="14">
        <v>45398</v>
      </c>
      <c r="F100" s="14">
        <v>45398</v>
      </c>
      <c r="G100" s="67" t="s">
        <v>37</v>
      </c>
      <c r="H100" s="67" t="s">
        <v>263</v>
      </c>
      <c r="I100" s="12" t="s">
        <v>48</v>
      </c>
      <c r="J100" s="70" t="s">
        <v>49</v>
      </c>
      <c r="K100" s="70">
        <v>9275</v>
      </c>
      <c r="L100" s="12" t="s">
        <v>267</v>
      </c>
      <c r="M100" s="17">
        <v>13000</v>
      </c>
      <c r="N100" s="56"/>
    </row>
    <row r="101" spans="2:14" ht="20.100000000000001" customHeight="1" x14ac:dyDescent="0.25">
      <c r="B101" s="73">
        <v>97</v>
      </c>
      <c r="C101" s="73"/>
      <c r="D101" s="11" t="s">
        <v>268</v>
      </c>
      <c r="E101" s="14">
        <v>45398</v>
      </c>
      <c r="F101" s="14">
        <v>45398</v>
      </c>
      <c r="G101" s="67" t="s">
        <v>37</v>
      </c>
      <c r="H101" s="67" t="s">
        <v>263</v>
      </c>
      <c r="I101" s="12" t="s">
        <v>48</v>
      </c>
      <c r="J101" s="70" t="s">
        <v>14</v>
      </c>
      <c r="K101" s="70">
        <v>1064</v>
      </c>
      <c r="L101" s="12" t="s">
        <v>96</v>
      </c>
      <c r="M101" s="17">
        <v>0</v>
      </c>
      <c r="N101" s="56"/>
    </row>
    <row r="102" spans="2:14" ht="20.100000000000001" customHeight="1" x14ac:dyDescent="0.25">
      <c r="B102" s="73">
        <v>98</v>
      </c>
      <c r="C102" s="73"/>
      <c r="D102" s="11" t="s">
        <v>269</v>
      </c>
      <c r="E102" s="14">
        <v>45411</v>
      </c>
      <c r="F102" s="14">
        <v>45412</v>
      </c>
      <c r="G102" s="67" t="s">
        <v>111</v>
      </c>
      <c r="H102" s="67" t="s">
        <v>89</v>
      </c>
      <c r="I102" s="12" t="s">
        <v>48</v>
      </c>
      <c r="J102" s="70" t="s">
        <v>156</v>
      </c>
      <c r="K102" s="70">
        <v>25252</v>
      </c>
      <c r="L102" s="12" t="s">
        <v>90</v>
      </c>
      <c r="M102" s="17">
        <v>190000</v>
      </c>
      <c r="N102" s="56"/>
    </row>
    <row r="103" spans="2:14" ht="20.100000000000001" customHeight="1" x14ac:dyDescent="0.25">
      <c r="B103" s="73">
        <v>99</v>
      </c>
      <c r="C103" s="73"/>
      <c r="D103" s="11" t="s">
        <v>269</v>
      </c>
      <c r="E103" s="14">
        <v>45411</v>
      </c>
      <c r="F103" s="14">
        <v>45412</v>
      </c>
      <c r="G103" s="67" t="s">
        <v>111</v>
      </c>
      <c r="H103" s="67" t="s">
        <v>89</v>
      </c>
      <c r="I103" s="12" t="s">
        <v>48</v>
      </c>
      <c r="J103" s="70" t="s">
        <v>270</v>
      </c>
      <c r="K103" s="70">
        <v>3640</v>
      </c>
      <c r="L103" s="12" t="s">
        <v>271</v>
      </c>
      <c r="M103" s="17">
        <v>162500</v>
      </c>
      <c r="N103" s="56"/>
    </row>
    <row r="104" spans="2:14" ht="20.100000000000001" customHeight="1" x14ac:dyDescent="0.25">
      <c r="B104" s="73">
        <v>100</v>
      </c>
      <c r="C104" s="73"/>
      <c r="D104" s="11" t="s">
        <v>269</v>
      </c>
      <c r="E104" s="14">
        <v>45411</v>
      </c>
      <c r="F104" s="14">
        <v>45412</v>
      </c>
      <c r="G104" s="67" t="s">
        <v>111</v>
      </c>
      <c r="H104" s="67" t="s">
        <v>89</v>
      </c>
      <c r="I104" s="12" t="s">
        <v>48</v>
      </c>
      <c r="J104" s="70" t="s">
        <v>14</v>
      </c>
      <c r="K104" s="70">
        <v>7091</v>
      </c>
      <c r="L104" s="12" t="s">
        <v>174</v>
      </c>
      <c r="M104" s="17">
        <v>162500</v>
      </c>
      <c r="N104" s="56"/>
    </row>
    <row r="105" spans="2:14" ht="20.100000000000001" customHeight="1" x14ac:dyDescent="0.25">
      <c r="B105" s="73">
        <v>101</v>
      </c>
      <c r="C105" s="73"/>
      <c r="D105" s="11" t="s">
        <v>269</v>
      </c>
      <c r="E105" s="14">
        <v>45411</v>
      </c>
      <c r="F105" s="14">
        <v>45412</v>
      </c>
      <c r="G105" s="67" t="s">
        <v>111</v>
      </c>
      <c r="H105" s="67" t="s">
        <v>89</v>
      </c>
      <c r="I105" s="12" t="s">
        <v>48</v>
      </c>
      <c r="J105" s="70" t="s">
        <v>50</v>
      </c>
      <c r="K105" s="70">
        <v>25998</v>
      </c>
      <c r="L105" s="12" t="s">
        <v>272</v>
      </c>
      <c r="M105" s="17">
        <v>120000</v>
      </c>
      <c r="N105" s="56"/>
    </row>
    <row r="106" spans="2:14" s="13" customFormat="1" ht="20.100000000000001" customHeight="1" x14ac:dyDescent="0.25">
      <c r="B106" s="11">
        <v>102</v>
      </c>
      <c r="C106" s="11"/>
      <c r="D106" s="11" t="s">
        <v>277</v>
      </c>
      <c r="E106" s="14">
        <v>45415</v>
      </c>
      <c r="F106" s="14">
        <v>45416</v>
      </c>
      <c r="G106" s="67" t="s">
        <v>37</v>
      </c>
      <c r="H106" s="67" t="s">
        <v>281</v>
      </c>
      <c r="I106" s="12" t="s">
        <v>48</v>
      </c>
      <c r="J106" s="70" t="s">
        <v>49</v>
      </c>
      <c r="K106" s="70">
        <v>9275</v>
      </c>
      <c r="L106" s="12" t="s">
        <v>267</v>
      </c>
      <c r="M106" s="17">
        <v>26000</v>
      </c>
      <c r="N106" s="75" t="s">
        <v>73</v>
      </c>
    </row>
    <row r="107" spans="2:14" s="13" customFormat="1" ht="20.100000000000001" customHeight="1" x14ac:dyDescent="0.25">
      <c r="B107" s="11">
        <v>103</v>
      </c>
      <c r="C107" s="11"/>
      <c r="D107" s="11" t="s">
        <v>277</v>
      </c>
      <c r="E107" s="14">
        <v>45415</v>
      </c>
      <c r="F107" s="14">
        <v>45416</v>
      </c>
      <c r="G107" s="67" t="s">
        <v>37</v>
      </c>
      <c r="H107" s="67" t="s">
        <v>281</v>
      </c>
      <c r="I107" s="12" t="s">
        <v>48</v>
      </c>
      <c r="J107" s="70" t="s">
        <v>50</v>
      </c>
      <c r="K107" s="70">
        <v>5799</v>
      </c>
      <c r="L107" s="12" t="s">
        <v>278</v>
      </c>
      <c r="M107" s="17">
        <v>26000</v>
      </c>
      <c r="N107" s="75" t="s">
        <v>256</v>
      </c>
    </row>
    <row r="108" spans="2:14" s="13" customFormat="1" ht="20.100000000000001" customHeight="1" x14ac:dyDescent="0.25">
      <c r="B108" s="11">
        <v>104</v>
      </c>
      <c r="C108" s="11"/>
      <c r="D108" s="11" t="s">
        <v>277</v>
      </c>
      <c r="E108" s="14">
        <v>45415</v>
      </c>
      <c r="F108" s="14">
        <v>45416</v>
      </c>
      <c r="G108" s="67" t="s">
        <v>37</v>
      </c>
      <c r="H108" s="67" t="s">
        <v>281</v>
      </c>
      <c r="I108" s="12" t="s">
        <v>48</v>
      </c>
      <c r="J108" s="70" t="s">
        <v>50</v>
      </c>
      <c r="K108" s="70">
        <v>1076</v>
      </c>
      <c r="L108" s="12" t="s">
        <v>279</v>
      </c>
      <c r="M108" s="17">
        <v>26000</v>
      </c>
      <c r="N108" s="75" t="s">
        <v>288</v>
      </c>
    </row>
    <row r="109" spans="2:14" s="13" customFormat="1" ht="20.100000000000001" customHeight="1" x14ac:dyDescent="0.25">
      <c r="B109" s="11">
        <v>105</v>
      </c>
      <c r="C109" s="11"/>
      <c r="D109" s="11" t="s">
        <v>277</v>
      </c>
      <c r="E109" s="14">
        <v>45415</v>
      </c>
      <c r="F109" s="14">
        <v>45416</v>
      </c>
      <c r="G109" s="67" t="s">
        <v>37</v>
      </c>
      <c r="H109" s="67" t="s">
        <v>281</v>
      </c>
      <c r="I109" s="12" t="s">
        <v>48</v>
      </c>
      <c r="J109" s="70" t="s">
        <v>50</v>
      </c>
      <c r="K109" s="70">
        <v>11863</v>
      </c>
      <c r="L109" s="12" t="s">
        <v>280</v>
      </c>
      <c r="M109" s="17">
        <v>26000</v>
      </c>
      <c r="N109" s="75" t="s">
        <v>289</v>
      </c>
    </row>
    <row r="110" spans="2:14" s="13" customFormat="1" ht="20.100000000000001" customHeight="1" x14ac:dyDescent="0.25">
      <c r="B110" s="11">
        <v>106</v>
      </c>
      <c r="C110" s="11"/>
      <c r="D110" s="11" t="s">
        <v>273</v>
      </c>
      <c r="E110" s="14">
        <v>45418</v>
      </c>
      <c r="F110" s="14">
        <v>45418</v>
      </c>
      <c r="G110" s="67" t="s">
        <v>37</v>
      </c>
      <c r="H110" s="67" t="s">
        <v>274</v>
      </c>
      <c r="I110" s="12" t="s">
        <v>18</v>
      </c>
      <c r="J110" s="70" t="s">
        <v>49</v>
      </c>
      <c r="K110" s="70">
        <v>5553</v>
      </c>
      <c r="L110" s="12" t="s">
        <v>275</v>
      </c>
      <c r="M110" s="17">
        <v>13000</v>
      </c>
      <c r="N110" s="75" t="s">
        <v>290</v>
      </c>
    </row>
    <row r="111" spans="2:14" s="13" customFormat="1" ht="20.100000000000001" customHeight="1" x14ac:dyDescent="0.25">
      <c r="B111" s="11">
        <v>107</v>
      </c>
      <c r="C111" s="11"/>
      <c r="D111" s="11" t="s">
        <v>273</v>
      </c>
      <c r="E111" s="14">
        <v>45418</v>
      </c>
      <c r="F111" s="14">
        <v>45418</v>
      </c>
      <c r="G111" s="67" t="s">
        <v>37</v>
      </c>
      <c r="H111" s="67" t="s">
        <v>274</v>
      </c>
      <c r="I111" s="12" t="s">
        <v>18</v>
      </c>
      <c r="J111" s="70" t="s">
        <v>40</v>
      </c>
      <c r="K111" s="70">
        <v>7434</v>
      </c>
      <c r="L111" s="12" t="s">
        <v>276</v>
      </c>
      <c r="M111" s="17">
        <v>13000</v>
      </c>
      <c r="N111" s="75" t="s">
        <v>291</v>
      </c>
    </row>
    <row r="112" spans="2:14" s="13" customFormat="1" ht="20.100000000000001" customHeight="1" x14ac:dyDescent="0.25">
      <c r="B112" s="11">
        <v>108</v>
      </c>
      <c r="C112" s="11"/>
      <c r="D112" s="11" t="s">
        <v>282</v>
      </c>
      <c r="E112" s="14">
        <v>45419</v>
      </c>
      <c r="F112" s="14">
        <v>45420</v>
      </c>
      <c r="G112" s="67" t="s">
        <v>37</v>
      </c>
      <c r="H112" s="67" t="s">
        <v>283</v>
      </c>
      <c r="I112" s="12" t="s">
        <v>48</v>
      </c>
      <c r="J112" s="70" t="s">
        <v>40</v>
      </c>
      <c r="K112" s="70">
        <v>5702</v>
      </c>
      <c r="L112" s="12" t="s">
        <v>135</v>
      </c>
      <c r="M112" s="17">
        <v>26000</v>
      </c>
      <c r="N112" s="75" t="s">
        <v>158</v>
      </c>
    </row>
    <row r="113" spans="2:14" s="13" customFormat="1" ht="20.100000000000001" customHeight="1" x14ac:dyDescent="0.25">
      <c r="B113" s="11">
        <v>109</v>
      </c>
      <c r="C113" s="11"/>
      <c r="D113" s="11" t="s">
        <v>282</v>
      </c>
      <c r="E113" s="14">
        <v>45419</v>
      </c>
      <c r="F113" s="14">
        <v>45420</v>
      </c>
      <c r="G113" s="67" t="s">
        <v>37</v>
      </c>
      <c r="H113" s="67" t="s">
        <v>283</v>
      </c>
      <c r="I113" s="12" t="s">
        <v>48</v>
      </c>
      <c r="J113" s="70" t="s">
        <v>50</v>
      </c>
      <c r="K113" s="70">
        <v>815</v>
      </c>
      <c r="L113" s="12" t="s">
        <v>51</v>
      </c>
      <c r="M113" s="17">
        <v>26000</v>
      </c>
      <c r="N113" s="75" t="s">
        <v>74</v>
      </c>
    </row>
    <row r="114" spans="2:14" s="13" customFormat="1" ht="20.100000000000001" customHeight="1" x14ac:dyDescent="0.25">
      <c r="B114" s="11">
        <v>110</v>
      </c>
      <c r="C114" s="11"/>
      <c r="D114" s="11" t="s">
        <v>282</v>
      </c>
      <c r="E114" s="14">
        <v>45419</v>
      </c>
      <c r="F114" s="14">
        <v>45420</v>
      </c>
      <c r="G114" s="67" t="s">
        <v>37</v>
      </c>
      <c r="H114" s="67" t="s">
        <v>283</v>
      </c>
      <c r="I114" s="12" t="s">
        <v>48</v>
      </c>
      <c r="J114" s="70" t="s">
        <v>284</v>
      </c>
      <c r="K114" s="70">
        <v>8685</v>
      </c>
      <c r="L114" s="12" t="s">
        <v>286</v>
      </c>
      <c r="M114" s="17">
        <v>13000</v>
      </c>
      <c r="N114" s="75" t="s">
        <v>292</v>
      </c>
    </row>
    <row r="115" spans="2:14" s="13" customFormat="1" ht="20.100000000000001" customHeight="1" x14ac:dyDescent="0.25">
      <c r="B115" s="11">
        <v>111</v>
      </c>
      <c r="C115" s="11"/>
      <c r="D115" s="11" t="s">
        <v>282</v>
      </c>
      <c r="E115" s="14">
        <v>45419</v>
      </c>
      <c r="F115" s="14">
        <v>45420</v>
      </c>
      <c r="G115" s="67" t="s">
        <v>37</v>
      </c>
      <c r="H115" s="67" t="s">
        <v>283</v>
      </c>
      <c r="I115" s="12" t="s">
        <v>48</v>
      </c>
      <c r="J115" s="70" t="s">
        <v>284</v>
      </c>
      <c r="K115" s="70">
        <v>332</v>
      </c>
      <c r="L115" s="12" t="s">
        <v>285</v>
      </c>
      <c r="M115" s="17">
        <v>26000</v>
      </c>
      <c r="N115" s="75" t="s">
        <v>293</v>
      </c>
    </row>
    <row r="116" spans="2:14" s="13" customFormat="1" ht="20.100000000000001" customHeight="1" x14ac:dyDescent="0.25">
      <c r="B116" s="11">
        <v>112</v>
      </c>
      <c r="C116" s="11"/>
      <c r="D116" s="11" t="s">
        <v>282</v>
      </c>
      <c r="E116" s="14">
        <v>45419</v>
      </c>
      <c r="F116" s="14">
        <v>45420</v>
      </c>
      <c r="G116" s="67" t="s">
        <v>37</v>
      </c>
      <c r="H116" s="67" t="s">
        <v>283</v>
      </c>
      <c r="I116" s="12" t="s">
        <v>48</v>
      </c>
      <c r="J116" s="70" t="s">
        <v>50</v>
      </c>
      <c r="K116" s="70">
        <v>10510</v>
      </c>
      <c r="L116" s="12" t="s">
        <v>287</v>
      </c>
      <c r="M116" s="17">
        <v>13000</v>
      </c>
      <c r="N116" s="75" t="s">
        <v>255</v>
      </c>
    </row>
    <row r="117" spans="2:14" s="13" customFormat="1" ht="20.100000000000001" customHeight="1" x14ac:dyDescent="0.25">
      <c r="B117" s="11">
        <v>113</v>
      </c>
      <c r="C117" s="11"/>
      <c r="D117" s="11" t="s">
        <v>294</v>
      </c>
      <c r="E117" s="14">
        <v>45433</v>
      </c>
      <c r="F117" s="14">
        <v>45435</v>
      </c>
      <c r="G117" s="67" t="s">
        <v>176</v>
      </c>
      <c r="H117" s="67" t="s">
        <v>295</v>
      </c>
      <c r="I117" s="12" t="s">
        <v>296</v>
      </c>
      <c r="J117" s="70" t="s">
        <v>270</v>
      </c>
      <c r="K117" s="70">
        <v>5535</v>
      </c>
      <c r="L117" s="12" t="s">
        <v>297</v>
      </c>
      <c r="M117" s="17">
        <v>230000</v>
      </c>
      <c r="N117" s="74" t="s">
        <v>298</v>
      </c>
    </row>
    <row r="118" spans="2:14" s="86" customFormat="1" ht="20.100000000000001" customHeight="1" x14ac:dyDescent="0.25">
      <c r="B118" s="84">
        <v>114</v>
      </c>
      <c r="C118" s="84"/>
      <c r="D118" s="84" t="s">
        <v>299</v>
      </c>
      <c r="E118" s="87">
        <v>45432</v>
      </c>
      <c r="F118" s="87">
        <v>45432</v>
      </c>
      <c r="G118" s="88" t="s">
        <v>37</v>
      </c>
      <c r="H118" s="88" t="s">
        <v>300</v>
      </c>
      <c r="I118" s="85" t="s">
        <v>58</v>
      </c>
      <c r="J118" s="89" t="s">
        <v>40</v>
      </c>
      <c r="K118" s="89">
        <v>12779</v>
      </c>
      <c r="L118" s="85" t="s">
        <v>301</v>
      </c>
      <c r="M118" s="17">
        <v>13000</v>
      </c>
      <c r="N118" s="92" t="s">
        <v>313</v>
      </c>
    </row>
    <row r="119" spans="2:14" s="86" customFormat="1" ht="20.100000000000001" customHeight="1" x14ac:dyDescent="0.25">
      <c r="B119" s="84">
        <v>115</v>
      </c>
      <c r="C119" s="84"/>
      <c r="D119" s="84" t="s">
        <v>299</v>
      </c>
      <c r="E119" s="87">
        <v>45433</v>
      </c>
      <c r="F119" s="87">
        <v>45437</v>
      </c>
      <c r="G119" s="88" t="s">
        <v>37</v>
      </c>
      <c r="H119" s="88" t="s">
        <v>300</v>
      </c>
      <c r="I119" s="85" t="s">
        <v>58</v>
      </c>
      <c r="J119" s="89" t="s">
        <v>49</v>
      </c>
      <c r="K119" s="89">
        <v>574</v>
      </c>
      <c r="L119" s="85" t="s">
        <v>302</v>
      </c>
      <c r="M119" s="17">
        <v>52000</v>
      </c>
      <c r="N119" s="92" t="s">
        <v>314</v>
      </c>
    </row>
    <row r="120" spans="2:14" s="86" customFormat="1" ht="20.100000000000001" customHeight="1" x14ac:dyDescent="0.25">
      <c r="B120" s="84">
        <v>116</v>
      </c>
      <c r="C120" s="84"/>
      <c r="D120" s="84" t="s">
        <v>305</v>
      </c>
      <c r="E120" s="87">
        <v>45439</v>
      </c>
      <c r="F120" s="87">
        <v>45439</v>
      </c>
      <c r="G120" s="88" t="s">
        <v>37</v>
      </c>
      <c r="H120" s="88" t="s">
        <v>303</v>
      </c>
      <c r="I120" s="85" t="s">
        <v>58</v>
      </c>
      <c r="J120" s="89" t="s">
        <v>49</v>
      </c>
      <c r="K120" s="89">
        <v>1306</v>
      </c>
      <c r="L120" s="85" t="s">
        <v>304</v>
      </c>
      <c r="M120" s="17">
        <v>13000</v>
      </c>
      <c r="N120" s="92" t="s">
        <v>315</v>
      </c>
    </row>
    <row r="121" spans="2:14" s="86" customFormat="1" ht="20.100000000000001" customHeight="1" x14ac:dyDescent="0.25">
      <c r="B121" s="84">
        <v>117</v>
      </c>
      <c r="C121" s="84"/>
      <c r="D121" s="84" t="s">
        <v>306</v>
      </c>
      <c r="E121" s="87">
        <v>45432</v>
      </c>
      <c r="F121" s="87">
        <v>45436</v>
      </c>
      <c r="G121" s="88" t="s">
        <v>37</v>
      </c>
      <c r="H121" s="88" t="s">
        <v>307</v>
      </c>
      <c r="I121" s="85" t="s">
        <v>69</v>
      </c>
      <c r="J121" s="89" t="s">
        <v>40</v>
      </c>
      <c r="K121" s="89">
        <v>9598</v>
      </c>
      <c r="L121" s="85" t="s">
        <v>308</v>
      </c>
      <c r="M121" s="17">
        <f>13000*4</f>
        <v>52000</v>
      </c>
      <c r="N121" s="92" t="s">
        <v>316</v>
      </c>
    </row>
    <row r="122" spans="2:14" s="86" customFormat="1" ht="20.100000000000001" customHeight="1" x14ac:dyDescent="0.25">
      <c r="B122" s="84">
        <v>118</v>
      </c>
      <c r="C122" s="84"/>
      <c r="D122" s="84" t="s">
        <v>309</v>
      </c>
      <c r="E122" s="87">
        <v>45432</v>
      </c>
      <c r="F122" s="87">
        <v>45437</v>
      </c>
      <c r="G122" s="88" t="s">
        <v>37</v>
      </c>
      <c r="H122" s="88" t="s">
        <v>307</v>
      </c>
      <c r="I122" s="85" t="s">
        <v>296</v>
      </c>
      <c r="J122" s="89" t="s">
        <v>49</v>
      </c>
      <c r="K122" s="89">
        <v>7077</v>
      </c>
      <c r="L122" s="85" t="s">
        <v>199</v>
      </c>
      <c r="M122" s="17">
        <f>13000*5</f>
        <v>65000</v>
      </c>
      <c r="N122" s="92" t="s">
        <v>208</v>
      </c>
    </row>
    <row r="123" spans="2:14" s="86" customFormat="1" ht="20.100000000000001" customHeight="1" x14ac:dyDescent="0.25">
      <c r="B123" s="84">
        <v>119</v>
      </c>
      <c r="C123" s="84"/>
      <c r="D123" s="84" t="s">
        <v>310</v>
      </c>
      <c r="E123" s="87">
        <v>45432</v>
      </c>
      <c r="F123" s="87">
        <v>45436</v>
      </c>
      <c r="G123" s="88" t="s">
        <v>37</v>
      </c>
      <c r="H123" s="88" t="s">
        <v>307</v>
      </c>
      <c r="I123" s="85" t="s">
        <v>175</v>
      </c>
      <c r="J123" s="89" t="s">
        <v>49</v>
      </c>
      <c r="K123" s="89">
        <v>13346</v>
      </c>
      <c r="L123" s="85" t="s">
        <v>311</v>
      </c>
      <c r="M123" s="17">
        <f>13000*2</f>
        <v>26000</v>
      </c>
      <c r="N123" s="92" t="s">
        <v>317</v>
      </c>
    </row>
    <row r="124" spans="2:14" s="86" customFormat="1" ht="20.100000000000001" customHeight="1" x14ac:dyDescent="0.25">
      <c r="B124" s="84">
        <v>120</v>
      </c>
      <c r="C124" s="84"/>
      <c r="D124" s="84" t="s">
        <v>310</v>
      </c>
      <c r="E124" s="87">
        <v>45437</v>
      </c>
      <c r="F124" s="87">
        <v>45437</v>
      </c>
      <c r="G124" s="88" t="s">
        <v>37</v>
      </c>
      <c r="H124" s="88" t="s">
        <v>307</v>
      </c>
      <c r="I124" s="85" t="s">
        <v>175</v>
      </c>
      <c r="J124" s="89" t="s">
        <v>49</v>
      </c>
      <c r="K124" s="89">
        <v>1012</v>
      </c>
      <c r="L124" s="85" t="s">
        <v>312</v>
      </c>
      <c r="M124" s="17">
        <v>13000</v>
      </c>
      <c r="N124" s="92" t="s">
        <v>318</v>
      </c>
    </row>
    <row r="125" spans="2:14" s="86" customFormat="1" ht="20.100000000000001" customHeight="1" x14ac:dyDescent="0.25">
      <c r="B125" s="84">
        <v>121</v>
      </c>
      <c r="C125" s="84"/>
      <c r="D125" s="84" t="s">
        <v>319</v>
      </c>
      <c r="E125" s="87">
        <v>45446</v>
      </c>
      <c r="F125" s="87">
        <v>45448</v>
      </c>
      <c r="G125" s="88" t="s">
        <v>320</v>
      </c>
      <c r="H125" s="88" t="s">
        <v>195</v>
      </c>
      <c r="I125" s="85" t="s">
        <v>18</v>
      </c>
      <c r="J125" s="89" t="s">
        <v>321</v>
      </c>
      <c r="K125" s="89">
        <v>1160</v>
      </c>
      <c r="L125" s="85" t="s">
        <v>322</v>
      </c>
      <c r="M125" s="17">
        <v>297500</v>
      </c>
      <c r="N125" s="92" t="s">
        <v>36</v>
      </c>
    </row>
    <row r="126" spans="2:14" s="86" customFormat="1" ht="20.100000000000001" customHeight="1" x14ac:dyDescent="0.25">
      <c r="B126" s="84">
        <v>122</v>
      </c>
      <c r="C126" s="84"/>
      <c r="D126" s="84" t="s">
        <v>319</v>
      </c>
      <c r="E126" s="87">
        <v>45446</v>
      </c>
      <c r="F126" s="87">
        <v>45448</v>
      </c>
      <c r="G126" s="88" t="s">
        <v>320</v>
      </c>
      <c r="H126" s="88" t="s">
        <v>195</v>
      </c>
      <c r="I126" s="85" t="s">
        <v>18</v>
      </c>
      <c r="J126" s="89" t="s">
        <v>14</v>
      </c>
      <c r="K126" s="89">
        <v>2412</v>
      </c>
      <c r="L126" s="85" t="s">
        <v>106</v>
      </c>
      <c r="M126" s="17">
        <v>297500</v>
      </c>
      <c r="N126" s="92" t="s">
        <v>118</v>
      </c>
    </row>
    <row r="127" spans="2:14" s="86" customFormat="1" ht="20.100000000000001" customHeight="1" x14ac:dyDescent="0.25">
      <c r="B127" s="84">
        <v>123</v>
      </c>
      <c r="C127" s="84"/>
      <c r="D127" s="84" t="s">
        <v>323</v>
      </c>
      <c r="E127" s="87">
        <v>45446</v>
      </c>
      <c r="F127" s="87">
        <v>45448</v>
      </c>
      <c r="G127" s="88" t="s">
        <v>320</v>
      </c>
      <c r="H127" s="88" t="s">
        <v>195</v>
      </c>
      <c r="I127" s="85" t="s">
        <v>58</v>
      </c>
      <c r="J127" s="89" t="s">
        <v>41</v>
      </c>
      <c r="K127" s="89">
        <v>5484</v>
      </c>
      <c r="L127" s="85" t="s">
        <v>324</v>
      </c>
      <c r="M127" s="17">
        <v>225000</v>
      </c>
      <c r="N127" s="92" t="s">
        <v>334</v>
      </c>
    </row>
    <row r="128" spans="2:14" s="86" customFormat="1" ht="20.100000000000001" customHeight="1" x14ac:dyDescent="0.25">
      <c r="B128" s="84">
        <v>124</v>
      </c>
      <c r="C128" s="84"/>
      <c r="D128" s="84" t="s">
        <v>325</v>
      </c>
      <c r="E128" s="87">
        <v>45446</v>
      </c>
      <c r="F128" s="87">
        <v>45448</v>
      </c>
      <c r="G128" s="88" t="s">
        <v>320</v>
      </c>
      <c r="H128" s="88" t="s">
        <v>195</v>
      </c>
      <c r="I128" s="85" t="s">
        <v>175</v>
      </c>
      <c r="J128" s="89" t="s">
        <v>41</v>
      </c>
      <c r="K128" s="89">
        <v>13630</v>
      </c>
      <c r="L128" s="85" t="s">
        <v>326</v>
      </c>
      <c r="M128" s="17">
        <v>225000</v>
      </c>
      <c r="N128" s="92" t="s">
        <v>335</v>
      </c>
    </row>
    <row r="129" spans="2:14" s="86" customFormat="1" ht="20.100000000000001" customHeight="1" x14ac:dyDescent="0.25">
      <c r="B129" s="84">
        <v>125</v>
      </c>
      <c r="C129" s="84"/>
      <c r="D129" s="84" t="s">
        <v>327</v>
      </c>
      <c r="E129" s="87">
        <v>45446</v>
      </c>
      <c r="F129" s="87">
        <v>45448</v>
      </c>
      <c r="G129" s="88" t="s">
        <v>320</v>
      </c>
      <c r="H129" s="88" t="s">
        <v>195</v>
      </c>
      <c r="I129" s="85" t="s">
        <v>69</v>
      </c>
      <c r="J129" s="89" t="s">
        <v>40</v>
      </c>
      <c r="K129" s="89" t="s">
        <v>328</v>
      </c>
      <c r="L129" s="85" t="s">
        <v>329</v>
      </c>
      <c r="M129" s="17">
        <v>225000</v>
      </c>
      <c r="N129" s="92" t="s">
        <v>336</v>
      </c>
    </row>
    <row r="130" spans="2:14" s="86" customFormat="1" ht="20.100000000000001" customHeight="1" x14ac:dyDescent="0.25">
      <c r="B130" s="84">
        <v>126</v>
      </c>
      <c r="C130" s="84"/>
      <c r="D130" s="84" t="s">
        <v>330</v>
      </c>
      <c r="E130" s="87">
        <v>45446</v>
      </c>
      <c r="F130" s="87">
        <v>45448</v>
      </c>
      <c r="G130" s="88" t="s">
        <v>320</v>
      </c>
      <c r="H130" s="88" t="s">
        <v>195</v>
      </c>
      <c r="I130" s="85" t="s">
        <v>48</v>
      </c>
      <c r="J130" s="89" t="s">
        <v>40</v>
      </c>
      <c r="K130" s="89">
        <v>5395</v>
      </c>
      <c r="L130" s="85" t="s">
        <v>331</v>
      </c>
      <c r="M130" s="17">
        <v>225000</v>
      </c>
      <c r="N130" s="92" t="s">
        <v>337</v>
      </c>
    </row>
    <row r="131" spans="2:14" ht="20.100000000000001" customHeight="1" x14ac:dyDescent="0.25">
      <c r="B131" s="73">
        <v>127</v>
      </c>
      <c r="C131" s="73"/>
      <c r="D131" s="73" t="s">
        <v>319</v>
      </c>
      <c r="E131" s="7">
        <v>45470</v>
      </c>
      <c r="F131" s="7">
        <v>45471</v>
      </c>
      <c r="G131" s="80" t="s">
        <v>111</v>
      </c>
      <c r="H131" s="80" t="s">
        <v>338</v>
      </c>
      <c r="I131" s="6" t="s">
        <v>18</v>
      </c>
      <c r="J131" s="72" t="s">
        <v>16</v>
      </c>
      <c r="K131" s="72">
        <v>290</v>
      </c>
      <c r="L131" s="6" t="s">
        <v>339</v>
      </c>
      <c r="M131" s="18">
        <v>202500</v>
      </c>
      <c r="N131" s="56" t="s">
        <v>342</v>
      </c>
    </row>
    <row r="132" spans="2:14" ht="20.100000000000001" customHeight="1" x14ac:dyDescent="0.25">
      <c r="B132" s="73">
        <v>128</v>
      </c>
      <c r="C132" s="73"/>
      <c r="D132" s="91" t="s">
        <v>319</v>
      </c>
      <c r="E132" s="83">
        <v>45470</v>
      </c>
      <c r="F132" s="83">
        <v>45471</v>
      </c>
      <c r="G132" s="93" t="s">
        <v>111</v>
      </c>
      <c r="H132" s="93" t="s">
        <v>338</v>
      </c>
      <c r="I132" s="82" t="s">
        <v>18</v>
      </c>
      <c r="J132" s="90" t="s">
        <v>340</v>
      </c>
      <c r="K132" s="90">
        <v>16111</v>
      </c>
      <c r="L132" s="82" t="s">
        <v>341</v>
      </c>
      <c r="M132" s="18">
        <v>150000</v>
      </c>
      <c r="N132" s="56" t="s">
        <v>343</v>
      </c>
    </row>
    <row r="133" spans="2:14" ht="20.100000000000001" customHeight="1" x14ac:dyDescent="0.25">
      <c r="B133" s="73">
        <v>129</v>
      </c>
      <c r="C133" s="73"/>
      <c r="D133" s="91" t="s">
        <v>325</v>
      </c>
      <c r="E133" s="83">
        <v>45470</v>
      </c>
      <c r="F133" s="83">
        <v>45471</v>
      </c>
      <c r="G133" s="93" t="s">
        <v>111</v>
      </c>
      <c r="H133" s="93" t="s">
        <v>338</v>
      </c>
      <c r="I133" s="82" t="s">
        <v>18</v>
      </c>
      <c r="J133" s="90" t="s">
        <v>16</v>
      </c>
      <c r="K133" s="90">
        <v>148</v>
      </c>
      <c r="L133" s="82" t="s">
        <v>17</v>
      </c>
      <c r="M133" s="18">
        <v>202500</v>
      </c>
      <c r="N133" s="56" t="s">
        <v>34</v>
      </c>
    </row>
    <row r="134" spans="2:14" ht="20.100000000000001" customHeight="1" x14ac:dyDescent="0.25">
      <c r="B134" s="73">
        <v>130</v>
      </c>
      <c r="C134" s="73"/>
      <c r="D134" s="21" t="s">
        <v>344</v>
      </c>
      <c r="E134" s="23">
        <v>45443</v>
      </c>
      <c r="F134" s="23">
        <v>45443</v>
      </c>
      <c r="G134" s="94" t="s">
        <v>37</v>
      </c>
      <c r="H134" s="94" t="s">
        <v>307</v>
      </c>
      <c r="I134" s="95" t="s">
        <v>175</v>
      </c>
      <c r="J134" s="28" t="s">
        <v>49</v>
      </c>
      <c r="K134" s="28">
        <v>13346</v>
      </c>
      <c r="L134" s="95" t="s">
        <v>311</v>
      </c>
      <c r="M134" s="24">
        <v>13000</v>
      </c>
      <c r="N134" s="96" t="s">
        <v>317</v>
      </c>
    </row>
    <row r="135" spans="2:14" ht="20.100000000000001" customHeight="1" x14ac:dyDescent="0.25">
      <c r="B135" s="73">
        <v>131</v>
      </c>
      <c r="C135" s="73"/>
      <c r="D135" s="73" t="s">
        <v>345</v>
      </c>
      <c r="E135" s="7">
        <v>45467</v>
      </c>
      <c r="F135" s="7">
        <v>45467</v>
      </c>
      <c r="G135" s="80" t="s">
        <v>346</v>
      </c>
      <c r="H135" s="80" t="s">
        <v>348</v>
      </c>
      <c r="I135" s="6" t="s">
        <v>69</v>
      </c>
      <c r="J135" s="72" t="s">
        <v>347</v>
      </c>
      <c r="K135" s="72">
        <v>1651</v>
      </c>
      <c r="L135" s="6" t="s">
        <v>109</v>
      </c>
      <c r="M135" s="18">
        <v>162500</v>
      </c>
      <c r="N135" s="56"/>
    </row>
    <row r="136" spans="2:14" ht="20.100000000000001" customHeight="1" x14ac:dyDescent="0.25">
      <c r="B136" s="73">
        <v>132</v>
      </c>
      <c r="C136" s="73"/>
      <c r="D136" s="91" t="s">
        <v>345</v>
      </c>
      <c r="E136" s="83">
        <v>45467</v>
      </c>
      <c r="F136" s="83">
        <v>45467</v>
      </c>
      <c r="G136" s="93" t="s">
        <v>346</v>
      </c>
      <c r="H136" s="93" t="s">
        <v>348</v>
      </c>
      <c r="I136" s="82" t="s">
        <v>69</v>
      </c>
      <c r="J136" s="90" t="s">
        <v>321</v>
      </c>
      <c r="K136" s="72">
        <v>703</v>
      </c>
      <c r="L136" s="6" t="s">
        <v>153</v>
      </c>
      <c r="M136" s="18">
        <v>162500</v>
      </c>
      <c r="N136" s="56"/>
    </row>
    <row r="137" spans="2:14" ht="20.100000000000001" customHeight="1" x14ac:dyDescent="0.25">
      <c r="B137" s="73">
        <v>133</v>
      </c>
      <c r="C137" s="73"/>
      <c r="D137" s="73" t="s">
        <v>349</v>
      </c>
      <c r="E137" s="7">
        <v>45476</v>
      </c>
      <c r="F137" s="7">
        <v>45478</v>
      </c>
      <c r="G137" s="80" t="s">
        <v>194</v>
      </c>
      <c r="H137" s="80" t="s">
        <v>350</v>
      </c>
      <c r="I137" s="6" t="s">
        <v>18</v>
      </c>
      <c r="J137" s="72" t="s">
        <v>16</v>
      </c>
      <c r="K137" s="72">
        <v>1160</v>
      </c>
      <c r="L137" s="6" t="s">
        <v>322</v>
      </c>
      <c r="M137" s="18">
        <v>162500</v>
      </c>
      <c r="N137" s="56"/>
    </row>
    <row r="138" spans="2:14" ht="20.100000000000001" customHeight="1" x14ac:dyDescent="0.25">
      <c r="B138" s="73">
        <v>134</v>
      </c>
      <c r="C138" s="73"/>
      <c r="D138" s="91" t="s">
        <v>349</v>
      </c>
      <c r="E138" s="83">
        <v>45476</v>
      </c>
      <c r="F138" s="83">
        <v>45478</v>
      </c>
      <c r="G138" s="93" t="s">
        <v>194</v>
      </c>
      <c r="H138" s="93" t="s">
        <v>350</v>
      </c>
      <c r="I138" s="82" t="s">
        <v>18</v>
      </c>
      <c r="J138" s="90" t="s">
        <v>16</v>
      </c>
      <c r="K138" s="72">
        <v>290</v>
      </c>
      <c r="L138" s="6" t="s">
        <v>339</v>
      </c>
      <c r="M138" s="18">
        <v>162500</v>
      </c>
      <c r="N138" s="56"/>
    </row>
    <row r="139" spans="2:14" ht="20.100000000000001" customHeight="1" x14ac:dyDescent="0.25">
      <c r="B139" s="73">
        <v>135</v>
      </c>
      <c r="C139" s="73"/>
      <c r="D139" s="91" t="s">
        <v>349</v>
      </c>
      <c r="E139" s="83">
        <v>45476</v>
      </c>
      <c r="F139" s="83">
        <v>45478</v>
      </c>
      <c r="G139" s="93" t="s">
        <v>194</v>
      </c>
      <c r="H139" s="93" t="s">
        <v>350</v>
      </c>
      <c r="I139" s="82" t="s">
        <v>18</v>
      </c>
      <c r="J139" s="90" t="s">
        <v>14</v>
      </c>
      <c r="K139" s="72">
        <v>1908</v>
      </c>
      <c r="L139" s="6" t="s">
        <v>254</v>
      </c>
      <c r="M139" s="18">
        <v>162500</v>
      </c>
      <c r="N139" s="56"/>
    </row>
    <row r="140" spans="2:14" ht="20.100000000000001" customHeight="1" x14ac:dyDescent="0.25">
      <c r="B140" s="73">
        <v>136</v>
      </c>
      <c r="C140" s="73"/>
      <c r="D140" s="73"/>
      <c r="E140" s="7"/>
      <c r="F140" s="7"/>
      <c r="G140" s="80"/>
      <c r="H140" s="80"/>
      <c r="I140" s="6"/>
      <c r="J140" s="72"/>
      <c r="K140" s="72"/>
      <c r="L140" s="6"/>
      <c r="M140" s="18"/>
      <c r="N140" s="56"/>
    </row>
    <row r="141" spans="2:14" ht="20.100000000000001" customHeight="1" x14ac:dyDescent="0.25">
      <c r="B141" s="73">
        <v>137</v>
      </c>
      <c r="C141" s="73"/>
      <c r="D141" s="73"/>
      <c r="E141" s="7"/>
      <c r="F141" s="7"/>
      <c r="G141" s="80"/>
      <c r="H141" s="80"/>
      <c r="I141" s="6"/>
      <c r="J141" s="72"/>
      <c r="K141" s="72"/>
      <c r="L141" s="6"/>
      <c r="M141" s="18"/>
      <c r="N141" s="56"/>
    </row>
    <row r="142" spans="2:14" ht="20.100000000000001" customHeight="1" x14ac:dyDescent="0.25">
      <c r="B142" s="73">
        <v>138</v>
      </c>
      <c r="C142" s="73"/>
      <c r="D142" s="73"/>
      <c r="E142" s="7"/>
      <c r="F142" s="7"/>
      <c r="G142" s="80"/>
      <c r="H142" s="80"/>
      <c r="I142" s="6"/>
      <c r="J142" s="72"/>
      <c r="K142" s="72"/>
      <c r="L142" s="6"/>
      <c r="M142" s="18"/>
      <c r="N142" s="56"/>
    </row>
    <row r="143" spans="2:14" ht="20.100000000000001" customHeight="1" x14ac:dyDescent="0.25">
      <c r="B143" s="73">
        <v>139</v>
      </c>
      <c r="C143" s="73"/>
      <c r="D143" s="73"/>
      <c r="E143" s="7"/>
      <c r="F143" s="7"/>
      <c r="G143" s="80"/>
      <c r="H143" s="80"/>
      <c r="I143" s="6"/>
      <c r="J143" s="72"/>
      <c r="K143" s="72"/>
      <c r="L143" s="6"/>
      <c r="M143" s="18"/>
      <c r="N143" s="56"/>
    </row>
    <row r="144" spans="2:14" ht="20.100000000000001" customHeight="1" x14ac:dyDescent="0.25">
      <c r="B144" s="73">
        <v>140</v>
      </c>
      <c r="C144" s="73"/>
      <c r="D144" s="73"/>
      <c r="E144" s="7"/>
      <c r="F144" s="7"/>
      <c r="G144" s="80"/>
      <c r="H144" s="80"/>
      <c r="I144" s="6"/>
      <c r="J144" s="72"/>
      <c r="K144" s="72"/>
      <c r="L144" s="6"/>
      <c r="M144" s="18"/>
      <c r="N144" s="56"/>
    </row>
    <row r="145" spans="2:14" ht="20.100000000000001" customHeight="1" x14ac:dyDescent="0.25">
      <c r="B145" s="73">
        <v>141</v>
      </c>
      <c r="C145" s="73"/>
      <c r="D145" s="73"/>
      <c r="E145" s="7"/>
      <c r="F145" s="7"/>
      <c r="G145" s="80"/>
      <c r="H145" s="80"/>
      <c r="I145" s="6"/>
      <c r="J145" s="72"/>
      <c r="K145" s="72"/>
      <c r="L145" s="6"/>
      <c r="M145" s="18"/>
      <c r="N145" s="56"/>
    </row>
    <row r="146" spans="2:14" ht="20.100000000000001" customHeight="1" x14ac:dyDescent="0.25">
      <c r="B146" s="73">
        <v>142</v>
      </c>
      <c r="C146" s="73"/>
      <c r="D146" s="73"/>
      <c r="E146" s="7"/>
      <c r="F146" s="7"/>
      <c r="G146" s="80"/>
      <c r="H146" s="80"/>
      <c r="I146" s="6"/>
      <c r="J146" s="72"/>
      <c r="K146" s="72"/>
      <c r="L146" s="6"/>
      <c r="M146" s="18"/>
      <c r="N146" s="56"/>
    </row>
    <row r="147" spans="2:14" ht="20.100000000000001" customHeight="1" x14ac:dyDescent="0.25">
      <c r="B147" s="73">
        <v>143</v>
      </c>
      <c r="C147" s="73"/>
      <c r="D147" s="73"/>
      <c r="E147" s="7"/>
      <c r="F147" s="7"/>
      <c r="G147" s="80"/>
      <c r="H147" s="80"/>
      <c r="I147" s="6"/>
      <c r="J147" s="72"/>
      <c r="K147" s="72"/>
      <c r="L147" s="6"/>
      <c r="M147" s="18"/>
      <c r="N147" s="56"/>
    </row>
    <row r="148" spans="2:14" ht="20.100000000000001" customHeight="1" x14ac:dyDescent="0.25">
      <c r="B148" s="73">
        <v>144</v>
      </c>
      <c r="C148" s="73"/>
      <c r="D148" s="73"/>
      <c r="E148" s="7"/>
      <c r="F148" s="7"/>
      <c r="G148" s="80"/>
      <c r="H148" s="80"/>
      <c r="I148" s="6"/>
      <c r="J148" s="72"/>
      <c r="K148" s="72"/>
      <c r="L148" s="6"/>
      <c r="M148" s="18"/>
      <c r="N148" s="56"/>
    </row>
    <row r="149" spans="2:14" ht="20.100000000000001" customHeight="1" x14ac:dyDescent="0.25">
      <c r="B149" s="73">
        <v>145</v>
      </c>
      <c r="C149" s="73"/>
      <c r="D149" s="73"/>
      <c r="E149" s="7"/>
      <c r="F149" s="7"/>
      <c r="G149" s="80"/>
      <c r="H149" s="80"/>
      <c r="I149" s="6"/>
      <c r="J149" s="72"/>
      <c r="K149" s="72"/>
      <c r="L149" s="6"/>
      <c r="M149" s="18"/>
      <c r="N149" s="56"/>
    </row>
    <row r="150" spans="2:14" ht="20.100000000000001" customHeight="1" x14ac:dyDescent="0.25">
      <c r="B150" s="73">
        <v>146</v>
      </c>
      <c r="C150" s="73"/>
      <c r="D150" s="73"/>
      <c r="E150" s="7"/>
      <c r="F150" s="7"/>
      <c r="G150" s="80"/>
      <c r="H150" s="80"/>
      <c r="I150" s="6"/>
      <c r="J150" s="72"/>
      <c r="K150" s="72"/>
      <c r="L150" s="6"/>
      <c r="M150" s="18"/>
      <c r="N150" s="56"/>
    </row>
    <row r="151" spans="2:14" ht="20.100000000000001" customHeight="1" x14ac:dyDescent="0.25">
      <c r="B151" s="73"/>
      <c r="C151" s="73"/>
      <c r="D151" s="73"/>
      <c r="E151" s="7"/>
      <c r="F151" s="7"/>
      <c r="G151" s="80"/>
      <c r="H151" s="80"/>
      <c r="I151" s="6"/>
      <c r="J151" s="72"/>
      <c r="K151" s="72"/>
      <c r="L151" s="6"/>
      <c r="M151" s="18"/>
      <c r="N151" s="56"/>
    </row>
    <row r="152" spans="2:14" ht="20.100000000000001" customHeight="1" x14ac:dyDescent="0.25">
      <c r="B152" s="73"/>
      <c r="C152" s="73"/>
      <c r="D152" s="73"/>
      <c r="E152" s="7"/>
      <c r="F152" s="7"/>
      <c r="G152" s="80"/>
      <c r="H152" s="80"/>
      <c r="I152" s="6"/>
      <c r="J152" s="72"/>
      <c r="K152" s="72"/>
      <c r="L152" s="6"/>
      <c r="M152" s="18"/>
      <c r="N152" s="56"/>
    </row>
    <row r="153" spans="2:14" ht="20.100000000000001" customHeight="1" x14ac:dyDescent="0.25">
      <c r="B153" s="73"/>
      <c r="C153" s="73"/>
      <c r="D153" s="73"/>
      <c r="E153" s="7"/>
      <c r="F153" s="7"/>
      <c r="G153" s="80"/>
      <c r="H153" s="80"/>
      <c r="I153" s="6"/>
      <c r="J153" s="72"/>
      <c r="K153" s="72"/>
      <c r="L153" s="6"/>
      <c r="M153" s="18"/>
      <c r="N153" s="56"/>
    </row>
    <row r="154" spans="2:14" ht="20.100000000000001" customHeight="1" x14ac:dyDescent="0.25">
      <c r="B154" s="73"/>
      <c r="C154" s="73"/>
      <c r="D154" s="73"/>
      <c r="E154" s="7"/>
      <c r="F154" s="7"/>
      <c r="G154" s="80"/>
      <c r="H154" s="80"/>
      <c r="I154" s="6"/>
      <c r="J154" s="72"/>
      <c r="K154" s="72"/>
      <c r="L154" s="6"/>
      <c r="M154" s="18"/>
      <c r="N154" s="56"/>
    </row>
    <row r="155" spans="2:14" ht="20.100000000000001" customHeight="1" x14ac:dyDescent="0.25">
      <c r="B155" s="73"/>
      <c r="C155" s="73"/>
      <c r="D155" s="73"/>
      <c r="E155" s="7"/>
      <c r="F155" s="7"/>
      <c r="G155" s="80"/>
      <c r="H155" s="80"/>
      <c r="I155" s="6"/>
      <c r="J155" s="72"/>
      <c r="K155" s="72"/>
      <c r="L155" s="6"/>
      <c r="M155" s="18"/>
      <c r="N155" s="56"/>
    </row>
    <row r="156" spans="2:14" ht="20.100000000000001" customHeight="1" x14ac:dyDescent="0.25">
      <c r="B156" s="73"/>
      <c r="C156" s="73"/>
      <c r="D156" s="73"/>
      <c r="E156" s="7"/>
      <c r="F156" s="7"/>
      <c r="G156" s="80"/>
      <c r="H156" s="80"/>
      <c r="I156" s="6"/>
      <c r="J156" s="72"/>
      <c r="K156" s="72"/>
      <c r="L156" s="6"/>
      <c r="M156" s="18"/>
      <c r="N156" s="56"/>
    </row>
    <row r="157" spans="2:14" ht="20.100000000000001" customHeight="1" x14ac:dyDescent="0.25">
      <c r="B157" s="73"/>
      <c r="C157" s="73"/>
      <c r="D157" s="73"/>
      <c r="E157" s="7"/>
      <c r="F157" s="7"/>
      <c r="G157" s="80"/>
      <c r="H157" s="80"/>
      <c r="I157" s="6"/>
      <c r="J157" s="72"/>
      <c r="K157" s="72"/>
      <c r="L157" s="6"/>
      <c r="M157" s="18"/>
      <c r="N157" s="56"/>
    </row>
    <row r="158" spans="2:14" ht="20.100000000000001" customHeight="1" x14ac:dyDescent="0.25">
      <c r="B158" s="73"/>
      <c r="C158" s="73"/>
      <c r="D158" s="73"/>
      <c r="E158" s="7"/>
      <c r="F158" s="7"/>
      <c r="G158" s="80"/>
      <c r="H158" s="80"/>
      <c r="I158" s="6"/>
      <c r="J158" s="72"/>
      <c r="K158" s="72"/>
      <c r="L158" s="6"/>
      <c r="M158" s="18"/>
      <c r="N158" s="56"/>
    </row>
    <row r="159" spans="2:14" ht="20.100000000000001" customHeight="1" x14ac:dyDescent="0.25">
      <c r="B159" s="73"/>
      <c r="C159" s="73"/>
      <c r="D159" s="73"/>
      <c r="E159" s="7"/>
      <c r="F159" s="7"/>
      <c r="G159" s="80"/>
      <c r="H159" s="80"/>
      <c r="I159" s="6"/>
      <c r="J159" s="72"/>
      <c r="K159" s="72"/>
      <c r="L159" s="6"/>
      <c r="M159" s="18"/>
      <c r="N159" s="56"/>
    </row>
    <row r="160" spans="2:14" ht="20.100000000000001" customHeight="1" x14ac:dyDescent="0.25">
      <c r="B160" s="73"/>
      <c r="C160" s="73"/>
      <c r="D160" s="73"/>
      <c r="E160" s="7"/>
      <c r="F160" s="7"/>
      <c r="G160" s="80"/>
      <c r="H160" s="80"/>
      <c r="I160" s="6"/>
      <c r="J160" s="72"/>
      <c r="K160" s="72"/>
      <c r="L160" s="6"/>
      <c r="M160" s="18"/>
      <c r="N160" s="56"/>
    </row>
    <row r="161" spans="2:14" ht="20.100000000000001" customHeight="1" x14ac:dyDescent="0.25">
      <c r="B161" s="73"/>
      <c r="C161" s="73"/>
      <c r="D161" s="73"/>
      <c r="E161" s="7"/>
      <c r="F161" s="7"/>
      <c r="G161" s="80"/>
      <c r="H161" s="80"/>
      <c r="I161" s="6"/>
      <c r="J161" s="72"/>
      <c r="K161" s="72"/>
      <c r="L161" s="6"/>
      <c r="M161" s="18"/>
      <c r="N161" s="56"/>
    </row>
    <row r="162" spans="2:14" ht="20.100000000000001" customHeight="1" x14ac:dyDescent="0.25">
      <c r="B162" s="73"/>
      <c r="C162" s="73"/>
      <c r="D162" s="73"/>
      <c r="E162" s="7"/>
      <c r="F162" s="7"/>
      <c r="G162" s="80"/>
      <c r="H162" s="80"/>
      <c r="I162" s="6"/>
      <c r="J162" s="72"/>
      <c r="K162" s="72"/>
      <c r="L162" s="6"/>
      <c r="M162" s="18"/>
      <c r="N162" s="56"/>
    </row>
    <row r="163" spans="2:14" ht="20.100000000000001" customHeight="1" x14ac:dyDescent="0.25">
      <c r="B163" s="73"/>
      <c r="C163" s="73"/>
      <c r="D163" s="73"/>
      <c r="E163" s="7"/>
      <c r="F163" s="7"/>
      <c r="G163" s="80"/>
      <c r="H163" s="80"/>
      <c r="I163" s="6"/>
      <c r="J163" s="72"/>
      <c r="K163" s="72"/>
      <c r="L163" s="6"/>
      <c r="M163" s="18"/>
      <c r="N163" s="56"/>
    </row>
    <row r="164" spans="2:14" ht="20.100000000000001" customHeight="1" x14ac:dyDescent="0.25">
      <c r="B164" s="73"/>
      <c r="C164" s="73"/>
      <c r="D164" s="73"/>
      <c r="E164" s="7"/>
      <c r="F164" s="7"/>
      <c r="G164" s="80"/>
      <c r="H164" s="80"/>
      <c r="I164" s="6"/>
      <c r="J164" s="72"/>
      <c r="K164" s="72"/>
      <c r="L164" s="6"/>
      <c r="M164" s="18"/>
      <c r="N164" s="56"/>
    </row>
    <row r="165" spans="2:14" ht="20.100000000000001" customHeight="1" x14ac:dyDescent="0.25">
      <c r="B165" s="73"/>
      <c r="C165" s="73"/>
      <c r="D165" s="73"/>
      <c r="E165" s="7"/>
      <c r="F165" s="7"/>
      <c r="G165" s="80"/>
      <c r="H165" s="80"/>
      <c r="I165" s="6"/>
      <c r="J165" s="72"/>
      <c r="K165" s="72"/>
      <c r="L165" s="6"/>
      <c r="M165" s="18"/>
      <c r="N165" s="56"/>
    </row>
    <row r="166" spans="2:14" ht="20.100000000000001" customHeight="1" x14ac:dyDescent="0.25">
      <c r="B166" s="73"/>
      <c r="C166" s="73"/>
      <c r="D166" s="73"/>
      <c r="E166" s="7"/>
      <c r="F166" s="7"/>
      <c r="G166" s="80"/>
      <c r="H166" s="80"/>
      <c r="I166" s="6"/>
      <c r="J166" s="72"/>
      <c r="K166" s="72"/>
      <c r="L166" s="6"/>
      <c r="M166" s="18"/>
      <c r="N166" s="56"/>
    </row>
    <row r="167" spans="2:14" ht="20.100000000000001" customHeight="1" x14ac:dyDescent="0.25">
      <c r="B167" s="73"/>
      <c r="C167" s="73"/>
      <c r="D167" s="73"/>
      <c r="E167" s="7"/>
      <c r="F167" s="7"/>
      <c r="G167" s="80"/>
      <c r="H167" s="80"/>
      <c r="I167" s="6"/>
      <c r="J167" s="72"/>
      <c r="K167" s="72"/>
      <c r="L167" s="6"/>
      <c r="M167" s="18"/>
      <c r="N167" s="56"/>
    </row>
    <row r="168" spans="2:14" ht="20.100000000000001" customHeight="1" x14ac:dyDescent="0.25">
      <c r="B168" s="73"/>
      <c r="C168" s="73"/>
      <c r="D168" s="73"/>
      <c r="E168" s="7"/>
      <c r="F168" s="7"/>
      <c r="G168" s="80"/>
      <c r="H168" s="80"/>
      <c r="I168" s="6"/>
      <c r="J168" s="72"/>
      <c r="K168" s="72"/>
      <c r="L168" s="6"/>
      <c r="M168" s="18"/>
      <c r="N168" s="56"/>
    </row>
    <row r="169" spans="2:14" ht="20.100000000000001" customHeight="1" x14ac:dyDescent="0.25">
      <c r="B169" s="73"/>
      <c r="C169" s="73"/>
      <c r="D169" s="73"/>
      <c r="E169" s="7"/>
      <c r="F169" s="7"/>
      <c r="G169" s="80"/>
      <c r="H169" s="80"/>
      <c r="I169" s="6"/>
      <c r="J169" s="72"/>
      <c r="K169" s="72"/>
      <c r="L169" s="6"/>
      <c r="M169" s="18"/>
      <c r="N169" s="56"/>
    </row>
    <row r="170" spans="2:14" ht="20.100000000000001" customHeight="1" x14ac:dyDescent="0.25">
      <c r="B170" s="73"/>
      <c r="C170" s="73"/>
      <c r="D170" s="73"/>
      <c r="E170" s="7"/>
      <c r="F170" s="7"/>
      <c r="G170" s="80"/>
      <c r="H170" s="80"/>
      <c r="I170" s="6"/>
      <c r="J170" s="72"/>
      <c r="K170" s="72"/>
      <c r="L170" s="6"/>
      <c r="M170" s="18"/>
      <c r="N170" s="56"/>
    </row>
    <row r="171" spans="2:14" ht="20.100000000000001" customHeight="1" x14ac:dyDescent="0.25">
      <c r="B171" s="73"/>
      <c r="C171" s="73"/>
      <c r="D171" s="73"/>
      <c r="E171" s="7"/>
      <c r="F171" s="7"/>
      <c r="G171" s="80"/>
      <c r="H171" s="80"/>
      <c r="I171" s="6"/>
      <c r="J171" s="72"/>
      <c r="K171" s="72"/>
      <c r="L171" s="6"/>
      <c r="M171" s="18"/>
      <c r="N171" s="56"/>
    </row>
    <row r="172" spans="2:14" ht="20.100000000000001" customHeight="1" x14ac:dyDescent="0.25">
      <c r="B172" s="73"/>
      <c r="C172" s="73"/>
      <c r="D172" s="73"/>
      <c r="E172" s="7"/>
      <c r="F172" s="7"/>
      <c r="G172" s="80"/>
      <c r="H172" s="80"/>
      <c r="I172" s="6"/>
      <c r="J172" s="72"/>
      <c r="K172" s="72"/>
      <c r="L172" s="6"/>
      <c r="M172" s="18"/>
      <c r="N172" s="56"/>
    </row>
    <row r="173" spans="2:14" ht="20.100000000000001" customHeight="1" x14ac:dyDescent="0.25">
      <c r="B173" s="73"/>
      <c r="C173" s="73"/>
      <c r="D173" s="73"/>
      <c r="E173" s="7"/>
      <c r="F173" s="7"/>
      <c r="G173" s="80"/>
      <c r="H173" s="80"/>
      <c r="I173" s="6"/>
      <c r="J173" s="72"/>
      <c r="K173" s="72"/>
      <c r="L173" s="6"/>
      <c r="M173" s="18"/>
      <c r="N173" s="56"/>
    </row>
    <row r="174" spans="2:14" ht="20.100000000000001" customHeight="1" x14ac:dyDescent="0.25">
      <c r="B174" s="73"/>
      <c r="C174" s="73"/>
      <c r="D174" s="73"/>
      <c r="E174" s="7"/>
      <c r="F174" s="7"/>
      <c r="G174" s="80"/>
      <c r="H174" s="80"/>
      <c r="I174" s="6"/>
      <c r="J174" s="72"/>
      <c r="K174" s="72"/>
      <c r="L174" s="6"/>
      <c r="M174" s="18"/>
      <c r="N174" s="56"/>
    </row>
    <row r="175" spans="2:14" ht="20.100000000000001" customHeight="1" x14ac:dyDescent="0.25">
      <c r="B175" s="73"/>
      <c r="C175" s="73"/>
      <c r="D175" s="73"/>
      <c r="E175" s="7"/>
      <c r="F175" s="7"/>
      <c r="G175" s="80"/>
      <c r="H175" s="80"/>
      <c r="I175" s="6"/>
      <c r="J175" s="72"/>
      <c r="K175" s="72"/>
      <c r="L175" s="6"/>
      <c r="M175" s="18"/>
      <c r="N175" s="56"/>
    </row>
    <row r="176" spans="2:14" ht="20.100000000000001" customHeight="1" x14ac:dyDescent="0.25">
      <c r="B176" s="73"/>
      <c r="C176" s="73"/>
      <c r="D176" s="73"/>
      <c r="E176" s="7"/>
      <c r="F176" s="7"/>
      <c r="G176" s="80"/>
      <c r="H176" s="80"/>
      <c r="I176" s="6"/>
      <c r="J176" s="72"/>
      <c r="K176" s="72"/>
      <c r="L176" s="6"/>
      <c r="M176" s="18"/>
      <c r="N176" s="56"/>
    </row>
    <row r="177" spans="2:14" ht="20.100000000000001" customHeight="1" x14ac:dyDescent="0.25">
      <c r="B177" s="73"/>
      <c r="C177" s="73"/>
      <c r="D177" s="73"/>
      <c r="E177" s="7"/>
      <c r="F177" s="7"/>
      <c r="G177" s="80"/>
      <c r="H177" s="80"/>
      <c r="I177" s="6"/>
      <c r="J177" s="72"/>
      <c r="K177" s="72"/>
      <c r="L177" s="6"/>
      <c r="M177" s="18"/>
      <c r="N177" s="56"/>
    </row>
    <row r="178" spans="2:14" ht="20.100000000000001" customHeight="1" x14ac:dyDescent="0.25">
      <c r="B178" s="73"/>
      <c r="C178" s="73"/>
      <c r="D178" s="73"/>
      <c r="E178" s="7"/>
      <c r="F178" s="7"/>
      <c r="G178" s="80"/>
      <c r="H178" s="80"/>
      <c r="I178" s="6"/>
      <c r="J178" s="72"/>
      <c r="K178" s="72"/>
      <c r="L178" s="6"/>
      <c r="M178" s="18"/>
      <c r="N178" s="56"/>
    </row>
    <row r="179" spans="2:14" ht="20.100000000000001" customHeight="1" x14ac:dyDescent="0.25">
      <c r="B179" s="73"/>
      <c r="C179" s="73"/>
      <c r="D179" s="73"/>
      <c r="E179" s="7"/>
      <c r="F179" s="7"/>
      <c r="G179" s="80"/>
      <c r="H179" s="80"/>
      <c r="I179" s="6"/>
      <c r="J179" s="72"/>
      <c r="K179" s="72"/>
      <c r="L179" s="6"/>
      <c r="M179" s="18"/>
      <c r="N179" s="56"/>
    </row>
    <row r="180" spans="2:14" ht="20.100000000000001" customHeight="1" x14ac:dyDescent="0.25">
      <c r="B180" s="73"/>
      <c r="C180" s="73"/>
      <c r="D180" s="73"/>
      <c r="E180" s="7"/>
      <c r="F180" s="7"/>
      <c r="G180" s="80"/>
      <c r="H180" s="80"/>
      <c r="I180" s="6"/>
      <c r="J180" s="72"/>
      <c r="K180" s="72"/>
      <c r="L180" s="6"/>
      <c r="M180" s="18"/>
      <c r="N180" s="56"/>
    </row>
    <row r="181" spans="2:14" ht="20.100000000000001" customHeight="1" x14ac:dyDescent="0.25">
      <c r="B181" s="73"/>
      <c r="C181" s="73"/>
      <c r="D181" s="73"/>
      <c r="E181" s="7"/>
      <c r="F181" s="7"/>
      <c r="G181" s="80"/>
      <c r="H181" s="80"/>
      <c r="I181" s="6"/>
      <c r="J181" s="72"/>
      <c r="K181" s="72"/>
      <c r="L181" s="6"/>
      <c r="M181" s="18"/>
      <c r="N181" s="56"/>
    </row>
    <row r="182" spans="2:14" ht="20.100000000000001" customHeight="1" x14ac:dyDescent="0.25">
      <c r="B182" s="73"/>
      <c r="C182" s="73"/>
      <c r="D182" s="73"/>
      <c r="E182" s="7"/>
      <c r="F182" s="7"/>
      <c r="G182" s="80"/>
      <c r="H182" s="80"/>
      <c r="I182" s="6"/>
      <c r="J182" s="72"/>
      <c r="K182" s="72"/>
      <c r="L182" s="6"/>
      <c r="M182" s="18"/>
      <c r="N182" s="56"/>
    </row>
    <row r="183" spans="2:14" ht="20.100000000000001" customHeight="1" x14ac:dyDescent="0.25"/>
    <row r="184" spans="2:14" ht="20.100000000000001" customHeight="1" x14ac:dyDescent="0.25"/>
    <row r="185" spans="2:14" ht="20.100000000000001" customHeight="1" x14ac:dyDescent="0.25"/>
    <row r="186" spans="2:14" ht="20.100000000000001" customHeight="1" x14ac:dyDescent="0.25"/>
    <row r="187" spans="2:14" ht="20.100000000000001" customHeight="1" x14ac:dyDescent="0.25"/>
    <row r="188" spans="2:14" ht="20.100000000000001" customHeight="1" x14ac:dyDescent="0.25"/>
    <row r="189" spans="2:14" ht="20.100000000000001" customHeight="1" x14ac:dyDescent="0.25"/>
    <row r="190" spans="2:14" ht="20.100000000000001" customHeight="1" x14ac:dyDescent="0.25"/>
    <row r="191" spans="2:14" ht="20.100000000000001" customHeight="1" x14ac:dyDescent="0.25"/>
    <row r="192" spans="2:14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  <row r="219" ht="20.100000000000001" customHeight="1" x14ac:dyDescent="0.25"/>
    <row r="220" ht="20.100000000000001" customHeight="1" x14ac:dyDescent="0.25"/>
    <row r="221" ht="20.100000000000001" customHeight="1" x14ac:dyDescent="0.25"/>
    <row r="222" ht="20.100000000000001" customHeight="1" x14ac:dyDescent="0.25"/>
    <row r="223" ht="20.100000000000001" customHeight="1" x14ac:dyDescent="0.25"/>
    <row r="224" ht="20.100000000000001" customHeight="1" x14ac:dyDescent="0.25"/>
    <row r="225" ht="20.100000000000001" customHeight="1" x14ac:dyDescent="0.25"/>
    <row r="226" ht="20.100000000000001" customHeight="1" x14ac:dyDescent="0.25"/>
    <row r="227" ht="20.100000000000001" customHeight="1" x14ac:dyDescent="0.25"/>
    <row r="228" ht="20.100000000000001" customHeight="1" x14ac:dyDescent="0.25"/>
    <row r="229" ht="20.100000000000001" customHeight="1" x14ac:dyDescent="0.25"/>
    <row r="230" ht="20.100000000000001" customHeight="1" x14ac:dyDescent="0.25"/>
    <row r="231" ht="20.100000000000001" customHeight="1" x14ac:dyDescent="0.25"/>
    <row r="232" ht="20.100000000000001" customHeight="1" x14ac:dyDescent="0.25"/>
    <row r="233" ht="20.100000000000001" customHeight="1" x14ac:dyDescent="0.25"/>
    <row r="234" ht="20.100000000000001" customHeight="1" x14ac:dyDescent="0.25"/>
    <row r="235" ht="20.100000000000001" customHeight="1" x14ac:dyDescent="0.25"/>
    <row r="236" ht="20.100000000000001" customHeight="1" x14ac:dyDescent="0.25"/>
    <row r="237" ht="20.100000000000001" customHeight="1" x14ac:dyDescent="0.25"/>
    <row r="238" ht="20.100000000000001" customHeight="1" x14ac:dyDescent="0.25"/>
    <row r="239" ht="20.100000000000001" customHeight="1" x14ac:dyDescent="0.25"/>
    <row r="240" ht="20.100000000000001" customHeight="1" x14ac:dyDescent="0.25"/>
    <row r="241" ht="20.100000000000001" customHeight="1" x14ac:dyDescent="0.25"/>
    <row r="242" ht="20.100000000000001" customHeight="1" x14ac:dyDescent="0.25"/>
    <row r="243" ht="20.100000000000001" customHeight="1" x14ac:dyDescent="0.25"/>
    <row r="244" ht="20.100000000000001" customHeight="1" x14ac:dyDescent="0.25"/>
    <row r="245" ht="20.100000000000001" customHeight="1" x14ac:dyDescent="0.25"/>
    <row r="246" ht="20.100000000000001" customHeight="1" x14ac:dyDescent="0.25"/>
    <row r="247" ht="20.100000000000001" customHeight="1" x14ac:dyDescent="0.25"/>
    <row r="248" ht="20.100000000000001" customHeight="1" x14ac:dyDescent="0.25"/>
    <row r="249" ht="20.100000000000001" customHeight="1" x14ac:dyDescent="0.25"/>
    <row r="250" ht="20.100000000000001" customHeight="1" x14ac:dyDescent="0.25"/>
    <row r="251" ht="20.100000000000001" customHeight="1" x14ac:dyDescent="0.25"/>
    <row r="252" ht="20.100000000000001" customHeight="1" x14ac:dyDescent="0.25"/>
    <row r="253" ht="20.100000000000001" customHeight="1" x14ac:dyDescent="0.25"/>
    <row r="254" ht="20.100000000000001" customHeight="1" x14ac:dyDescent="0.25"/>
    <row r="255" ht="20.100000000000001" customHeight="1" x14ac:dyDescent="0.25"/>
    <row r="256" ht="20.100000000000001" customHeight="1" x14ac:dyDescent="0.25"/>
    <row r="257" ht="20.100000000000001" customHeight="1" x14ac:dyDescent="0.25"/>
    <row r="258" ht="20.100000000000001" customHeight="1" x14ac:dyDescent="0.25"/>
    <row r="259" ht="20.100000000000001" customHeight="1" x14ac:dyDescent="0.25"/>
    <row r="260" ht="20.100000000000001" customHeight="1" x14ac:dyDescent="0.25"/>
    <row r="261" ht="20.100000000000001" customHeight="1" x14ac:dyDescent="0.25"/>
    <row r="262" ht="20.100000000000001" customHeight="1" x14ac:dyDescent="0.25"/>
    <row r="263" ht="20.100000000000001" customHeight="1" x14ac:dyDescent="0.25"/>
    <row r="264" ht="20.100000000000001" customHeight="1" x14ac:dyDescent="0.25"/>
    <row r="265" ht="20.100000000000001" customHeight="1" x14ac:dyDescent="0.25"/>
    <row r="266" ht="20.100000000000001" customHeight="1" x14ac:dyDescent="0.25"/>
    <row r="267" ht="20.100000000000001" customHeight="1" x14ac:dyDescent="0.25"/>
    <row r="268" ht="20.100000000000001" customHeight="1" x14ac:dyDescent="0.25"/>
    <row r="269" ht="20.100000000000001" customHeight="1" x14ac:dyDescent="0.25"/>
    <row r="270" ht="20.100000000000001" customHeight="1" x14ac:dyDescent="0.25"/>
    <row r="271" ht="20.100000000000001" customHeight="1" x14ac:dyDescent="0.25"/>
    <row r="272" ht="20.100000000000001" customHeight="1" x14ac:dyDescent="0.25"/>
    <row r="273" ht="20.100000000000001" customHeight="1" x14ac:dyDescent="0.25"/>
    <row r="274" ht="20.100000000000001" customHeight="1" x14ac:dyDescent="0.25"/>
    <row r="275" ht="20.100000000000001" customHeight="1" x14ac:dyDescent="0.25"/>
    <row r="276" ht="20.100000000000001" customHeight="1" x14ac:dyDescent="0.25"/>
    <row r="277" ht="20.100000000000001" customHeight="1" x14ac:dyDescent="0.25"/>
    <row r="278" ht="20.100000000000001" customHeight="1" x14ac:dyDescent="0.25"/>
    <row r="279" ht="20.100000000000001" customHeight="1" x14ac:dyDescent="0.25"/>
    <row r="280" ht="20.100000000000001" customHeight="1" x14ac:dyDescent="0.25"/>
    <row r="281" ht="20.100000000000001" customHeight="1" x14ac:dyDescent="0.25"/>
    <row r="282" ht="20.100000000000001" customHeight="1" x14ac:dyDescent="0.25"/>
    <row r="283" ht="20.100000000000001" customHeight="1" x14ac:dyDescent="0.25"/>
    <row r="284" ht="20.100000000000001" customHeight="1" x14ac:dyDescent="0.25"/>
    <row r="285" ht="20.100000000000001" customHeight="1" x14ac:dyDescent="0.25"/>
    <row r="286" ht="20.100000000000001" customHeight="1" x14ac:dyDescent="0.25"/>
    <row r="287" ht="20.100000000000001" customHeight="1" x14ac:dyDescent="0.25"/>
    <row r="288" ht="20.100000000000001" customHeight="1" x14ac:dyDescent="0.25"/>
    <row r="289" ht="20.100000000000001" customHeight="1" x14ac:dyDescent="0.25"/>
    <row r="290" ht="20.100000000000001" customHeight="1" x14ac:dyDescent="0.25"/>
    <row r="291" ht="20.100000000000001" customHeight="1" x14ac:dyDescent="0.25"/>
    <row r="292" ht="20.100000000000001" customHeight="1" x14ac:dyDescent="0.25"/>
    <row r="293" ht="20.100000000000001" customHeight="1" x14ac:dyDescent="0.25"/>
    <row r="294" ht="20.100000000000001" customHeight="1" x14ac:dyDescent="0.25"/>
    <row r="295" ht="20.100000000000001" customHeight="1" x14ac:dyDescent="0.25"/>
    <row r="296" ht="20.100000000000001" customHeight="1" x14ac:dyDescent="0.25"/>
    <row r="297" ht="20.100000000000001" customHeight="1" x14ac:dyDescent="0.25"/>
    <row r="298" ht="20.100000000000001" customHeight="1" x14ac:dyDescent="0.25"/>
    <row r="299" ht="20.100000000000001" customHeight="1" x14ac:dyDescent="0.25"/>
    <row r="300" ht="20.100000000000001" customHeight="1" x14ac:dyDescent="0.25"/>
    <row r="301" ht="20.100000000000001" customHeight="1" x14ac:dyDescent="0.25"/>
    <row r="302" ht="20.100000000000001" customHeight="1" x14ac:dyDescent="0.25"/>
    <row r="303" ht="20.100000000000001" customHeight="1" x14ac:dyDescent="0.25"/>
    <row r="304" ht="20.100000000000001" customHeight="1" x14ac:dyDescent="0.25"/>
    <row r="305" ht="20.100000000000001" customHeight="1" x14ac:dyDescent="0.25"/>
    <row r="306" ht="20.100000000000001" customHeight="1" x14ac:dyDescent="0.25"/>
    <row r="307" ht="20.100000000000001" customHeight="1" x14ac:dyDescent="0.25"/>
    <row r="308" ht="20.100000000000001" customHeight="1" x14ac:dyDescent="0.25"/>
    <row r="309" ht="20.100000000000001" customHeight="1" x14ac:dyDescent="0.25"/>
    <row r="310" ht="20.100000000000001" customHeight="1" x14ac:dyDescent="0.25"/>
    <row r="311" ht="20.100000000000001" customHeight="1" x14ac:dyDescent="0.25"/>
    <row r="312" ht="20.100000000000001" customHeight="1" x14ac:dyDescent="0.25"/>
    <row r="313" ht="20.100000000000001" customHeight="1" x14ac:dyDescent="0.25"/>
    <row r="314" ht="20.100000000000001" customHeight="1" x14ac:dyDescent="0.25"/>
    <row r="315" ht="20.100000000000001" customHeight="1" x14ac:dyDescent="0.25"/>
    <row r="316" ht="20.100000000000001" customHeight="1" x14ac:dyDescent="0.25"/>
    <row r="317" ht="20.100000000000001" customHeight="1" x14ac:dyDescent="0.25"/>
    <row r="318" ht="20.100000000000001" customHeight="1" x14ac:dyDescent="0.25"/>
    <row r="319" ht="20.100000000000001" customHeight="1" x14ac:dyDescent="0.25"/>
    <row r="320" ht="20.100000000000001" customHeight="1" x14ac:dyDescent="0.25"/>
    <row r="321" ht="20.100000000000001" customHeight="1" x14ac:dyDescent="0.25"/>
    <row r="322" ht="20.100000000000001" customHeight="1" x14ac:dyDescent="0.25"/>
    <row r="323" ht="20.100000000000001" customHeight="1" x14ac:dyDescent="0.25"/>
    <row r="324" ht="20.100000000000001" customHeight="1" x14ac:dyDescent="0.25"/>
    <row r="325" ht="20.100000000000001" customHeight="1" x14ac:dyDescent="0.25"/>
    <row r="326" ht="20.100000000000001" customHeight="1" x14ac:dyDescent="0.25"/>
    <row r="327" ht="20.100000000000001" customHeight="1" x14ac:dyDescent="0.25"/>
    <row r="328" ht="20.100000000000001" customHeight="1" x14ac:dyDescent="0.25"/>
    <row r="329" ht="20.100000000000001" customHeight="1" x14ac:dyDescent="0.25"/>
    <row r="330" ht="20.100000000000001" customHeight="1" x14ac:dyDescent="0.25"/>
    <row r="331" ht="20.100000000000001" customHeight="1" x14ac:dyDescent="0.25"/>
    <row r="332" ht="20.100000000000001" customHeight="1" x14ac:dyDescent="0.25"/>
    <row r="333" ht="20.100000000000001" customHeight="1" x14ac:dyDescent="0.25"/>
    <row r="334" ht="20.100000000000001" customHeight="1" x14ac:dyDescent="0.25"/>
    <row r="335" ht="20.100000000000001" customHeight="1" x14ac:dyDescent="0.25"/>
    <row r="336" ht="20.100000000000001" customHeight="1" x14ac:dyDescent="0.25"/>
    <row r="337" ht="20.100000000000001" customHeight="1" x14ac:dyDescent="0.25"/>
    <row r="338" ht="20.100000000000001" customHeight="1" x14ac:dyDescent="0.25"/>
    <row r="339" ht="20.100000000000001" customHeight="1" x14ac:dyDescent="0.25"/>
    <row r="340" ht="20.100000000000001" customHeight="1" x14ac:dyDescent="0.25"/>
    <row r="341" ht="20.100000000000001" customHeight="1" x14ac:dyDescent="0.25"/>
    <row r="342" ht="20.100000000000001" customHeight="1" x14ac:dyDescent="0.25"/>
    <row r="343" ht="20.100000000000001" customHeight="1" x14ac:dyDescent="0.25"/>
    <row r="344" ht="20.100000000000001" customHeight="1" x14ac:dyDescent="0.25"/>
    <row r="345" ht="20.100000000000001" customHeight="1" x14ac:dyDescent="0.25"/>
    <row r="346" ht="20.100000000000001" customHeight="1" x14ac:dyDescent="0.25"/>
    <row r="347" ht="20.100000000000001" customHeight="1" x14ac:dyDescent="0.25"/>
    <row r="348" ht="20.100000000000001" customHeight="1" x14ac:dyDescent="0.25"/>
    <row r="349" ht="20.100000000000001" customHeight="1" x14ac:dyDescent="0.25"/>
    <row r="350" ht="20.100000000000001" customHeight="1" x14ac:dyDescent="0.25"/>
    <row r="351" ht="20.100000000000001" customHeight="1" x14ac:dyDescent="0.25"/>
    <row r="352" ht="20.100000000000001" customHeight="1" x14ac:dyDescent="0.25"/>
    <row r="353" ht="20.100000000000001" customHeight="1" x14ac:dyDescent="0.25"/>
    <row r="354" ht="20.100000000000001" customHeight="1" x14ac:dyDescent="0.25"/>
    <row r="355" ht="20.100000000000001" customHeight="1" x14ac:dyDescent="0.25"/>
    <row r="356" ht="20.100000000000001" customHeight="1" x14ac:dyDescent="0.25"/>
    <row r="357" ht="20.100000000000001" customHeight="1" x14ac:dyDescent="0.25"/>
    <row r="358" ht="20.100000000000001" customHeight="1" x14ac:dyDescent="0.25"/>
    <row r="359" ht="20.100000000000001" customHeight="1" x14ac:dyDescent="0.25"/>
    <row r="360" ht="20.100000000000001" customHeight="1" x14ac:dyDescent="0.25"/>
    <row r="361" ht="20.100000000000001" customHeight="1" x14ac:dyDescent="0.25"/>
    <row r="362" ht="20.100000000000001" customHeight="1" x14ac:dyDescent="0.25"/>
    <row r="363" ht="20.100000000000001" customHeight="1" x14ac:dyDescent="0.25"/>
    <row r="364" ht="20.100000000000001" customHeight="1" x14ac:dyDescent="0.25"/>
    <row r="365" ht="20.100000000000001" customHeight="1" x14ac:dyDescent="0.25"/>
    <row r="366" ht="20.100000000000001" customHeight="1" x14ac:dyDescent="0.25"/>
    <row r="367" ht="20.100000000000001" customHeight="1" x14ac:dyDescent="0.25"/>
    <row r="368" ht="20.100000000000001" customHeight="1" x14ac:dyDescent="0.25"/>
    <row r="369" ht="20.100000000000001" customHeight="1" x14ac:dyDescent="0.25"/>
    <row r="370" ht="20.100000000000001" customHeight="1" x14ac:dyDescent="0.25"/>
    <row r="371" ht="20.100000000000001" customHeight="1" x14ac:dyDescent="0.25"/>
    <row r="372" ht="20.100000000000001" customHeight="1" x14ac:dyDescent="0.25"/>
    <row r="373" ht="20.100000000000001" customHeight="1" x14ac:dyDescent="0.25"/>
    <row r="374" ht="20.100000000000001" customHeight="1" x14ac:dyDescent="0.25"/>
    <row r="375" ht="20.100000000000001" customHeight="1" x14ac:dyDescent="0.25"/>
    <row r="376" ht="20.100000000000001" customHeight="1" x14ac:dyDescent="0.25"/>
    <row r="377" ht="20.100000000000001" customHeight="1" x14ac:dyDescent="0.25"/>
    <row r="378" ht="20.100000000000001" customHeight="1" x14ac:dyDescent="0.25"/>
    <row r="379" ht="20.100000000000001" customHeight="1" x14ac:dyDescent="0.25"/>
    <row r="380" ht="20.100000000000001" customHeight="1" x14ac:dyDescent="0.25"/>
    <row r="381" ht="20.100000000000001" customHeight="1" x14ac:dyDescent="0.25"/>
    <row r="382" ht="20.100000000000001" customHeight="1" x14ac:dyDescent="0.25"/>
    <row r="383" ht="20.100000000000001" customHeight="1" x14ac:dyDescent="0.25"/>
    <row r="384" ht="20.100000000000001" customHeight="1" x14ac:dyDescent="0.25"/>
    <row r="385" ht="20.100000000000001" customHeight="1" x14ac:dyDescent="0.25"/>
    <row r="386" ht="20.100000000000001" customHeight="1" x14ac:dyDescent="0.25"/>
    <row r="387" ht="20.100000000000001" customHeight="1" x14ac:dyDescent="0.25"/>
    <row r="388" ht="20.100000000000001" customHeight="1" x14ac:dyDescent="0.25"/>
    <row r="389" ht="20.100000000000001" customHeight="1" x14ac:dyDescent="0.25"/>
    <row r="390" ht="20.100000000000001" customHeight="1" x14ac:dyDescent="0.25"/>
    <row r="391" ht="20.100000000000001" customHeight="1" x14ac:dyDescent="0.25"/>
    <row r="392" ht="20.100000000000001" customHeight="1" x14ac:dyDescent="0.25"/>
    <row r="393" ht="20.100000000000001" customHeight="1" x14ac:dyDescent="0.25"/>
    <row r="394" ht="20.100000000000001" customHeight="1" x14ac:dyDescent="0.25"/>
    <row r="395" ht="20.100000000000001" customHeight="1" x14ac:dyDescent="0.25"/>
    <row r="396" ht="20.100000000000001" customHeight="1" x14ac:dyDescent="0.25"/>
    <row r="397" ht="20.100000000000001" customHeight="1" x14ac:dyDescent="0.25"/>
    <row r="398" ht="20.100000000000001" customHeight="1" x14ac:dyDescent="0.25"/>
    <row r="399" ht="20.100000000000001" customHeight="1" x14ac:dyDescent="0.25"/>
    <row r="400" ht="20.100000000000001" customHeight="1" x14ac:dyDescent="0.25"/>
    <row r="401" ht="20.100000000000001" customHeight="1" x14ac:dyDescent="0.25"/>
    <row r="402" ht="20.100000000000001" customHeight="1" x14ac:dyDescent="0.25"/>
    <row r="403" ht="20.100000000000001" customHeight="1" x14ac:dyDescent="0.25"/>
    <row r="404" ht="20.100000000000001" customHeight="1" x14ac:dyDescent="0.25"/>
    <row r="405" ht="20.100000000000001" customHeight="1" x14ac:dyDescent="0.25"/>
    <row r="406" ht="20.100000000000001" customHeight="1" x14ac:dyDescent="0.25"/>
    <row r="407" ht="20.100000000000001" customHeight="1" x14ac:dyDescent="0.25"/>
    <row r="408" ht="20.100000000000001" customHeight="1" x14ac:dyDescent="0.25"/>
    <row r="409" ht="20.100000000000001" customHeight="1" x14ac:dyDescent="0.25"/>
    <row r="410" ht="20.100000000000001" customHeight="1" x14ac:dyDescent="0.25"/>
    <row r="411" ht="20.100000000000001" customHeight="1" x14ac:dyDescent="0.25"/>
    <row r="412" ht="20.100000000000001" customHeight="1" x14ac:dyDescent="0.25"/>
    <row r="413" ht="20.100000000000001" customHeight="1" x14ac:dyDescent="0.25"/>
    <row r="414" ht="20.100000000000001" customHeight="1" x14ac:dyDescent="0.25"/>
    <row r="415" ht="20.100000000000001" customHeight="1" x14ac:dyDescent="0.25"/>
    <row r="416" ht="20.100000000000001" customHeight="1" x14ac:dyDescent="0.25"/>
    <row r="417" ht="20.100000000000001" customHeight="1" x14ac:dyDescent="0.25"/>
    <row r="418" ht="20.100000000000001" customHeight="1" x14ac:dyDescent="0.25"/>
    <row r="419" ht="20.100000000000001" customHeight="1" x14ac:dyDescent="0.25"/>
    <row r="420" ht="20.100000000000001" customHeight="1" x14ac:dyDescent="0.25"/>
    <row r="421" ht="20.100000000000001" customHeight="1" x14ac:dyDescent="0.25"/>
    <row r="422" ht="20.100000000000001" customHeight="1" x14ac:dyDescent="0.25"/>
    <row r="423" ht="20.100000000000001" customHeight="1" x14ac:dyDescent="0.25"/>
    <row r="424" ht="20.100000000000001" customHeight="1" x14ac:dyDescent="0.25"/>
    <row r="425" ht="20.100000000000001" customHeight="1" x14ac:dyDescent="0.25"/>
    <row r="426" ht="20.100000000000001" customHeight="1" x14ac:dyDescent="0.25"/>
    <row r="427" ht="20.100000000000001" customHeight="1" x14ac:dyDescent="0.25"/>
    <row r="428" ht="20.100000000000001" customHeight="1" x14ac:dyDescent="0.25"/>
    <row r="429" ht="20.100000000000001" customHeight="1" x14ac:dyDescent="0.25"/>
    <row r="430" ht="20.100000000000001" customHeight="1" x14ac:dyDescent="0.25"/>
  </sheetData>
  <mergeCells count="20">
    <mergeCell ref="B3:B4"/>
    <mergeCell ref="E3:F3"/>
    <mergeCell ref="I3:I4"/>
    <mergeCell ref="C3:C4"/>
    <mergeCell ref="D3:D4"/>
    <mergeCell ref="L3:L4"/>
    <mergeCell ref="K3:K4"/>
    <mergeCell ref="N3:N4"/>
    <mergeCell ref="J3:J4"/>
    <mergeCell ref="G3:G4"/>
    <mergeCell ref="H3:H4"/>
    <mergeCell ref="M3:M4"/>
    <mergeCell ref="E89:F89"/>
    <mergeCell ref="E88:F88"/>
    <mergeCell ref="E87:F87"/>
    <mergeCell ref="E83:F83"/>
    <mergeCell ref="E82:F82"/>
    <mergeCell ref="E84:F84"/>
    <mergeCell ref="E85:F85"/>
    <mergeCell ref="E86:F86"/>
  </mergeCells>
  <printOptions horizontalCentered="1"/>
  <pageMargins left="0" right="0" top="1" bottom="0.75" header="1" footer="0.3"/>
  <pageSetup paperSize="9" scale="73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308"/>
  <sheetViews>
    <sheetView showGridLines="0" workbookViewId="0">
      <pane xSplit="2" ySplit="4" topLeftCell="C14" activePane="bottomRight" state="frozen"/>
      <selection pane="topRight" activeCell="C1" sqref="C1"/>
      <selection pane="bottomLeft" activeCell="A5" sqref="A5"/>
      <selection pane="bottomRight" activeCell="L19" sqref="L19"/>
    </sheetView>
  </sheetViews>
  <sheetFormatPr defaultRowHeight="15" x14ac:dyDescent="0.25"/>
  <cols>
    <col min="1" max="1" width="1.7109375" style="1" customWidth="1"/>
    <col min="2" max="2" width="5.7109375" style="2" customWidth="1"/>
    <col min="3" max="3" width="10.7109375" style="2" customWidth="1"/>
    <col min="4" max="5" width="10.7109375" style="3" customWidth="1"/>
    <col min="6" max="6" width="12.7109375" style="3" customWidth="1"/>
    <col min="7" max="7" width="20.7109375" style="29" customWidth="1"/>
    <col min="8" max="9" width="12.7109375" style="2" customWidth="1"/>
    <col min="10" max="10" width="10.7109375" style="2" customWidth="1"/>
    <col min="11" max="11" width="15.7109375" style="31" customWidth="1"/>
    <col min="12" max="13" width="13.7109375" style="15" customWidth="1"/>
    <col min="14" max="14" width="12.7109375" style="1" customWidth="1"/>
    <col min="15" max="15" width="25.7109375" style="1" customWidth="1"/>
    <col min="16" max="16" width="1.7109375" style="1" customWidth="1"/>
    <col min="17" max="16384" width="9.140625" style="1"/>
  </cols>
  <sheetData>
    <row r="2" spans="2:15" ht="20.100000000000001" customHeight="1" x14ac:dyDescent="0.25">
      <c r="B2" s="5" t="s">
        <v>8</v>
      </c>
      <c r="C2" s="5"/>
    </row>
    <row r="3" spans="2:15" s="2" customFormat="1" ht="20.100000000000001" customHeight="1" x14ac:dyDescent="0.25">
      <c r="B3" s="99" t="s">
        <v>0</v>
      </c>
      <c r="C3" s="99" t="s">
        <v>30</v>
      </c>
      <c r="D3" s="107" t="s">
        <v>1</v>
      </c>
      <c r="E3" s="108"/>
      <c r="F3" s="114" t="s">
        <v>24</v>
      </c>
      <c r="G3" s="116" t="s">
        <v>25</v>
      </c>
      <c r="H3" s="118" t="s">
        <v>5</v>
      </c>
      <c r="I3" s="99" t="s">
        <v>13</v>
      </c>
      <c r="J3" s="99" t="s">
        <v>6</v>
      </c>
      <c r="K3" s="118" t="s">
        <v>4</v>
      </c>
      <c r="L3" s="105" t="s">
        <v>72</v>
      </c>
      <c r="M3" s="105" t="s">
        <v>99</v>
      </c>
      <c r="N3" s="111" t="s">
        <v>97</v>
      </c>
      <c r="O3" s="112"/>
    </row>
    <row r="4" spans="2:15" s="2" customFormat="1" ht="20.100000000000001" customHeight="1" thickBot="1" x14ac:dyDescent="0.3">
      <c r="B4" s="113"/>
      <c r="C4" s="113"/>
      <c r="D4" s="52" t="s">
        <v>2</v>
      </c>
      <c r="E4" s="52" t="s">
        <v>3</v>
      </c>
      <c r="F4" s="115"/>
      <c r="G4" s="117"/>
      <c r="H4" s="119"/>
      <c r="I4" s="113"/>
      <c r="J4" s="113"/>
      <c r="K4" s="119"/>
      <c r="L4" s="124"/>
      <c r="M4" s="124"/>
      <c r="N4" s="53" t="s">
        <v>1</v>
      </c>
      <c r="O4" s="53" t="s">
        <v>98</v>
      </c>
    </row>
    <row r="5" spans="2:15" s="20" customFormat="1" ht="45" customHeight="1" x14ac:dyDescent="0.25">
      <c r="B5" s="22">
        <v>1</v>
      </c>
      <c r="C5" s="22" t="s">
        <v>31</v>
      </c>
      <c r="D5" s="34">
        <v>45260</v>
      </c>
      <c r="E5" s="34">
        <v>45266</v>
      </c>
      <c r="F5" s="34" t="s">
        <v>37</v>
      </c>
      <c r="G5" s="35" t="s">
        <v>47</v>
      </c>
      <c r="H5" s="22" t="s">
        <v>48</v>
      </c>
      <c r="I5" s="22" t="s">
        <v>49</v>
      </c>
      <c r="J5" s="51">
        <v>9275</v>
      </c>
      <c r="K5" s="36" t="s">
        <v>52</v>
      </c>
      <c r="L5" s="33">
        <f>13000*5</f>
        <v>65000</v>
      </c>
      <c r="M5" s="120">
        <f>SUM(L5:L6)</f>
        <v>130000</v>
      </c>
      <c r="N5" s="26"/>
      <c r="O5" s="27">
        <v>1</v>
      </c>
    </row>
    <row r="6" spans="2:15" s="20" customFormat="1" ht="45" customHeight="1" thickBot="1" x14ac:dyDescent="0.3">
      <c r="B6" s="37">
        <v>2</v>
      </c>
      <c r="C6" s="37" t="s">
        <v>31</v>
      </c>
      <c r="D6" s="38">
        <v>45260</v>
      </c>
      <c r="E6" s="38">
        <v>45266</v>
      </c>
      <c r="F6" s="38" t="s">
        <v>37</v>
      </c>
      <c r="G6" s="39" t="s">
        <v>47</v>
      </c>
      <c r="H6" s="40" t="s">
        <v>48</v>
      </c>
      <c r="I6" s="40" t="s">
        <v>50</v>
      </c>
      <c r="J6" s="40">
        <v>815</v>
      </c>
      <c r="K6" s="41" t="s">
        <v>51</v>
      </c>
      <c r="L6" s="42">
        <f t="shared" ref="L6:L21" si="0">13000*5</f>
        <v>65000</v>
      </c>
      <c r="M6" s="121"/>
      <c r="N6" s="43"/>
      <c r="O6" s="40">
        <v>2</v>
      </c>
    </row>
    <row r="7" spans="2:15" s="20" customFormat="1" ht="45" customHeight="1" thickTop="1" x14ac:dyDescent="0.25">
      <c r="B7" s="22">
        <v>3</v>
      </c>
      <c r="C7" s="22" t="s">
        <v>31</v>
      </c>
      <c r="D7" s="34">
        <v>45260</v>
      </c>
      <c r="E7" s="34">
        <v>45266</v>
      </c>
      <c r="F7" s="34" t="s">
        <v>37</v>
      </c>
      <c r="G7" s="35" t="s">
        <v>47</v>
      </c>
      <c r="H7" s="22" t="s">
        <v>58</v>
      </c>
      <c r="I7" s="22" t="s">
        <v>61</v>
      </c>
      <c r="J7" s="22">
        <v>6137</v>
      </c>
      <c r="K7" s="36" t="s">
        <v>53</v>
      </c>
      <c r="L7" s="33">
        <f t="shared" si="0"/>
        <v>65000</v>
      </c>
      <c r="M7" s="120">
        <f>SUM(L7:L19)</f>
        <v>793000</v>
      </c>
      <c r="N7" s="26"/>
      <c r="O7" s="27">
        <v>3</v>
      </c>
    </row>
    <row r="8" spans="2:15" s="20" customFormat="1" ht="45" customHeight="1" x14ac:dyDescent="0.25">
      <c r="B8" s="22">
        <v>4</v>
      </c>
      <c r="C8" s="22" t="s">
        <v>31</v>
      </c>
      <c r="D8" s="23">
        <v>45260</v>
      </c>
      <c r="E8" s="23">
        <v>45266</v>
      </c>
      <c r="F8" s="23" t="s">
        <v>37</v>
      </c>
      <c r="G8" s="30" t="s">
        <v>47</v>
      </c>
      <c r="H8" s="21" t="s">
        <v>58</v>
      </c>
      <c r="I8" s="21" t="s">
        <v>59</v>
      </c>
      <c r="J8" s="21">
        <v>10848</v>
      </c>
      <c r="K8" s="32" t="s">
        <v>54</v>
      </c>
      <c r="L8" s="24">
        <f t="shared" si="0"/>
        <v>65000</v>
      </c>
      <c r="M8" s="120"/>
      <c r="N8" s="25"/>
      <c r="O8" s="22">
        <v>4</v>
      </c>
    </row>
    <row r="9" spans="2:15" s="20" customFormat="1" ht="45" customHeight="1" x14ac:dyDescent="0.25">
      <c r="B9" s="21">
        <v>5</v>
      </c>
      <c r="C9" s="22" t="s">
        <v>31</v>
      </c>
      <c r="D9" s="23">
        <v>45260</v>
      </c>
      <c r="E9" s="23">
        <v>45266</v>
      </c>
      <c r="F9" s="23" t="s">
        <v>37</v>
      </c>
      <c r="G9" s="30" t="s">
        <v>47</v>
      </c>
      <c r="H9" s="21" t="s">
        <v>58</v>
      </c>
      <c r="I9" s="21" t="s">
        <v>60</v>
      </c>
      <c r="J9" s="21">
        <v>10640</v>
      </c>
      <c r="K9" s="32" t="s">
        <v>55</v>
      </c>
      <c r="L9" s="24">
        <f t="shared" si="0"/>
        <v>65000</v>
      </c>
      <c r="M9" s="120"/>
      <c r="N9" s="25"/>
      <c r="O9" s="28">
        <v>5</v>
      </c>
    </row>
    <row r="10" spans="2:15" s="20" customFormat="1" ht="45" customHeight="1" x14ac:dyDescent="0.25">
      <c r="B10" s="22">
        <v>6</v>
      </c>
      <c r="C10" s="22" t="s">
        <v>31</v>
      </c>
      <c r="D10" s="23">
        <v>45260</v>
      </c>
      <c r="E10" s="23">
        <v>45266</v>
      </c>
      <c r="F10" s="23" t="s">
        <v>37</v>
      </c>
      <c r="G10" s="30" t="s">
        <v>47</v>
      </c>
      <c r="H10" s="21" t="s">
        <v>58</v>
      </c>
      <c r="I10" s="21" t="s">
        <v>60</v>
      </c>
      <c r="J10" s="21">
        <v>5432</v>
      </c>
      <c r="K10" s="32" t="s">
        <v>56</v>
      </c>
      <c r="L10" s="24">
        <f t="shared" si="0"/>
        <v>65000</v>
      </c>
      <c r="M10" s="120"/>
      <c r="N10" s="25"/>
      <c r="O10" s="22">
        <v>6</v>
      </c>
    </row>
    <row r="11" spans="2:15" s="20" customFormat="1" ht="45" customHeight="1" x14ac:dyDescent="0.25">
      <c r="B11" s="21">
        <v>7</v>
      </c>
      <c r="C11" s="22" t="s">
        <v>31</v>
      </c>
      <c r="D11" s="23">
        <v>45260</v>
      </c>
      <c r="E11" s="23">
        <v>45266</v>
      </c>
      <c r="F11" s="23" t="s">
        <v>37</v>
      </c>
      <c r="G11" s="30" t="s">
        <v>47</v>
      </c>
      <c r="H11" s="21" t="s">
        <v>58</v>
      </c>
      <c r="I11" s="21" t="s">
        <v>50</v>
      </c>
      <c r="J11" s="21">
        <v>15618</v>
      </c>
      <c r="K11" s="32" t="s">
        <v>57</v>
      </c>
      <c r="L11" s="24">
        <f t="shared" si="0"/>
        <v>65000</v>
      </c>
      <c r="M11" s="120"/>
      <c r="N11" s="25"/>
      <c r="O11" s="27">
        <v>7</v>
      </c>
    </row>
    <row r="12" spans="2:15" s="20" customFormat="1" ht="45" customHeight="1" x14ac:dyDescent="0.25">
      <c r="B12" s="22">
        <v>8</v>
      </c>
      <c r="C12" s="22" t="s">
        <v>31</v>
      </c>
      <c r="D12" s="23">
        <v>45260</v>
      </c>
      <c r="E12" s="23">
        <v>45266</v>
      </c>
      <c r="F12" s="23" t="s">
        <v>37</v>
      </c>
      <c r="G12" s="30" t="s">
        <v>47</v>
      </c>
      <c r="H12" s="21" t="s">
        <v>58</v>
      </c>
      <c r="I12" s="21" t="s">
        <v>50</v>
      </c>
      <c r="J12" s="21">
        <v>10338</v>
      </c>
      <c r="K12" s="32" t="s">
        <v>62</v>
      </c>
      <c r="L12" s="24">
        <f t="shared" si="0"/>
        <v>65000</v>
      </c>
      <c r="M12" s="120"/>
      <c r="N12" s="25"/>
      <c r="O12" s="21">
        <v>8</v>
      </c>
    </row>
    <row r="13" spans="2:15" s="20" customFormat="1" ht="45" customHeight="1" x14ac:dyDescent="0.25">
      <c r="B13" s="21">
        <v>9</v>
      </c>
      <c r="C13" s="22" t="s">
        <v>31</v>
      </c>
      <c r="D13" s="23">
        <v>45260</v>
      </c>
      <c r="E13" s="23">
        <v>45266</v>
      </c>
      <c r="F13" s="23" t="s">
        <v>37</v>
      </c>
      <c r="G13" s="30" t="s">
        <v>47</v>
      </c>
      <c r="H13" s="21" t="s">
        <v>58</v>
      </c>
      <c r="I13" s="21" t="s">
        <v>50</v>
      </c>
      <c r="J13" s="21">
        <v>811</v>
      </c>
      <c r="K13" s="32" t="s">
        <v>63</v>
      </c>
      <c r="L13" s="24">
        <f t="shared" si="0"/>
        <v>65000</v>
      </c>
      <c r="M13" s="120"/>
      <c r="N13" s="25"/>
      <c r="O13" s="27">
        <v>9</v>
      </c>
    </row>
    <row r="14" spans="2:15" s="20" customFormat="1" ht="45" customHeight="1" x14ac:dyDescent="0.25">
      <c r="B14" s="22">
        <v>10</v>
      </c>
      <c r="C14" s="22" t="s">
        <v>31</v>
      </c>
      <c r="D14" s="23">
        <v>45260</v>
      </c>
      <c r="E14" s="23">
        <v>45266</v>
      </c>
      <c r="F14" s="23" t="s">
        <v>37</v>
      </c>
      <c r="G14" s="30" t="s">
        <v>47</v>
      </c>
      <c r="H14" s="21" t="s">
        <v>58</v>
      </c>
      <c r="I14" s="21" t="s">
        <v>50</v>
      </c>
      <c r="J14" s="21">
        <v>13145</v>
      </c>
      <c r="K14" s="32" t="s">
        <v>64</v>
      </c>
      <c r="L14" s="24">
        <f t="shared" si="0"/>
        <v>65000</v>
      </c>
      <c r="M14" s="120"/>
      <c r="N14" s="25"/>
      <c r="O14" s="22">
        <v>10</v>
      </c>
    </row>
    <row r="15" spans="2:15" s="20" customFormat="1" ht="45" customHeight="1" x14ac:dyDescent="0.25">
      <c r="B15" s="21">
        <v>11</v>
      </c>
      <c r="C15" s="22" t="s">
        <v>31</v>
      </c>
      <c r="D15" s="23">
        <v>45260</v>
      </c>
      <c r="E15" s="23">
        <v>45266</v>
      </c>
      <c r="F15" s="23" t="s">
        <v>37</v>
      </c>
      <c r="G15" s="30" t="s">
        <v>47</v>
      </c>
      <c r="H15" s="21" t="s">
        <v>58</v>
      </c>
      <c r="I15" s="21" t="s">
        <v>40</v>
      </c>
      <c r="J15" s="21">
        <v>6357</v>
      </c>
      <c r="K15" s="32" t="s">
        <v>65</v>
      </c>
      <c r="L15" s="24">
        <f t="shared" si="0"/>
        <v>65000</v>
      </c>
      <c r="M15" s="120"/>
      <c r="N15" s="25"/>
      <c r="O15" s="27">
        <v>11</v>
      </c>
    </row>
    <row r="16" spans="2:15" s="20" customFormat="1" ht="45" customHeight="1" x14ac:dyDescent="0.25">
      <c r="B16" s="22">
        <v>12</v>
      </c>
      <c r="C16" s="22" t="s">
        <v>31</v>
      </c>
      <c r="D16" s="23">
        <v>45260</v>
      </c>
      <c r="E16" s="23">
        <v>45266</v>
      </c>
      <c r="F16" s="23" t="s">
        <v>37</v>
      </c>
      <c r="G16" s="30" t="s">
        <v>47</v>
      </c>
      <c r="H16" s="21" t="s">
        <v>58</v>
      </c>
      <c r="I16" s="21" t="s">
        <v>40</v>
      </c>
      <c r="J16" s="21">
        <v>16108</v>
      </c>
      <c r="K16" s="32" t="s">
        <v>68</v>
      </c>
      <c r="L16" s="24">
        <f t="shared" si="0"/>
        <v>65000</v>
      </c>
      <c r="M16" s="120"/>
      <c r="N16" s="25"/>
      <c r="O16" s="22">
        <v>12</v>
      </c>
    </row>
    <row r="17" spans="2:15" s="20" customFormat="1" ht="45" customHeight="1" x14ac:dyDescent="0.25">
      <c r="B17" s="21">
        <v>13</v>
      </c>
      <c r="C17" s="22" t="s">
        <v>31</v>
      </c>
      <c r="D17" s="23">
        <v>45260</v>
      </c>
      <c r="E17" s="23">
        <v>45266</v>
      </c>
      <c r="F17" s="23" t="s">
        <v>37</v>
      </c>
      <c r="G17" s="30" t="s">
        <v>47</v>
      </c>
      <c r="H17" s="21" t="s">
        <v>58</v>
      </c>
      <c r="I17" s="21" t="s">
        <v>40</v>
      </c>
      <c r="J17" s="21">
        <v>9578</v>
      </c>
      <c r="K17" s="32" t="s">
        <v>70</v>
      </c>
      <c r="L17" s="24">
        <f t="shared" si="0"/>
        <v>65000</v>
      </c>
      <c r="M17" s="120"/>
      <c r="N17" s="25"/>
      <c r="O17" s="27">
        <v>13</v>
      </c>
    </row>
    <row r="18" spans="2:15" s="20" customFormat="1" ht="45" customHeight="1" x14ac:dyDescent="0.25">
      <c r="B18" s="57"/>
      <c r="C18" s="57"/>
      <c r="D18" s="58"/>
      <c r="E18" s="58"/>
      <c r="F18" s="58"/>
      <c r="G18" s="59"/>
      <c r="H18" s="60"/>
      <c r="I18" s="60"/>
      <c r="J18" s="60"/>
      <c r="K18" s="61"/>
      <c r="L18" s="62">
        <v>13000</v>
      </c>
      <c r="M18" s="120"/>
      <c r="N18" s="63"/>
      <c r="O18" s="64"/>
    </row>
    <row r="19" spans="2:15" s="20" customFormat="1" ht="45" customHeight="1" thickBot="1" x14ac:dyDescent="0.3">
      <c r="B19" s="37">
        <v>14</v>
      </c>
      <c r="C19" s="37" t="s">
        <v>31</v>
      </c>
      <c r="D19" s="38">
        <v>45260</v>
      </c>
      <c r="E19" s="38">
        <v>45266</v>
      </c>
      <c r="F19" s="38" t="s">
        <v>37</v>
      </c>
      <c r="G19" s="39" t="s">
        <v>47</v>
      </c>
      <c r="H19" s="40" t="s">
        <v>58</v>
      </c>
      <c r="I19" s="40" t="s">
        <v>40</v>
      </c>
      <c r="J19" s="40">
        <v>12837</v>
      </c>
      <c r="K19" s="41" t="s">
        <v>71</v>
      </c>
      <c r="L19" s="42">
        <f t="shared" si="0"/>
        <v>65000</v>
      </c>
      <c r="M19" s="121"/>
      <c r="N19" s="43"/>
      <c r="O19" s="37">
        <v>14</v>
      </c>
    </row>
    <row r="20" spans="2:15" s="20" customFormat="1" ht="45" customHeight="1" thickTop="1" x14ac:dyDescent="0.25">
      <c r="B20" s="44">
        <v>15</v>
      </c>
      <c r="C20" s="44" t="s">
        <v>31</v>
      </c>
      <c r="D20" s="45">
        <v>45260</v>
      </c>
      <c r="E20" s="45">
        <v>45266</v>
      </c>
      <c r="F20" s="45" t="s">
        <v>37</v>
      </c>
      <c r="G20" s="46" t="s">
        <v>47</v>
      </c>
      <c r="H20" s="44" t="s">
        <v>69</v>
      </c>
      <c r="I20" s="44" t="s">
        <v>40</v>
      </c>
      <c r="J20" s="44">
        <v>5767</v>
      </c>
      <c r="K20" s="47" t="s">
        <v>66</v>
      </c>
      <c r="L20" s="48">
        <f t="shared" si="0"/>
        <v>65000</v>
      </c>
      <c r="M20" s="122">
        <f>SUM(L20:L21)</f>
        <v>130000</v>
      </c>
      <c r="N20" s="49"/>
      <c r="O20" s="50">
        <v>15</v>
      </c>
    </row>
    <row r="21" spans="2:15" s="20" customFormat="1" ht="45" customHeight="1" thickBot="1" x14ac:dyDescent="0.3">
      <c r="B21" s="37">
        <v>16</v>
      </c>
      <c r="C21" s="37" t="s">
        <v>31</v>
      </c>
      <c r="D21" s="38">
        <v>45260</v>
      </c>
      <c r="E21" s="38">
        <v>45266</v>
      </c>
      <c r="F21" s="38" t="s">
        <v>37</v>
      </c>
      <c r="G21" s="39" t="s">
        <v>47</v>
      </c>
      <c r="H21" s="40" t="s">
        <v>69</v>
      </c>
      <c r="I21" s="40" t="s">
        <v>40</v>
      </c>
      <c r="J21" s="40">
        <v>12233</v>
      </c>
      <c r="K21" s="41" t="s">
        <v>67</v>
      </c>
      <c r="L21" s="42">
        <f t="shared" si="0"/>
        <v>65000</v>
      </c>
      <c r="M21" s="121"/>
      <c r="N21" s="43"/>
      <c r="O21" s="37">
        <v>16</v>
      </c>
    </row>
    <row r="22" spans="2:15" ht="20.100000000000001" customHeight="1" thickTop="1" x14ac:dyDescent="0.25">
      <c r="B22" s="123" t="s">
        <v>99</v>
      </c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54">
        <f>SUM(M5:M21)</f>
        <v>1053000</v>
      </c>
    </row>
    <row r="23" spans="2:15" ht="20.100000000000001" customHeight="1" x14ac:dyDescent="0.25"/>
    <row r="24" spans="2:15" ht="20.100000000000001" customHeight="1" x14ac:dyDescent="0.25"/>
    <row r="25" spans="2:15" ht="20.100000000000001" customHeight="1" x14ac:dyDescent="0.25"/>
    <row r="26" spans="2:15" ht="20.100000000000001" customHeight="1" x14ac:dyDescent="0.25"/>
    <row r="27" spans="2:15" ht="20.100000000000001" customHeight="1" x14ac:dyDescent="0.25"/>
    <row r="28" spans="2:15" ht="20.100000000000001" customHeight="1" x14ac:dyDescent="0.25"/>
    <row r="29" spans="2:15" ht="20.100000000000001" customHeight="1" x14ac:dyDescent="0.25"/>
    <row r="30" spans="2:15" ht="20.100000000000001" customHeight="1" x14ac:dyDescent="0.25"/>
    <row r="31" spans="2:15" ht="20.100000000000001" customHeight="1" x14ac:dyDescent="0.25"/>
    <row r="32" spans="2:15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  <row r="219" ht="20.100000000000001" customHeight="1" x14ac:dyDescent="0.25"/>
    <row r="220" ht="20.100000000000001" customHeight="1" x14ac:dyDescent="0.25"/>
    <row r="221" ht="20.100000000000001" customHeight="1" x14ac:dyDescent="0.25"/>
    <row r="222" ht="20.100000000000001" customHeight="1" x14ac:dyDescent="0.25"/>
    <row r="223" ht="20.100000000000001" customHeight="1" x14ac:dyDescent="0.25"/>
    <row r="224" ht="20.100000000000001" customHeight="1" x14ac:dyDescent="0.25"/>
    <row r="225" ht="20.100000000000001" customHeight="1" x14ac:dyDescent="0.25"/>
    <row r="226" ht="20.100000000000001" customHeight="1" x14ac:dyDescent="0.25"/>
    <row r="227" ht="20.100000000000001" customHeight="1" x14ac:dyDescent="0.25"/>
    <row r="228" ht="20.100000000000001" customHeight="1" x14ac:dyDescent="0.25"/>
    <row r="229" ht="20.100000000000001" customHeight="1" x14ac:dyDescent="0.25"/>
    <row r="230" ht="20.100000000000001" customHeight="1" x14ac:dyDescent="0.25"/>
    <row r="231" ht="20.100000000000001" customHeight="1" x14ac:dyDescent="0.25"/>
    <row r="232" ht="20.100000000000001" customHeight="1" x14ac:dyDescent="0.25"/>
    <row r="233" ht="20.100000000000001" customHeight="1" x14ac:dyDescent="0.25"/>
    <row r="234" ht="20.100000000000001" customHeight="1" x14ac:dyDescent="0.25"/>
    <row r="235" ht="20.100000000000001" customHeight="1" x14ac:dyDescent="0.25"/>
    <row r="236" ht="20.100000000000001" customHeight="1" x14ac:dyDescent="0.25"/>
    <row r="237" ht="20.100000000000001" customHeight="1" x14ac:dyDescent="0.25"/>
    <row r="238" ht="20.100000000000001" customHeight="1" x14ac:dyDescent="0.25"/>
    <row r="239" ht="20.100000000000001" customHeight="1" x14ac:dyDescent="0.25"/>
    <row r="240" ht="20.100000000000001" customHeight="1" x14ac:dyDescent="0.25"/>
    <row r="241" ht="20.100000000000001" customHeight="1" x14ac:dyDescent="0.25"/>
    <row r="242" ht="20.100000000000001" customHeight="1" x14ac:dyDescent="0.25"/>
    <row r="243" ht="20.100000000000001" customHeight="1" x14ac:dyDescent="0.25"/>
    <row r="244" ht="20.100000000000001" customHeight="1" x14ac:dyDescent="0.25"/>
    <row r="245" ht="20.100000000000001" customHeight="1" x14ac:dyDescent="0.25"/>
    <row r="246" ht="20.100000000000001" customHeight="1" x14ac:dyDescent="0.25"/>
    <row r="247" ht="20.100000000000001" customHeight="1" x14ac:dyDescent="0.25"/>
    <row r="248" ht="20.100000000000001" customHeight="1" x14ac:dyDescent="0.25"/>
    <row r="249" ht="20.100000000000001" customHeight="1" x14ac:dyDescent="0.25"/>
    <row r="250" ht="20.100000000000001" customHeight="1" x14ac:dyDescent="0.25"/>
    <row r="251" ht="20.100000000000001" customHeight="1" x14ac:dyDescent="0.25"/>
    <row r="252" ht="20.100000000000001" customHeight="1" x14ac:dyDescent="0.25"/>
    <row r="253" ht="20.100000000000001" customHeight="1" x14ac:dyDescent="0.25"/>
    <row r="254" ht="20.100000000000001" customHeight="1" x14ac:dyDescent="0.25"/>
    <row r="255" ht="20.100000000000001" customHeight="1" x14ac:dyDescent="0.25"/>
    <row r="256" ht="20.100000000000001" customHeight="1" x14ac:dyDescent="0.25"/>
    <row r="257" ht="20.100000000000001" customHeight="1" x14ac:dyDescent="0.25"/>
    <row r="258" ht="20.100000000000001" customHeight="1" x14ac:dyDescent="0.25"/>
    <row r="259" ht="20.100000000000001" customHeight="1" x14ac:dyDescent="0.25"/>
    <row r="260" ht="20.100000000000001" customHeight="1" x14ac:dyDescent="0.25"/>
    <row r="261" ht="20.100000000000001" customHeight="1" x14ac:dyDescent="0.25"/>
    <row r="262" ht="20.100000000000001" customHeight="1" x14ac:dyDescent="0.25"/>
    <row r="263" ht="20.100000000000001" customHeight="1" x14ac:dyDescent="0.25"/>
    <row r="264" ht="20.100000000000001" customHeight="1" x14ac:dyDescent="0.25"/>
    <row r="265" ht="20.100000000000001" customHeight="1" x14ac:dyDescent="0.25"/>
    <row r="266" ht="20.100000000000001" customHeight="1" x14ac:dyDescent="0.25"/>
    <row r="267" ht="20.100000000000001" customHeight="1" x14ac:dyDescent="0.25"/>
    <row r="268" ht="20.100000000000001" customHeight="1" x14ac:dyDescent="0.25"/>
    <row r="269" ht="20.100000000000001" customHeight="1" x14ac:dyDescent="0.25"/>
    <row r="270" ht="20.100000000000001" customHeight="1" x14ac:dyDescent="0.25"/>
    <row r="271" ht="20.100000000000001" customHeight="1" x14ac:dyDescent="0.25"/>
    <row r="272" ht="20.100000000000001" customHeight="1" x14ac:dyDescent="0.25"/>
    <row r="273" ht="20.100000000000001" customHeight="1" x14ac:dyDescent="0.25"/>
    <row r="274" ht="20.100000000000001" customHeight="1" x14ac:dyDescent="0.25"/>
    <row r="275" ht="20.100000000000001" customHeight="1" x14ac:dyDescent="0.25"/>
    <row r="276" ht="20.100000000000001" customHeight="1" x14ac:dyDescent="0.25"/>
    <row r="277" ht="20.100000000000001" customHeight="1" x14ac:dyDescent="0.25"/>
    <row r="278" ht="20.100000000000001" customHeight="1" x14ac:dyDescent="0.25"/>
    <row r="279" ht="20.100000000000001" customHeight="1" x14ac:dyDescent="0.25"/>
    <row r="280" ht="20.100000000000001" customHeight="1" x14ac:dyDescent="0.25"/>
    <row r="281" ht="20.100000000000001" customHeight="1" x14ac:dyDescent="0.25"/>
    <row r="282" ht="20.100000000000001" customHeight="1" x14ac:dyDescent="0.25"/>
    <row r="283" ht="20.100000000000001" customHeight="1" x14ac:dyDescent="0.25"/>
    <row r="284" ht="20.100000000000001" customHeight="1" x14ac:dyDescent="0.25"/>
    <row r="285" ht="20.100000000000001" customHeight="1" x14ac:dyDescent="0.25"/>
    <row r="286" ht="20.100000000000001" customHeight="1" x14ac:dyDescent="0.25"/>
    <row r="287" ht="20.100000000000001" customHeight="1" x14ac:dyDescent="0.25"/>
    <row r="288" ht="20.100000000000001" customHeight="1" x14ac:dyDescent="0.25"/>
    <row r="289" ht="20.100000000000001" customHeight="1" x14ac:dyDescent="0.25"/>
    <row r="290" ht="20.100000000000001" customHeight="1" x14ac:dyDescent="0.25"/>
    <row r="291" ht="20.100000000000001" customHeight="1" x14ac:dyDescent="0.25"/>
    <row r="292" ht="20.100000000000001" customHeight="1" x14ac:dyDescent="0.25"/>
    <row r="293" ht="20.100000000000001" customHeight="1" x14ac:dyDescent="0.25"/>
    <row r="294" ht="20.100000000000001" customHeight="1" x14ac:dyDescent="0.25"/>
    <row r="295" ht="20.100000000000001" customHeight="1" x14ac:dyDescent="0.25"/>
    <row r="296" ht="20.100000000000001" customHeight="1" x14ac:dyDescent="0.25"/>
    <row r="297" ht="20.100000000000001" customHeight="1" x14ac:dyDescent="0.25"/>
    <row r="298" ht="20.100000000000001" customHeight="1" x14ac:dyDescent="0.25"/>
    <row r="299" ht="20.100000000000001" customHeight="1" x14ac:dyDescent="0.25"/>
    <row r="300" ht="20.100000000000001" customHeight="1" x14ac:dyDescent="0.25"/>
    <row r="301" ht="20.100000000000001" customHeight="1" x14ac:dyDescent="0.25"/>
    <row r="302" ht="20.100000000000001" customHeight="1" x14ac:dyDescent="0.25"/>
    <row r="303" ht="20.100000000000001" customHeight="1" x14ac:dyDescent="0.25"/>
    <row r="304" ht="20.100000000000001" customHeight="1" x14ac:dyDescent="0.25"/>
    <row r="305" ht="20.100000000000001" customHeight="1" x14ac:dyDescent="0.25"/>
    <row r="306" ht="20.100000000000001" customHeight="1" x14ac:dyDescent="0.25"/>
    <row r="307" ht="20.100000000000001" customHeight="1" x14ac:dyDescent="0.25"/>
    <row r="308" ht="20.100000000000001" customHeight="1" x14ac:dyDescent="0.25"/>
  </sheetData>
  <mergeCells count="16">
    <mergeCell ref="M5:M6"/>
    <mergeCell ref="M20:M21"/>
    <mergeCell ref="M7:M19"/>
    <mergeCell ref="B22:L22"/>
    <mergeCell ref="I3:I4"/>
    <mergeCell ref="J3:J4"/>
    <mergeCell ref="K3:K4"/>
    <mergeCell ref="L3:L4"/>
    <mergeCell ref="M3:M4"/>
    <mergeCell ref="N3:O3"/>
    <mergeCell ref="B3:B4"/>
    <mergeCell ref="C3:C4"/>
    <mergeCell ref="D3:E3"/>
    <mergeCell ref="F3:F4"/>
    <mergeCell ref="G3:G4"/>
    <mergeCell ref="H3:H4"/>
  </mergeCells>
  <printOptions horizontalCentered="1" verticalCentered="1"/>
  <pageMargins left="0" right="0" top="0" bottom="0" header="0" footer="0"/>
  <pageSetup paperSize="9" scale="7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F7"/>
  <sheetViews>
    <sheetView workbookViewId="0">
      <selection activeCell="E9" sqref="E9"/>
    </sheetView>
  </sheetViews>
  <sheetFormatPr defaultRowHeight="15" x14ac:dyDescent="0.25"/>
  <cols>
    <col min="1" max="2" width="9.140625" style="55"/>
    <col min="3" max="3" width="12.5703125" style="55" bestFit="1" customWidth="1"/>
    <col min="4" max="4" width="9.140625" style="55"/>
    <col min="5" max="5" width="11.7109375" style="55" bestFit="1" customWidth="1"/>
    <col min="6" max="6" width="9.28515625" style="55" bestFit="1" customWidth="1"/>
    <col min="7" max="16384" width="9.140625" style="55"/>
  </cols>
  <sheetData>
    <row r="5" spans="3:6" x14ac:dyDescent="0.25">
      <c r="C5" s="125">
        <v>1000000</v>
      </c>
      <c r="E5" s="55">
        <v>720300</v>
      </c>
      <c r="F5" s="126">
        <f>+C5-E7</f>
        <v>90700</v>
      </c>
    </row>
    <row r="6" spans="3:6" x14ac:dyDescent="0.25">
      <c r="C6" s="125"/>
      <c r="E6" s="55">
        <v>189000</v>
      </c>
      <c r="F6" s="126"/>
    </row>
    <row r="7" spans="3:6" x14ac:dyDescent="0.25">
      <c r="C7" s="125"/>
      <c r="E7" s="55">
        <f>SUM(E5:E6)</f>
        <v>909300</v>
      </c>
      <c r="F7" s="126"/>
    </row>
  </sheetData>
  <mergeCells count="2">
    <mergeCell ref="C5:C7"/>
    <mergeCell ref="F5:F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E11"/>
  <sheetViews>
    <sheetView workbookViewId="0">
      <selection activeCell="K9" sqref="K9"/>
    </sheetView>
  </sheetViews>
  <sheetFormatPr defaultRowHeight="15" x14ac:dyDescent="0.25"/>
  <cols>
    <col min="4" max="4" width="33.85546875" customWidth="1"/>
    <col min="5" max="5" width="14.5703125" bestFit="1" customWidth="1"/>
  </cols>
  <sheetData>
    <row r="6" spans="4:5" x14ac:dyDescent="0.25">
      <c r="D6" s="6" t="s">
        <v>322</v>
      </c>
      <c r="E6" s="73" t="s">
        <v>332</v>
      </c>
    </row>
    <row r="7" spans="4:5" x14ac:dyDescent="0.25">
      <c r="D7" s="6" t="s">
        <v>106</v>
      </c>
      <c r="E7" s="73" t="s">
        <v>332</v>
      </c>
    </row>
    <row r="8" spans="4:5" x14ac:dyDescent="0.25">
      <c r="D8" s="6" t="s">
        <v>324</v>
      </c>
      <c r="E8" s="127" t="s">
        <v>333</v>
      </c>
    </row>
    <row r="9" spans="4:5" x14ac:dyDescent="0.25">
      <c r="D9" s="6" t="s">
        <v>326</v>
      </c>
      <c r="E9" s="128"/>
    </row>
    <row r="10" spans="4:5" x14ac:dyDescent="0.25">
      <c r="D10" s="6" t="s">
        <v>329</v>
      </c>
      <c r="E10" s="127" t="s">
        <v>333</v>
      </c>
    </row>
    <row r="11" spans="4:5" x14ac:dyDescent="0.25">
      <c r="D11" s="6" t="s">
        <v>331</v>
      </c>
      <c r="E11" s="128"/>
    </row>
  </sheetData>
  <mergeCells count="2">
    <mergeCell ref="E8:E9"/>
    <mergeCell ref="E10:E1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LOKAL</vt:lpstr>
      <vt:lpstr>serah terima JF</vt:lpstr>
      <vt:lpstr>Sheet1</vt:lpstr>
      <vt:lpstr>Sheet2</vt:lpstr>
      <vt:lpstr>LOKAL!Print_Area</vt:lpstr>
      <vt:lpstr>'serah terima JF'!Print_Area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GA-05</dc:creator>
  <cp:lastModifiedBy>GA-05</cp:lastModifiedBy>
  <cp:lastPrinted>2024-02-26T04:23:01Z</cp:lastPrinted>
  <dcterms:created xsi:type="dcterms:W3CDTF">2023-11-10T02:04:05Z</dcterms:created>
  <dcterms:modified xsi:type="dcterms:W3CDTF">2024-06-24T04:49:37Z</dcterms:modified>
</cp:coreProperties>
</file>