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ERM 83 ALL\OKTOBER 23\OKTOBER 23\perubahan pintu\"/>
    </mc:Choice>
  </mc:AlternateContent>
  <bookViews>
    <workbookView xWindow="0" yWindow="0" windowWidth="24000" windowHeight="9735"/>
  </bookViews>
  <sheets>
    <sheet name="Summary" sheetId="1" r:id="rId1"/>
    <sheet name="Sheet2" sheetId="2" r:id="rId2"/>
  </sheets>
  <definedNames>
    <definedName name="_xlnm.Print_Area" localSheetId="1">Sheet2!$A$1:$K$15</definedName>
    <definedName name="_xlnm.Print_Area" localSheetId="0">Summary!$A$1:$Q$88</definedName>
    <definedName name="SUMMARY" localSheetId="0">#REF!</definedName>
    <definedName name="SUMMARY">#REF!</definedName>
    <definedName name="Tbl_master" localSheetId="0">#REF!</definedName>
    <definedName name="Tbl_master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8" i="1" l="1"/>
  <c r="P47" i="1"/>
  <c r="P46" i="1"/>
  <c r="P45" i="1"/>
  <c r="O45" i="1"/>
  <c r="P42" i="1"/>
  <c r="P41" i="1"/>
  <c r="L48" i="1"/>
  <c r="L47" i="1"/>
  <c r="L46" i="1"/>
  <c r="L45" i="1"/>
  <c r="L42" i="1"/>
  <c r="L41" i="1"/>
  <c r="H48" i="1"/>
  <c r="E50" i="1"/>
  <c r="H47" i="1"/>
  <c r="H46" i="1"/>
  <c r="H45" i="1"/>
  <c r="H42" i="1"/>
  <c r="H41" i="1"/>
  <c r="H14" i="2" l="1"/>
  <c r="H5" i="2"/>
  <c r="H6" i="2"/>
  <c r="H7" i="2"/>
  <c r="H8" i="2"/>
  <c r="H9" i="2"/>
  <c r="H10" i="2"/>
  <c r="H11" i="2"/>
  <c r="H12" i="2"/>
  <c r="H13" i="2"/>
  <c r="H4" i="2"/>
  <c r="E13" i="2"/>
  <c r="E14" i="2" s="1"/>
  <c r="K5" i="2"/>
  <c r="K6" i="2"/>
  <c r="K7" i="2"/>
  <c r="K14" i="2" s="1"/>
  <c r="K8" i="2"/>
  <c r="K9" i="2"/>
  <c r="K10" i="2"/>
  <c r="K11" i="2"/>
  <c r="K12" i="2"/>
  <c r="K4" i="2"/>
  <c r="E5" i="2"/>
  <c r="E6" i="2"/>
  <c r="E7" i="2"/>
  <c r="E8" i="2"/>
  <c r="E9" i="2"/>
  <c r="E10" i="2"/>
  <c r="E11" i="2"/>
  <c r="E12" i="2"/>
  <c r="E4" i="2"/>
  <c r="M50" i="1" l="1"/>
  <c r="I50" i="1"/>
</calcChain>
</file>

<file path=xl/sharedStrings.xml><?xml version="1.0" encoding="utf-8"?>
<sst xmlns="http://schemas.openxmlformats.org/spreadsheetml/2006/main" count="285" uniqueCount="163">
  <si>
    <t>PT.SEMARANG AUTOCOMP MANUFACTURING INDONESIA</t>
  </si>
  <si>
    <t>CHECKSHEET/FORM</t>
  </si>
  <si>
    <t>NO. DOKUMEN</t>
  </si>
  <si>
    <t>: 019/PGA/GA/FORM/SPS/REV.3/V/2021</t>
  </si>
  <si>
    <t>APPROVED</t>
  </si>
  <si>
    <t>CHECKED</t>
  </si>
  <si>
    <t>FORM SUMMARY PERBANDINGAN HARGA SUPPLIER</t>
  </si>
  <si>
    <t>REVISI</t>
  </si>
  <si>
    <t>: 5</t>
  </si>
  <si>
    <t>TANGGAL</t>
  </si>
  <si>
    <t>: 21 September 2021</t>
  </si>
  <si>
    <t>HALAMAN</t>
  </si>
  <si>
    <t>: 1</t>
  </si>
  <si>
    <t>MASA BERLAKU</t>
  </si>
  <si>
    <t>AWI</t>
  </si>
  <si>
    <t>FYH</t>
  </si>
  <si>
    <t>BPI</t>
  </si>
  <si>
    <t xml:space="preserve">Permintaan User </t>
  </si>
  <si>
    <t>Tujuan Permintaan</t>
  </si>
  <si>
    <r>
      <t>Kategori Yang Ditawarkan (</t>
    </r>
    <r>
      <rPr>
        <b/>
        <sz val="18"/>
        <color indexed="8"/>
        <rFont val="Calibri"/>
        <family val="2"/>
      </rPr>
      <t>√)</t>
    </r>
  </si>
  <si>
    <t xml:space="preserve">Tempat </t>
  </si>
  <si>
    <t>Barang</t>
  </si>
  <si>
    <t>Pekerjaan</t>
  </si>
  <si>
    <t>Tanggal</t>
  </si>
  <si>
    <t>√</t>
  </si>
  <si>
    <t>NO.</t>
  </si>
  <si>
    <t>ITEM</t>
  </si>
  <si>
    <t>VENDOR I</t>
  </si>
  <si>
    <t>VENDOR II</t>
  </si>
  <si>
    <t>VENDOR III</t>
  </si>
  <si>
    <t>DATA PERUSAHAAN</t>
  </si>
  <si>
    <t>Nama Perusahaan/Vendor</t>
  </si>
  <si>
    <t>Alamat/Lokasi Perusahaan</t>
  </si>
  <si>
    <t>Contact Person</t>
  </si>
  <si>
    <t>Nama Pic</t>
  </si>
  <si>
    <t>Email</t>
  </si>
  <si>
    <t>No. Tlp/Hp</t>
  </si>
  <si>
    <t>STATUS REGISTER SUPPLIER</t>
  </si>
  <si>
    <t>LEGALITAS</t>
  </si>
  <si>
    <t>a. NPWP Badan Usaha</t>
  </si>
  <si>
    <t>b. NIB OSS RBA</t>
  </si>
  <si>
    <t>c. KTP Direktur</t>
  </si>
  <si>
    <t>d. SPPKP(Surat Pengukuhan Pengusaha Kena Pajak)</t>
  </si>
  <si>
    <t>e. Scan Akte Pendirian + Scan Kemenkumham</t>
  </si>
  <si>
    <t>f. Scan Akte Perubahan + Scan Kemenkumham(Jika Ada)</t>
  </si>
  <si>
    <t>g. MSDS(Jika Mengirimkan Barang yang mengandung B3)</t>
  </si>
  <si>
    <t>h. SKA (Sertifikat Keahlian)</t>
  </si>
  <si>
    <t>x</t>
  </si>
  <si>
    <t>i. IPTB (Izin Pelaku Teknis Bangunan)</t>
  </si>
  <si>
    <t>SPESIFIKASI YANG DIMINTA USER :</t>
  </si>
  <si>
    <t>MENGETAHUI USER</t>
  </si>
  <si>
    <t>NAMA:</t>
  </si>
  <si>
    <t>DATE:</t>
  </si>
  <si>
    <t>HARGA</t>
  </si>
  <si>
    <t>a. Barang</t>
  </si>
  <si>
    <t>JENIS,QTY &amp; HARGA</t>
  </si>
  <si>
    <t>JENIS</t>
  </si>
  <si>
    <t>QTY</t>
  </si>
  <si>
    <t>TOTAL</t>
  </si>
  <si>
    <t>Sub Total</t>
  </si>
  <si>
    <t>b. Jasa</t>
  </si>
  <si>
    <t>Total Keseluruhan</t>
  </si>
  <si>
    <t>NEGO 1</t>
  </si>
  <si>
    <t>NEGO 2</t>
  </si>
  <si>
    <t xml:space="preserve">NET </t>
  </si>
  <si>
    <t>TAHAP PEMBAYARAN</t>
  </si>
  <si>
    <t>a. Tahap pertama(DP)</t>
  </si>
  <si>
    <t>X</t>
  </si>
  <si>
    <t>b. Tahap kedua</t>
  </si>
  <si>
    <t>c. Tahap ketiga</t>
  </si>
  <si>
    <t>d. Tempo 30 Hari</t>
  </si>
  <si>
    <t>DELIVERY/JANGKA WAKTU PROSES</t>
  </si>
  <si>
    <t>RUANG LINGKUP PEKERJAAN</t>
  </si>
  <si>
    <t>a. Pengadaan Barang kebutuhan building</t>
  </si>
  <si>
    <t>b. Pengadaan Barang-barang kebutuhan elektrikal</t>
  </si>
  <si>
    <t>GARANSI</t>
  </si>
  <si>
    <t>Unit Barang</t>
  </si>
  <si>
    <t>Jasa Pekerjaan</t>
  </si>
  <si>
    <t>STATUS BARANG</t>
  </si>
  <si>
    <t>KATEGORI KERJASAMA(√)</t>
  </si>
  <si>
    <t>Dengan Kontrak</t>
  </si>
  <si>
    <t>Tanpa Kontrak</t>
  </si>
  <si>
    <t>CHECK LIST INTERVIEW</t>
  </si>
  <si>
    <t>YA/TIDAK(KETERANGAN)</t>
  </si>
  <si>
    <t>a. Apakah Anda Karyawan PT. SAMI ?</t>
  </si>
  <si>
    <t>Tidak</t>
  </si>
  <si>
    <t>b. Apakah Ada Hubungan Keluarga dengan Purchasing?</t>
  </si>
  <si>
    <t>c. Apakah Ada Hubungan Keluarga dengan Pejabat Setempat?</t>
  </si>
  <si>
    <t>d. Apakah Perusahaan anda saat ini bermasalah dengan Hukum?</t>
  </si>
  <si>
    <t>e. Hasil pekerjaan sebelumnya direkomendasikan/tidak ?</t>
  </si>
  <si>
    <t>Ya</t>
  </si>
  <si>
    <t>f. Apakah Perusahaan anda rutin melaporkan pajak?</t>
  </si>
  <si>
    <t>g. Jawaban yang anda Berikan ini Jujur?</t>
  </si>
  <si>
    <t xml:space="preserve">APPROVED
</t>
  </si>
  <si>
    <t>SPV LP</t>
  </si>
  <si>
    <t>MGR</t>
  </si>
  <si>
    <t>NB : Approve untuk Supplier yang dipilih</t>
  </si>
  <si>
    <t xml:space="preserve">NOTE :  </t>
  </si>
  <si>
    <t>PERLINDUNGAN HAK CIPTA!                                                                                       
Dokumen ini adalah milik dan untuk dipergunakan di lingkungan kerja PT. SAMI .
Tidak diperkenankan memindahkan, menyalin, atau menggandakan sebagian ataupun seluruhnya isi dokumen ini dalam bentuk dan dengan cara apapun, tanpa izin tertulis dari Wakil manajemen.</t>
  </si>
  <si>
    <r>
      <t xml:space="preserve">Referensi Prosedur/WI/OS/IS/ : 
</t>
    </r>
    <r>
      <rPr>
        <sz val="11"/>
        <color theme="1"/>
        <rFont val="Calibri"/>
        <family val="2"/>
        <charset val="1"/>
        <scheme val="minor"/>
      </rPr>
      <t>- OP-SMN-P.02 : Prosedur Pengadaan Barang &amp; Jasa</t>
    </r>
  </si>
  <si>
    <t>Penambahan history negosiasi</t>
  </si>
  <si>
    <t>New Format</t>
  </si>
  <si>
    <t>Renny</t>
  </si>
  <si>
    <t>Perubahan isi</t>
  </si>
  <si>
    <t>New Release</t>
  </si>
  <si>
    <t>REV.</t>
  </si>
  <si>
    <t>ISI PERUBAHAN</t>
  </si>
  <si>
    <t>PIC</t>
  </si>
  <si>
    <t>REVIEW</t>
  </si>
  <si>
    <t>CV. SUMBER REJEKI</t>
  </si>
  <si>
    <t>CV. SENTRAL TEKNIK UTAMA</t>
  </si>
  <si>
    <t>JL. TAMAN BOROBUDUR UTARA NO 38 KEMBANGARUM SMG</t>
  </si>
  <si>
    <t>JL.RAYA GUNUNG PATI-MANYARAN KM 1 NGREMBEL -</t>
  </si>
  <si>
    <t>EKOKRISTIANTO</t>
  </si>
  <si>
    <t>BP.DWI HARYANTO</t>
  </si>
  <si>
    <t>CVSUMBERREJEKI007@GMAIL.COM</t>
  </si>
  <si>
    <t>SENTRAL.TEKNIK.UTAMA@GMAIL.COM</t>
  </si>
  <si>
    <t>085101505556</t>
  </si>
  <si>
    <t>024-76921544</t>
  </si>
  <si>
    <t>Terdaftar No. 27</t>
  </si>
  <si>
    <t>Terdaftar No. 24</t>
  </si>
  <si>
    <t>:09 Oktober 2023</t>
  </si>
  <si>
    <t xml:space="preserve">c. Pengadaan Jasa Maintenance Building </t>
  </si>
  <si>
    <t>d. Pengadaan Jasa Perbaikan furnitur</t>
  </si>
  <si>
    <t>Bongkar Mekanik Rak</t>
  </si>
  <si>
    <t>Bongkar Sapot Rell dan dudukan Rak</t>
  </si>
  <si>
    <t>Service Rak yang Rusak</t>
  </si>
  <si>
    <t>Sewa Alat(Tooling Khusus)</t>
  </si>
  <si>
    <t>Pemindahan Ke area Bawah &amp; Tempat baru</t>
  </si>
  <si>
    <t>Sewa Armada</t>
  </si>
  <si>
    <t>Pembuatan dudukan dan Sapot Rell</t>
  </si>
  <si>
    <t>Re Instal Rell di area baru</t>
  </si>
  <si>
    <t>Re Instal Rak di area baru</t>
  </si>
  <si>
    <t>NO</t>
  </si>
  <si>
    <t>DESCRIPTION</t>
  </si>
  <si>
    <t>VENDOR 2 SENTRAK TEKNIK UTAMA</t>
  </si>
  <si>
    <t>VENDOR 1 SUMBER REJEKI</t>
  </si>
  <si>
    <t>VENDOR 3 ALLASA TEHNIK UTAMA</t>
  </si>
  <si>
    <t>Jasa Pembersihan area baru</t>
  </si>
  <si>
    <t>Total</t>
  </si>
  <si>
    <t>Net Total</t>
  </si>
  <si>
    <t>Rincian hitungan pekerjaan jasa pemindahan Rak Bostinco</t>
  </si>
  <si>
    <t>LOT</t>
  </si>
  <si>
    <t>PT. YOGANTARA BERKAH MANDIRI</t>
  </si>
  <si>
    <t>PERUM BUKIT RAYA SUNRISE GARDEN BOGOR</t>
  </si>
  <si>
    <t>BP. YOGO</t>
  </si>
  <si>
    <t>yogantaraberkahmandiri20@gmail.com</t>
  </si>
  <si>
    <t>'081331438507</t>
  </si>
  <si>
    <t>Terdaftar No. 195</t>
  </si>
  <si>
    <t>:PERUBAHAN ARAH PINTU</t>
  </si>
  <si>
    <t>:AREA PINTU UNTUK MEMPERMUDAH SIMULASI</t>
  </si>
  <si>
    <t>:ALL SAMI</t>
  </si>
  <si>
    <t>Bongkar pintu</t>
  </si>
  <si>
    <t>Rubah arah pintu saat dibuka</t>
  </si>
  <si>
    <t>Penggantian kusen yang sudah rusak</t>
  </si>
  <si>
    <t>Penggantian lapisan pintu</t>
  </si>
  <si>
    <t>Material Kusen dan lapisan pintu baru</t>
  </si>
  <si>
    <t>Jasa Perubahan arah buka pintu</t>
  </si>
  <si>
    <t>unit</t>
  </si>
  <si>
    <t>1tahun jasa perawatan</t>
  </si>
  <si>
    <t>30 hari</t>
  </si>
  <si>
    <t>Custom</t>
  </si>
  <si>
    <t>: 20 September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</si>
</sst>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  <numFmt numFmtId="166" formatCode="[$-409]d\-mmm\-yy;@"/>
  </numFmts>
  <fonts count="5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8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0"/>
      <color rgb="FF0000CC"/>
      <name val="Comic Sans MS"/>
      <family val="4"/>
    </font>
    <font>
      <sz val="12"/>
      <color theme="0" tint="-0.499984740745262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indexed="8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b/>
      <i/>
      <sz val="16"/>
      <color theme="1"/>
      <name val="Calibri"/>
      <family val="2"/>
      <scheme val="minor"/>
    </font>
    <font>
      <b/>
      <sz val="20"/>
      <color theme="1"/>
      <name val="Arial"/>
      <family val="2"/>
    </font>
    <font>
      <i/>
      <sz val="20"/>
      <name val="Calibri"/>
      <family val="2"/>
      <scheme val="minor"/>
    </font>
    <font>
      <b/>
      <u/>
      <sz val="20"/>
      <name val="Arial"/>
      <family val="2"/>
    </font>
    <font>
      <b/>
      <u/>
      <sz val="12"/>
      <name val="Arial"/>
      <family val="2"/>
    </font>
    <font>
      <sz val="20"/>
      <color theme="1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i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0"/>
      <color theme="1"/>
      <name val="Arial"/>
      <family val="2"/>
    </font>
    <font>
      <i/>
      <sz val="20"/>
      <color rgb="FF0000FF"/>
      <name val="Arial"/>
      <family val="2"/>
    </font>
    <font>
      <b/>
      <sz val="20"/>
      <name val="Arial"/>
      <family val="2"/>
    </font>
    <font>
      <b/>
      <sz val="12"/>
      <color rgb="FFF1C232"/>
      <name val="Comic Sans MS"/>
      <family val="4"/>
    </font>
    <font>
      <i/>
      <sz val="20"/>
      <color theme="1"/>
      <name val="Arial"/>
      <family val="2"/>
    </font>
    <font>
      <u/>
      <sz val="16"/>
      <color theme="10"/>
      <name val="Calibri"/>
      <family val="2"/>
      <scheme val="minor"/>
    </font>
    <font>
      <b/>
      <sz val="16"/>
      <name val="Arial"/>
      <family val="2"/>
    </font>
    <font>
      <sz val="16"/>
      <color theme="1"/>
      <name val="Arial"/>
      <family val="2"/>
    </font>
    <font>
      <sz val="12"/>
      <color rgb="FF0B5394"/>
      <name val="Georgia"/>
      <family val="1"/>
    </font>
    <font>
      <sz val="22"/>
      <color theme="1"/>
      <name val="Arial"/>
      <family val="2"/>
    </font>
    <font>
      <b/>
      <sz val="22"/>
      <name val="Arial"/>
      <family val="2"/>
    </font>
    <font>
      <b/>
      <sz val="20"/>
      <name val="Calibri"/>
      <family val="2"/>
      <scheme val="minor"/>
    </font>
    <font>
      <sz val="20"/>
      <color theme="1"/>
      <name val="Calibri"/>
      <family val="2"/>
    </font>
    <font>
      <sz val="18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Arial"/>
      <family val="2"/>
    </font>
    <font>
      <sz val="18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6">
    <xf numFmtId="0" fontId="0" fillId="0" borderId="0"/>
    <xf numFmtId="41" fontId="1" fillId="0" borderId="0" applyFont="0" applyFill="0" applyBorder="0" applyAlignment="0" applyProtection="0"/>
    <xf numFmtId="0" fontId="2" fillId="0" borderId="0"/>
    <xf numFmtId="0" fontId="9" fillId="0" borderId="0"/>
    <xf numFmtId="0" fontId="31" fillId="0" borderId="0" applyNumberFormat="0" applyFill="0" applyBorder="0" applyAlignment="0" applyProtection="0"/>
    <xf numFmtId="164" fontId="2" fillId="0" borderId="0" applyFont="0" applyFill="0" applyBorder="0" applyAlignment="0" applyProtection="0"/>
  </cellStyleXfs>
  <cellXfs count="322">
    <xf numFmtId="0" fontId="0" fillId="0" borderId="0" xfId="0"/>
    <xf numFmtId="0" fontId="2" fillId="0" borderId="0" xfId="2"/>
    <xf numFmtId="0" fontId="4" fillId="0" borderId="0" xfId="2" applyFont="1"/>
    <xf numFmtId="0" fontId="2" fillId="0" borderId="0" xfId="2" applyBorder="1"/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7" fillId="0" borderId="6" xfId="0" applyFont="1" applyBorder="1" applyAlignment="1">
      <alignment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13" fillId="0" borderId="0" xfId="2" applyFont="1"/>
    <xf numFmtId="0" fontId="7" fillId="0" borderId="22" xfId="0" applyFont="1" applyBorder="1" applyAlignment="1">
      <alignment vertical="center"/>
    </xf>
    <xf numFmtId="0" fontId="7" fillId="0" borderId="22" xfId="0" applyFont="1" applyFill="1" applyBorder="1" applyAlignment="1">
      <alignment horizontal="left" vertical="center"/>
    </xf>
    <xf numFmtId="0" fontId="7" fillId="0" borderId="22" xfId="0" applyFont="1" applyFill="1" applyBorder="1" applyAlignment="1">
      <alignment horizontal="center" vertical="center"/>
    </xf>
    <xf numFmtId="0" fontId="13" fillId="0" borderId="15" xfId="2" applyFont="1" applyBorder="1"/>
    <xf numFmtId="0" fontId="14" fillId="0" borderId="25" xfId="2" applyFont="1" applyFill="1" applyBorder="1" applyAlignment="1">
      <alignment horizontal="left"/>
    </xf>
    <xf numFmtId="0" fontId="15" fillId="0" borderId="25" xfId="2" applyFont="1" applyFill="1" applyBorder="1"/>
    <xf numFmtId="0" fontId="16" fillId="0" borderId="0" xfId="2" applyFont="1" applyFill="1" applyBorder="1"/>
    <xf numFmtId="0" fontId="16" fillId="0" borderId="0" xfId="2" applyFont="1" applyBorder="1"/>
    <xf numFmtId="0" fontId="16" fillId="0" borderId="0" xfId="2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center" vertical="center"/>
    </xf>
    <xf numFmtId="0" fontId="17" fillId="0" borderId="0" xfId="2" applyFont="1" applyBorder="1"/>
    <xf numFmtId="0" fontId="13" fillId="0" borderId="0" xfId="2" applyFont="1" applyBorder="1"/>
    <xf numFmtId="0" fontId="2" fillId="0" borderId="16" xfId="2" applyBorder="1"/>
    <xf numFmtId="0" fontId="18" fillId="0" borderId="0" xfId="2" applyFont="1" applyBorder="1" applyAlignment="1">
      <alignment horizontal="left"/>
    </xf>
    <xf numFmtId="0" fontId="18" fillId="0" borderId="0" xfId="2" applyFont="1" applyBorder="1" applyAlignment="1">
      <alignment horizontal="center"/>
    </xf>
    <xf numFmtId="0" fontId="8" fillId="0" borderId="0" xfId="2" applyFont="1" applyFill="1" applyBorder="1"/>
    <xf numFmtId="0" fontId="8" fillId="0" borderId="0" xfId="2" applyFont="1" applyBorder="1"/>
    <xf numFmtId="0" fontId="20" fillId="0" borderId="7" xfId="2" applyFont="1" applyBorder="1" applyAlignment="1">
      <alignment horizontal="center" vertical="center"/>
    </xf>
    <xf numFmtId="0" fontId="20" fillId="0" borderId="0" xfId="2" applyFont="1" applyBorder="1" applyAlignment="1">
      <alignment horizontal="center" vertical="center"/>
    </xf>
    <xf numFmtId="0" fontId="21" fillId="0" borderId="7" xfId="2" applyFont="1" applyBorder="1" applyAlignment="1">
      <alignment horizontal="center"/>
    </xf>
    <xf numFmtId="0" fontId="21" fillId="0" borderId="0" xfId="2" applyFont="1" applyBorder="1" applyAlignment="1">
      <alignment horizontal="center"/>
    </xf>
    <xf numFmtId="0" fontId="22" fillId="0" borderId="0" xfId="2" applyFont="1" applyFill="1" applyBorder="1" applyAlignment="1">
      <alignment horizontal="left"/>
    </xf>
    <xf numFmtId="0" fontId="18" fillId="0" borderId="7" xfId="2" applyFont="1" applyBorder="1" applyAlignment="1">
      <alignment horizontal="center" vertical="center"/>
    </xf>
    <xf numFmtId="0" fontId="14" fillId="0" borderId="3" xfId="2" applyFont="1" applyBorder="1" applyAlignment="1">
      <alignment horizontal="left" vertical="center"/>
    </xf>
    <xf numFmtId="0" fontId="14" fillId="0" borderId="5" xfId="2" applyFont="1" applyBorder="1" applyAlignment="1">
      <alignment horizontal="center" vertical="center"/>
    </xf>
    <xf numFmtId="0" fontId="23" fillId="0" borderId="9" xfId="2" applyFont="1" applyBorder="1" applyAlignment="1">
      <alignment horizontal="center" vertical="center"/>
    </xf>
    <xf numFmtId="0" fontId="23" fillId="0" borderId="4" xfId="2" applyFont="1" applyBorder="1" applyAlignment="1">
      <alignment horizontal="center" vertical="center"/>
    </xf>
    <xf numFmtId="0" fontId="23" fillId="0" borderId="5" xfId="2" applyFont="1" applyBorder="1" applyAlignment="1">
      <alignment horizontal="center" vertical="center"/>
    </xf>
    <xf numFmtId="0" fontId="23" fillId="0" borderId="6" xfId="2" applyFont="1" applyBorder="1" applyAlignment="1">
      <alignment horizontal="center" vertical="center"/>
    </xf>
    <xf numFmtId="0" fontId="23" fillId="0" borderId="8" xfId="2" applyFont="1" applyBorder="1" applyAlignment="1">
      <alignment horizontal="center" vertical="center"/>
    </xf>
    <xf numFmtId="0" fontId="7" fillId="0" borderId="0" xfId="2" applyFont="1"/>
    <xf numFmtId="0" fontId="26" fillId="0" borderId="16" xfId="2" applyFont="1" applyBorder="1" applyAlignment="1">
      <alignment vertical="top"/>
    </xf>
    <xf numFmtId="0" fontId="26" fillId="0" borderId="0" xfId="2" applyFont="1" applyBorder="1" applyAlignment="1">
      <alignment vertical="top"/>
    </xf>
    <xf numFmtId="0" fontId="27" fillId="0" borderId="0" xfId="2" applyFont="1" applyBorder="1"/>
    <xf numFmtId="0" fontId="25" fillId="0" borderId="0" xfId="2" applyFont="1" applyBorder="1" applyAlignment="1">
      <alignment vertical="center"/>
    </xf>
    <xf numFmtId="0" fontId="29" fillId="0" borderId="16" xfId="2" applyFont="1" applyBorder="1" applyAlignment="1">
      <alignment horizontal="center" vertical="top"/>
    </xf>
    <xf numFmtId="0" fontId="29" fillId="0" borderId="0" xfId="2" applyFont="1" applyBorder="1" applyAlignment="1">
      <alignment horizontal="center" vertical="top"/>
    </xf>
    <xf numFmtId="0" fontId="7" fillId="0" borderId="0" xfId="2" applyFont="1" applyBorder="1"/>
    <xf numFmtId="0" fontId="24" fillId="0" borderId="3" xfId="2" applyFont="1" applyFill="1" applyBorder="1" applyAlignment="1">
      <alignment vertical="center"/>
    </xf>
    <xf numFmtId="0" fontId="32" fillId="0" borderId="3" xfId="4" applyFont="1" applyBorder="1" applyAlignment="1">
      <alignment horizontal="left" vertical="center"/>
    </xf>
    <xf numFmtId="0" fontId="33" fillId="0" borderId="4" xfId="2" applyFont="1" applyBorder="1"/>
    <xf numFmtId="0" fontId="34" fillId="0" borderId="5" xfId="2" applyFont="1" applyBorder="1" applyAlignment="1">
      <alignment horizontal="center" vertical="center"/>
    </xf>
    <xf numFmtId="0" fontId="34" fillId="0" borderId="6" xfId="2" applyFont="1" applyBorder="1" applyAlignment="1">
      <alignment horizontal="center" vertical="center"/>
    </xf>
    <xf numFmtId="0" fontId="34" fillId="0" borderId="8" xfId="2" applyFont="1" applyBorder="1" applyAlignment="1">
      <alignment horizontal="center" vertical="center"/>
    </xf>
    <xf numFmtId="0" fontId="27" fillId="0" borderId="16" xfId="2" applyFont="1" applyBorder="1"/>
    <xf numFmtId="0" fontId="7" fillId="0" borderId="16" xfId="2" applyFont="1" applyBorder="1"/>
    <xf numFmtId="0" fontId="35" fillId="0" borderId="0" xfId="2" applyFont="1" applyAlignment="1">
      <alignment vertical="center"/>
    </xf>
    <xf numFmtId="0" fontId="36" fillId="0" borderId="0" xfId="2" applyFont="1" applyBorder="1"/>
    <xf numFmtId="0" fontId="23" fillId="0" borderId="0" xfId="2" applyFont="1" applyBorder="1" applyAlignment="1">
      <alignment horizontal="center" vertical="center"/>
    </xf>
    <xf numFmtId="0" fontId="37" fillId="0" borderId="3" xfId="4" quotePrefix="1" applyFont="1" applyBorder="1" applyAlignment="1">
      <alignment horizontal="left" vertical="center"/>
    </xf>
    <xf numFmtId="0" fontId="38" fillId="0" borderId="4" xfId="2" applyFont="1" applyBorder="1" applyAlignment="1">
      <alignment horizontal="center" vertical="center"/>
    </xf>
    <xf numFmtId="0" fontId="38" fillId="0" borderId="5" xfId="2" applyFont="1" applyBorder="1" applyAlignment="1">
      <alignment horizontal="left" vertical="center"/>
    </xf>
    <xf numFmtId="0" fontId="39" fillId="0" borderId="4" xfId="2" applyFont="1" applyBorder="1"/>
    <xf numFmtId="0" fontId="38" fillId="0" borderId="5" xfId="2" applyFont="1" applyBorder="1" applyAlignment="1">
      <alignment horizontal="center" vertical="center"/>
    </xf>
    <xf numFmtId="0" fontId="40" fillId="0" borderId="0" xfId="2" applyFont="1" applyAlignment="1">
      <alignment vertical="center"/>
    </xf>
    <xf numFmtId="0" fontId="41" fillId="0" borderId="0" xfId="2" applyFont="1" applyBorder="1"/>
    <xf numFmtId="0" fontId="42" fillId="0" borderId="0" xfId="2" applyFont="1" applyBorder="1" applyAlignment="1">
      <alignment horizontal="center" vertical="center"/>
    </xf>
    <xf numFmtId="0" fontId="34" fillId="0" borderId="20" xfId="2" quotePrefix="1" applyFont="1" applyBorder="1" applyAlignment="1">
      <alignment horizontal="left"/>
    </xf>
    <xf numFmtId="0" fontId="34" fillId="0" borderId="22" xfId="2" applyFont="1" applyBorder="1" applyAlignment="1">
      <alignment horizontal="center"/>
    </xf>
    <xf numFmtId="0" fontId="34" fillId="0" borderId="21" xfId="2" applyFont="1" applyBorder="1" applyAlignment="1">
      <alignment horizontal="center"/>
    </xf>
    <xf numFmtId="0" fontId="27" fillId="0" borderId="22" xfId="2" applyFont="1" applyBorder="1"/>
    <xf numFmtId="0" fontId="34" fillId="0" borderId="4" xfId="2" applyFont="1" applyBorder="1" applyAlignment="1">
      <alignment horizontal="center"/>
    </xf>
    <xf numFmtId="0" fontId="34" fillId="0" borderId="5" xfId="2" applyFont="1" applyBorder="1" applyAlignment="1">
      <alignment horizontal="center"/>
    </xf>
    <xf numFmtId="0" fontId="29" fillId="0" borderId="16" xfId="2" applyFont="1" applyBorder="1" applyAlignment="1">
      <alignment horizontal="center"/>
    </xf>
    <xf numFmtId="0" fontId="34" fillId="0" borderId="0" xfId="2" applyFont="1" applyBorder="1" applyAlignment="1">
      <alignment horizontal="center"/>
    </xf>
    <xf numFmtId="0" fontId="14" fillId="0" borderId="7" xfId="2" applyFont="1" applyBorder="1" applyAlignment="1">
      <alignment horizontal="center" vertical="center"/>
    </xf>
    <xf numFmtId="0" fontId="43" fillId="0" borderId="3" xfId="2" applyFont="1" applyFill="1" applyBorder="1" applyAlignment="1">
      <alignment vertical="center"/>
    </xf>
    <xf numFmtId="38" fontId="27" fillId="0" borderId="4" xfId="2" applyNumberFormat="1" applyFont="1" applyBorder="1" applyAlignment="1">
      <alignment horizontal="center"/>
    </xf>
    <xf numFmtId="0" fontId="30" fillId="0" borderId="3" xfId="2" applyFont="1" applyFill="1" applyBorder="1" applyAlignment="1">
      <alignment horizontal="left"/>
    </xf>
    <xf numFmtId="0" fontId="30" fillId="0" borderId="5" xfId="2" applyFont="1" applyFill="1" applyBorder="1" applyAlignment="1">
      <alignment horizontal="left"/>
    </xf>
    <xf numFmtId="14" fontId="43" fillId="0" borderId="9" xfId="2" applyNumberFormat="1" applyFont="1" applyFill="1" applyBorder="1" applyAlignment="1">
      <alignment vertical="center"/>
    </xf>
    <xf numFmtId="14" fontId="43" fillId="0" borderId="6" xfId="2" applyNumberFormat="1" applyFont="1" applyFill="1" applyBorder="1" applyAlignment="1">
      <alignment vertical="center"/>
    </xf>
    <xf numFmtId="14" fontId="27" fillId="0" borderId="6" xfId="2" applyNumberFormat="1" applyFont="1" applyBorder="1" applyAlignment="1">
      <alignment horizontal="center"/>
    </xf>
    <xf numFmtId="14" fontId="27" fillId="0" borderId="8" xfId="2" applyNumberFormat="1" applyFont="1" applyBorder="1" applyAlignment="1">
      <alignment horizontal="center"/>
    </xf>
    <xf numFmtId="0" fontId="15" fillId="0" borderId="15" xfId="2" applyFont="1" applyBorder="1" applyAlignment="1">
      <alignment vertical="top"/>
    </xf>
    <xf numFmtId="0" fontId="14" fillId="0" borderId="0" xfId="2" applyFont="1" applyBorder="1"/>
    <xf numFmtId="0" fontId="27" fillId="0" borderId="0" xfId="2" applyFont="1" applyBorder="1" applyAlignment="1">
      <alignment horizontal="center"/>
    </xf>
    <xf numFmtId="0" fontId="27" fillId="0" borderId="16" xfId="2" applyFont="1" applyBorder="1" applyAlignment="1">
      <alignment horizontal="center"/>
    </xf>
    <xf numFmtId="0" fontId="3" fillId="0" borderId="0" xfId="2" applyFont="1" applyBorder="1"/>
    <xf numFmtId="0" fontId="15" fillId="0" borderId="20" xfId="2" applyFont="1" applyBorder="1" applyAlignment="1">
      <alignment vertical="top"/>
    </xf>
    <xf numFmtId="0" fontId="14" fillId="0" borderId="22" xfId="2" applyFont="1" applyFill="1" applyBorder="1" applyAlignment="1">
      <alignment vertical="center"/>
    </xf>
    <xf numFmtId="0" fontId="27" fillId="0" borderId="22" xfId="2" applyFont="1" applyBorder="1" applyAlignment="1">
      <alignment horizontal="center"/>
    </xf>
    <xf numFmtId="0" fontId="27" fillId="0" borderId="21" xfId="2" applyFont="1" applyBorder="1" applyAlignment="1">
      <alignment horizontal="center"/>
    </xf>
    <xf numFmtId="0" fontId="27" fillId="0" borderId="3" xfId="2" applyFont="1" applyBorder="1" applyAlignment="1">
      <alignment horizontal="center"/>
    </xf>
    <xf numFmtId="0" fontId="27" fillId="0" borderId="4" xfId="2" applyFont="1" applyBorder="1" applyAlignment="1">
      <alignment horizontal="center"/>
    </xf>
    <xf numFmtId="0" fontId="27" fillId="0" borderId="5" xfId="2" applyFont="1" applyBorder="1" applyAlignment="1">
      <alignment horizontal="center"/>
    </xf>
    <xf numFmtId="165" fontId="27" fillId="0" borderId="7" xfId="5" applyNumberFormat="1" applyFont="1" applyBorder="1" applyAlignment="1">
      <alignment horizontal="center" vertical="center"/>
    </xf>
    <xf numFmtId="3" fontId="27" fillId="0" borderId="7" xfId="2" applyNumberFormat="1" applyFont="1" applyBorder="1" applyAlignment="1">
      <alignment horizontal="center" vertical="center"/>
    </xf>
    <xf numFmtId="0" fontId="30" fillId="0" borderId="3" xfId="2" applyFont="1" applyFill="1" applyBorder="1" applyAlignment="1"/>
    <xf numFmtId="0" fontId="30" fillId="0" borderId="5" xfId="2" applyFont="1" applyFill="1" applyBorder="1" applyAlignment="1"/>
    <xf numFmtId="165" fontId="45" fillId="0" borderId="7" xfId="5" applyNumberFormat="1" applyFont="1" applyBorder="1" applyAlignment="1">
      <alignment horizontal="center"/>
    </xf>
    <xf numFmtId="165" fontId="45" fillId="0" borderId="7" xfId="5" applyNumberFormat="1" applyFont="1" applyBorder="1" applyAlignment="1"/>
    <xf numFmtId="3" fontId="45" fillId="0" borderId="7" xfId="2" applyNumberFormat="1" applyFont="1" applyBorder="1" applyAlignment="1">
      <alignment horizontal="right"/>
    </xf>
    <xf numFmtId="3" fontId="45" fillId="0" borderId="8" xfId="2" applyNumberFormat="1" applyFont="1" applyBorder="1" applyAlignment="1">
      <alignment horizontal="right"/>
    </xf>
    <xf numFmtId="3" fontId="45" fillId="0" borderId="7" xfId="2" applyNumberFormat="1" applyFont="1" applyBorder="1" applyAlignment="1">
      <alignment horizontal="center"/>
    </xf>
    <xf numFmtId="0" fontId="14" fillId="0" borderId="19" xfId="2" applyFont="1" applyBorder="1" applyAlignment="1">
      <alignment horizontal="center" vertical="top"/>
    </xf>
    <xf numFmtId="165" fontId="45" fillId="0" borderId="3" xfId="5" applyNumberFormat="1" applyFont="1" applyBorder="1" applyAlignment="1">
      <alignment horizontal="center"/>
    </xf>
    <xf numFmtId="165" fontId="45" fillId="0" borderId="4" xfId="5" applyNumberFormat="1" applyFont="1" applyBorder="1" applyAlignment="1">
      <alignment horizontal="center"/>
    </xf>
    <xf numFmtId="165" fontId="45" fillId="0" borderId="6" xfId="5" applyNumberFormat="1" applyFont="1" applyBorder="1" applyAlignment="1">
      <alignment horizontal="center"/>
    </xf>
    <xf numFmtId="3" fontId="45" fillId="0" borderId="21" xfId="2" applyNumberFormat="1" applyFont="1" applyBorder="1" applyAlignment="1">
      <alignment horizontal="right"/>
    </xf>
    <xf numFmtId="3" fontId="45" fillId="0" borderId="22" xfId="2" applyNumberFormat="1" applyFont="1" applyBorder="1" applyAlignment="1">
      <alignment horizontal="right"/>
    </xf>
    <xf numFmtId="0" fontId="14" fillId="0" borderId="15" xfId="2" applyFont="1" applyFill="1" applyBorder="1" applyAlignment="1">
      <alignment horizontal="left" vertical="center"/>
    </xf>
    <xf numFmtId="165" fontId="27" fillId="0" borderId="3" xfId="5" applyNumberFormat="1" applyFont="1" applyFill="1" applyBorder="1" applyAlignment="1"/>
    <xf numFmtId="165" fontId="27" fillId="0" borderId="4" xfId="5" applyNumberFormat="1" applyFont="1" applyFill="1" applyBorder="1" applyAlignment="1"/>
    <xf numFmtId="165" fontId="27" fillId="0" borderId="4" xfId="5" applyNumberFormat="1" applyFont="1" applyFill="1" applyBorder="1" applyAlignment="1">
      <alignment horizontal="center"/>
    </xf>
    <xf numFmtId="3" fontId="23" fillId="0" borderId="21" xfId="2" applyNumberFormat="1" applyFont="1" applyFill="1" applyBorder="1" applyAlignment="1">
      <alignment horizontal="right"/>
    </xf>
    <xf numFmtId="38" fontId="23" fillId="0" borderId="21" xfId="2" applyNumberFormat="1" applyFont="1" applyFill="1" applyBorder="1" applyAlignment="1">
      <alignment horizontal="right"/>
    </xf>
    <xf numFmtId="38" fontId="23" fillId="0" borderId="0" xfId="2" applyNumberFormat="1" applyFont="1" applyFill="1" applyBorder="1" applyAlignment="1">
      <alignment horizontal="right"/>
    </xf>
    <xf numFmtId="0" fontId="14" fillId="0" borderId="7" xfId="2" applyFont="1" applyBorder="1" applyAlignment="1">
      <alignment horizontal="center"/>
    </xf>
    <xf numFmtId="0" fontId="30" fillId="0" borderId="3" xfId="2" applyFont="1" applyFill="1" applyBorder="1"/>
    <xf numFmtId="0" fontId="3" fillId="0" borderId="5" xfId="2" applyFont="1" applyBorder="1"/>
    <xf numFmtId="0" fontId="30" fillId="0" borderId="15" xfId="2" applyFont="1" applyFill="1" applyBorder="1"/>
    <xf numFmtId="0" fontId="30" fillId="0" borderId="9" xfId="2" applyFont="1" applyFill="1" applyBorder="1"/>
    <xf numFmtId="0" fontId="3" fillId="0" borderId="8" xfId="2" applyFont="1" applyBorder="1"/>
    <xf numFmtId="0" fontId="14" fillId="0" borderId="3" xfId="2" applyFont="1" applyBorder="1" applyAlignment="1">
      <alignment horizontal="center"/>
    </xf>
    <xf numFmtId="0" fontId="14" fillId="0" borderId="15" xfId="2" applyFont="1" applyFill="1" applyBorder="1" applyAlignment="1">
      <alignment vertical="center"/>
    </xf>
    <xf numFmtId="3" fontId="7" fillId="0" borderId="0" xfId="2" applyNumberFormat="1" applyFont="1"/>
    <xf numFmtId="0" fontId="14" fillId="0" borderId="1" xfId="2" applyFont="1" applyBorder="1" applyAlignment="1">
      <alignment horizontal="center" vertical="center"/>
    </xf>
    <xf numFmtId="0" fontId="14" fillId="0" borderId="3" xfId="2" applyFont="1" applyFill="1" applyBorder="1" applyAlignment="1">
      <alignment vertical="center"/>
    </xf>
    <xf numFmtId="165" fontId="27" fillId="0" borderId="3" xfId="2" applyNumberFormat="1" applyFont="1" applyBorder="1" applyAlignment="1">
      <alignment horizontal="center" vertical="top" wrapText="1"/>
    </xf>
    <xf numFmtId="0" fontId="27" fillId="0" borderId="4" xfId="2" applyFont="1" applyBorder="1" applyAlignment="1">
      <alignment horizontal="center" vertical="top" wrapText="1"/>
    </xf>
    <xf numFmtId="0" fontId="27" fillId="0" borderId="21" xfId="2" applyFont="1" applyBorder="1" applyAlignment="1">
      <alignment horizontal="center" vertical="top" wrapText="1"/>
    </xf>
    <xf numFmtId="0" fontId="27" fillId="0" borderId="22" xfId="2" applyFont="1" applyBorder="1" applyAlignment="1">
      <alignment horizontal="center" vertical="top" wrapText="1"/>
    </xf>
    <xf numFmtId="0" fontId="30" fillId="0" borderId="3" xfId="2" applyFont="1" applyFill="1" applyBorder="1" applyAlignment="1">
      <alignment vertical="center"/>
    </xf>
    <xf numFmtId="0" fontId="30" fillId="0" borderId="15" xfId="2" applyFont="1" applyFill="1" applyBorder="1" applyAlignment="1">
      <alignment vertical="center"/>
    </xf>
    <xf numFmtId="0" fontId="30" fillId="0" borderId="7" xfId="2" applyFont="1" applyFill="1" applyBorder="1"/>
    <xf numFmtId="0" fontId="15" fillId="0" borderId="3" xfId="2" applyFont="1" applyBorder="1" applyAlignment="1">
      <alignment horizontal="left" vertical="center"/>
    </xf>
    <xf numFmtId="0" fontId="30" fillId="0" borderId="5" xfId="2" applyFont="1" applyFill="1" applyBorder="1"/>
    <xf numFmtId="165" fontId="27" fillId="0" borderId="3" xfId="2" applyNumberFormat="1" applyFont="1" applyBorder="1" applyAlignment="1">
      <alignment horizontal="center" vertical="center" wrapText="1"/>
    </xf>
    <xf numFmtId="165" fontId="27" fillId="0" borderId="4" xfId="2" applyNumberFormat="1" applyFont="1" applyBorder="1" applyAlignment="1">
      <alignment horizontal="center" vertical="center" wrapText="1"/>
    </xf>
    <xf numFmtId="165" fontId="27" fillId="0" borderId="5" xfId="2" applyNumberFormat="1" applyFont="1" applyBorder="1" applyAlignment="1">
      <alignment horizontal="center" vertical="center" wrapText="1"/>
    </xf>
    <xf numFmtId="0" fontId="15" fillId="0" borderId="0" xfId="2" applyFont="1" applyBorder="1" applyAlignment="1">
      <alignment horizontal="left" vertical="center"/>
    </xf>
    <xf numFmtId="0" fontId="30" fillId="0" borderId="16" xfId="2" applyFont="1" applyFill="1" applyBorder="1"/>
    <xf numFmtId="0" fontId="47" fillId="2" borderId="8" xfId="2" applyFont="1" applyFill="1" applyBorder="1" applyAlignment="1">
      <alignment vertical="top"/>
    </xf>
    <xf numFmtId="0" fontId="48" fillId="0" borderId="9" xfId="2" applyFont="1" applyFill="1" applyBorder="1" applyAlignment="1">
      <alignment vertical="center"/>
    </xf>
    <xf numFmtId="0" fontId="48" fillId="0" borderId="6" xfId="2" applyFont="1" applyFill="1" applyBorder="1" applyAlignment="1">
      <alignment horizontal="center" vertical="center"/>
    </xf>
    <xf numFmtId="165" fontId="48" fillId="0" borderId="8" xfId="5" applyNumberFormat="1" applyFont="1" applyFill="1" applyBorder="1" applyAlignment="1">
      <alignment horizontal="center"/>
    </xf>
    <xf numFmtId="165" fontId="48" fillId="0" borderId="9" xfId="5" applyNumberFormat="1" applyFont="1" applyFill="1" applyBorder="1" applyAlignment="1">
      <alignment horizontal="center"/>
    </xf>
    <xf numFmtId="165" fontId="48" fillId="0" borderId="6" xfId="5" applyNumberFormat="1" applyFont="1" applyFill="1" applyBorder="1" applyAlignment="1">
      <alignment horizontal="center"/>
    </xf>
    <xf numFmtId="165" fontId="2" fillId="0" borderId="0" xfId="2" applyNumberFormat="1"/>
    <xf numFmtId="0" fontId="47" fillId="2" borderId="15" xfId="2" applyFont="1" applyFill="1" applyBorder="1" applyAlignment="1">
      <alignment vertical="top"/>
    </xf>
    <xf numFmtId="0" fontId="47" fillId="2" borderId="0" xfId="2" applyFont="1" applyFill="1" applyBorder="1" applyAlignment="1">
      <alignment vertical="top"/>
    </xf>
    <xf numFmtId="0" fontId="47" fillId="2" borderId="16" xfId="2" applyFont="1" applyFill="1" applyBorder="1" applyAlignment="1">
      <alignment vertical="top"/>
    </xf>
    <xf numFmtId="0" fontId="48" fillId="0" borderId="20" xfId="2" applyFont="1" applyFill="1" applyBorder="1" applyAlignment="1">
      <alignment vertical="center"/>
    </xf>
    <xf numFmtId="0" fontId="48" fillId="0" borderId="22" xfId="2" applyFont="1" applyFill="1" applyBorder="1" applyAlignment="1">
      <alignment horizontal="center" vertical="center"/>
    </xf>
    <xf numFmtId="165" fontId="48" fillId="0" borderId="21" xfId="5" applyNumberFormat="1" applyFont="1" applyFill="1" applyBorder="1" applyAlignment="1">
      <alignment horizontal="center"/>
    </xf>
    <xf numFmtId="165" fontId="48" fillId="0" borderId="20" xfId="5" applyNumberFormat="1" applyFont="1" applyFill="1" applyBorder="1" applyAlignment="1">
      <alignment horizontal="center"/>
    </xf>
    <xf numFmtId="165" fontId="48" fillId="0" borderId="22" xfId="5" applyNumberFormat="1" applyFont="1" applyFill="1" applyBorder="1" applyAlignment="1">
      <alignment horizontal="center"/>
    </xf>
    <xf numFmtId="0" fontId="48" fillId="0" borderId="9" xfId="2" applyFont="1" applyFill="1" applyBorder="1" applyAlignment="1">
      <alignment horizontal="center" vertical="center"/>
    </xf>
    <xf numFmtId="0" fontId="49" fillId="2" borderId="20" xfId="2" applyFont="1" applyFill="1" applyBorder="1" applyAlignment="1">
      <alignment vertical="top"/>
    </xf>
    <xf numFmtId="0" fontId="47" fillId="2" borderId="22" xfId="2" applyFont="1" applyFill="1" applyBorder="1" applyAlignment="1">
      <alignment vertical="top"/>
    </xf>
    <xf numFmtId="0" fontId="47" fillId="2" borderId="21" xfId="2" applyFont="1" applyFill="1" applyBorder="1" applyAlignment="1">
      <alignment vertical="top"/>
    </xf>
    <xf numFmtId="0" fontId="48" fillId="0" borderId="20" xfId="2" applyFont="1" applyFill="1" applyBorder="1" applyAlignment="1">
      <alignment horizontal="center" vertical="center"/>
    </xf>
    <xf numFmtId="0" fontId="46" fillId="0" borderId="3" xfId="2" applyFont="1" applyBorder="1" applyAlignment="1">
      <alignment vertical="top"/>
    </xf>
    <xf numFmtId="0" fontId="2" fillId="0" borderId="4" xfId="2" applyBorder="1"/>
    <xf numFmtId="0" fontId="2" fillId="0" borderId="5" xfId="2" applyBorder="1"/>
    <xf numFmtId="0" fontId="2" fillId="0" borderId="3" xfId="2" applyBorder="1"/>
    <xf numFmtId="0" fontId="2" fillId="0" borderId="21" xfId="2" applyBorder="1"/>
    <xf numFmtId="0" fontId="0" fillId="0" borderId="7" xfId="0" applyFont="1" applyBorder="1" applyAlignment="1">
      <alignment horizontal="center" vertical="center"/>
    </xf>
    <xf numFmtId="166" fontId="0" fillId="0" borderId="7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51" fillId="0" borderId="7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51" fillId="0" borderId="3" xfId="0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13" fillId="0" borderId="21" xfId="2" applyFont="1" applyBorder="1" applyAlignment="1">
      <alignment horizontal="left" vertical="center"/>
    </xf>
    <xf numFmtId="38" fontId="27" fillId="0" borderId="5" xfId="2" applyNumberFormat="1" applyFont="1" applyBorder="1" applyAlignment="1">
      <alignment horizontal="center"/>
    </xf>
    <xf numFmtId="0" fontId="13" fillId="0" borderId="16" xfId="2" applyFont="1" applyBorder="1"/>
    <xf numFmtId="0" fontId="18" fillId="0" borderId="16" xfId="2" applyFont="1" applyBorder="1" applyAlignment="1">
      <alignment horizontal="center"/>
    </xf>
    <xf numFmtId="0" fontId="20" fillId="0" borderId="16" xfId="2" applyFont="1" applyBorder="1" applyAlignment="1">
      <alignment horizontal="center" vertical="center"/>
    </xf>
    <xf numFmtId="0" fontId="21" fillId="0" borderId="16" xfId="2" applyFont="1" applyBorder="1" applyAlignment="1">
      <alignment horizontal="center"/>
    </xf>
    <xf numFmtId="38" fontId="23" fillId="0" borderId="16" xfId="2" applyNumberFormat="1" applyFont="1" applyFill="1" applyBorder="1" applyAlignment="1">
      <alignment horizontal="right"/>
    </xf>
    <xf numFmtId="0" fontId="2" fillId="0" borderId="15" xfId="2" applyBorder="1"/>
    <xf numFmtId="0" fontId="0" fillId="0" borderId="7" xfId="0" applyBorder="1"/>
    <xf numFmtId="41" fontId="0" fillId="0" borderId="7" xfId="1" applyFont="1" applyBorder="1"/>
    <xf numFmtId="41" fontId="0" fillId="0" borderId="7" xfId="0" applyNumberFormat="1" applyBorder="1"/>
    <xf numFmtId="41" fontId="53" fillId="0" borderId="7" xfId="1" applyFont="1" applyBorder="1"/>
    <xf numFmtId="41" fontId="53" fillId="2" borderId="7" xfId="1" applyFont="1" applyFill="1" applyBorder="1"/>
    <xf numFmtId="0" fontId="51" fillId="0" borderId="0" xfId="0" applyFont="1"/>
    <xf numFmtId="0" fontId="0" fillId="0" borderId="7" xfId="0" applyBorder="1" applyAlignment="1">
      <alignment horizontal="center"/>
    </xf>
    <xf numFmtId="0" fontId="12" fillId="0" borderId="16" xfId="2" quotePrefix="1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10" fillId="3" borderId="9" xfId="3" applyFont="1" applyFill="1" applyBorder="1" applyAlignment="1">
      <alignment horizontal="center" vertical="center" wrapText="1"/>
    </xf>
    <xf numFmtId="0" fontId="10" fillId="3" borderId="6" xfId="3" applyFont="1" applyFill="1" applyBorder="1" applyAlignment="1">
      <alignment horizontal="center" vertical="center" wrapText="1"/>
    </xf>
    <xf numFmtId="0" fontId="10" fillId="3" borderId="10" xfId="3" applyFont="1" applyFill="1" applyBorder="1" applyAlignment="1">
      <alignment horizontal="center" vertical="center" wrapText="1"/>
    </xf>
    <xf numFmtId="0" fontId="10" fillId="3" borderId="15" xfId="3" applyFont="1" applyFill="1" applyBorder="1" applyAlignment="1">
      <alignment horizontal="center" vertical="center" wrapText="1"/>
    </xf>
    <xf numFmtId="0" fontId="10" fillId="3" borderId="0" xfId="3" applyFont="1" applyFill="1" applyBorder="1" applyAlignment="1">
      <alignment horizontal="center" vertical="center" wrapText="1"/>
    </xf>
    <xf numFmtId="0" fontId="10" fillId="3" borderId="17" xfId="3" applyFont="1" applyFill="1" applyBorder="1" applyAlignment="1">
      <alignment horizontal="center" vertical="center" wrapText="1"/>
    </xf>
    <xf numFmtId="0" fontId="10" fillId="3" borderId="20" xfId="3" applyFont="1" applyFill="1" applyBorder="1" applyAlignment="1">
      <alignment horizontal="center" vertical="center" wrapText="1"/>
    </xf>
    <xf numFmtId="0" fontId="10" fillId="3" borderId="22" xfId="3" applyFont="1" applyFill="1" applyBorder="1" applyAlignment="1">
      <alignment horizontal="center" vertical="center" wrapText="1"/>
    </xf>
    <xf numFmtId="0" fontId="10" fillId="3" borderId="23" xfId="3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11" fillId="0" borderId="9" xfId="0" quotePrefix="1" applyFont="1" applyFill="1" applyBorder="1" applyAlignment="1">
      <alignment horizontal="center" vertical="center"/>
    </xf>
    <xf numFmtId="0" fontId="11" fillId="0" borderId="8" xfId="0" quotePrefix="1" applyFont="1" applyFill="1" applyBorder="1" applyAlignment="1">
      <alignment horizontal="center" vertical="center"/>
    </xf>
    <xf numFmtId="0" fontId="11" fillId="0" borderId="15" xfId="0" quotePrefix="1" applyFont="1" applyFill="1" applyBorder="1" applyAlignment="1">
      <alignment horizontal="center" vertical="center"/>
    </xf>
    <xf numFmtId="0" fontId="11" fillId="0" borderId="16" xfId="0" quotePrefix="1" applyFont="1" applyFill="1" applyBorder="1" applyAlignment="1">
      <alignment horizontal="center" vertical="center"/>
    </xf>
    <xf numFmtId="0" fontId="11" fillId="0" borderId="20" xfId="0" quotePrefix="1" applyFont="1" applyFill="1" applyBorder="1" applyAlignment="1">
      <alignment horizontal="center" vertical="center"/>
    </xf>
    <xf numFmtId="0" fontId="11" fillId="0" borderId="21" xfId="0" quotePrefix="1" applyFont="1" applyFill="1" applyBorder="1" applyAlignment="1">
      <alignment horizontal="center" vertical="center"/>
    </xf>
    <xf numFmtId="0" fontId="11" fillId="0" borderId="1" xfId="0" quotePrefix="1" applyFont="1" applyFill="1" applyBorder="1" applyAlignment="1">
      <alignment horizontal="center" vertical="center"/>
    </xf>
    <xf numFmtId="0" fontId="11" fillId="0" borderId="19" xfId="0" quotePrefix="1" applyFont="1" applyFill="1" applyBorder="1" applyAlignment="1">
      <alignment horizontal="center" vertical="center"/>
    </xf>
    <xf numFmtId="0" fontId="11" fillId="0" borderId="2" xfId="0" quotePrefix="1" applyFont="1" applyFill="1" applyBorder="1" applyAlignment="1">
      <alignment horizontal="center" vertical="center"/>
    </xf>
    <xf numFmtId="0" fontId="18" fillId="0" borderId="3" xfId="2" applyFont="1" applyBorder="1" applyAlignment="1">
      <alignment horizontal="center" vertical="center"/>
    </xf>
    <xf numFmtId="0" fontId="18" fillId="0" borderId="5" xfId="2" applyFont="1" applyBorder="1" applyAlignment="1">
      <alignment horizontal="center" vertical="center"/>
    </xf>
    <xf numFmtId="0" fontId="18" fillId="0" borderId="7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top"/>
    </xf>
    <xf numFmtId="0" fontId="14" fillId="0" borderId="19" xfId="2" applyFont="1" applyBorder="1" applyAlignment="1">
      <alignment horizontal="center" vertical="top"/>
    </xf>
    <xf numFmtId="0" fontId="14" fillId="0" borderId="2" xfId="2" applyFont="1" applyBorder="1" applyAlignment="1">
      <alignment horizontal="center" vertical="top"/>
    </xf>
    <xf numFmtId="0" fontId="24" fillId="0" borderId="3" xfId="2" applyFont="1" applyFill="1" applyBorder="1" applyAlignment="1">
      <alignment horizontal="left" vertical="center" wrapText="1"/>
    </xf>
    <xf numFmtId="0" fontId="24" fillId="0" borderId="5" xfId="2" applyFont="1" applyFill="1" applyBorder="1" applyAlignment="1">
      <alignment horizontal="left" vertical="center" wrapText="1"/>
    </xf>
    <xf numFmtId="0" fontId="25" fillId="0" borderId="3" xfId="2" applyFont="1" applyBorder="1" applyAlignment="1">
      <alignment horizontal="center" vertical="top" wrapText="1"/>
    </xf>
    <xf numFmtId="0" fontId="25" fillId="0" borderId="4" xfId="2" applyFont="1" applyBorder="1" applyAlignment="1">
      <alignment horizontal="center" vertical="top" wrapText="1"/>
    </xf>
    <xf numFmtId="0" fontId="25" fillId="0" borderId="5" xfId="2" applyFont="1" applyBorder="1" applyAlignment="1">
      <alignment horizontal="center" vertical="top" wrapText="1"/>
    </xf>
    <xf numFmtId="0" fontId="30" fillId="0" borderId="1" xfId="2" applyFont="1" applyBorder="1" applyAlignment="1">
      <alignment horizontal="left" vertical="center"/>
    </xf>
    <xf numFmtId="0" fontId="30" fillId="0" borderId="19" xfId="2" applyFont="1" applyBorder="1" applyAlignment="1">
      <alignment horizontal="left" vertical="center"/>
    </xf>
    <xf numFmtId="0" fontId="30" fillId="0" borderId="2" xfId="2" applyFont="1" applyBorder="1" applyAlignment="1">
      <alignment horizontal="left" vertical="center"/>
    </xf>
    <xf numFmtId="0" fontId="27" fillId="0" borderId="3" xfId="2" applyFont="1" applyBorder="1" applyAlignment="1">
      <alignment horizontal="center"/>
    </xf>
    <xf numFmtId="0" fontId="27" fillId="0" borderId="4" xfId="2" applyFont="1" applyBorder="1" applyAlignment="1">
      <alignment horizontal="center"/>
    </xf>
    <xf numFmtId="0" fontId="27" fillId="0" borderId="5" xfId="2" applyFont="1" applyBorder="1" applyAlignment="1">
      <alignment horizontal="center"/>
    </xf>
    <xf numFmtId="0" fontId="14" fillId="0" borderId="3" xfId="2" applyFont="1" applyFill="1" applyBorder="1" applyAlignment="1">
      <alignment horizontal="left" vertical="center"/>
    </xf>
    <xf numFmtId="0" fontId="14" fillId="0" borderId="5" xfId="2" applyFont="1" applyFill="1" applyBorder="1" applyAlignment="1">
      <alignment horizontal="left" vertical="center"/>
    </xf>
    <xf numFmtId="38" fontId="27" fillId="0" borderId="3" xfId="2" applyNumberFormat="1" applyFont="1" applyBorder="1" applyAlignment="1">
      <alignment horizontal="center"/>
    </xf>
    <xf numFmtId="38" fontId="27" fillId="0" borderId="4" xfId="2" applyNumberFormat="1" applyFont="1" applyBorder="1" applyAlignment="1">
      <alignment horizontal="center"/>
    </xf>
    <xf numFmtId="38" fontId="27" fillId="0" borderId="5" xfId="2" applyNumberFormat="1" applyFont="1" applyBorder="1" applyAlignment="1">
      <alignment horizontal="center"/>
    </xf>
    <xf numFmtId="0" fontId="28" fillId="0" borderId="3" xfId="2" applyFont="1" applyBorder="1" applyAlignment="1">
      <alignment horizontal="left" vertical="top" wrapText="1"/>
    </xf>
    <xf numFmtId="0" fontId="28" fillId="0" borderId="4" xfId="2" applyFont="1" applyBorder="1" applyAlignment="1">
      <alignment horizontal="left" vertical="top" wrapText="1"/>
    </xf>
    <xf numFmtId="0" fontId="28" fillId="0" borderId="5" xfId="2" applyFont="1" applyBorder="1" applyAlignment="1">
      <alignment horizontal="left" vertical="top" wrapText="1"/>
    </xf>
    <xf numFmtId="38" fontId="44" fillId="0" borderId="3" xfId="2" applyNumberFormat="1" applyFont="1" applyBorder="1" applyAlignment="1">
      <alignment horizontal="center"/>
    </xf>
    <xf numFmtId="38" fontId="44" fillId="0" borderId="4" xfId="2" applyNumberFormat="1" applyFont="1" applyBorder="1" applyAlignment="1">
      <alignment horizontal="center"/>
    </xf>
    <xf numFmtId="38" fontId="44" fillId="0" borderId="5" xfId="2" applyNumberFormat="1" applyFont="1" applyBorder="1" applyAlignment="1">
      <alignment horizontal="center"/>
    </xf>
    <xf numFmtId="0" fontId="30" fillId="0" borderId="3" xfId="2" applyFont="1" applyFill="1" applyBorder="1" applyAlignment="1">
      <alignment horizontal="left"/>
    </xf>
    <xf numFmtId="0" fontId="30" fillId="0" borderId="5" xfId="2" applyFont="1" applyFill="1" applyBorder="1" applyAlignment="1">
      <alignment horizontal="left"/>
    </xf>
    <xf numFmtId="38" fontId="21" fillId="0" borderId="3" xfId="2" applyNumberFormat="1" applyFont="1" applyBorder="1" applyAlignment="1">
      <alignment horizontal="center"/>
    </xf>
    <xf numFmtId="38" fontId="21" fillId="0" borderId="4" xfId="2" applyNumberFormat="1" applyFont="1" applyBorder="1" applyAlignment="1">
      <alignment horizontal="center"/>
    </xf>
    <xf numFmtId="38" fontId="21" fillId="0" borderId="5" xfId="2" applyNumberFormat="1" applyFont="1" applyBorder="1" applyAlignment="1">
      <alignment horizontal="center"/>
    </xf>
    <xf numFmtId="0" fontId="23" fillId="0" borderId="3" xfId="2" applyFont="1" applyBorder="1" applyAlignment="1">
      <alignment horizontal="center"/>
    </xf>
    <xf numFmtId="0" fontId="23" fillId="0" borderId="4" xfId="2" applyFont="1" applyBorder="1" applyAlignment="1">
      <alignment horizontal="center"/>
    </xf>
    <xf numFmtId="0" fontId="23" fillId="0" borderId="5" xfId="2" applyFont="1" applyBorder="1" applyAlignment="1">
      <alignment horizontal="center"/>
    </xf>
    <xf numFmtId="0" fontId="27" fillId="0" borderId="9" xfId="2" applyFont="1" applyBorder="1" applyAlignment="1">
      <alignment horizontal="center"/>
    </xf>
    <xf numFmtId="0" fontId="27" fillId="0" borderId="6" xfId="2" applyFont="1" applyBorder="1" applyAlignment="1">
      <alignment horizontal="center"/>
    </xf>
    <xf numFmtId="0" fontId="27" fillId="0" borderId="8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27" fillId="0" borderId="22" xfId="2" applyFont="1" applyBorder="1" applyAlignment="1">
      <alignment horizontal="center"/>
    </xf>
    <xf numFmtId="0" fontId="27" fillId="0" borderId="21" xfId="2" applyFont="1" applyBorder="1" applyAlignment="1">
      <alignment horizontal="center"/>
    </xf>
    <xf numFmtId="0" fontId="23" fillId="0" borderId="3" xfId="2" applyFont="1" applyFill="1" applyBorder="1" applyAlignment="1">
      <alignment horizontal="left" vertical="center"/>
    </xf>
    <xf numFmtId="0" fontId="23" fillId="0" borderId="4" xfId="2" applyFont="1" applyFill="1" applyBorder="1" applyAlignment="1">
      <alignment horizontal="left" vertical="center"/>
    </xf>
    <xf numFmtId="0" fontId="23" fillId="0" borderId="5" xfId="2" applyFont="1" applyFill="1" applyBorder="1" applyAlignment="1">
      <alignment horizontal="left" vertical="center"/>
    </xf>
    <xf numFmtId="165" fontId="27" fillId="0" borderId="3" xfId="5" applyNumberFormat="1" applyFont="1" applyFill="1" applyBorder="1" applyAlignment="1">
      <alignment horizontal="center"/>
    </xf>
    <xf numFmtId="165" fontId="27" fillId="0" borderId="4" xfId="5" applyNumberFormat="1" applyFont="1" applyFill="1" applyBorder="1" applyAlignment="1">
      <alignment horizontal="center"/>
    </xf>
    <xf numFmtId="165" fontId="27" fillId="0" borderId="5" xfId="5" applyNumberFormat="1" applyFont="1" applyFill="1" applyBorder="1" applyAlignment="1">
      <alignment horizontal="center"/>
    </xf>
    <xf numFmtId="0" fontId="14" fillId="0" borderId="3" xfId="2" applyFont="1" applyBorder="1" applyAlignment="1">
      <alignment horizontal="left" vertical="top"/>
    </xf>
    <xf numFmtId="0" fontId="14" fillId="0" borderId="4" xfId="2" applyFont="1" applyBorder="1" applyAlignment="1">
      <alignment horizontal="left" vertical="top"/>
    </xf>
    <xf numFmtId="0" fontId="24" fillId="0" borderId="3" xfId="2" applyFont="1" applyFill="1" applyBorder="1" applyAlignment="1">
      <alignment horizontal="left" vertical="center"/>
    </xf>
    <xf numFmtId="0" fontId="24" fillId="0" borderId="5" xfId="2" applyFont="1" applyFill="1" applyBorder="1" applyAlignment="1">
      <alignment horizontal="left" vertical="center"/>
    </xf>
    <xf numFmtId="165" fontId="27" fillId="0" borderId="3" xfId="2" applyNumberFormat="1" applyFont="1" applyBorder="1" applyAlignment="1">
      <alignment horizontal="center" vertical="center" wrapText="1"/>
    </xf>
    <xf numFmtId="165" fontId="27" fillId="0" borderId="4" xfId="2" applyNumberFormat="1" applyFont="1" applyBorder="1" applyAlignment="1">
      <alignment horizontal="center" vertical="center" wrapText="1"/>
    </xf>
    <xf numFmtId="165" fontId="27" fillId="0" borderId="5" xfId="2" applyNumberFormat="1" applyFont="1" applyBorder="1" applyAlignment="1">
      <alignment horizontal="center" vertical="center" wrapText="1"/>
    </xf>
    <xf numFmtId="165" fontId="23" fillId="0" borderId="3" xfId="5" applyNumberFormat="1" applyFont="1" applyFill="1" applyBorder="1" applyAlignment="1">
      <alignment horizontal="center"/>
    </xf>
    <xf numFmtId="165" fontId="23" fillId="0" borderId="4" xfId="5" applyNumberFormat="1" applyFont="1" applyFill="1" applyBorder="1" applyAlignment="1">
      <alignment horizontal="center"/>
    </xf>
    <xf numFmtId="165" fontId="23" fillId="0" borderId="5" xfId="5" applyNumberFormat="1" applyFont="1" applyFill="1" applyBorder="1" applyAlignment="1">
      <alignment horizontal="center"/>
    </xf>
    <xf numFmtId="0" fontId="14" fillId="0" borderId="1" xfId="2" applyFont="1" applyBorder="1" applyAlignment="1">
      <alignment horizontal="center" vertical="center"/>
    </xf>
    <xf numFmtId="0" fontId="14" fillId="0" borderId="2" xfId="2" applyFont="1" applyBorder="1" applyAlignment="1">
      <alignment horizontal="center" vertical="center"/>
    </xf>
    <xf numFmtId="0" fontId="15" fillId="0" borderId="1" xfId="2" applyFont="1" applyBorder="1" applyAlignment="1">
      <alignment horizontal="left" vertical="center"/>
    </xf>
    <xf numFmtId="0" fontId="15" fillId="0" borderId="2" xfId="2" applyFont="1" applyBorder="1" applyAlignment="1">
      <alignment horizontal="left" vertical="center"/>
    </xf>
    <xf numFmtId="0" fontId="14" fillId="0" borderId="19" xfId="2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top" wrapText="1"/>
    </xf>
    <xf numFmtId="0" fontId="51" fillId="0" borderId="15" xfId="0" applyFont="1" applyBorder="1" applyAlignment="1">
      <alignment horizontal="center" vertical="top" wrapText="1"/>
    </xf>
    <xf numFmtId="0" fontId="51" fillId="0" borderId="20" xfId="0" applyFont="1" applyBorder="1" applyAlignment="1">
      <alignment horizontal="center" vertical="top" wrapText="1"/>
    </xf>
    <xf numFmtId="3" fontId="52" fillId="4" borderId="3" xfId="2" applyNumberFormat="1" applyFont="1" applyFill="1" applyBorder="1" applyAlignment="1">
      <alignment horizontal="center"/>
    </xf>
    <xf numFmtId="3" fontId="52" fillId="4" borderId="4" xfId="2" applyNumberFormat="1" applyFont="1" applyFill="1" applyBorder="1" applyAlignment="1">
      <alignment horizontal="center"/>
    </xf>
    <xf numFmtId="3" fontId="52" fillId="4" borderId="5" xfId="2" applyNumberFormat="1" applyFont="1" applyFill="1" applyBorder="1" applyAlignment="1">
      <alignment horizontal="center"/>
    </xf>
    <xf numFmtId="0" fontId="48" fillId="0" borderId="1" xfId="2" applyFont="1" applyFill="1" applyBorder="1" applyAlignment="1">
      <alignment horizontal="center" vertical="center"/>
    </xf>
    <xf numFmtId="0" fontId="48" fillId="0" borderId="2" xfId="2" applyFont="1" applyFill="1" applyBorder="1" applyAlignment="1">
      <alignment horizontal="center" vertical="center"/>
    </xf>
    <xf numFmtId="165" fontId="48" fillId="0" borderId="9" xfId="5" applyNumberFormat="1" applyFont="1" applyFill="1" applyBorder="1" applyAlignment="1">
      <alignment horizontal="center"/>
    </xf>
    <xf numFmtId="165" fontId="48" fillId="0" borderId="6" xfId="5" applyNumberFormat="1" applyFont="1" applyFill="1" applyBorder="1" applyAlignment="1">
      <alignment horizontal="center"/>
    </xf>
    <xf numFmtId="165" fontId="48" fillId="0" borderId="8" xfId="5" applyNumberFormat="1" applyFont="1" applyFill="1" applyBorder="1" applyAlignment="1">
      <alignment horizontal="center"/>
    </xf>
    <xf numFmtId="165" fontId="48" fillId="0" borderId="20" xfId="5" applyNumberFormat="1" applyFont="1" applyFill="1" applyBorder="1" applyAlignment="1">
      <alignment horizontal="center"/>
    </xf>
    <xf numFmtId="165" fontId="48" fillId="0" borderId="22" xfId="5" applyNumberFormat="1" applyFont="1" applyFill="1" applyBorder="1" applyAlignment="1">
      <alignment horizontal="center"/>
    </xf>
    <xf numFmtId="165" fontId="48" fillId="0" borderId="21" xfId="5" applyNumberFormat="1" applyFont="1" applyFill="1" applyBorder="1" applyAlignment="1">
      <alignment horizontal="center"/>
    </xf>
    <xf numFmtId="0" fontId="50" fillId="3" borderId="9" xfId="3" applyFont="1" applyFill="1" applyBorder="1" applyAlignment="1">
      <alignment horizontal="left" vertical="center" wrapText="1"/>
    </xf>
    <xf numFmtId="0" fontId="50" fillId="3" borderId="6" xfId="3" applyFont="1" applyFill="1" applyBorder="1" applyAlignment="1">
      <alignment horizontal="left" vertical="center" wrapText="1"/>
    </xf>
    <xf numFmtId="0" fontId="50" fillId="3" borderId="8" xfId="3" applyFont="1" applyFill="1" applyBorder="1" applyAlignment="1">
      <alignment horizontal="left" vertical="center" wrapText="1"/>
    </xf>
    <xf numFmtId="0" fontId="50" fillId="3" borderId="15" xfId="3" applyFont="1" applyFill="1" applyBorder="1" applyAlignment="1">
      <alignment horizontal="left" vertical="center" wrapText="1"/>
    </xf>
    <xf numFmtId="0" fontId="50" fillId="3" borderId="0" xfId="3" applyFont="1" applyFill="1" applyBorder="1" applyAlignment="1">
      <alignment horizontal="left" vertical="center" wrapText="1"/>
    </xf>
    <xf numFmtId="0" fontId="50" fillId="3" borderId="16" xfId="3" applyFont="1" applyFill="1" applyBorder="1" applyAlignment="1">
      <alignment horizontal="left" vertical="center" wrapText="1"/>
    </xf>
    <xf numFmtId="0" fontId="50" fillId="3" borderId="20" xfId="3" applyFont="1" applyFill="1" applyBorder="1" applyAlignment="1">
      <alignment horizontal="left" vertical="center" wrapText="1"/>
    </xf>
    <xf numFmtId="0" fontId="50" fillId="3" borderId="22" xfId="3" applyFont="1" applyFill="1" applyBorder="1" applyAlignment="1">
      <alignment horizontal="left" vertical="center" wrapText="1"/>
    </xf>
    <xf numFmtId="0" fontId="50" fillId="3" borderId="21" xfId="3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46" fillId="2" borderId="9" xfId="2" applyFont="1" applyFill="1" applyBorder="1" applyAlignment="1">
      <alignment horizontal="left" vertical="top" wrapText="1"/>
    </xf>
    <xf numFmtId="0" fontId="46" fillId="2" borderId="6" xfId="2" applyFont="1" applyFill="1" applyBorder="1" applyAlignment="1">
      <alignment horizontal="left" vertical="top" wrapText="1"/>
    </xf>
    <xf numFmtId="0" fontId="48" fillId="0" borderId="1" xfId="2" applyFont="1" applyFill="1" applyBorder="1" applyAlignment="1">
      <alignment horizontal="center" vertical="center" wrapText="1"/>
    </xf>
    <xf numFmtId="0" fontId="48" fillId="0" borderId="2" xfId="2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</cellXfs>
  <cellStyles count="6">
    <cellStyle name="Comma [0]" xfId="1" builtinId="6"/>
    <cellStyle name="Comma 2" xfId="5"/>
    <cellStyle name="Hyperlink 2" xfId="4"/>
    <cellStyle name="Normal" xfId="0" builtinId="0"/>
    <cellStyle name="Normal 24" xfId="2"/>
    <cellStyle name="Normal 3" xfId="3"/>
  </cellStyles>
  <dxfs count="2">
    <dxf>
      <font>
        <color theme="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123825</xdr:colOff>
      <xdr:row>3</xdr:row>
      <xdr:rowOff>114300</xdr:rowOff>
    </xdr:from>
    <xdr:to>
      <xdr:col>7</xdr:col>
      <xdr:colOff>1228725</xdr:colOff>
      <xdr:row>6</xdr:row>
      <xdr:rowOff>171450</xdr:rowOff>
    </xdr:to>
    <xdr:pic>
      <xdr:nvPicPr>
        <xdr:cNvPr id="2" name="Picture 9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65" t="31770" r="39063" b="36458"/>
        <a:stretch>
          <a:fillRect/>
        </a:stretch>
      </xdr:blipFill>
      <xdr:spPr bwMode="auto">
        <a:xfrm>
          <a:off x="11172825" y="733425"/>
          <a:ext cx="11049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1264857</xdr:colOff>
      <xdr:row>1</xdr:row>
      <xdr:rowOff>173182</xdr:rowOff>
    </xdr:from>
    <xdr:to>
      <xdr:col>15</xdr:col>
      <xdr:colOff>1402771</xdr:colOff>
      <xdr:row>7</xdr:row>
      <xdr:rowOff>15585</xdr:rowOff>
    </xdr:to>
    <xdr:pic>
      <xdr:nvPicPr>
        <xdr:cNvPr id="3" name="Picture 4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856" b="7117"/>
        <a:stretch/>
      </xdr:blipFill>
      <xdr:spPr bwMode="auto">
        <a:xfrm>
          <a:off x="15448448" y="363682"/>
          <a:ext cx="6303187" cy="1470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619125</xdr:colOff>
      <xdr:row>81</xdr:row>
      <xdr:rowOff>123825</xdr:rowOff>
    </xdr:from>
    <xdr:to>
      <xdr:col>6</xdr:col>
      <xdr:colOff>704850</xdr:colOff>
      <xdr:row>86</xdr:row>
      <xdr:rowOff>95250</xdr:rowOff>
    </xdr:to>
    <xdr:pic>
      <xdr:nvPicPr>
        <xdr:cNvPr id="4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5925" y="35633025"/>
          <a:ext cx="923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guh.iman21@gmail.com" TargetMode="External"/><Relationship Id="rId2" Type="http://schemas.openxmlformats.org/officeDocument/2006/relationships/hyperlink" Target="mailto:teguh.iman21@gmail.com" TargetMode="External"/><Relationship Id="rId1" Type="http://schemas.openxmlformats.org/officeDocument/2006/relationships/hyperlink" Target="mailto:tonywaeyoo@yahoo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7"/>
  <sheetViews>
    <sheetView showGridLines="0" tabSelected="1" view="pageBreakPreview" topLeftCell="A67" zoomScale="55" zoomScaleNormal="85" zoomScaleSheetLayoutView="55" workbookViewId="0">
      <selection activeCell="N10" sqref="N10"/>
    </sheetView>
  </sheetViews>
  <sheetFormatPr defaultRowHeight="15" x14ac:dyDescent="0.25"/>
  <cols>
    <col min="1" max="1" width="3" style="1" customWidth="1"/>
    <col min="2" max="2" width="6.140625" style="1" customWidth="1"/>
    <col min="3" max="3" width="35" style="1" customWidth="1"/>
    <col min="4" max="4" width="73" style="1" customWidth="1"/>
    <col min="5" max="5" width="13.140625" style="1" customWidth="1"/>
    <col min="6" max="6" width="12.5703125" style="1" bestFit="1" customWidth="1"/>
    <col min="7" max="7" width="22.85546875" style="1" customWidth="1"/>
    <col min="8" max="8" width="21.140625" style="1" customWidth="1"/>
    <col min="9" max="9" width="13.140625" style="1" customWidth="1"/>
    <col min="10" max="10" width="12.5703125" style="1" bestFit="1" customWidth="1"/>
    <col min="11" max="11" width="22" style="1" customWidth="1"/>
    <col min="12" max="12" width="21.5703125" style="1" customWidth="1"/>
    <col min="13" max="13" width="14.42578125" style="1" customWidth="1"/>
    <col min="14" max="14" width="13.5703125" style="1" customWidth="1"/>
    <col min="15" max="15" width="20.7109375" style="1" customWidth="1"/>
    <col min="16" max="16" width="21.5703125" style="1" customWidth="1"/>
    <col min="17" max="18" width="2.7109375" style="1" customWidth="1"/>
    <col min="19" max="19" width="14.28515625" style="1" bestFit="1" customWidth="1"/>
    <col min="20" max="20" width="15.28515625" style="1" bestFit="1" customWidth="1"/>
    <col min="21" max="21" width="16.28515625" style="1" customWidth="1"/>
    <col min="22" max="16384" width="9.140625" style="1"/>
  </cols>
  <sheetData>
    <row r="1" spans="1:23" x14ac:dyDescent="0.25">
      <c r="B1" s="199">
        <v>4</v>
      </c>
    </row>
    <row r="2" spans="1:23" x14ac:dyDescent="0.25">
      <c r="B2" s="200"/>
      <c r="C2" s="2"/>
      <c r="L2" s="3"/>
      <c r="M2" s="3"/>
      <c r="N2" s="3"/>
      <c r="O2" s="3"/>
      <c r="P2" s="3"/>
    </row>
    <row r="3" spans="1:23" ht="18.75" x14ac:dyDescent="0.25">
      <c r="B3" s="4" t="s">
        <v>0</v>
      </c>
      <c r="C3" s="5"/>
      <c r="D3" s="5"/>
      <c r="E3" s="5"/>
      <c r="F3" s="5"/>
      <c r="G3" s="5"/>
      <c r="H3" s="6" t="s">
        <v>1</v>
      </c>
      <c r="I3" s="7" t="s">
        <v>2</v>
      </c>
      <c r="J3" s="7" t="s">
        <v>3</v>
      </c>
      <c r="K3" s="7"/>
      <c r="L3" s="7"/>
      <c r="M3" s="8" t="s">
        <v>4</v>
      </c>
      <c r="N3" s="198" t="s">
        <v>4</v>
      </c>
      <c r="O3" s="198"/>
      <c r="P3" s="8" t="s">
        <v>5</v>
      </c>
      <c r="Q3" s="180"/>
    </row>
    <row r="4" spans="1:23" ht="31.5" customHeight="1" x14ac:dyDescent="0.25">
      <c r="B4" s="201" t="s">
        <v>6</v>
      </c>
      <c r="C4" s="202"/>
      <c r="D4" s="202"/>
      <c r="E4" s="202"/>
      <c r="F4" s="202"/>
      <c r="G4" s="203"/>
      <c r="H4" s="210"/>
      <c r="I4" s="9" t="s">
        <v>7</v>
      </c>
      <c r="J4" s="10" t="s">
        <v>8</v>
      </c>
      <c r="K4" s="10"/>
      <c r="L4" s="11"/>
      <c r="M4" s="213"/>
      <c r="N4" s="216"/>
      <c r="O4" s="217"/>
      <c r="P4" s="222"/>
      <c r="Q4" s="197"/>
    </row>
    <row r="5" spans="1:23" ht="31.5" customHeight="1" x14ac:dyDescent="0.25">
      <c r="B5" s="204"/>
      <c r="C5" s="205"/>
      <c r="D5" s="205"/>
      <c r="E5" s="205"/>
      <c r="F5" s="205"/>
      <c r="G5" s="206"/>
      <c r="H5" s="211"/>
      <c r="I5" s="9" t="s">
        <v>9</v>
      </c>
      <c r="J5" s="10" t="s">
        <v>10</v>
      </c>
      <c r="K5" s="10"/>
      <c r="L5" s="11"/>
      <c r="M5" s="214"/>
      <c r="N5" s="218"/>
      <c r="O5" s="219"/>
      <c r="P5" s="223"/>
      <c r="Q5" s="197"/>
    </row>
    <row r="6" spans="1:23" ht="15.75" customHeight="1" x14ac:dyDescent="0.25">
      <c r="B6" s="204"/>
      <c r="C6" s="205"/>
      <c r="D6" s="205"/>
      <c r="E6" s="205"/>
      <c r="F6" s="205"/>
      <c r="G6" s="206"/>
      <c r="H6" s="211"/>
      <c r="I6" s="9" t="s">
        <v>11</v>
      </c>
      <c r="J6" s="10" t="s">
        <v>12</v>
      </c>
      <c r="K6" s="10"/>
      <c r="L6" s="11"/>
      <c r="M6" s="215"/>
      <c r="N6" s="220"/>
      <c r="O6" s="221"/>
      <c r="P6" s="224"/>
      <c r="Q6" s="181"/>
    </row>
    <row r="7" spans="1:23" ht="15" customHeight="1" x14ac:dyDescent="0.3">
      <c r="A7" s="12"/>
      <c r="B7" s="207"/>
      <c r="C7" s="208"/>
      <c r="D7" s="208"/>
      <c r="E7" s="208"/>
      <c r="F7" s="208"/>
      <c r="G7" s="209"/>
      <c r="H7" s="212"/>
      <c r="I7" s="13" t="s">
        <v>13</v>
      </c>
      <c r="J7" s="14" t="s">
        <v>162</v>
      </c>
      <c r="K7" s="15"/>
      <c r="L7" s="15"/>
      <c r="M7" s="8" t="s">
        <v>14</v>
      </c>
      <c r="N7" s="198" t="s">
        <v>15</v>
      </c>
      <c r="O7" s="198"/>
      <c r="P7" s="8" t="s">
        <v>16</v>
      </c>
      <c r="Q7" s="182"/>
    </row>
    <row r="8" spans="1:23" ht="30" customHeight="1" x14ac:dyDescent="0.4">
      <c r="A8" s="12"/>
      <c r="B8" s="16"/>
      <c r="C8" s="17" t="s">
        <v>17</v>
      </c>
      <c r="D8" s="18" t="s">
        <v>149</v>
      </c>
      <c r="E8" s="19"/>
      <c r="F8" s="20"/>
      <c r="G8" s="21"/>
      <c r="H8" s="22"/>
      <c r="I8" s="22"/>
      <c r="J8" s="22"/>
      <c r="K8" s="23"/>
      <c r="L8" s="24"/>
      <c r="M8" s="24"/>
      <c r="N8" s="24"/>
      <c r="O8" s="24"/>
      <c r="P8" s="184"/>
      <c r="Q8" s="25"/>
    </row>
    <row r="9" spans="1:23" ht="30" customHeight="1" x14ac:dyDescent="0.4">
      <c r="A9" s="12"/>
      <c r="B9" s="16"/>
      <c r="C9" s="17" t="s">
        <v>18</v>
      </c>
      <c r="D9" s="18" t="s">
        <v>150</v>
      </c>
      <c r="E9" s="19"/>
      <c r="F9" s="20"/>
      <c r="G9" s="21"/>
      <c r="H9" s="22"/>
      <c r="I9" s="22"/>
      <c r="J9" s="22"/>
      <c r="K9" s="26" t="s">
        <v>19</v>
      </c>
      <c r="L9" s="27"/>
      <c r="M9" s="27"/>
      <c r="N9" s="27"/>
      <c r="O9" s="27"/>
      <c r="P9" s="185"/>
      <c r="Q9" s="25"/>
    </row>
    <row r="10" spans="1:23" ht="30" customHeight="1" x14ac:dyDescent="0.4">
      <c r="A10" s="12"/>
      <c r="B10" s="16"/>
      <c r="C10" s="17" t="s">
        <v>20</v>
      </c>
      <c r="D10" s="18" t="s">
        <v>151</v>
      </c>
      <c r="E10" s="28"/>
      <c r="F10" s="29"/>
      <c r="G10" s="22"/>
      <c r="H10" s="22"/>
      <c r="I10" s="22"/>
      <c r="J10" s="22"/>
      <c r="K10" s="30" t="s">
        <v>21</v>
      </c>
      <c r="L10" s="30" t="s">
        <v>22</v>
      </c>
      <c r="M10" s="31"/>
      <c r="N10" s="31"/>
      <c r="O10" s="31"/>
      <c r="P10" s="186"/>
      <c r="Q10" s="25"/>
    </row>
    <row r="11" spans="1:23" ht="30" customHeight="1" x14ac:dyDescent="0.4">
      <c r="A11" s="12"/>
      <c r="B11" s="16"/>
      <c r="C11" s="17" t="s">
        <v>23</v>
      </c>
      <c r="D11" s="18" t="s">
        <v>121</v>
      </c>
      <c r="E11" s="29"/>
      <c r="F11" s="29"/>
      <c r="G11" s="22"/>
      <c r="H11" s="22"/>
      <c r="I11" s="22"/>
      <c r="J11" s="22"/>
      <c r="K11" s="32"/>
      <c r="L11" s="32" t="s">
        <v>24</v>
      </c>
      <c r="M11" s="33"/>
      <c r="N11" s="33"/>
      <c r="O11" s="33"/>
      <c r="P11" s="187"/>
      <c r="Q11" s="25"/>
    </row>
    <row r="12" spans="1:23" ht="9.9499999999999993" customHeight="1" x14ac:dyDescent="0.35">
      <c r="A12" s="12"/>
      <c r="B12" s="16"/>
      <c r="C12" s="34"/>
      <c r="D12" s="19"/>
      <c r="E12" s="29"/>
      <c r="F12" s="29"/>
      <c r="G12" s="22"/>
      <c r="H12" s="22"/>
      <c r="I12" s="22"/>
      <c r="J12" s="22"/>
      <c r="K12" s="24"/>
      <c r="L12" s="24"/>
      <c r="M12" s="24"/>
      <c r="N12" s="24"/>
      <c r="O12" s="24"/>
      <c r="P12" s="184"/>
      <c r="Q12" s="25"/>
    </row>
    <row r="13" spans="1:23" ht="56.25" customHeight="1" x14ac:dyDescent="0.25">
      <c r="B13" s="35" t="s">
        <v>25</v>
      </c>
      <c r="C13" s="225" t="s">
        <v>26</v>
      </c>
      <c r="D13" s="226"/>
      <c r="E13" s="227" t="s">
        <v>27</v>
      </c>
      <c r="F13" s="227"/>
      <c r="G13" s="227"/>
      <c r="H13" s="227"/>
      <c r="I13" s="227" t="s">
        <v>28</v>
      </c>
      <c r="J13" s="227"/>
      <c r="K13" s="227"/>
      <c r="L13" s="227"/>
      <c r="M13" s="227" t="s">
        <v>29</v>
      </c>
      <c r="N13" s="227"/>
      <c r="O13" s="227"/>
      <c r="P13" s="227"/>
      <c r="Q13" s="25"/>
    </row>
    <row r="14" spans="1:23" ht="35.1" customHeight="1" x14ac:dyDescent="0.25">
      <c r="B14" s="228">
        <v>1</v>
      </c>
      <c r="C14" s="36" t="s">
        <v>30</v>
      </c>
      <c r="D14" s="37"/>
      <c r="E14" s="38"/>
      <c r="F14" s="39"/>
      <c r="G14" s="39"/>
      <c r="H14" s="40"/>
      <c r="I14" s="38"/>
      <c r="J14" s="41"/>
      <c r="K14" s="41"/>
      <c r="L14" s="42"/>
      <c r="M14" s="41"/>
      <c r="N14" s="41"/>
      <c r="O14" s="41"/>
      <c r="P14" s="42"/>
      <c r="Q14" s="25"/>
      <c r="U14" s="3"/>
      <c r="V14" s="3"/>
      <c r="W14" s="3"/>
    </row>
    <row r="15" spans="1:23" s="43" customFormat="1" ht="57" customHeight="1" x14ac:dyDescent="0.35">
      <c r="B15" s="229"/>
      <c r="C15" s="231" t="s">
        <v>31</v>
      </c>
      <c r="D15" s="232"/>
      <c r="E15" s="233" t="s">
        <v>109</v>
      </c>
      <c r="F15" s="234"/>
      <c r="G15" s="234"/>
      <c r="H15" s="235"/>
      <c r="I15" s="233" t="s">
        <v>110</v>
      </c>
      <c r="J15" s="234"/>
      <c r="K15" s="234"/>
      <c r="L15" s="235"/>
      <c r="M15" s="233" t="s">
        <v>143</v>
      </c>
      <c r="N15" s="234"/>
      <c r="O15" s="234"/>
      <c r="P15" s="235"/>
      <c r="Q15" s="44"/>
      <c r="R15" s="45"/>
      <c r="U15" s="46"/>
      <c r="V15" s="46"/>
      <c r="W15" s="47"/>
    </row>
    <row r="16" spans="1:23" s="43" customFormat="1" ht="78" customHeight="1" x14ac:dyDescent="0.25">
      <c r="B16" s="229"/>
      <c r="C16" s="231" t="s">
        <v>32</v>
      </c>
      <c r="D16" s="232"/>
      <c r="E16" s="247" t="s">
        <v>111</v>
      </c>
      <c r="F16" s="248"/>
      <c r="G16" s="248"/>
      <c r="H16" s="249"/>
      <c r="I16" s="247" t="s">
        <v>112</v>
      </c>
      <c r="J16" s="248"/>
      <c r="K16" s="248"/>
      <c r="L16" s="249"/>
      <c r="M16" s="247" t="s">
        <v>144</v>
      </c>
      <c r="N16" s="248"/>
      <c r="O16" s="248"/>
      <c r="P16" s="249"/>
      <c r="Q16" s="48"/>
      <c r="R16" s="49"/>
      <c r="U16" s="50"/>
      <c r="V16" s="50"/>
      <c r="W16" s="50"/>
    </row>
    <row r="17" spans="2:23" s="43" customFormat="1" ht="35.1" customHeight="1" x14ac:dyDescent="0.35">
      <c r="B17" s="229"/>
      <c r="C17" s="236" t="s">
        <v>33</v>
      </c>
      <c r="D17" s="51" t="s">
        <v>34</v>
      </c>
      <c r="E17" s="52" t="s">
        <v>113</v>
      </c>
      <c r="F17" s="39"/>
      <c r="G17" s="39"/>
      <c r="H17" s="40"/>
      <c r="I17" s="52" t="s">
        <v>114</v>
      </c>
      <c r="J17" s="53"/>
      <c r="K17" s="53"/>
      <c r="L17" s="54"/>
      <c r="M17" s="52" t="s">
        <v>145</v>
      </c>
      <c r="N17" s="55"/>
      <c r="O17" s="55"/>
      <c r="P17" s="56"/>
      <c r="Q17" s="58"/>
      <c r="R17" s="59"/>
      <c r="U17" s="60"/>
      <c r="V17" s="60"/>
      <c r="W17" s="61"/>
    </row>
    <row r="18" spans="2:23" s="43" customFormat="1" ht="35.1" customHeight="1" x14ac:dyDescent="0.35">
      <c r="B18" s="229"/>
      <c r="C18" s="237"/>
      <c r="D18" s="51" t="s">
        <v>35</v>
      </c>
      <c r="E18" s="62" t="s">
        <v>115</v>
      </c>
      <c r="F18" s="63"/>
      <c r="G18" s="63"/>
      <c r="H18" s="64"/>
      <c r="I18" s="62" t="s">
        <v>116</v>
      </c>
      <c r="J18" s="65"/>
      <c r="K18" s="65"/>
      <c r="L18" s="66"/>
      <c r="M18" s="62" t="s">
        <v>146</v>
      </c>
      <c r="N18" s="63"/>
      <c r="O18" s="63"/>
      <c r="P18" s="66"/>
      <c r="Q18" s="48"/>
      <c r="R18" s="67"/>
      <c r="U18" s="68"/>
      <c r="V18" s="68"/>
      <c r="W18" s="69"/>
    </row>
    <row r="19" spans="2:23" s="43" customFormat="1" ht="35.1" customHeight="1" x14ac:dyDescent="0.4">
      <c r="B19" s="230"/>
      <c r="C19" s="238"/>
      <c r="D19" s="51" t="s">
        <v>36</v>
      </c>
      <c r="E19" s="70" t="s">
        <v>117</v>
      </c>
      <c r="F19" s="71"/>
      <c r="G19" s="71"/>
      <c r="H19" s="72"/>
      <c r="I19" s="70" t="s">
        <v>118</v>
      </c>
      <c r="J19" s="73"/>
      <c r="K19" s="73"/>
      <c r="L19" s="72"/>
      <c r="M19" s="70" t="s">
        <v>147</v>
      </c>
      <c r="N19" s="74"/>
      <c r="O19" s="74"/>
      <c r="P19" s="75"/>
      <c r="Q19" s="76"/>
      <c r="R19" s="67"/>
      <c r="U19" s="46"/>
      <c r="V19" s="46"/>
      <c r="W19" s="77"/>
    </row>
    <row r="20" spans="2:23" s="43" customFormat="1" ht="35.1" customHeight="1" x14ac:dyDescent="0.35">
      <c r="B20" s="78">
        <v>2</v>
      </c>
      <c r="C20" s="79" t="s">
        <v>37</v>
      </c>
      <c r="D20" s="79"/>
      <c r="E20" s="239" t="s">
        <v>119</v>
      </c>
      <c r="F20" s="240"/>
      <c r="G20" s="240"/>
      <c r="H20" s="241"/>
      <c r="I20" s="239" t="s">
        <v>120</v>
      </c>
      <c r="J20" s="240"/>
      <c r="K20" s="240"/>
      <c r="L20" s="241"/>
      <c r="M20" s="239" t="s">
        <v>148</v>
      </c>
      <c r="N20" s="240"/>
      <c r="O20" s="240"/>
      <c r="P20" s="241"/>
      <c r="Q20" s="58"/>
      <c r="R20" s="67"/>
      <c r="U20" s="50"/>
      <c r="V20" s="50"/>
      <c r="W20" s="50"/>
    </row>
    <row r="21" spans="2:23" s="43" customFormat="1" ht="35.1" customHeight="1" x14ac:dyDescent="0.35">
      <c r="B21" s="228">
        <v>3</v>
      </c>
      <c r="C21" s="242" t="s">
        <v>38</v>
      </c>
      <c r="D21" s="243"/>
      <c r="E21" s="239"/>
      <c r="F21" s="240"/>
      <c r="G21" s="240"/>
      <c r="H21" s="241"/>
      <c r="I21" s="244"/>
      <c r="J21" s="245"/>
      <c r="K21" s="245"/>
      <c r="L21" s="246"/>
      <c r="M21" s="80"/>
      <c r="N21" s="80"/>
      <c r="O21" s="80"/>
      <c r="P21" s="183"/>
      <c r="Q21" s="58"/>
      <c r="U21" s="50"/>
      <c r="V21" s="50"/>
      <c r="W21" s="50"/>
    </row>
    <row r="22" spans="2:23" s="43" customFormat="1" ht="35.1" customHeight="1" x14ac:dyDescent="0.4">
      <c r="B22" s="229"/>
      <c r="C22" s="253" t="s">
        <v>39</v>
      </c>
      <c r="D22" s="254"/>
      <c r="E22" s="250" t="s">
        <v>24</v>
      </c>
      <c r="F22" s="251"/>
      <c r="G22" s="251"/>
      <c r="H22" s="252"/>
      <c r="I22" s="250" t="s">
        <v>24</v>
      </c>
      <c r="J22" s="251"/>
      <c r="K22" s="251"/>
      <c r="L22" s="252"/>
      <c r="M22" s="250" t="s">
        <v>24</v>
      </c>
      <c r="N22" s="251"/>
      <c r="O22" s="251"/>
      <c r="P22" s="252"/>
      <c r="Q22" s="58"/>
      <c r="U22" s="50"/>
      <c r="V22" s="50"/>
      <c r="W22" s="50"/>
    </row>
    <row r="23" spans="2:23" s="43" customFormat="1" ht="35.1" customHeight="1" x14ac:dyDescent="0.4">
      <c r="B23" s="229"/>
      <c r="C23" s="81" t="s">
        <v>40</v>
      </c>
      <c r="D23" s="82"/>
      <c r="E23" s="250" t="s">
        <v>24</v>
      </c>
      <c r="F23" s="251"/>
      <c r="G23" s="251"/>
      <c r="H23" s="252"/>
      <c r="I23" s="255" t="s">
        <v>24</v>
      </c>
      <c r="J23" s="256"/>
      <c r="K23" s="256"/>
      <c r="L23" s="257"/>
      <c r="M23" s="255" t="s">
        <v>24</v>
      </c>
      <c r="N23" s="256"/>
      <c r="O23" s="256"/>
      <c r="P23" s="257"/>
      <c r="Q23" s="58"/>
    </row>
    <row r="24" spans="2:23" s="43" customFormat="1" ht="35.1" customHeight="1" x14ac:dyDescent="0.4">
      <c r="B24" s="229"/>
      <c r="C24" s="81" t="s">
        <v>41</v>
      </c>
      <c r="D24" s="82"/>
      <c r="E24" s="250" t="s">
        <v>24</v>
      </c>
      <c r="F24" s="251"/>
      <c r="G24" s="251"/>
      <c r="H24" s="252"/>
      <c r="I24" s="250" t="s">
        <v>24</v>
      </c>
      <c r="J24" s="251"/>
      <c r="K24" s="251"/>
      <c r="L24" s="252"/>
      <c r="M24" s="250" t="s">
        <v>24</v>
      </c>
      <c r="N24" s="251"/>
      <c r="O24" s="251"/>
      <c r="P24" s="252"/>
      <c r="Q24" s="58"/>
    </row>
    <row r="25" spans="2:23" s="43" customFormat="1" ht="35.1" customHeight="1" x14ac:dyDescent="0.4">
      <c r="B25" s="229"/>
      <c r="C25" s="81" t="s">
        <v>42</v>
      </c>
      <c r="D25" s="82"/>
      <c r="E25" s="250" t="s">
        <v>24</v>
      </c>
      <c r="F25" s="251"/>
      <c r="G25" s="251"/>
      <c r="H25" s="252"/>
      <c r="I25" s="250" t="s">
        <v>24</v>
      </c>
      <c r="J25" s="251"/>
      <c r="K25" s="251"/>
      <c r="L25" s="252"/>
      <c r="M25" s="250" t="s">
        <v>24</v>
      </c>
      <c r="N25" s="251"/>
      <c r="O25" s="251"/>
      <c r="P25" s="252"/>
      <c r="Q25" s="58"/>
    </row>
    <row r="26" spans="2:23" s="43" customFormat="1" ht="35.1" customHeight="1" x14ac:dyDescent="0.4">
      <c r="B26" s="229"/>
      <c r="C26" s="81" t="s">
        <v>43</v>
      </c>
      <c r="D26" s="82"/>
      <c r="E26" s="250" t="s">
        <v>24</v>
      </c>
      <c r="F26" s="251"/>
      <c r="G26" s="251"/>
      <c r="H26" s="252"/>
      <c r="I26" s="250" t="s">
        <v>24</v>
      </c>
      <c r="J26" s="251"/>
      <c r="K26" s="251"/>
      <c r="L26" s="252"/>
      <c r="M26" s="250" t="s">
        <v>24</v>
      </c>
      <c r="N26" s="251"/>
      <c r="O26" s="251"/>
      <c r="P26" s="252"/>
      <c r="Q26" s="58"/>
    </row>
    <row r="27" spans="2:23" s="43" customFormat="1" ht="35.1" customHeight="1" x14ac:dyDescent="0.4">
      <c r="B27" s="229"/>
      <c r="C27" s="81" t="s">
        <v>44</v>
      </c>
      <c r="D27" s="82"/>
      <c r="E27" s="250" t="s">
        <v>24</v>
      </c>
      <c r="F27" s="251"/>
      <c r="G27" s="251"/>
      <c r="H27" s="252"/>
      <c r="I27" s="250" t="s">
        <v>24</v>
      </c>
      <c r="J27" s="251"/>
      <c r="K27" s="251"/>
      <c r="L27" s="252"/>
      <c r="M27" s="250" t="s">
        <v>24</v>
      </c>
      <c r="N27" s="251"/>
      <c r="O27" s="251"/>
      <c r="P27" s="252"/>
      <c r="Q27" s="58"/>
    </row>
    <row r="28" spans="2:23" s="43" customFormat="1" ht="35.1" customHeight="1" x14ac:dyDescent="0.4">
      <c r="B28" s="229"/>
      <c r="C28" s="81" t="s">
        <v>45</v>
      </c>
      <c r="D28" s="82"/>
      <c r="E28" s="250" t="s">
        <v>24</v>
      </c>
      <c r="F28" s="251"/>
      <c r="G28" s="251"/>
      <c r="H28" s="252"/>
      <c r="I28" s="250" t="s">
        <v>24</v>
      </c>
      <c r="J28" s="251"/>
      <c r="K28" s="251"/>
      <c r="L28" s="252"/>
      <c r="M28" s="250" t="s">
        <v>24</v>
      </c>
      <c r="N28" s="251"/>
      <c r="O28" s="251"/>
      <c r="P28" s="252"/>
      <c r="Q28" s="58"/>
    </row>
    <row r="29" spans="2:23" s="43" customFormat="1" ht="35.1" customHeight="1" x14ac:dyDescent="0.4">
      <c r="B29" s="229"/>
      <c r="C29" s="81" t="s">
        <v>46</v>
      </c>
      <c r="D29" s="82"/>
      <c r="E29" s="244" t="s">
        <v>47</v>
      </c>
      <c r="F29" s="245"/>
      <c r="G29" s="245"/>
      <c r="H29" s="246"/>
      <c r="I29" s="244" t="s">
        <v>47</v>
      </c>
      <c r="J29" s="245"/>
      <c r="K29" s="245"/>
      <c r="L29" s="246"/>
      <c r="M29" s="244" t="s">
        <v>47</v>
      </c>
      <c r="N29" s="245"/>
      <c r="O29" s="245"/>
      <c r="P29" s="246"/>
      <c r="Q29" s="58"/>
    </row>
    <row r="30" spans="2:23" s="43" customFormat="1" ht="35.1" customHeight="1" x14ac:dyDescent="0.4">
      <c r="B30" s="230"/>
      <c r="C30" s="253" t="s">
        <v>48</v>
      </c>
      <c r="D30" s="254"/>
      <c r="E30" s="244" t="s">
        <v>47</v>
      </c>
      <c r="F30" s="245"/>
      <c r="G30" s="245"/>
      <c r="H30" s="246"/>
      <c r="I30" s="244" t="s">
        <v>47</v>
      </c>
      <c r="J30" s="245"/>
      <c r="K30" s="245"/>
      <c r="L30" s="246"/>
      <c r="M30" s="244" t="s">
        <v>47</v>
      </c>
      <c r="N30" s="245"/>
      <c r="O30" s="245"/>
      <c r="P30" s="246"/>
      <c r="Q30" s="58"/>
    </row>
    <row r="31" spans="2:23" s="43" customFormat="1" ht="35.1" customHeight="1" x14ac:dyDescent="0.35">
      <c r="B31" s="228">
        <v>5</v>
      </c>
      <c r="C31" s="83" t="s">
        <v>49</v>
      </c>
      <c r="D31" s="84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6"/>
      <c r="Q31" s="58"/>
    </row>
    <row r="32" spans="2:23" s="43" customFormat="1" ht="35.1" customHeight="1" x14ac:dyDescent="0.4">
      <c r="B32" s="229"/>
      <c r="C32" s="87" t="s">
        <v>152</v>
      </c>
      <c r="D32" s="88"/>
      <c r="E32" s="89"/>
      <c r="F32" s="89"/>
      <c r="G32" s="258" t="s">
        <v>50</v>
      </c>
      <c r="H32" s="259"/>
      <c r="I32" s="259"/>
      <c r="J32" s="260"/>
      <c r="K32" s="89"/>
      <c r="L32" s="89"/>
      <c r="M32" s="89"/>
      <c r="N32" s="89"/>
      <c r="O32" s="89"/>
      <c r="P32" s="90"/>
      <c r="Q32" s="58"/>
    </row>
    <row r="33" spans="2:17" s="43" customFormat="1" ht="35.1" customHeight="1" x14ac:dyDescent="0.4">
      <c r="B33" s="229"/>
      <c r="C33" s="87" t="s">
        <v>153</v>
      </c>
      <c r="D33" s="88"/>
      <c r="E33" s="89"/>
      <c r="F33" s="89"/>
      <c r="G33" s="261"/>
      <c r="H33" s="262"/>
      <c r="I33" s="262"/>
      <c r="J33" s="263"/>
      <c r="K33" s="89"/>
      <c r="L33" s="89"/>
      <c r="M33" s="89"/>
      <c r="N33" s="89"/>
      <c r="O33" s="89"/>
      <c r="P33" s="90"/>
      <c r="Q33" s="58"/>
    </row>
    <row r="34" spans="2:17" s="43" customFormat="1" ht="35.1" customHeight="1" x14ac:dyDescent="0.4">
      <c r="B34" s="229"/>
      <c r="C34" s="87" t="s">
        <v>154</v>
      </c>
      <c r="D34" s="91"/>
      <c r="E34" s="89"/>
      <c r="F34" s="89"/>
      <c r="G34" s="264"/>
      <c r="H34" s="265"/>
      <c r="I34" s="265"/>
      <c r="J34" s="266"/>
      <c r="K34" s="89"/>
      <c r="L34" s="89"/>
      <c r="M34" s="89"/>
      <c r="N34" s="89"/>
      <c r="O34" s="89"/>
      <c r="P34" s="90"/>
      <c r="Q34" s="58"/>
    </row>
    <row r="35" spans="2:17" s="43" customFormat="1" ht="35.1" customHeight="1" x14ac:dyDescent="0.4">
      <c r="B35" s="229"/>
      <c r="C35" s="87" t="s">
        <v>155</v>
      </c>
      <c r="D35" s="91"/>
      <c r="E35" s="89"/>
      <c r="F35" s="89"/>
      <c r="G35" s="267" t="s">
        <v>51</v>
      </c>
      <c r="H35" s="268"/>
      <c r="I35" s="268"/>
      <c r="J35" s="269"/>
      <c r="K35" s="89"/>
      <c r="L35" s="89"/>
      <c r="M35" s="89"/>
      <c r="N35" s="89"/>
      <c r="O35" s="89"/>
      <c r="P35" s="90"/>
      <c r="Q35" s="58"/>
    </row>
    <row r="36" spans="2:17" s="43" customFormat="1" ht="35.1" customHeight="1" x14ac:dyDescent="0.4">
      <c r="B36" s="229"/>
      <c r="C36" s="87"/>
      <c r="D36" s="91"/>
      <c r="E36" s="89"/>
      <c r="F36" s="89"/>
      <c r="G36" s="267" t="s">
        <v>52</v>
      </c>
      <c r="H36" s="268"/>
      <c r="I36" s="268"/>
      <c r="J36" s="269"/>
      <c r="K36" s="89"/>
      <c r="L36" s="89"/>
      <c r="M36" s="89"/>
      <c r="N36" s="89"/>
      <c r="O36" s="89"/>
      <c r="P36" s="90"/>
      <c r="Q36" s="58"/>
    </row>
    <row r="37" spans="2:17" s="43" customFormat="1" ht="35.1" customHeight="1" x14ac:dyDescent="0.35">
      <c r="B37" s="230"/>
      <c r="C37" s="92"/>
      <c r="D37" s="93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5"/>
      <c r="Q37" s="58"/>
    </row>
    <row r="38" spans="2:17" s="43" customFormat="1" ht="35.1" customHeight="1" x14ac:dyDescent="0.35">
      <c r="B38" s="228">
        <v>6</v>
      </c>
      <c r="C38" s="273" t="s">
        <v>53</v>
      </c>
      <c r="D38" s="274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57"/>
      <c r="Q38" s="58"/>
    </row>
    <row r="39" spans="2:17" s="43" customFormat="1" ht="35.1" customHeight="1" x14ac:dyDescent="0.35">
      <c r="B39" s="229"/>
      <c r="C39" s="275" t="s">
        <v>54</v>
      </c>
      <c r="D39" s="276"/>
      <c r="E39" s="96"/>
      <c r="F39" s="97"/>
      <c r="G39" s="97"/>
      <c r="H39" s="98"/>
      <c r="I39" s="96"/>
      <c r="J39" s="97"/>
      <c r="K39" s="97"/>
      <c r="L39" s="98"/>
      <c r="M39" s="97"/>
      <c r="N39" s="97"/>
      <c r="O39" s="97"/>
      <c r="P39" s="98"/>
      <c r="Q39" s="58"/>
    </row>
    <row r="40" spans="2:17" s="43" customFormat="1" ht="35.1" customHeight="1" x14ac:dyDescent="0.4">
      <c r="B40" s="229"/>
      <c r="C40" s="253" t="s">
        <v>55</v>
      </c>
      <c r="D40" s="254"/>
      <c r="E40" s="99" t="s">
        <v>56</v>
      </c>
      <c r="F40" s="99" t="s">
        <v>57</v>
      </c>
      <c r="G40" s="100" t="s">
        <v>53</v>
      </c>
      <c r="H40" s="100" t="s">
        <v>58</v>
      </c>
      <c r="I40" s="99" t="s">
        <v>56</v>
      </c>
      <c r="J40" s="99" t="s">
        <v>57</v>
      </c>
      <c r="K40" s="100" t="s">
        <v>53</v>
      </c>
      <c r="L40" s="100" t="s">
        <v>58</v>
      </c>
      <c r="M40" s="99" t="s">
        <v>56</v>
      </c>
      <c r="N40" s="99" t="s">
        <v>57</v>
      </c>
      <c r="O40" s="100" t="s">
        <v>53</v>
      </c>
      <c r="P40" s="100" t="s">
        <v>58</v>
      </c>
      <c r="Q40" s="58"/>
    </row>
    <row r="41" spans="2:17" s="43" customFormat="1" ht="35.1" customHeight="1" x14ac:dyDescent="0.4">
      <c r="B41" s="229"/>
      <c r="C41" s="101" t="s">
        <v>156</v>
      </c>
      <c r="D41" s="102"/>
      <c r="E41" s="103" t="s">
        <v>158</v>
      </c>
      <c r="F41" s="104">
        <v>1</v>
      </c>
      <c r="G41" s="105">
        <v>7700000</v>
      </c>
      <c r="H41" s="105">
        <f>F41*G41</f>
        <v>7700000</v>
      </c>
      <c r="I41" s="103" t="s">
        <v>158</v>
      </c>
      <c r="J41" s="104">
        <v>1</v>
      </c>
      <c r="K41" s="105">
        <v>7100000</v>
      </c>
      <c r="L41" s="105">
        <f>J41*K41</f>
        <v>7100000</v>
      </c>
      <c r="M41" s="103" t="s">
        <v>158</v>
      </c>
      <c r="N41" s="104">
        <v>1</v>
      </c>
      <c r="O41" s="105">
        <v>7084000</v>
      </c>
      <c r="P41" s="105">
        <f>N41*O41</f>
        <v>7084000</v>
      </c>
      <c r="Q41" s="58"/>
    </row>
    <row r="42" spans="2:17" s="43" customFormat="1" ht="35.1" customHeight="1" x14ac:dyDescent="0.4">
      <c r="B42" s="229"/>
      <c r="C42" s="101" t="s">
        <v>59</v>
      </c>
      <c r="D42" s="102"/>
      <c r="E42" s="103"/>
      <c r="F42" s="104"/>
      <c r="G42" s="106"/>
      <c r="H42" s="105">
        <f>H41</f>
        <v>7700000</v>
      </c>
      <c r="I42" s="103"/>
      <c r="J42" s="104"/>
      <c r="K42" s="105"/>
      <c r="L42" s="105">
        <f>L41</f>
        <v>7100000</v>
      </c>
      <c r="M42" s="105"/>
      <c r="N42" s="105"/>
      <c r="O42" s="105"/>
      <c r="P42" s="105">
        <f>P41</f>
        <v>7084000</v>
      </c>
      <c r="Q42" s="58"/>
    </row>
    <row r="43" spans="2:17" s="43" customFormat="1" ht="35.1" customHeight="1" x14ac:dyDescent="0.4">
      <c r="B43" s="229"/>
      <c r="C43" s="101" t="s">
        <v>60</v>
      </c>
      <c r="D43" s="102"/>
      <c r="E43" s="103"/>
      <c r="F43" s="104"/>
      <c r="G43" s="106"/>
      <c r="H43" s="105"/>
      <c r="I43" s="103"/>
      <c r="J43" s="104"/>
      <c r="K43" s="105"/>
      <c r="L43" s="105"/>
      <c r="M43" s="105"/>
      <c r="N43" s="105"/>
      <c r="O43" s="105"/>
      <c r="P43" s="105"/>
      <c r="Q43" s="58"/>
    </row>
    <row r="44" spans="2:17" s="43" customFormat="1" ht="35.1" customHeight="1" x14ac:dyDescent="0.4">
      <c r="B44" s="229"/>
      <c r="C44" s="253" t="s">
        <v>55</v>
      </c>
      <c r="D44" s="254"/>
      <c r="E44" s="99" t="s">
        <v>56</v>
      </c>
      <c r="F44" s="99" t="s">
        <v>57</v>
      </c>
      <c r="G44" s="100" t="s">
        <v>53</v>
      </c>
      <c r="H44" s="100" t="s">
        <v>58</v>
      </c>
      <c r="I44" s="99" t="s">
        <v>56</v>
      </c>
      <c r="J44" s="99" t="s">
        <v>57</v>
      </c>
      <c r="K44" s="100" t="s">
        <v>53</v>
      </c>
      <c r="L44" s="100" t="s">
        <v>58</v>
      </c>
      <c r="M44" s="99" t="s">
        <v>56</v>
      </c>
      <c r="N44" s="99" t="s">
        <v>57</v>
      </c>
      <c r="O44" s="100" t="s">
        <v>53</v>
      </c>
      <c r="P44" s="100" t="s">
        <v>58</v>
      </c>
      <c r="Q44" s="58"/>
    </row>
    <row r="45" spans="2:17" s="43" customFormat="1" ht="35.1" customHeight="1" x14ac:dyDescent="0.4">
      <c r="B45" s="229"/>
      <c r="C45" s="101" t="s">
        <v>157</v>
      </c>
      <c r="D45" s="102"/>
      <c r="E45" s="103" t="s">
        <v>142</v>
      </c>
      <c r="F45" s="104">
        <v>1</v>
      </c>
      <c r="G45" s="106">
        <v>2900000</v>
      </c>
      <c r="H45" s="105">
        <f>F45*G45</f>
        <v>2900000</v>
      </c>
      <c r="I45" s="103" t="s">
        <v>142</v>
      </c>
      <c r="J45" s="104">
        <v>1</v>
      </c>
      <c r="K45" s="106">
        <v>2500000</v>
      </c>
      <c r="L45" s="105">
        <f>J45*K45</f>
        <v>2500000</v>
      </c>
      <c r="M45" s="107" t="s">
        <v>142</v>
      </c>
      <c r="N45" s="105">
        <v>1</v>
      </c>
      <c r="O45" s="106">
        <f>453000+1856000</f>
        <v>2309000</v>
      </c>
      <c r="P45" s="105">
        <f>N45*O45</f>
        <v>2309000</v>
      </c>
      <c r="Q45" s="58"/>
    </row>
    <row r="46" spans="2:17" s="43" customFormat="1" ht="35.1" customHeight="1" x14ac:dyDescent="0.4">
      <c r="B46" s="229"/>
      <c r="C46" s="101" t="s">
        <v>59</v>
      </c>
      <c r="D46" s="102"/>
      <c r="E46" s="103"/>
      <c r="F46" s="104"/>
      <c r="G46" s="106"/>
      <c r="H46" s="105">
        <f>H45</f>
        <v>2900000</v>
      </c>
      <c r="I46" s="103"/>
      <c r="J46" s="104"/>
      <c r="K46" s="105"/>
      <c r="L46" s="105">
        <f>L45</f>
        <v>2500000</v>
      </c>
      <c r="M46" s="105"/>
      <c r="N46" s="105"/>
      <c r="O46" s="105"/>
      <c r="P46" s="105">
        <f>P45</f>
        <v>2309000</v>
      </c>
      <c r="Q46" s="58"/>
    </row>
    <row r="47" spans="2:17" s="43" customFormat="1" ht="35.1" customHeight="1" x14ac:dyDescent="0.4">
      <c r="B47" s="108"/>
      <c r="C47" s="101" t="s">
        <v>61</v>
      </c>
      <c r="D47" s="102"/>
      <c r="E47" s="109"/>
      <c r="F47" s="110"/>
      <c r="G47" s="111"/>
      <c r="H47" s="112">
        <f>H42+H46</f>
        <v>10600000</v>
      </c>
      <c r="I47" s="109"/>
      <c r="J47" s="110"/>
      <c r="K47" s="111"/>
      <c r="L47" s="112">
        <f>L42+L46</f>
        <v>9600000</v>
      </c>
      <c r="M47" s="113"/>
      <c r="N47" s="113"/>
      <c r="O47" s="113"/>
      <c r="P47" s="112">
        <f>P42+P46</f>
        <v>9393000</v>
      </c>
      <c r="Q47" s="58"/>
    </row>
    <row r="48" spans="2:17" s="43" customFormat="1" ht="35.1" customHeight="1" x14ac:dyDescent="0.4">
      <c r="B48" s="108"/>
      <c r="C48" s="101" t="s">
        <v>62</v>
      </c>
      <c r="D48" s="102"/>
      <c r="E48" s="109"/>
      <c r="F48" s="110"/>
      <c r="G48" s="111"/>
      <c r="H48" s="112">
        <f>7500000+2700000</f>
        <v>10200000</v>
      </c>
      <c r="I48" s="109"/>
      <c r="J48" s="110"/>
      <c r="K48" s="111"/>
      <c r="L48" s="112">
        <f>6500000+1800000</f>
        <v>8300000</v>
      </c>
      <c r="M48" s="113"/>
      <c r="N48" s="113"/>
      <c r="O48" s="113"/>
      <c r="P48" s="112">
        <f>7000000+1850000+453000</f>
        <v>9303000</v>
      </c>
      <c r="Q48" s="58"/>
    </row>
    <row r="49" spans="2:21" s="43" customFormat="1" ht="35.1" customHeight="1" x14ac:dyDescent="0.4">
      <c r="B49" s="108"/>
      <c r="C49" s="101" t="s">
        <v>63</v>
      </c>
      <c r="D49" s="102"/>
      <c r="E49" s="109"/>
      <c r="F49" s="110"/>
      <c r="G49" s="111"/>
      <c r="H49" s="112">
        <v>10200000</v>
      </c>
      <c r="I49" s="109"/>
      <c r="J49" s="110"/>
      <c r="K49" s="111"/>
      <c r="L49" s="112"/>
      <c r="M49" s="113"/>
      <c r="N49" s="113"/>
      <c r="O49" s="113"/>
      <c r="P49" s="112"/>
      <c r="Q49" s="58"/>
    </row>
    <row r="50" spans="2:21" s="43" customFormat="1" ht="35.1" customHeight="1" x14ac:dyDescent="0.5">
      <c r="B50" s="108"/>
      <c r="C50" s="101" t="s">
        <v>64</v>
      </c>
      <c r="D50" s="82"/>
      <c r="E50" s="291">
        <f>H49</f>
        <v>10200000</v>
      </c>
      <c r="F50" s="292"/>
      <c r="G50" s="292"/>
      <c r="H50" s="293"/>
      <c r="I50" s="291">
        <f>L48</f>
        <v>8300000</v>
      </c>
      <c r="J50" s="292"/>
      <c r="K50" s="292"/>
      <c r="L50" s="293"/>
      <c r="M50" s="291">
        <f>P48</f>
        <v>9303000</v>
      </c>
      <c r="N50" s="292"/>
      <c r="O50" s="292"/>
      <c r="P50" s="293"/>
      <c r="Q50" s="58"/>
    </row>
    <row r="51" spans="2:21" s="43" customFormat="1" ht="35.1" customHeight="1" x14ac:dyDescent="0.4">
      <c r="B51" s="78">
        <v>7</v>
      </c>
      <c r="C51" s="114" t="s">
        <v>65</v>
      </c>
      <c r="D51" s="91"/>
      <c r="E51" s="115"/>
      <c r="F51" s="116"/>
      <c r="G51" s="117"/>
      <c r="H51" s="118"/>
      <c r="I51" s="115"/>
      <c r="J51" s="116"/>
      <c r="K51" s="117"/>
      <c r="L51" s="119"/>
      <c r="M51" s="120"/>
      <c r="N51" s="120"/>
      <c r="O51" s="120"/>
      <c r="P51" s="188"/>
      <c r="Q51" s="58"/>
    </row>
    <row r="52" spans="2:21" s="43" customFormat="1" ht="35.1" customHeight="1" x14ac:dyDescent="0.4">
      <c r="B52" s="121"/>
      <c r="C52" s="122" t="s">
        <v>66</v>
      </c>
      <c r="D52" s="123"/>
      <c r="E52" s="270" t="s">
        <v>67</v>
      </c>
      <c r="F52" s="271"/>
      <c r="G52" s="271"/>
      <c r="H52" s="272"/>
      <c r="I52" s="270" t="s">
        <v>67</v>
      </c>
      <c r="J52" s="271"/>
      <c r="K52" s="271"/>
      <c r="L52" s="272"/>
      <c r="M52" s="270" t="s">
        <v>67</v>
      </c>
      <c r="N52" s="271"/>
      <c r="O52" s="271"/>
      <c r="P52" s="272"/>
      <c r="Q52" s="58"/>
    </row>
    <row r="53" spans="2:21" s="43" customFormat="1" ht="35.1" customHeight="1" x14ac:dyDescent="0.4">
      <c r="B53" s="121"/>
      <c r="C53" s="124" t="s">
        <v>68</v>
      </c>
      <c r="D53" s="91"/>
      <c r="E53" s="270" t="s">
        <v>67</v>
      </c>
      <c r="F53" s="271"/>
      <c r="G53" s="271"/>
      <c r="H53" s="272"/>
      <c r="I53" s="270" t="s">
        <v>67</v>
      </c>
      <c r="J53" s="271"/>
      <c r="K53" s="271"/>
      <c r="L53" s="272"/>
      <c r="M53" s="270" t="s">
        <v>67</v>
      </c>
      <c r="N53" s="271"/>
      <c r="O53" s="271"/>
      <c r="P53" s="272"/>
      <c r="Q53" s="58"/>
    </row>
    <row r="54" spans="2:21" s="43" customFormat="1" ht="35.1" customHeight="1" x14ac:dyDescent="0.4">
      <c r="B54" s="121"/>
      <c r="C54" s="125" t="s">
        <v>69</v>
      </c>
      <c r="D54" s="126"/>
      <c r="E54" s="270" t="s">
        <v>67</v>
      </c>
      <c r="F54" s="271"/>
      <c r="G54" s="271"/>
      <c r="H54" s="272"/>
      <c r="I54" s="270" t="s">
        <v>67</v>
      </c>
      <c r="J54" s="271"/>
      <c r="K54" s="271"/>
      <c r="L54" s="272"/>
      <c r="M54" s="270" t="s">
        <v>67</v>
      </c>
      <c r="N54" s="271"/>
      <c r="O54" s="271"/>
      <c r="P54" s="272"/>
      <c r="Q54" s="58"/>
    </row>
    <row r="55" spans="2:21" s="43" customFormat="1" ht="35.1" customHeight="1" x14ac:dyDescent="0.4">
      <c r="B55" s="127"/>
      <c r="C55" s="122" t="s">
        <v>70</v>
      </c>
      <c r="D55" s="123"/>
      <c r="E55" s="280" t="s">
        <v>24</v>
      </c>
      <c r="F55" s="281"/>
      <c r="G55" s="281"/>
      <c r="H55" s="282"/>
      <c r="I55" s="280" t="s">
        <v>24</v>
      </c>
      <c r="J55" s="281"/>
      <c r="K55" s="281"/>
      <c r="L55" s="282"/>
      <c r="M55" s="280" t="s">
        <v>24</v>
      </c>
      <c r="N55" s="281"/>
      <c r="O55" s="281"/>
      <c r="P55" s="282"/>
      <c r="Q55" s="58"/>
    </row>
    <row r="56" spans="2:21" s="43" customFormat="1" ht="72.75" customHeight="1" x14ac:dyDescent="0.4">
      <c r="B56" s="78">
        <v>8</v>
      </c>
      <c r="C56" s="128" t="s">
        <v>71</v>
      </c>
      <c r="D56" s="91"/>
      <c r="E56" s="277" t="s">
        <v>160</v>
      </c>
      <c r="F56" s="278"/>
      <c r="G56" s="278"/>
      <c r="H56" s="279"/>
      <c r="I56" s="277" t="s">
        <v>160</v>
      </c>
      <c r="J56" s="278"/>
      <c r="K56" s="278"/>
      <c r="L56" s="279"/>
      <c r="M56" s="277" t="s">
        <v>160</v>
      </c>
      <c r="N56" s="278"/>
      <c r="O56" s="278"/>
      <c r="P56" s="279"/>
      <c r="Q56" s="58"/>
      <c r="S56" s="129"/>
    </row>
    <row r="57" spans="2:21" s="43" customFormat="1" ht="35.1" customHeight="1" x14ac:dyDescent="0.4">
      <c r="B57" s="130">
        <v>9</v>
      </c>
      <c r="C57" s="131" t="s">
        <v>72</v>
      </c>
      <c r="D57" s="123"/>
      <c r="E57" s="132"/>
      <c r="F57" s="133"/>
      <c r="G57" s="133"/>
      <c r="H57" s="134"/>
      <c r="I57" s="132"/>
      <c r="J57" s="133"/>
      <c r="K57" s="133"/>
      <c r="L57" s="134"/>
      <c r="M57" s="135"/>
      <c r="N57" s="135"/>
      <c r="O57" s="135"/>
      <c r="P57" s="134"/>
      <c r="Q57" s="58"/>
      <c r="S57" s="129"/>
    </row>
    <row r="58" spans="2:21" s="43" customFormat="1" ht="34.5" customHeight="1" x14ac:dyDescent="0.4">
      <c r="B58" s="130"/>
      <c r="C58" s="136" t="s">
        <v>73</v>
      </c>
      <c r="D58" s="123"/>
      <c r="E58" s="280" t="s">
        <v>24</v>
      </c>
      <c r="F58" s="281"/>
      <c r="G58" s="281"/>
      <c r="H58" s="282"/>
      <c r="I58" s="280" t="s">
        <v>24</v>
      </c>
      <c r="J58" s="281"/>
      <c r="K58" s="281"/>
      <c r="L58" s="282"/>
      <c r="M58" s="280" t="s">
        <v>24</v>
      </c>
      <c r="N58" s="281"/>
      <c r="O58" s="281"/>
      <c r="P58" s="282"/>
      <c r="Q58" s="58"/>
      <c r="S58" s="129"/>
    </row>
    <row r="59" spans="2:21" s="43" customFormat="1" ht="35.1" customHeight="1" x14ac:dyDescent="0.4">
      <c r="B59" s="130"/>
      <c r="C59" s="136" t="s">
        <v>74</v>
      </c>
      <c r="D59" s="123"/>
      <c r="E59" s="280" t="s">
        <v>24</v>
      </c>
      <c r="F59" s="281"/>
      <c r="G59" s="281"/>
      <c r="H59" s="282"/>
      <c r="I59" s="280" t="s">
        <v>24</v>
      </c>
      <c r="J59" s="281"/>
      <c r="K59" s="281"/>
      <c r="L59" s="282"/>
      <c r="M59" s="280" t="s">
        <v>24</v>
      </c>
      <c r="N59" s="281"/>
      <c r="O59" s="281"/>
      <c r="P59" s="282"/>
      <c r="Q59" s="58"/>
      <c r="S59" s="129"/>
    </row>
    <row r="60" spans="2:21" s="43" customFormat="1" ht="35.1" customHeight="1" x14ac:dyDescent="0.4">
      <c r="B60" s="130"/>
      <c r="C60" s="136" t="s">
        <v>122</v>
      </c>
      <c r="D60" s="91"/>
      <c r="E60" s="280" t="s">
        <v>24</v>
      </c>
      <c r="F60" s="281"/>
      <c r="G60" s="281"/>
      <c r="H60" s="282"/>
      <c r="I60" s="280" t="s">
        <v>24</v>
      </c>
      <c r="J60" s="281"/>
      <c r="K60" s="281"/>
      <c r="L60" s="282"/>
      <c r="M60" s="280" t="s">
        <v>24</v>
      </c>
      <c r="N60" s="281"/>
      <c r="O60" s="281"/>
      <c r="P60" s="282"/>
      <c r="Q60" s="58"/>
      <c r="S60" s="129"/>
    </row>
    <row r="61" spans="2:21" s="43" customFormat="1" ht="35.1" customHeight="1" x14ac:dyDescent="0.4">
      <c r="B61" s="130"/>
      <c r="C61" s="137" t="s">
        <v>123</v>
      </c>
      <c r="D61" s="123"/>
      <c r="E61" s="280" t="s">
        <v>24</v>
      </c>
      <c r="F61" s="281"/>
      <c r="G61" s="281"/>
      <c r="H61" s="282"/>
      <c r="I61" s="280" t="s">
        <v>24</v>
      </c>
      <c r="J61" s="281"/>
      <c r="K61" s="281"/>
      <c r="L61" s="282"/>
      <c r="M61" s="280" t="s">
        <v>24</v>
      </c>
      <c r="N61" s="281"/>
      <c r="O61" s="281"/>
      <c r="P61" s="282"/>
      <c r="Q61" s="58"/>
      <c r="S61" s="129"/>
    </row>
    <row r="62" spans="2:21" s="43" customFormat="1" ht="35.1" customHeight="1" x14ac:dyDescent="0.4">
      <c r="B62" s="283">
        <v>10</v>
      </c>
      <c r="C62" s="285" t="s">
        <v>75</v>
      </c>
      <c r="D62" s="138" t="s">
        <v>76</v>
      </c>
      <c r="E62" s="277">
        <v>0</v>
      </c>
      <c r="F62" s="278"/>
      <c r="G62" s="278"/>
      <c r="H62" s="279"/>
      <c r="I62" s="277">
        <v>0</v>
      </c>
      <c r="J62" s="278"/>
      <c r="K62" s="278"/>
      <c r="L62" s="279"/>
      <c r="M62" s="277">
        <v>0</v>
      </c>
      <c r="N62" s="278"/>
      <c r="O62" s="278"/>
      <c r="P62" s="279"/>
      <c r="Q62" s="58"/>
      <c r="S62" s="129"/>
    </row>
    <row r="63" spans="2:21" s="43" customFormat="1" ht="35.1" customHeight="1" x14ac:dyDescent="0.4">
      <c r="B63" s="284"/>
      <c r="C63" s="286"/>
      <c r="D63" s="138" t="s">
        <v>77</v>
      </c>
      <c r="E63" s="277" t="s">
        <v>159</v>
      </c>
      <c r="F63" s="278"/>
      <c r="G63" s="278"/>
      <c r="H63" s="279"/>
      <c r="I63" s="277" t="s">
        <v>159</v>
      </c>
      <c r="J63" s="278"/>
      <c r="K63" s="278"/>
      <c r="L63" s="279"/>
      <c r="M63" s="277" t="s">
        <v>159</v>
      </c>
      <c r="N63" s="278"/>
      <c r="O63" s="278"/>
      <c r="P63" s="279"/>
      <c r="Q63" s="58"/>
    </row>
    <row r="64" spans="2:21" s="43" customFormat="1" ht="48" customHeight="1" x14ac:dyDescent="0.4">
      <c r="B64" s="78">
        <v>11</v>
      </c>
      <c r="C64" s="139" t="s">
        <v>78</v>
      </c>
      <c r="D64" s="140"/>
      <c r="E64" s="277" t="s">
        <v>161</v>
      </c>
      <c r="F64" s="278"/>
      <c r="G64" s="278"/>
      <c r="H64" s="279"/>
      <c r="I64" s="277" t="s">
        <v>161</v>
      </c>
      <c r="J64" s="278"/>
      <c r="K64" s="278"/>
      <c r="L64" s="279"/>
      <c r="M64" s="277" t="s">
        <v>161</v>
      </c>
      <c r="N64" s="278"/>
      <c r="O64" s="278"/>
      <c r="P64" s="279"/>
      <c r="Q64" s="58"/>
      <c r="U64" s="43" t="s">
        <v>24</v>
      </c>
    </row>
    <row r="65" spans="1:18" s="43" customFormat="1" ht="35.25" customHeight="1" x14ac:dyDescent="0.4">
      <c r="B65" s="287">
        <v>12</v>
      </c>
      <c r="C65" s="139" t="s">
        <v>79</v>
      </c>
      <c r="D65" s="140"/>
      <c r="E65" s="141"/>
      <c r="F65" s="142"/>
      <c r="G65" s="142"/>
      <c r="H65" s="143"/>
      <c r="I65" s="141"/>
      <c r="J65" s="142"/>
      <c r="K65" s="142"/>
      <c r="L65" s="143"/>
      <c r="M65" s="141"/>
      <c r="N65" s="142"/>
      <c r="O65" s="142"/>
      <c r="P65" s="143"/>
      <c r="Q65" s="58"/>
    </row>
    <row r="66" spans="1:18" s="43" customFormat="1" ht="34.5" customHeight="1" x14ac:dyDescent="0.4">
      <c r="B66" s="287"/>
      <c r="C66" s="139" t="s">
        <v>80</v>
      </c>
      <c r="D66" s="140"/>
      <c r="E66" s="280" t="s">
        <v>24</v>
      </c>
      <c r="F66" s="281"/>
      <c r="G66" s="281"/>
      <c r="H66" s="282"/>
      <c r="I66" s="280" t="s">
        <v>24</v>
      </c>
      <c r="J66" s="281"/>
      <c r="K66" s="281"/>
      <c r="L66" s="282"/>
      <c r="M66" s="280" t="s">
        <v>24</v>
      </c>
      <c r="N66" s="281"/>
      <c r="O66" s="281"/>
      <c r="P66" s="282"/>
      <c r="Q66" s="58"/>
    </row>
    <row r="67" spans="1:18" s="43" customFormat="1" ht="34.5" customHeight="1" x14ac:dyDescent="0.4">
      <c r="B67" s="284"/>
      <c r="C67" s="139" t="s">
        <v>81</v>
      </c>
      <c r="D67" s="140"/>
      <c r="E67" s="280"/>
      <c r="F67" s="281"/>
      <c r="G67" s="281"/>
      <c r="H67" s="282"/>
      <c r="I67" s="280"/>
      <c r="J67" s="281"/>
      <c r="K67" s="281"/>
      <c r="L67" s="282"/>
      <c r="M67" s="280"/>
      <c r="N67" s="281"/>
      <c r="O67" s="281"/>
      <c r="P67" s="282"/>
      <c r="Q67" s="58"/>
    </row>
    <row r="68" spans="1:18" s="43" customFormat="1" ht="35.1" customHeight="1" x14ac:dyDescent="0.4">
      <c r="B68" s="228">
        <v>13</v>
      </c>
      <c r="C68" s="139" t="s">
        <v>82</v>
      </c>
      <c r="D68" s="140"/>
      <c r="E68" s="239" t="s">
        <v>83</v>
      </c>
      <c r="F68" s="240"/>
      <c r="G68" s="240"/>
      <c r="H68" s="241"/>
      <c r="I68" s="239" t="s">
        <v>83</v>
      </c>
      <c r="J68" s="240"/>
      <c r="K68" s="240"/>
      <c r="L68" s="241"/>
      <c r="M68" s="239" t="s">
        <v>83</v>
      </c>
      <c r="N68" s="240"/>
      <c r="O68" s="240"/>
      <c r="P68" s="241"/>
      <c r="Q68" s="58"/>
    </row>
    <row r="69" spans="1:18" s="43" customFormat="1" ht="35.1" customHeight="1" x14ac:dyDescent="0.4">
      <c r="B69" s="229"/>
      <c r="C69" s="144" t="s">
        <v>84</v>
      </c>
      <c r="D69" s="145"/>
      <c r="E69" s="239" t="s">
        <v>85</v>
      </c>
      <c r="F69" s="240"/>
      <c r="G69" s="240"/>
      <c r="H69" s="241"/>
      <c r="I69" s="239" t="s">
        <v>85</v>
      </c>
      <c r="J69" s="240"/>
      <c r="K69" s="240"/>
      <c r="L69" s="241"/>
      <c r="M69" s="239" t="s">
        <v>85</v>
      </c>
      <c r="N69" s="240"/>
      <c r="O69" s="240"/>
      <c r="P69" s="241"/>
      <c r="Q69" s="58"/>
    </row>
    <row r="70" spans="1:18" s="43" customFormat="1" ht="35.1" customHeight="1" x14ac:dyDescent="0.4">
      <c r="B70" s="229"/>
      <c r="C70" s="139" t="s">
        <v>86</v>
      </c>
      <c r="D70" s="140"/>
      <c r="E70" s="239" t="s">
        <v>85</v>
      </c>
      <c r="F70" s="240"/>
      <c r="G70" s="240"/>
      <c r="H70" s="241"/>
      <c r="I70" s="239" t="s">
        <v>85</v>
      </c>
      <c r="J70" s="240"/>
      <c r="K70" s="240"/>
      <c r="L70" s="241"/>
      <c r="M70" s="239" t="s">
        <v>85</v>
      </c>
      <c r="N70" s="240"/>
      <c r="O70" s="240"/>
      <c r="P70" s="241"/>
      <c r="Q70" s="58"/>
    </row>
    <row r="71" spans="1:18" s="43" customFormat="1" ht="35.1" customHeight="1" x14ac:dyDescent="0.4">
      <c r="B71" s="229"/>
      <c r="C71" s="139" t="s">
        <v>87</v>
      </c>
      <c r="D71" s="145"/>
      <c r="E71" s="239" t="s">
        <v>85</v>
      </c>
      <c r="F71" s="240"/>
      <c r="G71" s="240"/>
      <c r="H71" s="241"/>
      <c r="I71" s="239" t="s">
        <v>85</v>
      </c>
      <c r="J71" s="240"/>
      <c r="K71" s="240"/>
      <c r="L71" s="241"/>
      <c r="M71" s="239" t="s">
        <v>85</v>
      </c>
      <c r="N71" s="240"/>
      <c r="O71" s="240"/>
      <c r="P71" s="241"/>
      <c r="Q71" s="58"/>
    </row>
    <row r="72" spans="1:18" s="43" customFormat="1" ht="35.1" customHeight="1" x14ac:dyDescent="0.4">
      <c r="B72" s="229"/>
      <c r="C72" s="139" t="s">
        <v>88</v>
      </c>
      <c r="D72" s="140"/>
      <c r="E72" s="239" t="s">
        <v>85</v>
      </c>
      <c r="F72" s="240"/>
      <c r="G72" s="240"/>
      <c r="H72" s="241"/>
      <c r="I72" s="239" t="s">
        <v>85</v>
      </c>
      <c r="J72" s="240"/>
      <c r="K72" s="240"/>
      <c r="L72" s="241"/>
      <c r="M72" s="239" t="s">
        <v>85</v>
      </c>
      <c r="N72" s="240"/>
      <c r="O72" s="240"/>
      <c r="P72" s="241"/>
      <c r="Q72" s="58"/>
    </row>
    <row r="73" spans="1:18" s="43" customFormat="1" ht="35.1" customHeight="1" x14ac:dyDescent="0.4">
      <c r="B73" s="229"/>
      <c r="C73" s="139" t="s">
        <v>89</v>
      </c>
      <c r="D73" s="140"/>
      <c r="E73" s="239" t="s">
        <v>90</v>
      </c>
      <c r="F73" s="240"/>
      <c r="G73" s="240"/>
      <c r="H73" s="241"/>
      <c r="I73" s="239" t="s">
        <v>90</v>
      </c>
      <c r="J73" s="240"/>
      <c r="K73" s="240"/>
      <c r="L73" s="241"/>
      <c r="M73" s="239" t="s">
        <v>90</v>
      </c>
      <c r="N73" s="240"/>
      <c r="O73" s="240"/>
      <c r="P73" s="241"/>
      <c r="Q73" s="58"/>
    </row>
    <row r="74" spans="1:18" s="43" customFormat="1" ht="35.1" customHeight="1" x14ac:dyDescent="0.4">
      <c r="B74" s="229"/>
      <c r="C74" s="139" t="s">
        <v>91</v>
      </c>
      <c r="D74" s="140"/>
      <c r="E74" s="239" t="s">
        <v>90</v>
      </c>
      <c r="F74" s="240"/>
      <c r="G74" s="240"/>
      <c r="H74" s="241"/>
      <c r="I74" s="239" t="s">
        <v>90</v>
      </c>
      <c r="J74" s="240"/>
      <c r="K74" s="240"/>
      <c r="L74" s="241"/>
      <c r="M74" s="239" t="s">
        <v>90</v>
      </c>
      <c r="N74" s="240"/>
      <c r="O74" s="240"/>
      <c r="P74" s="241"/>
      <c r="Q74" s="58"/>
    </row>
    <row r="75" spans="1:18" s="43" customFormat="1" ht="35.1" customHeight="1" x14ac:dyDescent="0.4">
      <c r="B75" s="230"/>
      <c r="C75" s="144" t="s">
        <v>92</v>
      </c>
      <c r="D75" s="145"/>
      <c r="E75" s="239" t="s">
        <v>90</v>
      </c>
      <c r="F75" s="240"/>
      <c r="G75" s="240"/>
      <c r="H75" s="241"/>
      <c r="I75" s="239" t="s">
        <v>90</v>
      </c>
      <c r="J75" s="240"/>
      <c r="K75" s="240"/>
      <c r="L75" s="241"/>
      <c r="M75" s="239" t="s">
        <v>90</v>
      </c>
      <c r="N75" s="240"/>
      <c r="O75" s="240"/>
      <c r="P75" s="241"/>
      <c r="Q75" s="58"/>
    </row>
    <row r="76" spans="1:18" ht="20.100000000000001" customHeight="1" x14ac:dyDescent="0.25">
      <c r="B76" s="317" t="s">
        <v>93</v>
      </c>
      <c r="C76" s="318"/>
      <c r="D76" s="146"/>
      <c r="E76" s="319" t="s">
        <v>94</v>
      </c>
      <c r="F76" s="147"/>
      <c r="G76" s="148"/>
      <c r="H76" s="149"/>
      <c r="I76" s="294" t="s">
        <v>94</v>
      </c>
      <c r="J76" s="150"/>
      <c r="K76" s="151"/>
      <c r="L76" s="149"/>
      <c r="M76" s="294" t="s">
        <v>94</v>
      </c>
      <c r="N76" s="296"/>
      <c r="O76" s="297"/>
      <c r="P76" s="298"/>
      <c r="Q76" s="25"/>
      <c r="R76" s="152"/>
    </row>
    <row r="77" spans="1:18" ht="39.75" customHeight="1" x14ac:dyDescent="0.25">
      <c r="B77" s="153"/>
      <c r="C77" s="154"/>
      <c r="D77" s="155"/>
      <c r="E77" s="320"/>
      <c r="F77" s="156"/>
      <c r="G77" s="157"/>
      <c r="H77" s="158"/>
      <c r="I77" s="295"/>
      <c r="J77" s="159"/>
      <c r="K77" s="160"/>
      <c r="L77" s="158"/>
      <c r="M77" s="295"/>
      <c r="N77" s="299"/>
      <c r="O77" s="300"/>
      <c r="P77" s="301"/>
      <c r="Q77" s="25"/>
    </row>
    <row r="78" spans="1:18" ht="33" customHeight="1" x14ac:dyDescent="0.25">
      <c r="B78" s="153"/>
      <c r="C78" s="154"/>
      <c r="D78" s="155"/>
      <c r="E78" s="294" t="s">
        <v>95</v>
      </c>
      <c r="F78" s="161"/>
      <c r="G78" s="148"/>
      <c r="H78" s="149"/>
      <c r="I78" s="294" t="s">
        <v>95</v>
      </c>
      <c r="J78" s="150"/>
      <c r="K78" s="151"/>
      <c r="L78" s="149"/>
      <c r="M78" s="294" t="s">
        <v>95</v>
      </c>
      <c r="N78" s="296"/>
      <c r="O78" s="297"/>
      <c r="P78" s="298"/>
      <c r="Q78" s="25"/>
    </row>
    <row r="79" spans="1:18" ht="29.25" customHeight="1" x14ac:dyDescent="0.25">
      <c r="B79" s="162" t="s">
        <v>96</v>
      </c>
      <c r="C79" s="163"/>
      <c r="D79" s="164"/>
      <c r="E79" s="295"/>
      <c r="F79" s="165"/>
      <c r="G79" s="157"/>
      <c r="H79" s="158"/>
      <c r="I79" s="295"/>
      <c r="J79" s="159"/>
      <c r="K79" s="160"/>
      <c r="L79" s="158"/>
      <c r="M79" s="295"/>
      <c r="N79" s="299"/>
      <c r="O79" s="300"/>
      <c r="P79" s="301"/>
      <c r="Q79" s="25"/>
    </row>
    <row r="80" spans="1:18" ht="73.5" customHeight="1" x14ac:dyDescent="0.25">
      <c r="A80" s="3"/>
      <c r="B80" s="166" t="s">
        <v>97</v>
      </c>
      <c r="C80" s="167"/>
      <c r="D80" s="168"/>
      <c r="E80" s="169"/>
      <c r="F80" s="167"/>
      <c r="G80" s="167"/>
      <c r="H80" s="168"/>
      <c r="I80" s="169"/>
      <c r="J80" s="167"/>
      <c r="K80" s="167"/>
      <c r="L80" s="168"/>
      <c r="M80" s="167"/>
      <c r="N80" s="167"/>
      <c r="O80" s="167"/>
      <c r="P80" s="168"/>
      <c r="Q80" s="170"/>
    </row>
    <row r="81" spans="2:16" x14ac:dyDescent="0.25">
      <c r="B81" s="189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25"/>
    </row>
    <row r="82" spans="2:16" s="173" customFormat="1" ht="17.100000000000001" customHeight="1" x14ac:dyDescent="0.25">
      <c r="B82" s="302" t="s">
        <v>98</v>
      </c>
      <c r="C82" s="303"/>
      <c r="D82" s="303"/>
      <c r="E82" s="304"/>
      <c r="F82" s="311"/>
      <c r="G82" s="312"/>
      <c r="H82" s="288" t="s">
        <v>99</v>
      </c>
      <c r="I82" s="171">
        <v>4</v>
      </c>
      <c r="J82" s="176" t="s">
        <v>100</v>
      </c>
      <c r="K82" s="177"/>
      <c r="L82" s="172">
        <v>44460</v>
      </c>
      <c r="M82" s="171" t="s">
        <v>15</v>
      </c>
      <c r="N82" s="171"/>
      <c r="O82" s="172"/>
      <c r="P82" s="171"/>
    </row>
    <row r="83" spans="2:16" s="173" customFormat="1" ht="17.100000000000001" customHeight="1" x14ac:dyDescent="0.25">
      <c r="B83" s="305"/>
      <c r="C83" s="306"/>
      <c r="D83" s="306"/>
      <c r="E83" s="307"/>
      <c r="F83" s="313"/>
      <c r="G83" s="314"/>
      <c r="H83" s="289"/>
      <c r="I83" s="171">
        <v>3</v>
      </c>
      <c r="J83" s="176" t="s">
        <v>101</v>
      </c>
      <c r="K83" s="177"/>
      <c r="L83" s="172">
        <v>44326</v>
      </c>
      <c r="M83" s="171" t="s">
        <v>102</v>
      </c>
      <c r="N83" s="171"/>
      <c r="O83" s="172"/>
      <c r="P83" s="171"/>
    </row>
    <row r="84" spans="2:16" s="173" customFormat="1" ht="17.100000000000001" customHeight="1" x14ac:dyDescent="0.25">
      <c r="B84" s="305"/>
      <c r="C84" s="306"/>
      <c r="D84" s="306"/>
      <c r="E84" s="307"/>
      <c r="F84" s="313"/>
      <c r="G84" s="314"/>
      <c r="H84" s="289"/>
      <c r="I84" s="171">
        <v>2</v>
      </c>
      <c r="J84" s="176" t="s">
        <v>103</v>
      </c>
      <c r="K84" s="177"/>
      <c r="L84" s="172">
        <v>44273</v>
      </c>
      <c r="M84" s="171" t="s">
        <v>16</v>
      </c>
      <c r="N84" s="171"/>
      <c r="O84" s="172"/>
      <c r="P84" s="171"/>
    </row>
    <row r="85" spans="2:16" s="173" customFormat="1" ht="17.100000000000001" customHeight="1" x14ac:dyDescent="0.25">
      <c r="B85" s="305"/>
      <c r="C85" s="306"/>
      <c r="D85" s="306"/>
      <c r="E85" s="307"/>
      <c r="F85" s="313"/>
      <c r="G85" s="314"/>
      <c r="H85" s="289"/>
      <c r="I85" s="171">
        <v>1</v>
      </c>
      <c r="J85" s="176" t="s">
        <v>103</v>
      </c>
      <c r="K85" s="177"/>
      <c r="L85" s="172">
        <v>44166</v>
      </c>
      <c r="M85" s="171" t="s">
        <v>16</v>
      </c>
      <c r="N85" s="171">
        <v>2</v>
      </c>
      <c r="O85" s="172">
        <v>44460</v>
      </c>
      <c r="P85" s="171" t="s">
        <v>15</v>
      </c>
    </row>
    <row r="86" spans="2:16" s="173" customFormat="1" ht="17.100000000000001" customHeight="1" x14ac:dyDescent="0.25">
      <c r="B86" s="305"/>
      <c r="C86" s="306"/>
      <c r="D86" s="306"/>
      <c r="E86" s="307"/>
      <c r="F86" s="313"/>
      <c r="G86" s="314"/>
      <c r="H86" s="289"/>
      <c r="I86" s="171">
        <v>0</v>
      </c>
      <c r="J86" s="176" t="s">
        <v>104</v>
      </c>
      <c r="K86" s="177"/>
      <c r="L86" s="172">
        <v>44165</v>
      </c>
      <c r="M86" s="171" t="s">
        <v>16</v>
      </c>
      <c r="N86" s="171">
        <v>1</v>
      </c>
      <c r="O86" s="172">
        <v>44326</v>
      </c>
      <c r="P86" s="171" t="s">
        <v>15</v>
      </c>
    </row>
    <row r="87" spans="2:16" s="175" customFormat="1" ht="17.100000000000001" customHeight="1" x14ac:dyDescent="0.25">
      <c r="B87" s="308"/>
      <c r="C87" s="309"/>
      <c r="D87" s="309"/>
      <c r="E87" s="310"/>
      <c r="F87" s="315"/>
      <c r="G87" s="316"/>
      <c r="H87" s="290"/>
      <c r="I87" s="174" t="s">
        <v>105</v>
      </c>
      <c r="J87" s="178" t="s">
        <v>106</v>
      </c>
      <c r="K87" s="179"/>
      <c r="L87" s="174" t="s">
        <v>9</v>
      </c>
      <c r="M87" s="174" t="s">
        <v>107</v>
      </c>
      <c r="N87" s="174" t="s">
        <v>108</v>
      </c>
      <c r="O87" s="174" t="s">
        <v>9</v>
      </c>
      <c r="P87" s="174" t="s">
        <v>107</v>
      </c>
    </row>
  </sheetData>
  <mergeCells count="154">
    <mergeCell ref="E75:H75"/>
    <mergeCell ref="I75:L75"/>
    <mergeCell ref="E66:H66"/>
    <mergeCell ref="I66:L66"/>
    <mergeCell ref="M66:P66"/>
    <mergeCell ref="I71:L71"/>
    <mergeCell ref="M71:P71"/>
    <mergeCell ref="I67:L67"/>
    <mergeCell ref="M67:P67"/>
    <mergeCell ref="H82:H87"/>
    <mergeCell ref="E50:H50"/>
    <mergeCell ref="I50:L50"/>
    <mergeCell ref="M50:P50"/>
    <mergeCell ref="M61:P61"/>
    <mergeCell ref="E67:H67"/>
    <mergeCell ref="E78:E79"/>
    <mergeCell ref="I78:I79"/>
    <mergeCell ref="M78:M79"/>
    <mergeCell ref="N78:P79"/>
    <mergeCell ref="B82:E87"/>
    <mergeCell ref="F82:G87"/>
    <mergeCell ref="B76:C76"/>
    <mergeCell ref="E76:E77"/>
    <mergeCell ref="I76:I77"/>
    <mergeCell ref="M76:M77"/>
    <mergeCell ref="N76:P77"/>
    <mergeCell ref="E74:H74"/>
    <mergeCell ref="I74:L74"/>
    <mergeCell ref="M74:P74"/>
    <mergeCell ref="B65:B67"/>
    <mergeCell ref="B68:B75"/>
    <mergeCell ref="E68:H68"/>
    <mergeCell ref="I68:L68"/>
    <mergeCell ref="M68:P68"/>
    <mergeCell ref="E69:H69"/>
    <mergeCell ref="I69:L69"/>
    <mergeCell ref="M69:P69"/>
    <mergeCell ref="I63:L63"/>
    <mergeCell ref="M63:P63"/>
    <mergeCell ref="E64:H64"/>
    <mergeCell ref="I64:L64"/>
    <mergeCell ref="M64:P64"/>
    <mergeCell ref="M75:P75"/>
    <mergeCell ref="E72:H72"/>
    <mergeCell ref="I72:L72"/>
    <mergeCell ref="M72:P72"/>
    <mergeCell ref="E73:H73"/>
    <mergeCell ref="I73:L73"/>
    <mergeCell ref="M73:P73"/>
    <mergeCell ref="E70:H70"/>
    <mergeCell ref="I70:L70"/>
    <mergeCell ref="M70:P70"/>
    <mergeCell ref="E71:H71"/>
    <mergeCell ref="E61:H61"/>
    <mergeCell ref="I61:L61"/>
    <mergeCell ref="B62:B63"/>
    <mergeCell ref="C62:C63"/>
    <mergeCell ref="E62:H62"/>
    <mergeCell ref="I62:L62"/>
    <mergeCell ref="M62:P62"/>
    <mergeCell ref="E63:H63"/>
    <mergeCell ref="E59:H59"/>
    <mergeCell ref="I59:L59"/>
    <mergeCell ref="M59:P59"/>
    <mergeCell ref="E60:H60"/>
    <mergeCell ref="I60:L60"/>
    <mergeCell ref="M60:P60"/>
    <mergeCell ref="E56:H56"/>
    <mergeCell ref="I56:L56"/>
    <mergeCell ref="M56:P56"/>
    <mergeCell ref="E58:H58"/>
    <mergeCell ref="I58:L58"/>
    <mergeCell ref="M58:P58"/>
    <mergeCell ref="E54:H54"/>
    <mergeCell ref="I54:L54"/>
    <mergeCell ref="M54:P54"/>
    <mergeCell ref="E55:H55"/>
    <mergeCell ref="I55:L55"/>
    <mergeCell ref="M55:P55"/>
    <mergeCell ref="I52:L52"/>
    <mergeCell ref="M52:P52"/>
    <mergeCell ref="E53:H53"/>
    <mergeCell ref="I53:L53"/>
    <mergeCell ref="M53:P53"/>
    <mergeCell ref="B38:B46"/>
    <mergeCell ref="C38:D38"/>
    <mergeCell ref="C39:D39"/>
    <mergeCell ref="C40:D40"/>
    <mergeCell ref="C44:D44"/>
    <mergeCell ref="E52:H52"/>
    <mergeCell ref="C30:D30"/>
    <mergeCell ref="E30:H30"/>
    <mergeCell ref="I30:L30"/>
    <mergeCell ref="M30:P30"/>
    <mergeCell ref="B31:B37"/>
    <mergeCell ref="G32:J32"/>
    <mergeCell ref="G33:J34"/>
    <mergeCell ref="G35:J35"/>
    <mergeCell ref="G36:J36"/>
    <mergeCell ref="E28:H28"/>
    <mergeCell ref="I28:L28"/>
    <mergeCell ref="M28:P28"/>
    <mergeCell ref="E29:H29"/>
    <mergeCell ref="I29:L29"/>
    <mergeCell ref="M29:P29"/>
    <mergeCell ref="E26:H26"/>
    <mergeCell ref="I26:L26"/>
    <mergeCell ref="M26:P26"/>
    <mergeCell ref="E27:H27"/>
    <mergeCell ref="I27:L27"/>
    <mergeCell ref="M27:P27"/>
    <mergeCell ref="E20:H20"/>
    <mergeCell ref="I20:L20"/>
    <mergeCell ref="M20:P20"/>
    <mergeCell ref="B21:B30"/>
    <mergeCell ref="C21:D21"/>
    <mergeCell ref="E21:H21"/>
    <mergeCell ref="I21:L21"/>
    <mergeCell ref="C16:D16"/>
    <mergeCell ref="E16:H16"/>
    <mergeCell ref="I16:L16"/>
    <mergeCell ref="M16:P16"/>
    <mergeCell ref="E24:H24"/>
    <mergeCell ref="I24:L24"/>
    <mergeCell ref="M24:P24"/>
    <mergeCell ref="E25:H25"/>
    <mergeCell ref="I25:L25"/>
    <mergeCell ref="M25:P25"/>
    <mergeCell ref="C22:D22"/>
    <mergeCell ref="E22:H22"/>
    <mergeCell ref="I22:L22"/>
    <mergeCell ref="M22:P22"/>
    <mergeCell ref="E23:H23"/>
    <mergeCell ref="I23:L23"/>
    <mergeCell ref="M23:P23"/>
    <mergeCell ref="C13:D13"/>
    <mergeCell ref="E13:H13"/>
    <mergeCell ref="I13:L13"/>
    <mergeCell ref="M13:P13"/>
    <mergeCell ref="B14:B19"/>
    <mergeCell ref="C15:D15"/>
    <mergeCell ref="E15:H15"/>
    <mergeCell ref="I15:L15"/>
    <mergeCell ref="M15:P15"/>
    <mergeCell ref="C17:C19"/>
    <mergeCell ref="Q4:Q5"/>
    <mergeCell ref="N7:O7"/>
    <mergeCell ref="B1:B2"/>
    <mergeCell ref="N3:O3"/>
    <mergeCell ref="B4:G7"/>
    <mergeCell ref="H4:H7"/>
    <mergeCell ref="M4:M6"/>
    <mergeCell ref="N4:O6"/>
    <mergeCell ref="P4:P6"/>
  </mergeCells>
  <conditionalFormatting sqref="C32">
    <cfRule type="expression" dxfId="1" priority="6" stopIfTrue="1">
      <formula>$C$32=0</formula>
    </cfRule>
  </conditionalFormatting>
  <conditionalFormatting sqref="C33:C35">
    <cfRule type="expression" dxfId="0" priority="5" stopIfTrue="1">
      <formula>$C$32=0</formula>
    </cfRule>
  </conditionalFormatting>
  <hyperlinks>
    <hyperlink ref="E18" r:id="rId1" display="tonywaeyoo@yahoo.com"/>
    <hyperlink ref="I18" r:id="rId2" display="teguh.iman21@gmail.com"/>
    <hyperlink ref="M18" r:id="rId3" display="teguh.iman21@gmail.com"/>
  </hyperlinks>
  <printOptions horizontalCentered="1"/>
  <pageMargins left="0" right="0" top="0.25" bottom="0" header="0" footer="0"/>
  <pageSetup paperSize="9" scale="28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15"/>
  <sheetViews>
    <sheetView workbookViewId="0">
      <selection activeCell="C25" sqref="C25"/>
    </sheetView>
  </sheetViews>
  <sheetFormatPr defaultRowHeight="15" x14ac:dyDescent="0.25"/>
  <cols>
    <col min="1" max="1" width="6.7109375" customWidth="1"/>
    <col min="2" max="2" width="39.85546875" bestFit="1" customWidth="1"/>
    <col min="3" max="3" width="9.28515625" bestFit="1" customWidth="1"/>
    <col min="4" max="4" width="10.5703125" bestFit="1" customWidth="1"/>
    <col min="5" max="5" width="19" bestFit="1" customWidth="1"/>
    <col min="7" max="7" width="10.5703125" bestFit="1" customWidth="1"/>
    <col min="8" max="8" width="19" bestFit="1" customWidth="1"/>
    <col min="9" max="9" width="9.28515625" bestFit="1" customWidth="1"/>
    <col min="10" max="10" width="10.5703125" bestFit="1" customWidth="1"/>
    <col min="11" max="11" width="19" bestFit="1" customWidth="1"/>
  </cols>
  <sheetData>
    <row r="2" spans="1:11" x14ac:dyDescent="0.25">
      <c r="A2" s="195" t="s">
        <v>141</v>
      </c>
    </row>
    <row r="3" spans="1:11" ht="27" customHeight="1" x14ac:dyDescent="0.25">
      <c r="A3" s="196" t="s">
        <v>133</v>
      </c>
      <c r="B3" s="190" t="s">
        <v>134</v>
      </c>
      <c r="C3" s="321" t="s">
        <v>136</v>
      </c>
      <c r="D3" s="321"/>
      <c r="E3" s="321"/>
      <c r="F3" s="321" t="s">
        <v>135</v>
      </c>
      <c r="G3" s="321"/>
      <c r="H3" s="321"/>
      <c r="I3" s="321" t="s">
        <v>137</v>
      </c>
      <c r="J3" s="321"/>
      <c r="K3" s="321"/>
    </row>
    <row r="4" spans="1:11" x14ac:dyDescent="0.25">
      <c r="A4" s="196">
        <v>1</v>
      </c>
      <c r="B4" s="190" t="s">
        <v>124</v>
      </c>
      <c r="C4" s="191">
        <v>12</v>
      </c>
      <c r="D4" s="191">
        <v>750000</v>
      </c>
      <c r="E4" s="191">
        <f>C4*D4</f>
        <v>9000000</v>
      </c>
      <c r="F4" s="191">
        <v>12</v>
      </c>
      <c r="G4" s="191">
        <v>840000</v>
      </c>
      <c r="H4" s="191">
        <f>F4*G4</f>
        <v>10080000</v>
      </c>
      <c r="I4" s="191">
        <v>12</v>
      </c>
      <c r="J4" s="191">
        <v>1000000</v>
      </c>
      <c r="K4" s="191">
        <f>I4*J4</f>
        <v>12000000</v>
      </c>
    </row>
    <row r="5" spans="1:11" x14ac:dyDescent="0.25">
      <c r="A5" s="196">
        <v>2</v>
      </c>
      <c r="B5" s="190" t="s">
        <v>125</v>
      </c>
      <c r="C5" s="191">
        <v>12</v>
      </c>
      <c r="D5" s="191">
        <v>470000</v>
      </c>
      <c r="E5" s="191">
        <f t="shared" ref="E5:E13" si="0">C5*D5</f>
        <v>5640000</v>
      </c>
      <c r="F5" s="191">
        <v>12</v>
      </c>
      <c r="G5" s="191">
        <v>825000</v>
      </c>
      <c r="H5" s="191">
        <f t="shared" ref="H5:H13" si="1">F5*G5</f>
        <v>9900000</v>
      </c>
      <c r="I5" s="191">
        <v>12</v>
      </c>
      <c r="J5" s="191">
        <v>950000</v>
      </c>
      <c r="K5" s="191">
        <f t="shared" ref="K5:K12" si="2">I5*J5</f>
        <v>11400000</v>
      </c>
    </row>
    <row r="6" spans="1:11" x14ac:dyDescent="0.25">
      <c r="A6" s="196">
        <v>3</v>
      </c>
      <c r="B6" s="190" t="s">
        <v>126</v>
      </c>
      <c r="C6" s="191">
        <v>1</v>
      </c>
      <c r="D6" s="191">
        <v>3500000</v>
      </c>
      <c r="E6" s="191">
        <f t="shared" si="0"/>
        <v>3500000</v>
      </c>
      <c r="F6" s="191">
        <v>1</v>
      </c>
      <c r="G6" s="191">
        <v>3700000</v>
      </c>
      <c r="H6" s="191">
        <f t="shared" si="1"/>
        <v>3700000</v>
      </c>
      <c r="I6" s="191">
        <v>1</v>
      </c>
      <c r="J6" s="191">
        <v>4100000</v>
      </c>
      <c r="K6" s="191">
        <f t="shared" si="2"/>
        <v>4100000</v>
      </c>
    </row>
    <row r="7" spans="1:11" x14ac:dyDescent="0.25">
      <c r="A7" s="196">
        <v>4</v>
      </c>
      <c r="B7" s="190" t="s">
        <v>127</v>
      </c>
      <c r="C7" s="191">
        <v>0</v>
      </c>
      <c r="D7" s="191">
        <v>0</v>
      </c>
      <c r="E7" s="191">
        <f t="shared" si="0"/>
        <v>0</v>
      </c>
      <c r="F7" s="191">
        <v>1</v>
      </c>
      <c r="G7" s="191">
        <v>2800000</v>
      </c>
      <c r="H7" s="191">
        <f t="shared" si="1"/>
        <v>2800000</v>
      </c>
      <c r="I7" s="191">
        <v>1</v>
      </c>
      <c r="J7" s="191">
        <v>3200000</v>
      </c>
      <c r="K7" s="191">
        <f t="shared" si="2"/>
        <v>3200000</v>
      </c>
    </row>
    <row r="8" spans="1:11" x14ac:dyDescent="0.25">
      <c r="A8" s="196">
        <v>5</v>
      </c>
      <c r="B8" s="190" t="s">
        <v>128</v>
      </c>
      <c r="C8" s="191">
        <v>12</v>
      </c>
      <c r="D8" s="191">
        <v>300000</v>
      </c>
      <c r="E8" s="191">
        <f t="shared" si="0"/>
        <v>3600000</v>
      </c>
      <c r="F8" s="191">
        <v>12</v>
      </c>
      <c r="G8" s="191">
        <v>350000</v>
      </c>
      <c r="H8" s="191">
        <f t="shared" si="1"/>
        <v>4200000</v>
      </c>
      <c r="I8" s="191">
        <v>1</v>
      </c>
      <c r="J8" s="191">
        <v>5000000</v>
      </c>
      <c r="K8" s="191">
        <f t="shared" si="2"/>
        <v>5000000</v>
      </c>
    </row>
    <row r="9" spans="1:11" x14ac:dyDescent="0.25">
      <c r="A9" s="196">
        <v>6</v>
      </c>
      <c r="B9" s="190" t="s">
        <v>129</v>
      </c>
      <c r="C9" s="191">
        <v>1</v>
      </c>
      <c r="D9" s="191">
        <v>500000</v>
      </c>
      <c r="E9" s="191">
        <f t="shared" si="0"/>
        <v>500000</v>
      </c>
      <c r="F9" s="191">
        <v>0</v>
      </c>
      <c r="G9" s="191">
        <v>0</v>
      </c>
      <c r="H9" s="191">
        <f t="shared" si="1"/>
        <v>0</v>
      </c>
      <c r="I9" s="191">
        <v>1</v>
      </c>
      <c r="J9" s="191">
        <v>500000</v>
      </c>
      <c r="K9" s="191">
        <f t="shared" si="2"/>
        <v>500000</v>
      </c>
    </row>
    <row r="10" spans="1:11" x14ac:dyDescent="0.25">
      <c r="A10" s="196">
        <v>7</v>
      </c>
      <c r="B10" s="190" t="s">
        <v>130</v>
      </c>
      <c r="C10" s="191">
        <v>12</v>
      </c>
      <c r="D10" s="191">
        <v>600000</v>
      </c>
      <c r="E10" s="191">
        <f t="shared" si="0"/>
        <v>7200000</v>
      </c>
      <c r="F10" s="191">
        <v>12</v>
      </c>
      <c r="G10" s="191">
        <v>525000</v>
      </c>
      <c r="H10" s="191">
        <f t="shared" si="1"/>
        <v>6300000</v>
      </c>
      <c r="I10" s="191">
        <v>1</v>
      </c>
      <c r="J10" s="191">
        <v>5500000</v>
      </c>
      <c r="K10" s="191">
        <f t="shared" si="2"/>
        <v>5500000</v>
      </c>
    </row>
    <row r="11" spans="1:11" x14ac:dyDescent="0.25">
      <c r="A11" s="196">
        <v>8</v>
      </c>
      <c r="B11" s="190" t="s">
        <v>131</v>
      </c>
      <c r="C11" s="191">
        <v>12</v>
      </c>
      <c r="D11" s="191">
        <v>525000</v>
      </c>
      <c r="E11" s="191">
        <f t="shared" si="0"/>
        <v>6300000</v>
      </c>
      <c r="F11" s="191">
        <v>12</v>
      </c>
      <c r="G11" s="191">
        <v>685000</v>
      </c>
      <c r="H11" s="191">
        <f t="shared" si="1"/>
        <v>8220000</v>
      </c>
      <c r="I11" s="191">
        <v>1</v>
      </c>
      <c r="J11" s="191">
        <v>5500000</v>
      </c>
      <c r="K11" s="191">
        <f t="shared" si="2"/>
        <v>5500000</v>
      </c>
    </row>
    <row r="12" spans="1:11" x14ac:dyDescent="0.25">
      <c r="A12" s="196">
        <v>9</v>
      </c>
      <c r="B12" s="190" t="s">
        <v>132</v>
      </c>
      <c r="C12" s="191">
        <v>12</v>
      </c>
      <c r="D12" s="191">
        <v>515000</v>
      </c>
      <c r="E12" s="191">
        <f t="shared" si="0"/>
        <v>6180000</v>
      </c>
      <c r="F12" s="191">
        <v>12</v>
      </c>
      <c r="G12" s="191">
        <v>450000</v>
      </c>
      <c r="H12" s="191">
        <f t="shared" si="1"/>
        <v>5400000</v>
      </c>
      <c r="I12" s="191">
        <v>1</v>
      </c>
      <c r="J12" s="191">
        <v>6500000</v>
      </c>
      <c r="K12" s="191">
        <f t="shared" si="2"/>
        <v>6500000</v>
      </c>
    </row>
    <row r="13" spans="1:11" x14ac:dyDescent="0.25">
      <c r="A13" s="196">
        <v>10</v>
      </c>
      <c r="B13" s="190" t="s">
        <v>138</v>
      </c>
      <c r="C13" s="191">
        <v>1</v>
      </c>
      <c r="D13" s="191">
        <v>3500000</v>
      </c>
      <c r="E13" s="191">
        <f t="shared" si="0"/>
        <v>3500000</v>
      </c>
      <c r="F13" s="191">
        <v>1</v>
      </c>
      <c r="G13" s="191">
        <v>3200000</v>
      </c>
      <c r="H13" s="191">
        <f t="shared" si="1"/>
        <v>3200000</v>
      </c>
      <c r="I13" s="191"/>
      <c r="J13" s="191"/>
      <c r="K13" s="191"/>
    </row>
    <row r="14" spans="1:11" x14ac:dyDescent="0.25">
      <c r="A14" s="196"/>
      <c r="B14" s="190" t="s">
        <v>139</v>
      </c>
      <c r="C14" s="190"/>
      <c r="D14" s="190"/>
      <c r="E14" s="192">
        <f>SUM(E4:E13)</f>
        <v>45420000</v>
      </c>
      <c r="F14" s="190"/>
      <c r="G14" s="190"/>
      <c r="H14" s="192">
        <f>SUM(H4:H13)</f>
        <v>53800000</v>
      </c>
      <c r="I14" s="190"/>
      <c r="J14" s="190"/>
      <c r="K14" s="192">
        <f>SUM(K4:K12)</f>
        <v>53700000</v>
      </c>
    </row>
    <row r="15" spans="1:11" ht="23.25" x14ac:dyDescent="0.35">
      <c r="A15" s="196"/>
      <c r="B15" s="190" t="s">
        <v>140</v>
      </c>
      <c r="C15" s="190"/>
      <c r="D15" s="190"/>
      <c r="E15" s="194">
        <v>45000000</v>
      </c>
      <c r="F15" s="193"/>
      <c r="G15" s="193"/>
      <c r="H15" s="194">
        <v>53000000</v>
      </c>
      <c r="I15" s="193"/>
      <c r="J15" s="193"/>
      <c r="K15" s="194">
        <v>52400000</v>
      </c>
    </row>
  </sheetData>
  <mergeCells count="3">
    <mergeCell ref="C3:E3"/>
    <mergeCell ref="F3:H3"/>
    <mergeCell ref="I3:K3"/>
  </mergeCells>
  <pageMargins left="0.70866141732283472" right="0.70866141732283472" top="0.74803149606299213" bottom="0.74803149606299213" header="0.31496062992125984" footer="0.31496062992125984"/>
  <pageSetup paperSize="9" scale="8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Sheet2</vt:lpstr>
      <vt:lpstr>Sheet2!Print_Area</vt:lpstr>
      <vt:lpstr>Summary!Print_Area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2023-10-08T14:58:02Z</cp:lastPrinted>
  <dcterms:created xsi:type="dcterms:W3CDTF">2023-10-08T12:36:43Z</dcterms:created>
  <dcterms:modified xsi:type="dcterms:W3CDTF">2023-10-08T14:58:36Z</dcterms:modified>
</cp:coreProperties>
</file>