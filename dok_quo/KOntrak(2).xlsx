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ATANE LP BPI\TERM 83\"/>
    </mc:Choice>
  </mc:AlternateContent>
  <bookViews>
    <workbookView xWindow="-120" yWindow="-120" windowWidth="24240" windowHeight="13140"/>
  </bookViews>
  <sheets>
    <sheet name="Kontrak ALL ok" sheetId="3" r:id="rId1"/>
  </sheets>
  <definedNames>
    <definedName name="_xlnm._FilterDatabase" localSheetId="0" hidden="1">'Kontrak ALL ok'!$A$133:$AP$438</definedName>
    <definedName name="_xlnm.Print_Area" localSheetId="0">'Kontrak ALL ok'!$A$1:$AP$439</definedName>
    <definedName name="_xlnm.Print_Titles" localSheetId="0">'Kontrak ALL ok'!$132:$133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80" i="3" l="1"/>
  <c r="X380" i="3" s="1"/>
  <c r="R380" i="3"/>
  <c r="S380" i="3" s="1"/>
  <c r="P380" i="3"/>
  <c r="W312" i="3" l="1"/>
  <c r="X312" i="3" s="1"/>
  <c r="W311" i="3"/>
  <c r="X311" i="3" s="1"/>
  <c r="W310" i="3"/>
  <c r="X310" i="3" s="1"/>
  <c r="R312" i="3"/>
  <c r="S312" i="3" s="1"/>
  <c r="P312" i="3"/>
  <c r="R311" i="3"/>
  <c r="S311" i="3" s="1"/>
  <c r="P311" i="3"/>
  <c r="P310" i="3"/>
  <c r="R310" i="3"/>
  <c r="S310" i="3" s="1"/>
  <c r="W379" i="3"/>
  <c r="X379" i="3" s="1"/>
  <c r="R379" i="3"/>
  <c r="S379" i="3" s="1"/>
  <c r="P379" i="3"/>
  <c r="R376" i="3" l="1"/>
  <c r="W366" i="3" l="1"/>
  <c r="X366" i="3" s="1"/>
  <c r="P366" i="3"/>
  <c r="R366" i="3"/>
  <c r="S366" i="3" s="1"/>
  <c r="W358" i="3" l="1"/>
  <c r="X358" i="3" s="1"/>
  <c r="R358" i="3"/>
  <c r="S358" i="3" s="1"/>
  <c r="P358" i="3"/>
  <c r="W345" i="3" l="1"/>
  <c r="X345" i="3" s="1"/>
  <c r="R345" i="3"/>
  <c r="S345" i="3" s="1"/>
  <c r="P345" i="3"/>
  <c r="G26" i="3" l="1"/>
  <c r="F26" i="3"/>
  <c r="P246" i="3" l="1"/>
  <c r="R246" i="3"/>
  <c r="S246" i="3" s="1"/>
  <c r="W246" i="3"/>
  <c r="X246" i="3" s="1"/>
  <c r="AB344" i="3"/>
  <c r="AA344" i="3"/>
  <c r="W344" i="3"/>
  <c r="X344" i="3" s="1"/>
  <c r="R344" i="3"/>
  <c r="S344" i="3" s="1"/>
  <c r="P344" i="3"/>
  <c r="AA438" i="3"/>
  <c r="W438" i="3"/>
  <c r="X438" i="3" s="1"/>
  <c r="S438" i="3"/>
  <c r="P438" i="3"/>
  <c r="W268" i="3"/>
  <c r="X268" i="3" s="1"/>
  <c r="R268" i="3"/>
  <c r="S268" i="3" s="1"/>
  <c r="P268" i="3"/>
  <c r="W269" i="3"/>
  <c r="X269" i="3" s="1"/>
  <c r="R269" i="3"/>
  <c r="S269" i="3" s="1"/>
  <c r="P269" i="3"/>
  <c r="W266" i="3"/>
  <c r="X266" i="3" s="1"/>
  <c r="R266" i="3"/>
  <c r="S266" i="3" s="1"/>
  <c r="P266" i="3"/>
  <c r="W245" i="3"/>
  <c r="X245" i="3" s="1"/>
  <c r="R245" i="3"/>
  <c r="S245" i="3" s="1"/>
  <c r="P245" i="3"/>
  <c r="W244" i="3"/>
  <c r="X244" i="3" s="1"/>
  <c r="R244" i="3"/>
  <c r="S244" i="3" s="1"/>
  <c r="P244" i="3"/>
  <c r="W243" i="3"/>
  <c r="X243" i="3" s="1"/>
  <c r="R243" i="3"/>
  <c r="S243" i="3" s="1"/>
  <c r="P243" i="3"/>
  <c r="W242" i="3"/>
  <c r="X242" i="3" s="1"/>
  <c r="R242" i="3"/>
  <c r="S242" i="3" s="1"/>
  <c r="P242" i="3"/>
  <c r="AB328" i="3"/>
  <c r="AA328" i="3"/>
  <c r="W328" i="3"/>
  <c r="X328" i="3" s="1"/>
  <c r="R328" i="3"/>
  <c r="S328" i="3" s="1"/>
  <c r="P328" i="3"/>
  <c r="AB327" i="3"/>
  <c r="AA327" i="3"/>
  <c r="W327" i="3"/>
  <c r="X327" i="3" s="1"/>
  <c r="R327" i="3"/>
  <c r="S327" i="3" s="1"/>
  <c r="P327" i="3"/>
  <c r="AB326" i="3"/>
  <c r="AA326" i="3"/>
  <c r="W326" i="3"/>
  <c r="X326" i="3" s="1"/>
  <c r="S326" i="3"/>
  <c r="AB325" i="3"/>
  <c r="AA325" i="3"/>
  <c r="W325" i="3"/>
  <c r="X325" i="3" s="1"/>
  <c r="R325" i="3"/>
  <c r="S325" i="3" s="1"/>
  <c r="P325" i="3"/>
  <c r="W324" i="3"/>
  <c r="X324" i="3" s="1"/>
  <c r="R324" i="3"/>
  <c r="S324" i="3" s="1"/>
  <c r="P324" i="3"/>
  <c r="AC323" i="3"/>
  <c r="AB323" i="3"/>
  <c r="AA323" i="3"/>
  <c r="W323" i="3"/>
  <c r="X323" i="3" s="1"/>
  <c r="S323" i="3"/>
  <c r="AB322" i="3"/>
  <c r="AA322" i="3"/>
  <c r="W322" i="3"/>
  <c r="X322" i="3" s="1"/>
  <c r="S322" i="3"/>
  <c r="AB321" i="3"/>
  <c r="AA321" i="3"/>
  <c r="W321" i="3"/>
  <c r="X321" i="3" s="1"/>
  <c r="R321" i="3"/>
  <c r="S321" i="3" s="1"/>
  <c r="P321" i="3"/>
  <c r="W437" i="3"/>
  <c r="X437" i="3" s="1"/>
  <c r="S437" i="3"/>
  <c r="P437" i="3"/>
  <c r="AB236" i="3"/>
  <c r="AA236" i="3"/>
  <c r="W236" i="3"/>
  <c r="X236" i="3" s="1"/>
  <c r="R236" i="3"/>
  <c r="S236" i="3" s="1"/>
  <c r="P236" i="3"/>
  <c r="AB235" i="3"/>
  <c r="AA235" i="3"/>
  <c r="W235" i="3"/>
  <c r="X235" i="3" s="1"/>
  <c r="R235" i="3"/>
  <c r="S235" i="3" s="1"/>
  <c r="P235" i="3"/>
  <c r="AB234" i="3"/>
  <c r="AA234" i="3"/>
  <c r="W234" i="3"/>
  <c r="X234" i="3" s="1"/>
  <c r="R234" i="3"/>
  <c r="S234" i="3" s="1"/>
  <c r="P234" i="3"/>
  <c r="AB233" i="3"/>
  <c r="AA233" i="3"/>
  <c r="W233" i="3"/>
  <c r="X233" i="3" s="1"/>
  <c r="R233" i="3"/>
  <c r="S233" i="3" s="1"/>
  <c r="P233" i="3"/>
  <c r="W436" i="3"/>
  <c r="X436" i="3" s="1"/>
  <c r="S436" i="3"/>
  <c r="P436" i="3"/>
  <c r="AB232" i="3"/>
  <c r="AA232" i="3"/>
  <c r="W232" i="3"/>
  <c r="X232" i="3" s="1"/>
  <c r="R232" i="3"/>
  <c r="S232" i="3" s="1"/>
  <c r="P232" i="3"/>
  <c r="W435" i="3"/>
  <c r="X435" i="3" s="1"/>
  <c r="S435" i="3"/>
  <c r="P435" i="3"/>
  <c r="AB231" i="3"/>
  <c r="AA231" i="3"/>
  <c r="W231" i="3"/>
  <c r="X231" i="3" s="1"/>
  <c r="R231" i="3"/>
  <c r="S231" i="3" s="1"/>
  <c r="P231" i="3"/>
  <c r="AB230" i="3"/>
  <c r="AA230" i="3"/>
  <c r="W230" i="3"/>
  <c r="X230" i="3" s="1"/>
  <c r="R230" i="3"/>
  <c r="S230" i="3" s="1"/>
  <c r="P230" i="3"/>
  <c r="AA229" i="3"/>
  <c r="W229" i="3"/>
  <c r="X229" i="3" s="1"/>
  <c r="R229" i="3"/>
  <c r="S229" i="3" s="1"/>
  <c r="P229" i="3"/>
  <c r="AB228" i="3"/>
  <c r="AA228" i="3"/>
  <c r="W228" i="3"/>
  <c r="X228" i="3" s="1"/>
  <c r="R228" i="3"/>
  <c r="S228" i="3" s="1"/>
  <c r="P228" i="3"/>
  <c r="AB227" i="3"/>
  <c r="AA227" i="3"/>
  <c r="W227" i="3"/>
  <c r="X227" i="3" s="1"/>
  <c r="R227" i="3"/>
  <c r="S227" i="3" s="1"/>
  <c r="P227" i="3"/>
  <c r="AB226" i="3"/>
  <c r="AA226" i="3"/>
  <c r="W226" i="3"/>
  <c r="X226" i="3" s="1"/>
  <c r="R226" i="3"/>
  <c r="S226" i="3" s="1"/>
  <c r="P226" i="3"/>
  <c r="AB225" i="3"/>
  <c r="AA225" i="3"/>
  <c r="W225" i="3"/>
  <c r="X225" i="3" s="1"/>
  <c r="R225" i="3"/>
  <c r="S225" i="3" s="1"/>
  <c r="P225" i="3"/>
  <c r="AB224" i="3"/>
  <c r="AA224" i="3"/>
  <c r="W224" i="3"/>
  <c r="X224" i="3" s="1"/>
  <c r="R224" i="3"/>
  <c r="S224" i="3" s="1"/>
  <c r="P224" i="3"/>
  <c r="AB223" i="3"/>
  <c r="AA223" i="3"/>
  <c r="W223" i="3"/>
  <c r="X223" i="3" s="1"/>
  <c r="R223" i="3"/>
  <c r="S223" i="3" s="1"/>
  <c r="P223" i="3"/>
  <c r="AB222" i="3"/>
  <c r="AA222" i="3"/>
  <c r="W222" i="3"/>
  <c r="X222" i="3" s="1"/>
  <c r="R222" i="3"/>
  <c r="S222" i="3" s="1"/>
  <c r="P222" i="3"/>
  <c r="AB221" i="3"/>
  <c r="AA221" i="3"/>
  <c r="W221" i="3"/>
  <c r="X221" i="3" s="1"/>
  <c r="R221" i="3"/>
  <c r="S221" i="3" s="1"/>
  <c r="P221" i="3"/>
  <c r="AB220" i="3"/>
  <c r="AA220" i="3"/>
  <c r="W220" i="3"/>
  <c r="X220" i="3" s="1"/>
  <c r="R220" i="3"/>
  <c r="S220" i="3" s="1"/>
  <c r="P220" i="3"/>
  <c r="AB219" i="3"/>
  <c r="AA219" i="3"/>
  <c r="W219" i="3"/>
  <c r="X219" i="3" s="1"/>
  <c r="R219" i="3"/>
  <c r="S219" i="3" s="1"/>
  <c r="P219" i="3"/>
  <c r="AB218" i="3"/>
  <c r="AA218" i="3"/>
  <c r="W218" i="3"/>
  <c r="X218" i="3" s="1"/>
  <c r="R218" i="3"/>
  <c r="S218" i="3" s="1"/>
  <c r="P218" i="3"/>
  <c r="AB217" i="3"/>
  <c r="AA217" i="3"/>
  <c r="W217" i="3"/>
  <c r="X217" i="3" s="1"/>
  <c r="R217" i="3"/>
  <c r="S217" i="3" s="1"/>
  <c r="P217" i="3"/>
  <c r="AB216" i="3"/>
  <c r="AA216" i="3"/>
  <c r="W216" i="3"/>
  <c r="X216" i="3" s="1"/>
  <c r="R216" i="3"/>
  <c r="S216" i="3" s="1"/>
  <c r="P216" i="3"/>
  <c r="AB215" i="3"/>
  <c r="AA215" i="3"/>
  <c r="W215" i="3"/>
  <c r="X215" i="3" s="1"/>
  <c r="R215" i="3"/>
  <c r="S215" i="3" s="1"/>
  <c r="P215" i="3"/>
  <c r="AB214" i="3"/>
  <c r="AA214" i="3"/>
  <c r="W214" i="3"/>
  <c r="X214" i="3" s="1"/>
  <c r="R214" i="3"/>
  <c r="S214" i="3" s="1"/>
  <c r="P214" i="3"/>
  <c r="AB213" i="3"/>
  <c r="AA213" i="3"/>
  <c r="W213" i="3"/>
  <c r="X213" i="3" s="1"/>
  <c r="R213" i="3"/>
  <c r="S213" i="3" s="1"/>
  <c r="P213" i="3"/>
  <c r="W212" i="3"/>
  <c r="X212" i="3" s="1"/>
  <c r="R212" i="3"/>
  <c r="S212" i="3" s="1"/>
  <c r="P212" i="3"/>
  <c r="AB239" i="3"/>
  <c r="AA239" i="3"/>
  <c r="W239" i="3"/>
  <c r="X239" i="3" s="1"/>
  <c r="R239" i="3"/>
  <c r="S239" i="3" s="1"/>
  <c r="P239" i="3"/>
  <c r="AB238" i="3"/>
  <c r="AA238" i="3"/>
  <c r="W238" i="3"/>
  <c r="X238" i="3" s="1"/>
  <c r="R238" i="3"/>
  <c r="S238" i="3" s="1"/>
  <c r="P238" i="3"/>
  <c r="AB237" i="3"/>
  <c r="AA237" i="3"/>
  <c r="W237" i="3"/>
  <c r="X237" i="3" s="1"/>
  <c r="R237" i="3"/>
  <c r="S237" i="3" s="1"/>
  <c r="P237" i="3"/>
  <c r="AB241" i="3"/>
  <c r="AA241" i="3"/>
  <c r="W241" i="3"/>
  <c r="X241" i="3" s="1"/>
  <c r="R241" i="3"/>
  <c r="S241" i="3" s="1"/>
  <c r="P241" i="3"/>
  <c r="AB434" i="3"/>
  <c r="AA434" i="3"/>
  <c r="W434" i="3"/>
  <c r="X434" i="3" s="1"/>
  <c r="S434" i="3"/>
  <c r="P434" i="3"/>
  <c r="W181" i="3"/>
  <c r="X181" i="3" s="1"/>
  <c r="R181" i="3"/>
  <c r="S181" i="3" s="1"/>
  <c r="P181" i="3"/>
  <c r="W172" i="3"/>
  <c r="X172" i="3" s="1"/>
  <c r="R172" i="3"/>
  <c r="S172" i="3" s="1"/>
  <c r="P172" i="3"/>
  <c r="W163" i="3"/>
  <c r="X163" i="3" s="1"/>
  <c r="R163" i="3"/>
  <c r="S163" i="3" s="1"/>
  <c r="P163" i="3"/>
  <c r="W433" i="3"/>
  <c r="X433" i="3" s="1"/>
  <c r="S433" i="3"/>
  <c r="P433" i="3"/>
  <c r="W432" i="3"/>
  <c r="X432" i="3" s="1"/>
  <c r="S432" i="3"/>
  <c r="P432" i="3"/>
  <c r="W431" i="3"/>
  <c r="X431" i="3" s="1"/>
  <c r="S431" i="3"/>
  <c r="P431" i="3"/>
  <c r="W430" i="3"/>
  <c r="X430" i="3" s="1"/>
  <c r="S430" i="3"/>
  <c r="P430" i="3"/>
  <c r="W429" i="3"/>
  <c r="X429" i="3" s="1"/>
  <c r="S429" i="3"/>
  <c r="P429" i="3"/>
  <c r="AB343" i="3"/>
  <c r="AA343" i="3"/>
  <c r="W343" i="3"/>
  <c r="X343" i="3" s="1"/>
  <c r="R343" i="3"/>
  <c r="S343" i="3" s="1"/>
  <c r="P343" i="3"/>
  <c r="W428" i="3"/>
  <c r="X428" i="3" s="1"/>
  <c r="S428" i="3"/>
  <c r="P428" i="3"/>
  <c r="AB342" i="3"/>
  <c r="AA342" i="3"/>
  <c r="W342" i="3"/>
  <c r="X342" i="3" s="1"/>
  <c r="R342" i="3"/>
  <c r="S342" i="3" s="1"/>
  <c r="P342" i="3"/>
  <c r="AB341" i="3"/>
  <c r="AA341" i="3"/>
  <c r="W341" i="3"/>
  <c r="X341" i="3" s="1"/>
  <c r="R341" i="3"/>
  <c r="S341" i="3" s="1"/>
  <c r="P341" i="3"/>
  <c r="AB340" i="3"/>
  <c r="AA340" i="3"/>
  <c r="W340" i="3"/>
  <c r="X340" i="3" s="1"/>
  <c r="R340" i="3"/>
  <c r="S340" i="3" s="1"/>
  <c r="P340" i="3"/>
  <c r="AB338" i="3"/>
  <c r="AA338" i="3"/>
  <c r="W338" i="3"/>
  <c r="X338" i="3" s="1"/>
  <c r="R338" i="3"/>
  <c r="S338" i="3" s="1"/>
  <c r="P338" i="3"/>
  <c r="AB339" i="3"/>
  <c r="AA339" i="3"/>
  <c r="W339" i="3"/>
  <c r="X339" i="3" s="1"/>
  <c r="S339" i="3"/>
  <c r="AB427" i="3"/>
  <c r="AA427" i="3"/>
  <c r="W427" i="3"/>
  <c r="X427" i="3" s="1"/>
  <c r="S427" i="3"/>
  <c r="P427" i="3"/>
  <c r="AB337" i="3"/>
  <c r="AA337" i="3"/>
  <c r="W337" i="3"/>
  <c r="X337" i="3" s="1"/>
  <c r="R337" i="3"/>
  <c r="S337" i="3" s="1"/>
  <c r="P337" i="3"/>
  <c r="AB336" i="3"/>
  <c r="AA336" i="3"/>
  <c r="W336" i="3"/>
  <c r="X336" i="3" s="1"/>
  <c r="R336" i="3"/>
  <c r="S336" i="3" s="1"/>
  <c r="P336" i="3"/>
  <c r="W426" i="3"/>
  <c r="X426" i="3" s="1"/>
  <c r="S426" i="3"/>
  <c r="P426" i="3"/>
  <c r="AB335" i="3"/>
  <c r="AA335" i="3"/>
  <c r="W335" i="3"/>
  <c r="X335" i="3" s="1"/>
  <c r="R335" i="3"/>
  <c r="S335" i="3" s="1"/>
  <c r="P335" i="3"/>
  <c r="W425" i="3"/>
  <c r="X425" i="3" s="1"/>
  <c r="S425" i="3"/>
  <c r="P425" i="3"/>
  <c r="AB334" i="3"/>
  <c r="AA334" i="3"/>
  <c r="W334" i="3"/>
  <c r="X334" i="3" s="1"/>
  <c r="R334" i="3"/>
  <c r="S334" i="3" s="1"/>
  <c r="P334" i="3"/>
  <c r="W424" i="3"/>
  <c r="X424" i="3" s="1"/>
  <c r="S424" i="3"/>
  <c r="P424" i="3"/>
  <c r="AB333" i="3"/>
  <c r="AA333" i="3"/>
  <c r="W333" i="3"/>
  <c r="X333" i="3" s="1"/>
  <c r="R333" i="3"/>
  <c r="S333" i="3" s="1"/>
  <c r="P333" i="3"/>
  <c r="W384" i="3"/>
  <c r="X384" i="3" s="1"/>
  <c r="S384" i="3"/>
  <c r="W383" i="3"/>
  <c r="X383" i="3" s="1"/>
  <c r="S383" i="3"/>
  <c r="AB332" i="3"/>
  <c r="AA332" i="3"/>
  <c r="W332" i="3"/>
  <c r="X332" i="3" s="1"/>
  <c r="R332" i="3"/>
  <c r="S332" i="3" s="1"/>
  <c r="P332" i="3"/>
  <c r="W331" i="3"/>
  <c r="X331" i="3" s="1"/>
  <c r="S331" i="3"/>
  <c r="AB330" i="3"/>
  <c r="AA330" i="3"/>
  <c r="W330" i="3"/>
  <c r="X330" i="3" s="1"/>
  <c r="R330" i="3"/>
  <c r="S330" i="3" s="1"/>
  <c r="P330" i="3"/>
  <c r="AC329" i="3"/>
  <c r="AB329" i="3"/>
  <c r="AA329" i="3"/>
  <c r="W329" i="3"/>
  <c r="X329" i="3" s="1"/>
  <c r="S329" i="3"/>
  <c r="W382" i="3"/>
  <c r="X382" i="3" s="1"/>
  <c r="S382" i="3"/>
  <c r="W423" i="3"/>
  <c r="X423" i="3" s="1"/>
  <c r="S423" i="3"/>
  <c r="P423" i="3"/>
  <c r="W422" i="3"/>
  <c r="X422" i="3" s="1"/>
  <c r="S422" i="3"/>
  <c r="P422" i="3"/>
  <c r="W211" i="3"/>
  <c r="X211" i="3" s="1"/>
  <c r="R211" i="3"/>
  <c r="S211" i="3" s="1"/>
  <c r="P211" i="3"/>
  <c r="W210" i="3"/>
  <c r="X210" i="3" s="1"/>
  <c r="R210" i="3"/>
  <c r="S210" i="3" s="1"/>
  <c r="P210" i="3"/>
  <c r="W240" i="3"/>
  <c r="X240" i="3" s="1"/>
  <c r="R240" i="3"/>
  <c r="S240" i="3" s="1"/>
  <c r="P240" i="3"/>
  <c r="W209" i="3"/>
  <c r="X209" i="3" s="1"/>
  <c r="R209" i="3"/>
  <c r="S209" i="3" s="1"/>
  <c r="P209" i="3"/>
  <c r="W204" i="3"/>
  <c r="X204" i="3" s="1"/>
  <c r="R204" i="3"/>
  <c r="S204" i="3" s="1"/>
  <c r="P204" i="3"/>
  <c r="W203" i="3"/>
  <c r="X203" i="3" s="1"/>
  <c r="R203" i="3"/>
  <c r="S203" i="3" s="1"/>
  <c r="P203" i="3"/>
  <c r="W421" i="3"/>
  <c r="X421" i="3" s="1"/>
  <c r="S421" i="3"/>
  <c r="P421" i="3"/>
  <c r="W208" i="3"/>
  <c r="X208" i="3" s="1"/>
  <c r="R208" i="3"/>
  <c r="S208" i="3" s="1"/>
  <c r="P208" i="3"/>
  <c r="W207" i="3"/>
  <c r="X207" i="3" s="1"/>
  <c r="R207" i="3"/>
  <c r="S207" i="3" s="1"/>
  <c r="P207" i="3"/>
  <c r="W206" i="3"/>
  <c r="X206" i="3" s="1"/>
  <c r="R206" i="3"/>
  <c r="S206" i="3" s="1"/>
  <c r="P206" i="3"/>
  <c r="W205" i="3"/>
  <c r="X205" i="3" s="1"/>
  <c r="R205" i="3"/>
  <c r="S205" i="3" s="1"/>
  <c r="P205" i="3"/>
  <c r="AA296" i="3"/>
  <c r="W296" i="3"/>
  <c r="X296" i="3" s="1"/>
  <c r="R296" i="3"/>
  <c r="S296" i="3" s="1"/>
  <c r="P296" i="3"/>
  <c r="AB295" i="3"/>
  <c r="AA295" i="3"/>
  <c r="W295" i="3"/>
  <c r="X295" i="3" s="1"/>
  <c r="R295" i="3"/>
  <c r="S295" i="3" s="1"/>
  <c r="P295" i="3"/>
  <c r="W202" i="3"/>
  <c r="X202" i="3" s="1"/>
  <c r="R202" i="3"/>
  <c r="S202" i="3" s="1"/>
  <c r="P202" i="3"/>
  <c r="W183" i="3"/>
  <c r="X183" i="3" s="1"/>
  <c r="R183" i="3"/>
  <c r="S183" i="3" s="1"/>
  <c r="P183" i="3"/>
  <c r="W420" i="3"/>
  <c r="X420" i="3" s="1"/>
  <c r="S420" i="3"/>
  <c r="P420" i="3"/>
  <c r="W171" i="3"/>
  <c r="X171" i="3" s="1"/>
  <c r="R171" i="3"/>
  <c r="S171" i="3" s="1"/>
  <c r="P171" i="3"/>
  <c r="W169" i="3"/>
  <c r="X169" i="3" s="1"/>
  <c r="R169" i="3"/>
  <c r="S169" i="3" s="1"/>
  <c r="P169" i="3"/>
  <c r="W165" i="3"/>
  <c r="X165" i="3" s="1"/>
  <c r="R165" i="3"/>
  <c r="S165" i="3" s="1"/>
  <c r="P165" i="3"/>
  <c r="W282" i="3"/>
  <c r="X282" i="3" s="1"/>
  <c r="R282" i="3"/>
  <c r="S282" i="3" s="1"/>
  <c r="P282" i="3"/>
  <c r="W291" i="3"/>
  <c r="X291" i="3" s="1"/>
  <c r="R291" i="3"/>
  <c r="S291" i="3" s="1"/>
  <c r="P291" i="3"/>
  <c r="W292" i="3"/>
  <c r="X292" i="3" s="1"/>
  <c r="R292" i="3"/>
  <c r="S292" i="3" s="1"/>
  <c r="P292" i="3"/>
  <c r="W290" i="3"/>
  <c r="X290" i="3" s="1"/>
  <c r="R290" i="3"/>
  <c r="S290" i="3" s="1"/>
  <c r="P290" i="3"/>
  <c r="AA289" i="3"/>
  <c r="W289" i="3"/>
  <c r="X289" i="3" s="1"/>
  <c r="R289" i="3"/>
  <c r="S289" i="3" s="1"/>
  <c r="P289" i="3"/>
  <c r="L289" i="3"/>
  <c r="W288" i="3"/>
  <c r="X288" i="3" s="1"/>
  <c r="R288" i="3"/>
  <c r="S288" i="3" s="1"/>
  <c r="P288" i="3"/>
  <c r="W419" i="3"/>
  <c r="X419" i="3" s="1"/>
  <c r="S419" i="3"/>
  <c r="P419" i="3"/>
  <c r="W418" i="3"/>
  <c r="X418" i="3" s="1"/>
  <c r="S418" i="3"/>
  <c r="P418" i="3"/>
  <c r="W287" i="3"/>
  <c r="X287" i="3" s="1"/>
  <c r="R287" i="3"/>
  <c r="S287" i="3" s="1"/>
  <c r="P287" i="3"/>
  <c r="W286" i="3"/>
  <c r="X286" i="3" s="1"/>
  <c r="R286" i="3"/>
  <c r="S286" i="3" s="1"/>
  <c r="P286" i="3"/>
  <c r="AA299" i="3"/>
  <c r="W299" i="3"/>
  <c r="X299" i="3" s="1"/>
  <c r="R299" i="3"/>
  <c r="S299" i="3" s="1"/>
  <c r="P299" i="3"/>
  <c r="W417" i="3"/>
  <c r="X417" i="3" s="1"/>
  <c r="S417" i="3"/>
  <c r="P417" i="3"/>
  <c r="AB297" i="3"/>
  <c r="AA297" i="3"/>
  <c r="W297" i="3"/>
  <c r="X297" i="3" s="1"/>
  <c r="R297" i="3"/>
  <c r="S297" i="3" s="1"/>
  <c r="P297" i="3"/>
  <c r="AA300" i="3"/>
  <c r="W300" i="3"/>
  <c r="X300" i="3" s="1"/>
  <c r="R300" i="3"/>
  <c r="S300" i="3" s="1"/>
  <c r="P300" i="3"/>
  <c r="W416" i="3"/>
  <c r="X416" i="3" s="1"/>
  <c r="S416" i="3"/>
  <c r="P416" i="3"/>
  <c r="W381" i="3"/>
  <c r="X381" i="3" s="1"/>
  <c r="R381" i="3"/>
  <c r="S381" i="3" s="1"/>
  <c r="P381" i="3"/>
  <c r="AA302" i="3"/>
  <c r="W302" i="3"/>
  <c r="X302" i="3" s="1"/>
  <c r="R302" i="3"/>
  <c r="S302" i="3" s="1"/>
  <c r="P302" i="3"/>
  <c r="W415" i="3"/>
  <c r="X415" i="3" s="1"/>
  <c r="S415" i="3"/>
  <c r="P415" i="3"/>
  <c r="AB301" i="3"/>
  <c r="AA301" i="3"/>
  <c r="W301" i="3"/>
  <c r="X301" i="3" s="1"/>
  <c r="R301" i="3"/>
  <c r="S301" i="3" s="1"/>
  <c r="P301" i="3"/>
  <c r="AA303" i="3"/>
  <c r="W303" i="3"/>
  <c r="X303" i="3" s="1"/>
  <c r="R303" i="3"/>
  <c r="S303" i="3" s="1"/>
  <c r="P303" i="3"/>
  <c r="AB298" i="3"/>
  <c r="AA298" i="3"/>
  <c r="W298" i="3"/>
  <c r="X298" i="3" s="1"/>
  <c r="R298" i="3"/>
  <c r="S298" i="3" s="1"/>
  <c r="P298" i="3"/>
  <c r="W414" i="3"/>
  <c r="X414" i="3" s="1"/>
  <c r="S414" i="3"/>
  <c r="P414" i="3"/>
  <c r="W413" i="3"/>
  <c r="X413" i="3" s="1"/>
  <c r="S413" i="3"/>
  <c r="P413" i="3"/>
  <c r="W412" i="3"/>
  <c r="X412" i="3" s="1"/>
  <c r="S412" i="3"/>
  <c r="P412" i="3"/>
  <c r="L412" i="3"/>
  <c r="W411" i="3"/>
  <c r="X411" i="3" s="1"/>
  <c r="S411" i="3"/>
  <c r="P411" i="3"/>
  <c r="L411" i="3"/>
  <c r="W410" i="3"/>
  <c r="X410" i="3" s="1"/>
  <c r="S410" i="3"/>
  <c r="P410" i="3"/>
  <c r="W409" i="3"/>
  <c r="X409" i="3" s="1"/>
  <c r="S409" i="3"/>
  <c r="P409" i="3"/>
  <c r="W378" i="3"/>
  <c r="X378" i="3" s="1"/>
  <c r="R378" i="3"/>
  <c r="S378" i="3" s="1"/>
  <c r="P378" i="3"/>
  <c r="W377" i="3"/>
  <c r="X377" i="3" s="1"/>
  <c r="S377" i="3"/>
  <c r="W408" i="3"/>
  <c r="X408" i="3" s="1"/>
  <c r="S408" i="3"/>
  <c r="P408" i="3"/>
  <c r="W407" i="3"/>
  <c r="X407" i="3" s="1"/>
  <c r="S407" i="3"/>
  <c r="P407" i="3"/>
  <c r="W406" i="3"/>
  <c r="X406" i="3" s="1"/>
  <c r="S406" i="3"/>
  <c r="W357" i="3"/>
  <c r="X357" i="3" s="1"/>
  <c r="R357" i="3"/>
  <c r="S357" i="3" s="1"/>
  <c r="P357" i="3"/>
  <c r="W364" i="3"/>
  <c r="X364" i="3" s="1"/>
  <c r="R364" i="3"/>
  <c r="S364" i="3" s="1"/>
  <c r="P364" i="3"/>
  <c r="W346" i="3"/>
  <c r="X346" i="3" s="1"/>
  <c r="R346" i="3"/>
  <c r="S346" i="3" s="1"/>
  <c r="P346" i="3"/>
  <c r="W360" i="3"/>
  <c r="X360" i="3" s="1"/>
  <c r="R360" i="3"/>
  <c r="S360" i="3" s="1"/>
  <c r="P360" i="3"/>
  <c r="W361" i="3"/>
  <c r="X361" i="3" s="1"/>
  <c r="R361" i="3"/>
  <c r="S361" i="3" s="1"/>
  <c r="P361" i="3"/>
  <c r="W374" i="3"/>
  <c r="X374" i="3" s="1"/>
  <c r="R374" i="3"/>
  <c r="S374" i="3" s="1"/>
  <c r="P374" i="3"/>
  <c r="W373" i="3"/>
  <c r="X373" i="3" s="1"/>
  <c r="R373" i="3"/>
  <c r="S373" i="3" s="1"/>
  <c r="P373" i="3"/>
  <c r="W359" i="3"/>
  <c r="X359" i="3" s="1"/>
  <c r="R359" i="3"/>
  <c r="S359" i="3" s="1"/>
  <c r="P359" i="3"/>
  <c r="W349" i="3"/>
  <c r="X349" i="3" s="1"/>
  <c r="R349" i="3"/>
  <c r="S349" i="3" s="1"/>
  <c r="P349" i="3"/>
  <c r="W362" i="3"/>
  <c r="X362" i="3" s="1"/>
  <c r="R362" i="3"/>
  <c r="S362" i="3" s="1"/>
  <c r="P362" i="3"/>
  <c r="W370" i="3"/>
  <c r="X370" i="3" s="1"/>
  <c r="R370" i="3"/>
  <c r="S370" i="3" s="1"/>
  <c r="P370" i="3"/>
  <c r="W371" i="3"/>
  <c r="X371" i="3" s="1"/>
  <c r="R371" i="3"/>
  <c r="S371" i="3" s="1"/>
  <c r="P371" i="3"/>
  <c r="W368" i="3"/>
  <c r="X368" i="3" s="1"/>
  <c r="R368" i="3"/>
  <c r="S368" i="3" s="1"/>
  <c r="P368" i="3"/>
  <c r="W363" i="3"/>
  <c r="X363" i="3" s="1"/>
  <c r="R363" i="3"/>
  <c r="S363" i="3" s="1"/>
  <c r="P363" i="3"/>
  <c r="W405" i="3"/>
  <c r="X405" i="3" s="1"/>
  <c r="S405" i="3"/>
  <c r="P405" i="3"/>
  <c r="W404" i="3"/>
  <c r="X404" i="3" s="1"/>
  <c r="S404" i="3"/>
  <c r="P404" i="3"/>
  <c r="W355" i="3"/>
  <c r="X355" i="3" s="1"/>
  <c r="R355" i="3"/>
  <c r="S355" i="3" s="1"/>
  <c r="P355" i="3"/>
  <c r="W351" i="3"/>
  <c r="X351" i="3" s="1"/>
  <c r="R351" i="3"/>
  <c r="S351" i="3" s="1"/>
  <c r="P351" i="3"/>
  <c r="W353" i="3"/>
  <c r="X353" i="3" s="1"/>
  <c r="R353" i="3"/>
  <c r="S353" i="3" s="1"/>
  <c r="P353" i="3"/>
  <c r="W347" i="3"/>
  <c r="X347" i="3" s="1"/>
  <c r="R347" i="3"/>
  <c r="S347" i="3" s="1"/>
  <c r="P347" i="3"/>
  <c r="W348" i="3"/>
  <c r="X348" i="3" s="1"/>
  <c r="R348" i="3"/>
  <c r="S348" i="3" s="1"/>
  <c r="P348" i="3"/>
  <c r="W350" i="3"/>
  <c r="X350" i="3" s="1"/>
  <c r="R350" i="3"/>
  <c r="S350" i="3" s="1"/>
  <c r="P350" i="3"/>
  <c r="W403" i="3"/>
  <c r="X403" i="3" s="1"/>
  <c r="S403" i="3"/>
  <c r="P403" i="3"/>
  <c r="W356" i="3"/>
  <c r="X356" i="3" s="1"/>
  <c r="R356" i="3"/>
  <c r="S356" i="3" s="1"/>
  <c r="P356" i="3"/>
  <c r="W352" i="3"/>
  <c r="X352" i="3" s="1"/>
  <c r="R352" i="3"/>
  <c r="S352" i="3" s="1"/>
  <c r="P352" i="3"/>
  <c r="W402" i="3"/>
  <c r="X402" i="3" s="1"/>
  <c r="S402" i="3"/>
  <c r="W401" i="3"/>
  <c r="X401" i="3" s="1"/>
  <c r="S401" i="3"/>
  <c r="P401" i="3"/>
  <c r="W354" i="3"/>
  <c r="X354" i="3" s="1"/>
  <c r="R354" i="3"/>
  <c r="S354" i="3" s="1"/>
  <c r="P354" i="3"/>
  <c r="W372" i="3"/>
  <c r="X372" i="3" s="1"/>
  <c r="R372" i="3"/>
  <c r="S372" i="3" s="1"/>
  <c r="P372" i="3"/>
  <c r="W367" i="3"/>
  <c r="X367" i="3" s="1"/>
  <c r="R367" i="3"/>
  <c r="S367" i="3" s="1"/>
  <c r="P367" i="3"/>
  <c r="W400" i="3"/>
  <c r="X400" i="3" s="1"/>
  <c r="S400" i="3"/>
  <c r="P400" i="3"/>
  <c r="W375" i="3"/>
  <c r="X375" i="3" s="1"/>
  <c r="R375" i="3"/>
  <c r="S375" i="3" s="1"/>
  <c r="P375" i="3"/>
  <c r="W365" i="3"/>
  <c r="X365" i="3" s="1"/>
  <c r="R365" i="3"/>
  <c r="S365" i="3" s="1"/>
  <c r="P365" i="3"/>
  <c r="W376" i="3"/>
  <c r="X376" i="3" s="1"/>
  <c r="S376" i="3"/>
  <c r="P376" i="3"/>
  <c r="W284" i="3"/>
  <c r="X284" i="3" s="1"/>
  <c r="R284" i="3"/>
  <c r="S284" i="3" s="1"/>
  <c r="P284" i="3"/>
  <c r="W277" i="3"/>
  <c r="X277" i="3" s="1"/>
  <c r="R277" i="3"/>
  <c r="S277" i="3" s="1"/>
  <c r="P277" i="3"/>
  <c r="W276" i="3"/>
  <c r="X276" i="3" s="1"/>
  <c r="R276" i="3"/>
  <c r="S276" i="3" s="1"/>
  <c r="P276" i="3"/>
  <c r="W285" i="3"/>
  <c r="X285" i="3" s="1"/>
  <c r="R285" i="3"/>
  <c r="S285" i="3" s="1"/>
  <c r="P285" i="3"/>
  <c r="W201" i="3"/>
  <c r="X201" i="3" s="1"/>
  <c r="R201" i="3"/>
  <c r="S201" i="3" s="1"/>
  <c r="P201" i="3"/>
  <c r="W199" i="3"/>
  <c r="X199" i="3" s="1"/>
  <c r="R199" i="3"/>
  <c r="S199" i="3" s="1"/>
  <c r="P199" i="3"/>
  <c r="W200" i="3"/>
  <c r="X200" i="3" s="1"/>
  <c r="R200" i="3"/>
  <c r="S200" i="3" s="1"/>
  <c r="P200" i="3"/>
  <c r="W198" i="3"/>
  <c r="X198" i="3" s="1"/>
  <c r="R198" i="3"/>
  <c r="S198" i="3" s="1"/>
  <c r="P198" i="3"/>
  <c r="W197" i="3"/>
  <c r="X197" i="3" s="1"/>
  <c r="R197" i="3"/>
  <c r="S197" i="3" s="1"/>
  <c r="P197" i="3"/>
  <c r="W196" i="3"/>
  <c r="X196" i="3" s="1"/>
  <c r="R196" i="3"/>
  <c r="S196" i="3" s="1"/>
  <c r="P196" i="3"/>
  <c r="W195" i="3"/>
  <c r="X195" i="3" s="1"/>
  <c r="R195" i="3"/>
  <c r="S195" i="3" s="1"/>
  <c r="P195" i="3"/>
  <c r="W399" i="3"/>
  <c r="X399" i="3" s="1"/>
  <c r="S399" i="3"/>
  <c r="P399" i="3"/>
  <c r="W194" i="3"/>
  <c r="X194" i="3" s="1"/>
  <c r="R194" i="3"/>
  <c r="S194" i="3" s="1"/>
  <c r="P194" i="3"/>
  <c r="W193" i="3"/>
  <c r="X193" i="3" s="1"/>
  <c r="R193" i="3"/>
  <c r="S193" i="3" s="1"/>
  <c r="P193" i="3"/>
  <c r="W192" i="3"/>
  <c r="X192" i="3" s="1"/>
  <c r="R192" i="3"/>
  <c r="S192" i="3" s="1"/>
  <c r="P192" i="3"/>
  <c r="W191" i="3"/>
  <c r="X191" i="3" s="1"/>
  <c r="R191" i="3"/>
  <c r="S191" i="3" s="1"/>
  <c r="P191" i="3"/>
  <c r="W190" i="3"/>
  <c r="X190" i="3" s="1"/>
  <c r="R190" i="3"/>
  <c r="S190" i="3" s="1"/>
  <c r="P190" i="3"/>
  <c r="AB294" i="3"/>
  <c r="AA294" i="3"/>
  <c r="W294" i="3"/>
  <c r="X294" i="3" s="1"/>
  <c r="R294" i="3"/>
  <c r="S294" i="3" s="1"/>
  <c r="P294" i="3"/>
  <c r="AA293" i="3"/>
  <c r="W293" i="3"/>
  <c r="X293" i="3" s="1"/>
  <c r="R293" i="3"/>
  <c r="S293" i="3" s="1"/>
  <c r="P293" i="3"/>
  <c r="W283" i="3"/>
  <c r="X283" i="3" s="1"/>
  <c r="R283" i="3"/>
  <c r="S283" i="3" s="1"/>
  <c r="P283" i="3"/>
  <c r="W280" i="3"/>
  <c r="X280" i="3" s="1"/>
  <c r="R280" i="3"/>
  <c r="S280" i="3" s="1"/>
  <c r="P280" i="3"/>
  <c r="W309" i="3"/>
  <c r="X309" i="3" s="1"/>
  <c r="R309" i="3"/>
  <c r="S309" i="3" s="1"/>
  <c r="P309" i="3"/>
  <c r="W281" i="3"/>
  <c r="X281" i="3" s="1"/>
  <c r="R281" i="3"/>
  <c r="S281" i="3" s="1"/>
  <c r="P281" i="3"/>
  <c r="W272" i="3"/>
  <c r="X272" i="3" s="1"/>
  <c r="R272" i="3"/>
  <c r="S272" i="3" s="1"/>
  <c r="P272" i="3"/>
  <c r="AB189" i="3"/>
  <c r="AA189" i="3"/>
  <c r="W189" i="3"/>
  <c r="X189" i="3" s="1"/>
  <c r="R189" i="3"/>
  <c r="S189" i="3" s="1"/>
  <c r="P189" i="3"/>
  <c r="W398" i="3"/>
  <c r="X398" i="3" s="1"/>
  <c r="S398" i="3"/>
  <c r="P398" i="3"/>
  <c r="W278" i="3"/>
  <c r="X278" i="3" s="1"/>
  <c r="R278" i="3"/>
  <c r="S278" i="3" s="1"/>
  <c r="P278" i="3"/>
  <c r="W188" i="3"/>
  <c r="X188" i="3" s="1"/>
  <c r="R188" i="3"/>
  <c r="S188" i="3" s="1"/>
  <c r="P188" i="3"/>
  <c r="W279" i="3"/>
  <c r="X279" i="3" s="1"/>
  <c r="R279" i="3"/>
  <c r="S279" i="3" s="1"/>
  <c r="P279" i="3"/>
  <c r="W308" i="3"/>
  <c r="X308" i="3" s="1"/>
  <c r="R308" i="3"/>
  <c r="S308" i="3" s="1"/>
  <c r="P308" i="3"/>
  <c r="W397" i="3"/>
  <c r="X397" i="3" s="1"/>
  <c r="S397" i="3"/>
  <c r="P397" i="3"/>
  <c r="W307" i="3"/>
  <c r="X307" i="3" s="1"/>
  <c r="R307" i="3"/>
  <c r="S307" i="3" s="1"/>
  <c r="P307" i="3"/>
  <c r="W396" i="3"/>
  <c r="X396" i="3" s="1"/>
  <c r="S396" i="3"/>
  <c r="P396" i="3"/>
  <c r="W306" i="3"/>
  <c r="X306" i="3" s="1"/>
  <c r="R306" i="3"/>
  <c r="S306" i="3" s="1"/>
  <c r="P306" i="3"/>
  <c r="W305" i="3"/>
  <c r="X305" i="3" s="1"/>
  <c r="R305" i="3"/>
  <c r="S305" i="3" s="1"/>
  <c r="P305" i="3"/>
  <c r="W304" i="3"/>
  <c r="X304" i="3" s="1"/>
  <c r="R304" i="3"/>
  <c r="S304" i="3" s="1"/>
  <c r="P304" i="3"/>
  <c r="AC273" i="3"/>
  <c r="AB273" i="3"/>
  <c r="AA273" i="3"/>
  <c r="W273" i="3"/>
  <c r="X273" i="3" s="1"/>
  <c r="R273" i="3"/>
  <c r="S273" i="3" s="1"/>
  <c r="P273" i="3"/>
  <c r="W395" i="3"/>
  <c r="X395" i="3" s="1"/>
  <c r="S395" i="3"/>
  <c r="P395" i="3"/>
  <c r="W187" i="3"/>
  <c r="X187" i="3" s="1"/>
  <c r="R187" i="3"/>
  <c r="S187" i="3" s="1"/>
  <c r="P187" i="3"/>
  <c r="W186" i="3"/>
  <c r="X186" i="3" s="1"/>
  <c r="R186" i="3"/>
  <c r="S186" i="3" s="1"/>
  <c r="P186" i="3"/>
  <c r="W185" i="3"/>
  <c r="X185" i="3" s="1"/>
  <c r="R185" i="3"/>
  <c r="S185" i="3" s="1"/>
  <c r="P185" i="3"/>
  <c r="W184" i="3"/>
  <c r="X184" i="3" s="1"/>
  <c r="R184" i="3"/>
  <c r="S184" i="3" s="1"/>
  <c r="P184" i="3"/>
  <c r="W182" i="3"/>
  <c r="X182" i="3" s="1"/>
  <c r="R182" i="3"/>
  <c r="S182" i="3" s="1"/>
  <c r="P182" i="3"/>
  <c r="W180" i="3"/>
  <c r="X180" i="3" s="1"/>
  <c r="R180" i="3"/>
  <c r="S180" i="3" s="1"/>
  <c r="P180" i="3"/>
  <c r="W179" i="3"/>
  <c r="X179" i="3" s="1"/>
  <c r="R179" i="3"/>
  <c r="S179" i="3" s="1"/>
  <c r="P179" i="3"/>
  <c r="W394" i="3"/>
  <c r="X394" i="3" s="1"/>
  <c r="S394" i="3"/>
  <c r="P394" i="3"/>
  <c r="W393" i="3"/>
  <c r="X393" i="3" s="1"/>
  <c r="S393" i="3"/>
  <c r="P393" i="3"/>
  <c r="W178" i="3"/>
  <c r="X178" i="3" s="1"/>
  <c r="R178" i="3"/>
  <c r="S178" i="3" s="1"/>
  <c r="P178" i="3"/>
  <c r="W392" i="3"/>
  <c r="X392" i="3" s="1"/>
  <c r="S392" i="3"/>
  <c r="P392" i="3"/>
  <c r="W177" i="3"/>
  <c r="X177" i="3" s="1"/>
  <c r="R177" i="3"/>
  <c r="S177" i="3" s="1"/>
  <c r="P177" i="3"/>
  <c r="AB156" i="3"/>
  <c r="AA156" i="3"/>
  <c r="W156" i="3"/>
  <c r="X156" i="3" s="1"/>
  <c r="R156" i="3"/>
  <c r="S156" i="3" s="1"/>
  <c r="P156" i="3"/>
  <c r="AB155" i="3"/>
  <c r="AA155" i="3"/>
  <c r="W155" i="3"/>
  <c r="X155" i="3" s="1"/>
  <c r="R155" i="3"/>
  <c r="S155" i="3" s="1"/>
  <c r="P155" i="3"/>
  <c r="W176" i="3"/>
  <c r="X176" i="3" s="1"/>
  <c r="S176" i="3"/>
  <c r="P176" i="3"/>
  <c r="W141" i="3"/>
  <c r="X141" i="3" s="1"/>
  <c r="R141" i="3"/>
  <c r="S141" i="3" s="1"/>
  <c r="P141" i="3"/>
  <c r="W175" i="3"/>
  <c r="X175" i="3" s="1"/>
  <c r="R175" i="3"/>
  <c r="S175" i="3" s="1"/>
  <c r="P175" i="3"/>
  <c r="AB154" i="3"/>
  <c r="AA154" i="3"/>
  <c r="W154" i="3"/>
  <c r="X154" i="3" s="1"/>
  <c r="R154" i="3"/>
  <c r="S154" i="3" s="1"/>
  <c r="P154" i="3"/>
  <c r="AB153" i="3"/>
  <c r="AA153" i="3"/>
  <c r="W153" i="3"/>
  <c r="X153" i="3" s="1"/>
  <c r="R153" i="3"/>
  <c r="S153" i="3" s="1"/>
  <c r="P153" i="3"/>
  <c r="W274" i="3"/>
  <c r="X274" i="3" s="1"/>
  <c r="R274" i="3"/>
  <c r="S274" i="3" s="1"/>
  <c r="P274" i="3"/>
  <c r="AB150" i="3"/>
  <c r="AA150" i="3"/>
  <c r="W150" i="3"/>
  <c r="X150" i="3" s="1"/>
  <c r="R150" i="3"/>
  <c r="S150" i="3" s="1"/>
  <c r="P150" i="3"/>
  <c r="AB151" i="3"/>
  <c r="AA151" i="3"/>
  <c r="W151" i="3"/>
  <c r="X151" i="3" s="1"/>
  <c r="R151" i="3"/>
  <c r="S151" i="3" s="1"/>
  <c r="P151" i="3"/>
  <c r="W152" i="3"/>
  <c r="X152" i="3" s="1"/>
  <c r="R152" i="3"/>
  <c r="S152" i="3" s="1"/>
  <c r="P152" i="3"/>
  <c r="W140" i="3"/>
  <c r="X140" i="3" s="1"/>
  <c r="R140" i="3"/>
  <c r="S140" i="3" s="1"/>
  <c r="P140" i="3"/>
  <c r="W174" i="3"/>
  <c r="X174" i="3" s="1"/>
  <c r="R174" i="3"/>
  <c r="S174" i="3" s="1"/>
  <c r="P174" i="3"/>
  <c r="W173" i="3"/>
  <c r="X173" i="3" s="1"/>
  <c r="R173" i="3"/>
  <c r="S173" i="3" s="1"/>
  <c r="P173" i="3"/>
  <c r="W170" i="3"/>
  <c r="X170" i="3" s="1"/>
  <c r="R170" i="3"/>
  <c r="S170" i="3" s="1"/>
  <c r="P170" i="3"/>
  <c r="W391" i="3"/>
  <c r="X391" i="3" s="1"/>
  <c r="S391" i="3"/>
  <c r="P391" i="3"/>
  <c r="W168" i="3"/>
  <c r="X168" i="3" s="1"/>
  <c r="R168" i="3"/>
  <c r="S168" i="3" s="1"/>
  <c r="P168" i="3"/>
  <c r="W167" i="3"/>
  <c r="X167" i="3" s="1"/>
  <c r="R167" i="3"/>
  <c r="S167" i="3" s="1"/>
  <c r="P167" i="3"/>
  <c r="W166" i="3"/>
  <c r="X166" i="3" s="1"/>
  <c r="R166" i="3"/>
  <c r="S166" i="3" s="1"/>
  <c r="P166" i="3"/>
  <c r="W390" i="3"/>
  <c r="X390" i="3" s="1"/>
  <c r="S390" i="3"/>
  <c r="P390" i="3"/>
  <c r="W389" i="3"/>
  <c r="X389" i="3" s="1"/>
  <c r="S389" i="3"/>
  <c r="P389" i="3"/>
  <c r="W388" i="3"/>
  <c r="X388" i="3" s="1"/>
  <c r="S388" i="3"/>
  <c r="P388" i="3"/>
  <c r="W164" i="3"/>
  <c r="X164" i="3" s="1"/>
  <c r="R164" i="3"/>
  <c r="S164" i="3" s="1"/>
  <c r="P164" i="3"/>
  <c r="W162" i="3"/>
  <c r="X162" i="3" s="1"/>
  <c r="R162" i="3"/>
  <c r="S162" i="3" s="1"/>
  <c r="P162" i="3"/>
  <c r="W161" i="3"/>
  <c r="X161" i="3" s="1"/>
  <c r="R161" i="3"/>
  <c r="S161" i="3" s="1"/>
  <c r="P161" i="3"/>
  <c r="W160" i="3"/>
  <c r="X160" i="3" s="1"/>
  <c r="R160" i="3"/>
  <c r="S160" i="3" s="1"/>
  <c r="P160" i="3"/>
  <c r="W159" i="3"/>
  <c r="X159" i="3" s="1"/>
  <c r="R159" i="3"/>
  <c r="S159" i="3" s="1"/>
  <c r="P159" i="3"/>
  <c r="W275" i="3"/>
  <c r="X275" i="3" s="1"/>
  <c r="R275" i="3"/>
  <c r="S275" i="3" s="1"/>
  <c r="P275" i="3"/>
  <c r="W265" i="3"/>
  <c r="X265" i="3" s="1"/>
  <c r="R265" i="3"/>
  <c r="S265" i="3" s="1"/>
  <c r="P265" i="3"/>
  <c r="AB271" i="3"/>
  <c r="AA271" i="3"/>
  <c r="W271" i="3"/>
  <c r="X271" i="3" s="1"/>
  <c r="R271" i="3"/>
  <c r="S271" i="3" s="1"/>
  <c r="P271" i="3"/>
  <c r="W139" i="3"/>
  <c r="X139" i="3" s="1"/>
  <c r="R139" i="3"/>
  <c r="S139" i="3" s="1"/>
  <c r="P139" i="3"/>
  <c r="W270" i="3"/>
  <c r="X270" i="3" s="1"/>
  <c r="R270" i="3"/>
  <c r="S270" i="3" s="1"/>
  <c r="P270" i="3"/>
  <c r="W313" i="3"/>
  <c r="X313" i="3" s="1"/>
  <c r="S313" i="3"/>
  <c r="W387" i="3"/>
  <c r="X387" i="3" s="1"/>
  <c r="S387" i="3"/>
  <c r="P387" i="3"/>
  <c r="W267" i="3"/>
  <c r="X267" i="3" s="1"/>
  <c r="R267" i="3"/>
  <c r="S267" i="3" s="1"/>
  <c r="P267" i="3"/>
  <c r="W262" i="3"/>
  <c r="X262" i="3" s="1"/>
  <c r="R262" i="3"/>
  <c r="S262" i="3" s="1"/>
  <c r="P262" i="3"/>
  <c r="W264" i="3"/>
  <c r="X264" i="3" s="1"/>
  <c r="R264" i="3"/>
  <c r="S264" i="3" s="1"/>
  <c r="P264" i="3"/>
  <c r="X261" i="3"/>
  <c r="R261" i="3"/>
  <c r="S261" i="3" s="1"/>
  <c r="P261" i="3"/>
  <c r="AB149" i="3"/>
  <c r="AA149" i="3"/>
  <c r="W149" i="3"/>
  <c r="X149" i="3" s="1"/>
  <c r="R149" i="3"/>
  <c r="S149" i="3" s="1"/>
  <c r="P149" i="3"/>
  <c r="AB148" i="3"/>
  <c r="AA148" i="3"/>
  <c r="W148" i="3"/>
  <c r="X148" i="3" s="1"/>
  <c r="R148" i="3"/>
  <c r="S148" i="3" s="1"/>
  <c r="P148" i="3"/>
  <c r="AB147" i="3"/>
  <c r="AA147" i="3"/>
  <c r="W147" i="3"/>
  <c r="X147" i="3" s="1"/>
  <c r="R147" i="3"/>
  <c r="S147" i="3" s="1"/>
  <c r="P147" i="3"/>
  <c r="AB146" i="3"/>
  <c r="AA146" i="3"/>
  <c r="W146" i="3"/>
  <c r="X146" i="3" s="1"/>
  <c r="R146" i="3"/>
  <c r="S146" i="3" s="1"/>
  <c r="P146" i="3"/>
  <c r="AB145" i="3"/>
  <c r="AA145" i="3"/>
  <c r="W145" i="3"/>
  <c r="X145" i="3" s="1"/>
  <c r="R145" i="3"/>
  <c r="S145" i="3" s="1"/>
  <c r="P145" i="3"/>
  <c r="W158" i="3"/>
  <c r="X158" i="3" s="1"/>
  <c r="S158" i="3"/>
  <c r="P158" i="3"/>
  <c r="AB157" i="3"/>
  <c r="AA157" i="3"/>
  <c r="W157" i="3"/>
  <c r="X157" i="3" s="1"/>
  <c r="R157" i="3"/>
  <c r="S157" i="3" s="1"/>
  <c r="P157" i="3"/>
  <c r="W386" i="3"/>
  <c r="X386" i="3" s="1"/>
  <c r="S386" i="3"/>
  <c r="P386" i="3"/>
  <c r="AB144" i="3"/>
  <c r="AA144" i="3"/>
  <c r="W144" i="3"/>
  <c r="X144" i="3" s="1"/>
  <c r="R144" i="3"/>
  <c r="S144" i="3" s="1"/>
  <c r="P144" i="3"/>
  <c r="AB143" i="3"/>
  <c r="AA143" i="3"/>
  <c r="W143" i="3"/>
  <c r="X143" i="3" s="1"/>
  <c r="R143" i="3"/>
  <c r="S143" i="3" s="1"/>
  <c r="P143" i="3"/>
  <c r="W142" i="3"/>
  <c r="X142" i="3" s="1"/>
  <c r="S142" i="3"/>
  <c r="P142" i="3"/>
  <c r="W138" i="3"/>
  <c r="X138" i="3" s="1"/>
  <c r="R138" i="3"/>
  <c r="S138" i="3" s="1"/>
  <c r="P138" i="3"/>
  <c r="W137" i="3"/>
  <c r="X137" i="3" s="1"/>
  <c r="R137" i="3"/>
  <c r="S137" i="3" s="1"/>
  <c r="P137" i="3"/>
  <c r="W136" i="3"/>
  <c r="X136" i="3" s="1"/>
  <c r="R136" i="3"/>
  <c r="S136" i="3" s="1"/>
  <c r="P136" i="3"/>
  <c r="W135" i="3"/>
  <c r="X135" i="3" s="1"/>
  <c r="R135" i="3"/>
  <c r="S135" i="3" s="1"/>
  <c r="P135" i="3"/>
  <c r="W263" i="3"/>
  <c r="X263" i="3" s="1"/>
  <c r="R263" i="3"/>
  <c r="S263" i="3" s="1"/>
  <c r="P263" i="3"/>
  <c r="W134" i="3"/>
  <c r="X134" i="3" s="1"/>
  <c r="R134" i="3"/>
  <c r="S134" i="3" s="1"/>
  <c r="P134" i="3"/>
  <c r="W369" i="3"/>
  <c r="X369" i="3" s="1"/>
  <c r="R369" i="3"/>
  <c r="S369" i="3" s="1"/>
  <c r="P369" i="3"/>
  <c r="W320" i="3"/>
  <c r="X320" i="3" s="1"/>
  <c r="S320" i="3"/>
  <c r="W319" i="3"/>
  <c r="X319" i="3" s="1"/>
  <c r="R319" i="3"/>
  <c r="S319" i="3" s="1"/>
  <c r="P319" i="3"/>
  <c r="AC318" i="3"/>
  <c r="AB318" i="3"/>
  <c r="AA318" i="3"/>
  <c r="W318" i="3"/>
  <c r="X318" i="3" s="1"/>
  <c r="R318" i="3"/>
  <c r="S318" i="3" s="1"/>
  <c r="P318" i="3"/>
  <c r="AA317" i="3"/>
  <c r="W317" i="3"/>
  <c r="X317" i="3" s="1"/>
  <c r="R317" i="3"/>
  <c r="S317" i="3" s="1"/>
  <c r="P317" i="3"/>
  <c r="W316" i="3"/>
  <c r="X316" i="3" s="1"/>
  <c r="R316" i="3"/>
  <c r="S316" i="3" s="1"/>
  <c r="P316" i="3"/>
  <c r="W315" i="3"/>
  <c r="X315" i="3" s="1"/>
  <c r="R315" i="3"/>
  <c r="S315" i="3" s="1"/>
  <c r="P315" i="3"/>
  <c r="AB314" i="3"/>
  <c r="AA314" i="3"/>
  <c r="W314" i="3"/>
  <c r="X314" i="3" s="1"/>
  <c r="R314" i="3"/>
  <c r="S314" i="3" s="1"/>
  <c r="P314" i="3"/>
  <c r="W260" i="3"/>
  <c r="X260" i="3" s="1"/>
  <c r="R260" i="3"/>
  <c r="S260" i="3" s="1"/>
  <c r="P260" i="3"/>
  <c r="W259" i="3"/>
  <c r="X259" i="3" s="1"/>
  <c r="R259" i="3"/>
  <c r="S259" i="3" s="1"/>
  <c r="P259" i="3"/>
  <c r="W258" i="3"/>
  <c r="X258" i="3" s="1"/>
  <c r="R258" i="3"/>
  <c r="S258" i="3" s="1"/>
  <c r="P258" i="3"/>
  <c r="W257" i="3"/>
  <c r="X257" i="3" s="1"/>
  <c r="R257" i="3"/>
  <c r="S257" i="3" s="1"/>
  <c r="P257" i="3"/>
  <c r="W256" i="3"/>
  <c r="X256" i="3" s="1"/>
  <c r="R256" i="3"/>
  <c r="S256" i="3" s="1"/>
  <c r="P256" i="3"/>
  <c r="W255" i="3"/>
  <c r="X255" i="3" s="1"/>
  <c r="R255" i="3"/>
  <c r="S255" i="3" s="1"/>
  <c r="P255" i="3"/>
  <c r="W254" i="3"/>
  <c r="X254" i="3" s="1"/>
  <c r="R254" i="3"/>
  <c r="S254" i="3" s="1"/>
  <c r="P254" i="3"/>
  <c r="W253" i="3"/>
  <c r="X253" i="3" s="1"/>
  <c r="R253" i="3"/>
  <c r="S253" i="3" s="1"/>
  <c r="P253" i="3"/>
  <c r="W252" i="3"/>
  <c r="X252" i="3" s="1"/>
  <c r="R252" i="3"/>
  <c r="S252" i="3" s="1"/>
  <c r="P252" i="3"/>
  <c r="W251" i="3"/>
  <c r="X251" i="3" s="1"/>
  <c r="R251" i="3"/>
  <c r="S251" i="3" s="1"/>
  <c r="P251" i="3"/>
  <c r="W250" i="3"/>
  <c r="X250" i="3" s="1"/>
  <c r="R250" i="3"/>
  <c r="S250" i="3" s="1"/>
  <c r="P250" i="3"/>
  <c r="W385" i="3"/>
  <c r="X385" i="3" s="1"/>
  <c r="S385" i="3"/>
  <c r="P385" i="3"/>
  <c r="W249" i="3"/>
  <c r="X249" i="3" s="1"/>
  <c r="R249" i="3"/>
  <c r="S249" i="3" s="1"/>
  <c r="P249" i="3"/>
  <c r="AA248" i="3"/>
  <c r="W248" i="3"/>
  <c r="X248" i="3" s="1"/>
  <c r="R248" i="3"/>
  <c r="S248" i="3" s="1"/>
  <c r="P248" i="3"/>
  <c r="W247" i="3"/>
  <c r="X247" i="3" s="1"/>
  <c r="R247" i="3"/>
  <c r="S247" i="3" s="1"/>
  <c r="P247" i="3"/>
  <c r="GG68" i="3"/>
  <c r="GF68" i="3"/>
  <c r="GE68" i="3"/>
  <c r="GD68" i="3"/>
  <c r="GC68" i="3"/>
  <c r="GB68" i="3"/>
  <c r="GA68" i="3"/>
  <c r="FZ68" i="3"/>
  <c r="FY68" i="3"/>
  <c r="FX68" i="3"/>
  <c r="FW68" i="3"/>
  <c r="FV68" i="3"/>
  <c r="FU68" i="3"/>
  <c r="FT68" i="3"/>
  <c r="FS68" i="3"/>
  <c r="FR68" i="3"/>
  <c r="FQ68" i="3"/>
  <c r="FP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EN68" i="3"/>
  <c r="EM68" i="3"/>
  <c r="EL68" i="3"/>
  <c r="EK68" i="3"/>
  <c r="EJ68" i="3"/>
  <c r="EI68" i="3"/>
  <c r="EH68" i="3"/>
  <c r="EG68" i="3"/>
  <c r="EF68" i="3"/>
  <c r="EE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AF50" i="3"/>
  <c r="AE50" i="3"/>
  <c r="AD50" i="3"/>
  <c r="AC50" i="3"/>
  <c r="AB50" i="3"/>
  <c r="AA50" i="3"/>
  <c r="Y50" i="3"/>
  <c r="X50" i="3"/>
  <c r="W50" i="3"/>
  <c r="V50" i="3"/>
  <c r="U50" i="3"/>
  <c r="T50" i="3"/>
  <c r="R50" i="3"/>
  <c r="Q50" i="3"/>
  <c r="P50" i="3"/>
  <c r="O50" i="3"/>
  <c r="N50" i="3"/>
  <c r="M50" i="3"/>
  <c r="K50" i="3"/>
  <c r="J50" i="3"/>
  <c r="I50" i="3"/>
  <c r="H50" i="3"/>
  <c r="G50" i="3"/>
  <c r="F50" i="3"/>
  <c r="AF49" i="3"/>
  <c r="AE49" i="3"/>
  <c r="AD49" i="3"/>
  <c r="AC49" i="3"/>
  <c r="AB49" i="3"/>
  <c r="AA49" i="3"/>
  <c r="Y49" i="3"/>
  <c r="X49" i="3"/>
  <c r="W49" i="3"/>
  <c r="V49" i="3"/>
  <c r="U49" i="3"/>
  <c r="T49" i="3"/>
  <c r="R49" i="3"/>
  <c r="Q49" i="3"/>
  <c r="P49" i="3"/>
  <c r="O49" i="3"/>
  <c r="N49" i="3"/>
  <c r="M49" i="3"/>
  <c r="K49" i="3"/>
  <c r="J49" i="3"/>
  <c r="I49" i="3"/>
  <c r="H49" i="3"/>
  <c r="G49" i="3"/>
  <c r="F49" i="3"/>
  <c r="AF48" i="3"/>
  <c r="AE48" i="3"/>
  <c r="AD48" i="3"/>
  <c r="AC48" i="3"/>
  <c r="AB48" i="3"/>
  <c r="AA48" i="3"/>
  <c r="Y48" i="3"/>
  <c r="X48" i="3"/>
  <c r="W48" i="3"/>
  <c r="V48" i="3"/>
  <c r="U48" i="3"/>
  <c r="T48" i="3"/>
  <c r="R48" i="3"/>
  <c r="Q48" i="3"/>
  <c r="P48" i="3"/>
  <c r="O48" i="3"/>
  <c r="N48" i="3"/>
  <c r="M48" i="3"/>
  <c r="K48" i="3"/>
  <c r="J48" i="3"/>
  <c r="I48" i="3"/>
  <c r="H48" i="3"/>
  <c r="G48" i="3"/>
  <c r="F48" i="3"/>
  <c r="CD47" i="3"/>
  <c r="AF47" i="3"/>
  <c r="AE47" i="3"/>
  <c r="AD47" i="3"/>
  <c r="AC47" i="3"/>
  <c r="AB47" i="3"/>
  <c r="AA47" i="3"/>
  <c r="Y47" i="3"/>
  <c r="X47" i="3"/>
  <c r="W47" i="3"/>
  <c r="V47" i="3"/>
  <c r="U47" i="3"/>
  <c r="T47" i="3"/>
  <c r="R47" i="3"/>
  <c r="Q47" i="3"/>
  <c r="P47" i="3"/>
  <c r="O47" i="3"/>
  <c r="N47" i="3"/>
  <c r="M47" i="3"/>
  <c r="K47" i="3"/>
  <c r="J47" i="3"/>
  <c r="I47" i="3"/>
  <c r="H47" i="3"/>
  <c r="G47" i="3"/>
  <c r="F47" i="3"/>
  <c r="AF46" i="3"/>
  <c r="AE46" i="3"/>
  <c r="AD46" i="3"/>
  <c r="AC46" i="3"/>
  <c r="AA46" i="3"/>
  <c r="Y46" i="3"/>
  <c r="X46" i="3"/>
  <c r="W46" i="3"/>
  <c r="V46" i="3"/>
  <c r="T46" i="3"/>
  <c r="R46" i="3"/>
  <c r="Q46" i="3"/>
  <c r="P46" i="3"/>
  <c r="O46" i="3"/>
  <c r="M46" i="3"/>
  <c r="K46" i="3"/>
  <c r="J46" i="3"/>
  <c r="I46" i="3"/>
  <c r="H46" i="3"/>
  <c r="F46" i="3"/>
  <c r="AF45" i="3"/>
  <c r="AE45" i="3"/>
  <c r="AD45" i="3"/>
  <c r="AC45" i="3"/>
  <c r="AB45" i="3"/>
  <c r="AA45" i="3"/>
  <c r="Y45" i="3"/>
  <c r="X45" i="3"/>
  <c r="W45" i="3"/>
  <c r="V45" i="3"/>
  <c r="U45" i="3"/>
  <c r="T45" i="3"/>
  <c r="R45" i="3"/>
  <c r="Q45" i="3"/>
  <c r="P45" i="3"/>
  <c r="O45" i="3"/>
  <c r="N45" i="3"/>
  <c r="M45" i="3"/>
  <c r="K45" i="3"/>
  <c r="J45" i="3"/>
  <c r="I45" i="3"/>
  <c r="H45" i="3"/>
  <c r="G45" i="3"/>
  <c r="F45" i="3"/>
  <c r="AF44" i="3"/>
  <c r="AE44" i="3"/>
  <c r="AD44" i="3"/>
  <c r="AC44" i="3"/>
  <c r="AB44" i="3"/>
  <c r="AA44" i="3"/>
  <c r="Y44" i="3"/>
  <c r="X44" i="3"/>
  <c r="W44" i="3"/>
  <c r="V44" i="3"/>
  <c r="U44" i="3"/>
  <c r="T44" i="3"/>
  <c r="R44" i="3"/>
  <c r="Q44" i="3"/>
  <c r="P44" i="3"/>
  <c r="O44" i="3"/>
  <c r="N44" i="3"/>
  <c r="M44" i="3"/>
  <c r="K44" i="3"/>
  <c r="J44" i="3"/>
  <c r="I44" i="3"/>
  <c r="H44" i="3"/>
  <c r="G44" i="3"/>
  <c r="F44" i="3"/>
  <c r="CS43" i="3"/>
  <c r="CI43" i="3"/>
  <c r="AF43" i="3"/>
  <c r="AE43" i="3"/>
  <c r="AD43" i="3"/>
  <c r="AC43" i="3"/>
  <c r="AB43" i="3"/>
  <c r="AA43" i="3"/>
  <c r="Y43" i="3"/>
  <c r="X43" i="3"/>
  <c r="W43" i="3"/>
  <c r="V43" i="3"/>
  <c r="U43" i="3"/>
  <c r="T43" i="3"/>
  <c r="R43" i="3"/>
  <c r="Q43" i="3"/>
  <c r="P43" i="3"/>
  <c r="O43" i="3"/>
  <c r="N43" i="3"/>
  <c r="M43" i="3"/>
  <c r="K43" i="3"/>
  <c r="J43" i="3"/>
  <c r="I43" i="3"/>
  <c r="H43" i="3"/>
  <c r="G43" i="3"/>
  <c r="F43" i="3"/>
  <c r="CS42" i="3"/>
  <c r="CI42" i="3"/>
  <c r="AF42" i="3"/>
  <c r="AE42" i="3"/>
  <c r="AD42" i="3"/>
  <c r="AC42" i="3"/>
  <c r="AB42" i="3"/>
  <c r="AA42" i="3"/>
  <c r="Y42" i="3"/>
  <c r="X42" i="3"/>
  <c r="W42" i="3"/>
  <c r="V42" i="3"/>
  <c r="U42" i="3"/>
  <c r="T42" i="3"/>
  <c r="R42" i="3"/>
  <c r="Q42" i="3"/>
  <c r="P42" i="3"/>
  <c r="O42" i="3"/>
  <c r="N42" i="3"/>
  <c r="M42" i="3"/>
  <c r="K42" i="3"/>
  <c r="J42" i="3"/>
  <c r="I42" i="3"/>
  <c r="H42" i="3"/>
  <c r="G42" i="3"/>
  <c r="F42" i="3"/>
  <c r="CS41" i="3"/>
  <c r="CI41" i="3"/>
  <c r="AF41" i="3"/>
  <c r="AE41" i="3"/>
  <c r="AD41" i="3"/>
  <c r="AC41" i="3"/>
  <c r="AB41" i="3"/>
  <c r="AA41" i="3"/>
  <c r="Y41" i="3"/>
  <c r="X41" i="3"/>
  <c r="W41" i="3"/>
  <c r="V41" i="3"/>
  <c r="U41" i="3"/>
  <c r="T41" i="3"/>
  <c r="R41" i="3"/>
  <c r="Q41" i="3"/>
  <c r="P41" i="3"/>
  <c r="O41" i="3"/>
  <c r="N41" i="3"/>
  <c r="M41" i="3"/>
  <c r="K41" i="3"/>
  <c r="J41" i="3"/>
  <c r="I41" i="3"/>
  <c r="H41" i="3"/>
  <c r="G41" i="3"/>
  <c r="F41" i="3"/>
  <c r="CS40" i="3"/>
  <c r="CI40" i="3"/>
  <c r="AF40" i="3"/>
  <c r="AE40" i="3"/>
  <c r="AD40" i="3"/>
  <c r="AC40" i="3"/>
  <c r="AB40" i="3"/>
  <c r="AA40" i="3"/>
  <c r="Y40" i="3"/>
  <c r="X40" i="3"/>
  <c r="W40" i="3"/>
  <c r="V40" i="3"/>
  <c r="U40" i="3"/>
  <c r="T40" i="3"/>
  <c r="R40" i="3"/>
  <c r="Q40" i="3"/>
  <c r="P40" i="3"/>
  <c r="O40" i="3"/>
  <c r="N40" i="3"/>
  <c r="M40" i="3"/>
  <c r="K40" i="3"/>
  <c r="J40" i="3"/>
  <c r="I40" i="3"/>
  <c r="H40" i="3"/>
  <c r="G40" i="3"/>
  <c r="F40" i="3"/>
  <c r="CS39" i="3"/>
  <c r="CI39" i="3"/>
  <c r="AF39" i="3"/>
  <c r="AE39" i="3"/>
  <c r="AD39" i="3"/>
  <c r="AC39" i="3"/>
  <c r="AB39" i="3"/>
  <c r="AA39" i="3"/>
  <c r="Y39" i="3"/>
  <c r="X39" i="3"/>
  <c r="W39" i="3"/>
  <c r="V39" i="3"/>
  <c r="U39" i="3"/>
  <c r="T39" i="3"/>
  <c r="R39" i="3"/>
  <c r="Q39" i="3"/>
  <c r="P39" i="3"/>
  <c r="O39" i="3"/>
  <c r="N39" i="3"/>
  <c r="M39" i="3"/>
  <c r="K39" i="3"/>
  <c r="J39" i="3"/>
  <c r="I39" i="3"/>
  <c r="H39" i="3"/>
  <c r="G39" i="3"/>
  <c r="F39" i="3"/>
  <c r="AT29" i="3"/>
  <c r="AT28" i="3"/>
  <c r="AT27" i="3"/>
  <c r="AT26" i="3"/>
  <c r="S26" i="3"/>
  <c r="R26" i="3"/>
  <c r="Q26" i="3"/>
  <c r="P26" i="3"/>
  <c r="O26" i="3"/>
  <c r="M26" i="3"/>
  <c r="L26" i="3"/>
  <c r="K26" i="3"/>
  <c r="J26" i="3"/>
  <c r="I26" i="3"/>
  <c r="AT25" i="3"/>
  <c r="CS24" i="3"/>
  <c r="CI24" i="3"/>
  <c r="AT24" i="3"/>
  <c r="CS23" i="3"/>
  <c r="CI23" i="3"/>
  <c r="AT23" i="3"/>
  <c r="CS22" i="3"/>
  <c r="CI22" i="3"/>
  <c r="AT22" i="3"/>
  <c r="CS21" i="3"/>
  <c r="CI21" i="3"/>
  <c r="AT21" i="3"/>
  <c r="CS20" i="3"/>
  <c r="CI20" i="3"/>
  <c r="AT20" i="3"/>
  <c r="AT19" i="3"/>
  <c r="AT18" i="3"/>
  <c r="Y13" i="3"/>
  <c r="CI19" i="3" l="1"/>
  <c r="CJ19" i="3" s="1"/>
  <c r="F23" i="3"/>
  <c r="G23" i="3"/>
  <c r="G29" i="3"/>
  <c r="F29" i="3"/>
  <c r="F22" i="3"/>
  <c r="G22" i="3"/>
  <c r="F28" i="3"/>
  <c r="G28" i="3"/>
  <c r="G27" i="3"/>
  <c r="F27" i="3"/>
  <c r="G20" i="3"/>
  <c r="F20" i="3"/>
  <c r="F24" i="3"/>
  <c r="G24" i="3"/>
  <c r="G25" i="3"/>
  <c r="F25" i="3"/>
  <c r="F19" i="3"/>
  <c r="G19" i="3"/>
  <c r="G18" i="3"/>
  <c r="F18" i="3"/>
  <c r="G21" i="3"/>
  <c r="F21" i="3"/>
  <c r="CS38" i="3"/>
  <c r="CT38" i="3" s="1"/>
  <c r="CT39" i="3" s="1"/>
  <c r="CT40" i="3" s="1"/>
  <c r="CI38" i="3"/>
  <c r="CJ38" i="3" s="1"/>
  <c r="CJ39" i="3" s="1"/>
  <c r="CS19" i="3"/>
  <c r="CT19" i="3" s="1"/>
  <c r="CT20" i="3" s="1"/>
  <c r="CT21" i="3" s="1"/>
  <c r="CT22" i="3" s="1"/>
  <c r="U46" i="3"/>
  <c r="U51" i="3" s="1"/>
  <c r="R51" i="3"/>
  <c r="W51" i="3"/>
  <c r="N46" i="3"/>
  <c r="N51" i="3" s="1"/>
  <c r="AB46" i="3"/>
  <c r="AB51" i="3" s="1"/>
  <c r="G46" i="3"/>
  <c r="G51" i="3" s="1"/>
  <c r="BA45" i="3"/>
  <c r="Y26" i="3"/>
  <c r="V26" i="3"/>
  <c r="Z44" i="3"/>
  <c r="AG44" i="3"/>
  <c r="Z45" i="3"/>
  <c r="S41" i="3"/>
  <c r="L42" i="3"/>
  <c r="AY43" i="3"/>
  <c r="J51" i="3"/>
  <c r="O51" i="3"/>
  <c r="X26" i="3"/>
  <c r="L48" i="3"/>
  <c r="S48" i="3"/>
  <c r="L49" i="3"/>
  <c r="S49" i="3"/>
  <c r="Z50" i="3"/>
  <c r="AG50" i="3"/>
  <c r="AY40" i="3"/>
  <c r="AW41" i="3"/>
  <c r="BA46" i="3"/>
  <c r="AW47" i="3"/>
  <c r="BA47" i="3"/>
  <c r="AZ48" i="3"/>
  <c r="AZ49" i="3"/>
  <c r="AZ50" i="3"/>
  <c r="L40" i="3"/>
  <c r="S40" i="3"/>
  <c r="AZ40" i="3"/>
  <c r="L41" i="3"/>
  <c r="AX41" i="3"/>
  <c r="AG43" i="3"/>
  <c r="AX46" i="3"/>
  <c r="Z47" i="3"/>
  <c r="AX47" i="3"/>
  <c r="AW48" i="3"/>
  <c r="BA48" i="3"/>
  <c r="AW49" i="3"/>
  <c r="BA49" i="3"/>
  <c r="AW50" i="3"/>
  <c r="BA50" i="3"/>
  <c r="K51" i="3"/>
  <c r="AD51" i="3"/>
  <c r="AW40" i="3"/>
  <c r="BA40" i="3"/>
  <c r="AY41" i="3"/>
  <c r="AW42" i="3"/>
  <c r="BA42" i="3"/>
  <c r="Z43" i="3"/>
  <c r="L44" i="3"/>
  <c r="S44" i="3"/>
  <c r="L45" i="3"/>
  <c r="S45" i="3"/>
  <c r="AZ45" i="3"/>
  <c r="AY47" i="3"/>
  <c r="Z48" i="3"/>
  <c r="AX48" i="3"/>
  <c r="Z49" i="3"/>
  <c r="AX49" i="3"/>
  <c r="L50" i="3"/>
  <c r="S50" i="3"/>
  <c r="AX50" i="3"/>
  <c r="N26" i="3"/>
  <c r="H26" i="3"/>
  <c r="W26" i="3"/>
  <c r="V51" i="3"/>
  <c r="AA51" i="3"/>
  <c r="AE51" i="3"/>
  <c r="Z40" i="3"/>
  <c r="AX40" i="3"/>
  <c r="Z41" i="3"/>
  <c r="AG41" i="3"/>
  <c r="AZ41" i="3"/>
  <c r="AX42" i="3"/>
  <c r="AZ42" i="3"/>
  <c r="S43" i="3"/>
  <c r="AZ43" i="3"/>
  <c r="AW44" i="3"/>
  <c r="BA44" i="3"/>
  <c r="AG45" i="3"/>
  <c r="AZ46" i="3"/>
  <c r="L47" i="3"/>
  <c r="S47" i="3"/>
  <c r="AZ47" i="3"/>
  <c r="AY48" i="3"/>
  <c r="AY49" i="3"/>
  <c r="AY50" i="3"/>
  <c r="CN39" i="3"/>
  <c r="R29" i="3"/>
  <c r="M29" i="3"/>
  <c r="I29" i="3"/>
  <c r="CD41" i="3"/>
  <c r="K29" i="3"/>
  <c r="J29" i="3"/>
  <c r="CN25" i="3"/>
  <c r="Q29" i="3"/>
  <c r="L29" i="3"/>
  <c r="P29" i="3"/>
  <c r="S29" i="3"/>
  <c r="CD23" i="3"/>
  <c r="O29" i="3"/>
  <c r="R24" i="3"/>
  <c r="M24" i="3"/>
  <c r="I24" i="3"/>
  <c r="CD27" i="3"/>
  <c r="Q24" i="3"/>
  <c r="L24" i="3"/>
  <c r="P24" i="3"/>
  <c r="K24" i="3"/>
  <c r="CN20" i="3"/>
  <c r="CD42" i="3"/>
  <c r="S24" i="3"/>
  <c r="O24" i="3"/>
  <c r="J24" i="3"/>
  <c r="S23" i="3"/>
  <c r="O23" i="3"/>
  <c r="J23" i="3"/>
  <c r="CN45" i="3"/>
  <c r="R23" i="3"/>
  <c r="M23" i="3"/>
  <c r="I23" i="3"/>
  <c r="CD20" i="3"/>
  <c r="Q23" i="3"/>
  <c r="L23" i="3"/>
  <c r="P23" i="3"/>
  <c r="K23" i="3"/>
  <c r="CN21" i="3"/>
  <c r="CN23" i="3"/>
  <c r="Q22" i="3"/>
  <c r="L22" i="3"/>
  <c r="P22" i="3"/>
  <c r="K22" i="3"/>
  <c r="S22" i="3"/>
  <c r="O22" i="3"/>
  <c r="J22" i="3"/>
  <c r="CD22" i="3"/>
  <c r="R22" i="3"/>
  <c r="M22" i="3"/>
  <c r="I22" i="3"/>
  <c r="CN48" i="3"/>
  <c r="S28" i="3"/>
  <c r="O28" i="3"/>
  <c r="J28" i="3"/>
  <c r="CN29" i="3"/>
  <c r="R28" i="3"/>
  <c r="M28" i="3"/>
  <c r="I28" i="3"/>
  <c r="CD21" i="3"/>
  <c r="CD45" i="3"/>
  <c r="Q28" i="3"/>
  <c r="L28" i="3"/>
  <c r="P28" i="3"/>
  <c r="K28" i="3"/>
  <c r="P25" i="3"/>
  <c r="K25" i="3"/>
  <c r="S25" i="3"/>
  <c r="O25" i="3"/>
  <c r="J25" i="3"/>
  <c r="CN43" i="3"/>
  <c r="CD28" i="3"/>
  <c r="R25" i="3"/>
  <c r="M25" i="3"/>
  <c r="I25" i="3"/>
  <c r="CN19" i="3"/>
  <c r="CO19" i="3" s="1"/>
  <c r="Q25" i="3"/>
  <c r="L25" i="3"/>
  <c r="CN46" i="3"/>
  <c r="CD44" i="3"/>
  <c r="R19" i="3"/>
  <c r="M19" i="3"/>
  <c r="I19" i="3"/>
  <c r="Q19" i="3"/>
  <c r="CD24" i="3"/>
  <c r="P19" i="3"/>
  <c r="K19" i="3"/>
  <c r="O19" i="3"/>
  <c r="L19" i="3"/>
  <c r="CN24" i="3"/>
  <c r="S19" i="3"/>
  <c r="J19" i="3"/>
  <c r="S20" i="3"/>
  <c r="O20" i="3"/>
  <c r="J20" i="3"/>
  <c r="CN28" i="3"/>
  <c r="R20" i="3"/>
  <c r="M20" i="3"/>
  <c r="I20" i="3"/>
  <c r="CN47" i="3"/>
  <c r="CD29" i="3"/>
  <c r="Q20" i="3"/>
  <c r="L20" i="3"/>
  <c r="K20" i="3"/>
  <c r="CD40" i="3"/>
  <c r="P20" i="3"/>
  <c r="CN27" i="3"/>
  <c r="S21" i="3"/>
  <c r="O21" i="3"/>
  <c r="J21" i="3"/>
  <c r="CN41" i="3"/>
  <c r="R21" i="3"/>
  <c r="M21" i="3"/>
  <c r="I21" i="3"/>
  <c r="CD19" i="3"/>
  <c r="CE19" i="3" s="1"/>
  <c r="Q21" i="3"/>
  <c r="L21" i="3"/>
  <c r="P21" i="3"/>
  <c r="K21" i="3"/>
  <c r="CD38" i="3"/>
  <c r="CE38" i="3" s="1"/>
  <c r="S18" i="3"/>
  <c r="O18" i="3"/>
  <c r="J18" i="3"/>
  <c r="R18" i="3"/>
  <c r="I18" i="3"/>
  <c r="Q18" i="3"/>
  <c r="L18" i="3"/>
  <c r="P18" i="3"/>
  <c r="K18" i="3"/>
  <c r="CN26" i="3"/>
  <c r="CD25" i="3"/>
  <c r="M18" i="3"/>
  <c r="R27" i="3"/>
  <c r="M27" i="3"/>
  <c r="I27" i="3"/>
  <c r="CD26" i="3"/>
  <c r="CN38" i="3"/>
  <c r="CO38" i="3" s="1"/>
  <c r="Q27" i="3"/>
  <c r="L27" i="3"/>
  <c r="CN22" i="3"/>
  <c r="P27" i="3"/>
  <c r="K27" i="3"/>
  <c r="CD39" i="3"/>
  <c r="S27" i="3"/>
  <c r="O27" i="3"/>
  <c r="J27" i="3"/>
  <c r="CN42" i="3"/>
  <c r="CN40" i="3"/>
  <c r="CD43" i="3"/>
  <c r="V29" i="3"/>
  <c r="CD48" i="3"/>
  <c r="U26" i="3"/>
  <c r="AU47" i="3" s="1"/>
  <c r="F51" i="3"/>
  <c r="L39" i="3"/>
  <c r="CJ20" i="3"/>
  <c r="T26" i="3"/>
  <c r="S39" i="3"/>
  <c r="AZ39" i="3"/>
  <c r="AG40" i="3"/>
  <c r="Z42" i="3"/>
  <c r="AG42" i="3"/>
  <c r="AY44" i="3"/>
  <c r="AY46" i="3"/>
  <c r="H51" i="3"/>
  <c r="P51" i="3"/>
  <c r="T51" i="3"/>
  <c r="X51" i="3"/>
  <c r="AF51" i="3"/>
  <c r="AW39" i="3"/>
  <c r="BA39" i="3"/>
  <c r="BA41" i="3"/>
  <c r="AY42" i="3"/>
  <c r="L43" i="3"/>
  <c r="AZ44" i="3"/>
  <c r="AX44" i="3"/>
  <c r="AX45" i="3"/>
  <c r="AW45" i="3"/>
  <c r="I51" i="3"/>
  <c r="M51" i="3"/>
  <c r="Q51" i="3"/>
  <c r="Y51" i="3"/>
  <c r="AC51" i="3"/>
  <c r="AG39" i="3"/>
  <c r="AX39" i="3"/>
  <c r="AW43" i="3"/>
  <c r="BA43" i="3"/>
  <c r="AX43" i="3"/>
  <c r="AY45" i="3"/>
  <c r="Z39" i="3"/>
  <c r="AY39" i="3"/>
  <c r="S42" i="3"/>
  <c r="CD46" i="3"/>
  <c r="CN44" i="3"/>
  <c r="AG47" i="3"/>
  <c r="AG48" i="3"/>
  <c r="AG49" i="3"/>
  <c r="X29" i="3" l="1"/>
  <c r="H29" i="3"/>
  <c r="Z46" i="3"/>
  <c r="V25" i="3"/>
  <c r="BE45" i="3"/>
  <c r="H18" i="3"/>
  <c r="AG46" i="3"/>
  <c r="CO39" i="3"/>
  <c r="CO40" i="3" s="1"/>
  <c r="CO41" i="3" s="1"/>
  <c r="CO42" i="3" s="1"/>
  <c r="V22" i="3"/>
  <c r="W27" i="3"/>
  <c r="V21" i="3"/>
  <c r="U22" i="3"/>
  <c r="AU43" i="3" s="1"/>
  <c r="U19" i="3"/>
  <c r="AU40" i="3" s="1"/>
  <c r="AV43" i="3"/>
  <c r="BD43" i="3" s="1"/>
  <c r="X23" i="3"/>
  <c r="U28" i="3"/>
  <c r="AU49" i="3" s="1"/>
  <c r="N22" i="3"/>
  <c r="Y19" i="3"/>
  <c r="N25" i="3"/>
  <c r="S46" i="3"/>
  <c r="CE20" i="3"/>
  <c r="CE21" i="3" s="1"/>
  <c r="W24" i="3"/>
  <c r="AV44" i="3"/>
  <c r="BD44" i="3" s="1"/>
  <c r="AV50" i="3"/>
  <c r="BD50" i="3" s="1"/>
  <c r="AV49" i="3"/>
  <c r="BD49" i="3" s="1"/>
  <c r="AV47" i="3"/>
  <c r="BD47" i="3" s="1"/>
  <c r="AX51" i="3"/>
  <c r="V19" i="3"/>
  <c r="H19" i="3"/>
  <c r="Y22" i="3"/>
  <c r="H23" i="3"/>
  <c r="X18" i="3"/>
  <c r="AW46" i="3"/>
  <c r="BE46" i="3" s="1"/>
  <c r="L46" i="3"/>
  <c r="U24" i="3"/>
  <c r="AU45" i="3" s="1"/>
  <c r="U29" i="3"/>
  <c r="AU50" i="3" s="1"/>
  <c r="BB50" i="3" s="1"/>
  <c r="H20" i="3"/>
  <c r="H24" i="3"/>
  <c r="X20" i="3"/>
  <c r="U25" i="3"/>
  <c r="AU46" i="3" s="1"/>
  <c r="U23" i="3"/>
  <c r="AU44" i="3" s="1"/>
  <c r="N29" i="3"/>
  <c r="W21" i="3"/>
  <c r="BE41" i="3"/>
  <c r="J30" i="3"/>
  <c r="T18" i="3"/>
  <c r="V20" i="3"/>
  <c r="W23" i="3"/>
  <c r="N23" i="3"/>
  <c r="H25" i="3"/>
  <c r="H21" i="3"/>
  <c r="AV48" i="3"/>
  <c r="BD48" i="3" s="1"/>
  <c r="BE50" i="3"/>
  <c r="BE48" i="3"/>
  <c r="U21" i="3"/>
  <c r="AU42" i="3" s="1"/>
  <c r="G30" i="3"/>
  <c r="W18" i="3"/>
  <c r="U18" i="3"/>
  <c r="W28" i="3"/>
  <c r="Y28" i="3"/>
  <c r="AV41" i="3"/>
  <c r="BD41" i="3" s="1"/>
  <c r="AV45" i="3"/>
  <c r="BD45" i="3" s="1"/>
  <c r="BE40" i="3"/>
  <c r="BE49" i="3"/>
  <c r="AA52" i="3"/>
  <c r="K30" i="3"/>
  <c r="H28" i="3"/>
  <c r="H27" i="3"/>
  <c r="BE43" i="3"/>
  <c r="AY51" i="3"/>
  <c r="AZ51" i="3"/>
  <c r="AV40" i="3"/>
  <c r="BD40" i="3" s="1"/>
  <c r="Y18" i="3"/>
  <c r="V18" i="3"/>
  <c r="R30" i="3"/>
  <c r="W20" i="3"/>
  <c r="N19" i="3"/>
  <c r="W22" i="3"/>
  <c r="Y23" i="3"/>
  <c r="BE44" i="3"/>
  <c r="BE42" i="3"/>
  <c r="BE47" i="3"/>
  <c r="H22" i="3"/>
  <c r="L30" i="3"/>
  <c r="U20" i="3"/>
  <c r="AU41" i="3" s="1"/>
  <c r="X24" i="3"/>
  <c r="F30" i="3"/>
  <c r="N18" i="3"/>
  <c r="CE39" i="3"/>
  <c r="CE40" i="3" s="1"/>
  <c r="U27" i="3"/>
  <c r="AU48" i="3" s="1"/>
  <c r="W19" i="3"/>
  <c r="M30" i="3"/>
  <c r="V27" i="3"/>
  <c r="Y20" i="3"/>
  <c r="T29" i="3"/>
  <c r="Y29" i="3"/>
  <c r="W29" i="3"/>
  <c r="T19" i="3"/>
  <c r="V23" i="3"/>
  <c r="T24" i="3"/>
  <c r="N20" i="3"/>
  <c r="T23" i="3"/>
  <c r="N24" i="3"/>
  <c r="P30" i="3"/>
  <c r="N27" i="3"/>
  <c r="Y27" i="3"/>
  <c r="Q30" i="3"/>
  <c r="O30" i="3"/>
  <c r="T21" i="3"/>
  <c r="N21" i="3"/>
  <c r="T20" i="3"/>
  <c r="W25" i="3"/>
  <c r="X28" i="3"/>
  <c r="N28" i="3"/>
  <c r="V28" i="3"/>
  <c r="T22" i="3"/>
  <c r="Y24" i="3"/>
  <c r="X27" i="3"/>
  <c r="T27" i="3"/>
  <c r="I30" i="3"/>
  <c r="S30" i="3"/>
  <c r="X21" i="3"/>
  <c r="Y21" i="3"/>
  <c r="X19" i="3"/>
  <c r="X25" i="3"/>
  <c r="Y25" i="3"/>
  <c r="T25" i="3"/>
  <c r="T28" i="3"/>
  <c r="X22" i="3"/>
  <c r="V24" i="3"/>
  <c r="CO20" i="3"/>
  <c r="CO21" i="3" s="1"/>
  <c r="CO22" i="3" s="1"/>
  <c r="CO23" i="3" s="1"/>
  <c r="S51" i="3"/>
  <c r="M52" i="3"/>
  <c r="AW51" i="3"/>
  <c r="AG51" i="3"/>
  <c r="F52" i="3"/>
  <c r="L51" i="3"/>
  <c r="CJ21" i="3"/>
  <c r="BE39" i="3"/>
  <c r="T52" i="3"/>
  <c r="Z51" i="3"/>
  <c r="AV39" i="3"/>
  <c r="BD39" i="3" s="1"/>
  <c r="BA51" i="3"/>
  <c r="AV42" i="3"/>
  <c r="BD42" i="3" s="1"/>
  <c r="CT41" i="3"/>
  <c r="CJ40" i="3"/>
  <c r="CT23" i="3"/>
  <c r="BB43" i="3" l="1"/>
  <c r="AV46" i="3"/>
  <c r="BD46" i="3" s="1"/>
  <c r="BD51" i="3" s="1"/>
  <c r="BB47" i="3"/>
  <c r="BB44" i="3"/>
  <c r="BB45" i="3"/>
  <c r="BB49" i="3"/>
  <c r="BB48" i="3"/>
  <c r="U30" i="3"/>
  <c r="AU39" i="3"/>
  <c r="AU51" i="3" s="1"/>
  <c r="BB41" i="3"/>
  <c r="I31" i="3"/>
  <c r="W30" i="3"/>
  <c r="BB40" i="3"/>
  <c r="H30" i="3"/>
  <c r="F31" i="3"/>
  <c r="AV51" i="3"/>
  <c r="X30" i="3"/>
  <c r="V30" i="3"/>
  <c r="BE51" i="3"/>
  <c r="T30" i="3"/>
  <c r="Y30" i="3"/>
  <c r="N30" i="3"/>
  <c r="O31" i="3"/>
  <c r="CJ41" i="3"/>
  <c r="CE41" i="3"/>
  <c r="CO24" i="3"/>
  <c r="BB42" i="3"/>
  <c r="CT24" i="3"/>
  <c r="CU23" i="3" s="1"/>
  <c r="CE22" i="3"/>
  <c r="AW52" i="3"/>
  <c r="CO43" i="3"/>
  <c r="CT42" i="3"/>
  <c r="CJ22" i="3"/>
  <c r="BB46" i="3" l="1"/>
  <c r="X31" i="3"/>
  <c r="BB39" i="3"/>
  <c r="U31" i="3"/>
  <c r="U33" i="3"/>
  <c r="BD52" i="3"/>
  <c r="U32" i="3"/>
  <c r="CO44" i="3"/>
  <c r="CO25" i="3"/>
  <c r="CJ42" i="3"/>
  <c r="CJ23" i="3"/>
  <c r="CU24" i="3"/>
  <c r="CU20" i="3"/>
  <c r="CU19" i="3"/>
  <c r="CU21" i="3"/>
  <c r="CU22" i="3"/>
  <c r="CT43" i="3"/>
  <c r="CU42" i="3" s="1"/>
  <c r="CE23" i="3"/>
  <c r="CE42" i="3"/>
  <c r="BB51" i="3"/>
  <c r="BC53" i="3" s="1"/>
  <c r="BC54" i="3" s="1"/>
  <c r="CO26" i="3" l="1"/>
  <c r="CE43" i="3"/>
  <c r="CU43" i="3"/>
  <c r="CU38" i="3"/>
  <c r="CU40" i="3"/>
  <c r="CU39" i="3"/>
  <c r="CU41" i="3"/>
  <c r="CO45" i="3"/>
  <c r="CJ24" i="3"/>
  <c r="CE24" i="3"/>
  <c r="CJ43" i="3"/>
  <c r="CO46" i="3" l="1"/>
  <c r="CO27" i="3"/>
  <c r="CK43" i="3"/>
  <c r="CK38" i="3"/>
  <c r="CK39" i="3"/>
  <c r="CK40" i="3"/>
  <c r="CK41" i="3"/>
  <c r="CK24" i="3"/>
  <c r="CK19" i="3"/>
  <c r="CK20" i="3"/>
  <c r="CK21" i="3"/>
  <c r="CK22" i="3"/>
  <c r="CK42" i="3"/>
  <c r="CK23" i="3"/>
  <c r="CE44" i="3"/>
  <c r="CE25" i="3"/>
  <c r="CE45" i="3" l="1"/>
  <c r="CO47" i="3"/>
  <c r="CE26" i="3"/>
  <c r="CO28" i="3"/>
  <c r="CE27" i="3" l="1"/>
  <c r="CE46" i="3"/>
  <c r="CO29" i="3"/>
  <c r="CP28" i="3" s="1"/>
  <c r="CO48" i="3"/>
  <c r="CP48" i="3" l="1"/>
  <c r="CP38" i="3"/>
  <c r="CP39" i="3"/>
  <c r="CP41" i="3"/>
  <c r="CP40" i="3"/>
  <c r="CP42" i="3"/>
  <c r="CP43" i="3"/>
  <c r="CP44" i="3"/>
  <c r="CP45" i="3"/>
  <c r="CP46" i="3"/>
  <c r="CE47" i="3"/>
  <c r="CP47" i="3"/>
  <c r="CP29" i="3"/>
  <c r="CP20" i="3"/>
  <c r="CP19" i="3"/>
  <c r="CP22" i="3"/>
  <c r="CP21" i="3"/>
  <c r="CP23" i="3"/>
  <c r="CP24" i="3"/>
  <c r="CP25" i="3"/>
  <c r="CP26" i="3"/>
  <c r="CP27" i="3"/>
  <c r="CE28" i="3"/>
  <c r="CE29" i="3" l="1"/>
  <c r="CE48" i="3"/>
  <c r="CF29" i="3" l="1"/>
  <c r="CF19" i="3"/>
  <c r="CF20" i="3"/>
  <c r="CF21" i="3"/>
  <c r="CF22" i="3"/>
  <c r="CF23" i="3"/>
  <c r="CF24" i="3"/>
  <c r="CF25" i="3"/>
  <c r="CF26" i="3"/>
  <c r="CF27" i="3"/>
  <c r="CF28" i="3"/>
  <c r="CF48" i="3"/>
  <c r="CF38" i="3"/>
  <c r="CF39" i="3"/>
  <c r="CF40" i="3"/>
  <c r="CF41" i="3"/>
  <c r="CF42" i="3"/>
  <c r="CF43" i="3"/>
  <c r="CF44" i="3"/>
  <c r="CF45" i="3"/>
  <c r="CF46" i="3"/>
  <c r="CF47" i="3"/>
</calcChain>
</file>

<file path=xl/sharedStrings.xml><?xml version="1.0" encoding="utf-8"?>
<sst xmlns="http://schemas.openxmlformats.org/spreadsheetml/2006/main" count="4731" uniqueCount="1277">
  <si>
    <t>Printed:</t>
  </si>
  <si>
    <t>NO</t>
  </si>
  <si>
    <t>DEPT</t>
  </si>
  <si>
    <t>AREA</t>
  </si>
  <si>
    <t>Kategori</t>
  </si>
  <si>
    <t>Penting</t>
  </si>
  <si>
    <t>Biasa</t>
  </si>
  <si>
    <t>Total Ada Kontrak</t>
  </si>
  <si>
    <t>Total Tidak Ada Kontrak</t>
  </si>
  <si>
    <t>PENTING</t>
  </si>
  <si>
    <t>Total</t>
  </si>
  <si>
    <t>Ada Kontrak</t>
  </si>
  <si>
    <t>Tidak Ada Kontrak</t>
  </si>
  <si>
    <t>Aktif</t>
  </si>
  <si>
    <t>Kadaluarsa&lt;=0 Bulan</t>
  </si>
  <si>
    <t>End Contract</t>
  </si>
  <si>
    <t>Belum Pernah Ada Kontrak</t>
  </si>
  <si>
    <t>Cancel</t>
  </si>
  <si>
    <t>Term 81</t>
  </si>
  <si>
    <t>Kadaluarsa</t>
  </si>
  <si>
    <t>Bulan</t>
  </si>
  <si>
    <t>Ada</t>
  </si>
  <si>
    <t>Tidak Ada</t>
  </si>
  <si>
    <t>Area</t>
  </si>
  <si>
    <t>Jumlah</t>
  </si>
  <si>
    <t>Cumulative Jumlah</t>
  </si>
  <si>
    <t>Cumulative %</t>
  </si>
  <si>
    <t>PGA</t>
  </si>
  <si>
    <t>GA</t>
  </si>
  <si>
    <t>SHE</t>
  </si>
  <si>
    <t>EXIM</t>
  </si>
  <si>
    <t>Translate</t>
  </si>
  <si>
    <t>MPC</t>
  </si>
  <si>
    <t>Vendor</t>
  </si>
  <si>
    <t>HR</t>
  </si>
  <si>
    <t>QA</t>
  </si>
  <si>
    <t>LD</t>
  </si>
  <si>
    <t>Legal</t>
  </si>
  <si>
    <t>IT</t>
  </si>
  <si>
    <t>PPC</t>
  </si>
  <si>
    <t>LOG</t>
  </si>
  <si>
    <t>User</t>
  </si>
  <si>
    <t>MTP</t>
  </si>
  <si>
    <t>Direktur</t>
  </si>
  <si>
    <t>Draft Kontrak</t>
  </si>
  <si>
    <t>WHS</t>
  </si>
  <si>
    <t>PE</t>
  </si>
  <si>
    <t>FA</t>
  </si>
  <si>
    <t>Ontime</t>
  </si>
  <si>
    <t>BIASA</t>
  </si>
  <si>
    <t>Penting "Progress Proses Kadaluarsa"</t>
  </si>
  <si>
    <t>Penting "Progress Proses Belum Pernah Ada Kontrak"</t>
  </si>
  <si>
    <t>Biasa "Progress Proses Kadaluarsa"</t>
  </si>
  <si>
    <t>Biasa "Progress Proses Belum Pernah Ada Kontrak"</t>
  </si>
  <si>
    <t>Perundingan</t>
  </si>
  <si>
    <t>ADA</t>
  </si>
  <si>
    <t>TIDAK ADA</t>
  </si>
  <si>
    <t>Presdir</t>
  </si>
  <si>
    <t>On Process</t>
  </si>
  <si>
    <t>Approved</t>
  </si>
  <si>
    <t>PER BULAN</t>
  </si>
  <si>
    <t>APPROVED PER AREA</t>
  </si>
  <si>
    <t>Ketarangan:</t>
  </si>
  <si>
    <t>Font biru</t>
  </si>
  <si>
    <t>: Penting</t>
  </si>
  <si>
    <t>: masih berlaku</t>
  </si>
  <si>
    <t>: kontrak belum pernah ada</t>
  </si>
  <si>
    <t>: kadaluarsa/ masa berlaku habis</t>
  </si>
  <si>
    <t>: masa berlaku &lt;4 bulan</t>
  </si>
  <si>
    <t>: end contract</t>
  </si>
  <si>
    <t>: cancel</t>
  </si>
  <si>
    <t>FILING HARDCOPY</t>
  </si>
  <si>
    <t>NILAI KONTRAK　価格</t>
  </si>
  <si>
    <t>PERIODE　契約期間</t>
  </si>
  <si>
    <t>PRIORITAS　優先順位</t>
  </si>
  <si>
    <t>PLAN</t>
  </si>
  <si>
    <t xml:space="preserve">CANCEL/END CONTRACT
現状
</t>
  </si>
  <si>
    <t>C/S</t>
  </si>
  <si>
    <t>LOKASI</t>
  </si>
  <si>
    <t>BINDER</t>
  </si>
  <si>
    <t>KATEGORI
R = Rutin
S = Sekali selasai</t>
  </si>
  <si>
    <t>NO PERJANJIAN
契約番号</t>
  </si>
  <si>
    <t>NAMA PERJANJIAN
契約名</t>
  </si>
  <si>
    <t>VENDOR/SUPPLIER
業者名</t>
  </si>
  <si>
    <t>NDA</t>
  </si>
  <si>
    <t>PRODUK
契約対象</t>
  </si>
  <si>
    <t>KONTAK PERSON
取引先の担当者</t>
  </si>
  <si>
    <t>RP</t>
  </si>
  <si>
    <t>PER</t>
  </si>
  <si>
    <t>MULAI</t>
  </si>
  <si>
    <t>AKHIR</t>
  </si>
  <si>
    <t>PERIODE (Tahun)</t>
  </si>
  <si>
    <t>PIC AREA
ユーザ</t>
  </si>
  <si>
    <t>SISA MASA BERLAKU (bulan)
切れるまでのタイミング</t>
  </si>
  <si>
    <t>AVAILABILITY
現状
O = Available
X = Not Available
Y = Kadaluarsa
Z = End Contract
C = Cancel</t>
  </si>
  <si>
    <t>Q</t>
  </si>
  <si>
    <t>C</t>
  </si>
  <si>
    <t>D</t>
  </si>
  <si>
    <t>SKOR</t>
  </si>
  <si>
    <t>KATEGORI</t>
  </si>
  <si>
    <t>REMARK
備考</t>
  </si>
  <si>
    <t>V=Review</t>
  </si>
  <si>
    <t>KET</t>
  </si>
  <si>
    <t>BULAN</t>
  </si>
  <si>
    <t>PIC PROSES
SAMIの担当者</t>
  </si>
  <si>
    <t>V = ADA
X = TIDAK ADA</t>
  </si>
  <si>
    <t>Approval by</t>
  </si>
  <si>
    <t>Approval date</t>
  </si>
  <si>
    <t>Password</t>
  </si>
  <si>
    <t>TF</t>
  </si>
  <si>
    <t>-</t>
  </si>
  <si>
    <t>GJ Iwan Hardjasudarma</t>
  </si>
  <si>
    <t>Not Available</t>
  </si>
  <si>
    <t>1 unit Apartemen Barong Unit A Lt.1</t>
  </si>
  <si>
    <t>Iwan, 0816666608, (024)3542202
iwanhardjasudarma@gmail.com</t>
  </si>
  <si>
    <t>End</t>
  </si>
  <si>
    <t>WIN</t>
  </si>
  <si>
    <t>V</t>
  </si>
  <si>
    <t>R</t>
  </si>
  <si>
    <t>Sewa Apartemen (Suzuki)</t>
  </si>
  <si>
    <t>GJ Iwan Hardjasudarma &amp; A. Ira Ananta Arman</t>
  </si>
  <si>
    <t>1 tahun</t>
  </si>
  <si>
    <t>New</t>
  </si>
  <si>
    <t>Tatsuya Matsushita</t>
  </si>
  <si>
    <t>1 unit Apartemen Barong Unit F Lt.3</t>
  </si>
  <si>
    <t>Sewa Apartemen (Kenta Kuroda)</t>
  </si>
  <si>
    <t>Chris Christopher</t>
  </si>
  <si>
    <t>1 unit Apartemen Bromo Unit A Lt.1</t>
  </si>
  <si>
    <t>Chris, 087831045578
chris_24c@yahoo.com</t>
  </si>
  <si>
    <t>Sewa Apartemen (Teppei Mimura)</t>
  </si>
  <si>
    <t>1 unit Apartemen Bromo unit E Lt. 2</t>
  </si>
  <si>
    <t>1 unit Apartemen Barong Unit D Lt.2</t>
  </si>
  <si>
    <t>1 bulan</t>
  </si>
  <si>
    <t>Sewa Apartemen (Toru Yamamoto)</t>
  </si>
  <si>
    <t>Sewa Apartemen (Kato Kenta)</t>
  </si>
  <si>
    <t>1 unit Apartemen Bromo Unit C Lt.1</t>
  </si>
  <si>
    <t>Nozomi Kawasaki</t>
  </si>
  <si>
    <t>Sewa Apartemen (Tatsuya Matsushita)</t>
  </si>
  <si>
    <t>1 unit Apartemen Bromo Unit B Lt.1</t>
  </si>
  <si>
    <t>4 bulan</t>
  </si>
  <si>
    <t>Sewa Apartemen (Katsuhito Gonda)</t>
  </si>
  <si>
    <t>1 unit Apartemen Barong Unit C Lt. 2</t>
  </si>
  <si>
    <t>Sewa Apartemen (Nozomi Kawazaki)</t>
  </si>
  <si>
    <t>PT. Parama Dewa Raharja</t>
  </si>
  <si>
    <t>1 unit Apartemen Parama Graha, Suite no. 103</t>
  </si>
  <si>
    <t>Sewa Apartemen (Kishimoto)</t>
  </si>
  <si>
    <t>Anastasia Ira Ananta Arman</t>
  </si>
  <si>
    <t>008/LT/LGL.SS.SMG-317/II/2022</t>
  </si>
  <si>
    <t>Sewa Kendaraan (Operasional SAMI-TF)</t>
  </si>
  <si>
    <t>PT. Surya Sudeco (Tunas Rental)</t>
  </si>
  <si>
    <t>Available</t>
  </si>
  <si>
    <t>2 unit Mobil Toyota New Avanza 1.5 M/T Tahun 2022</t>
  </si>
  <si>
    <t>Dewi Sidomukti, (024)6721758
dewi.sidomukti@intra.tunasgroup.com</t>
  </si>
  <si>
    <t>1 unit/bulan</t>
  </si>
  <si>
    <t>New (gabung)</t>
  </si>
  <si>
    <t>072/LT//LGL.SS.SMG-317/XI/2020</t>
  </si>
  <si>
    <t>Sewa Kendaraan (Tadahiko Kotoda/ Nozomi Kawasaki)</t>
  </si>
  <si>
    <t>Mobil Toyota All New Kijang Innova 2.0 M/T Luxury</t>
  </si>
  <si>
    <t>065/LT/SS-SMG-317/XI/2018</t>
  </si>
  <si>
    <t>Sewa Kendaraan (Tatsuya Matsushita)</t>
  </si>
  <si>
    <t>Mobil All New Innova Venturer 2.0 A/T 2018 H-8827-ZP</t>
  </si>
  <si>
    <t>move to JF</t>
  </si>
  <si>
    <t>009/LT/LGL.SS.SMG-3317/II/2022</t>
  </si>
  <si>
    <t>Sewa Kendaraan (Kenta Kato)</t>
  </si>
  <si>
    <t>Mobil Toyota New Veloz 1.5 M/T Tahun 2022</t>
  </si>
  <si>
    <t>059/LT/SS-SMG-317/IX/2020</t>
  </si>
  <si>
    <t>Sewa Kendaraan (Takashi Nagamori/ Toru Yamamoto)</t>
  </si>
  <si>
    <t>Mobil Mitsubishi Xpander Exceed M/T 2018 H-9126-YP</t>
  </si>
  <si>
    <t>Sewa Kendaraan (Kenta Kuroda)</t>
  </si>
  <si>
    <t>001/LT/LGL.SS.SMG-317/I/2021</t>
  </si>
  <si>
    <t>Mobil Toyota Avanza Grand New Veloz 1.5 M/T 2020</t>
  </si>
  <si>
    <t>038/LT/LGL.SS.SMG-317/VII/2021</t>
  </si>
  <si>
    <t>Sewa Kendaraan (Kishimoto)</t>
  </si>
  <si>
    <t>Mobil Toyota Avanza Grand New Veloz 1.5 M/T 2021</t>
  </si>
  <si>
    <t>084/LT/LGL.SS.SMG-317/XII/2020</t>
  </si>
  <si>
    <t>Sewa Kendaraan (Suzuki)</t>
  </si>
  <si>
    <t>1200004247/LEG/XI/14</t>
  </si>
  <si>
    <t>Sewa Kendaraan (Bambang Rianto)</t>
  </si>
  <si>
    <t>PT. Adi Sarana Armada</t>
  </si>
  <si>
    <t>Mobil Toyota New Innova 2.0 G A/T H-8553-RY</t>
  </si>
  <si>
    <t>004/LT/SS-SMG-317/I/2020</t>
  </si>
  <si>
    <t>Sewa Kendaraan (Teppei Mimura)</t>
  </si>
  <si>
    <t>Mobil Toyota All New Innova 2.0 V M/T</t>
  </si>
  <si>
    <t>005/LT/SS-SMG-317/I/2020</t>
  </si>
  <si>
    <t>Sewa Kendaraan (Katsuhito Gonda)</t>
  </si>
  <si>
    <t>Mobil Toyota All New Innova 2.0 G M/T</t>
  </si>
  <si>
    <t>LT-1121.1210059735-1</t>
  </si>
  <si>
    <t>Sewa Kendaraan (Mansur Isnaeni)</t>
  </si>
  <si>
    <t>Mobil Toyota New Innova 2.0 V A/T
B-2959-UFB</t>
  </si>
  <si>
    <t>X</t>
  </si>
  <si>
    <t>052/LT/SS-SMG-317/VI/2022</t>
  </si>
  <si>
    <t>Mobil Toyota New Innova 2.0 V A/T tahun 2022</t>
  </si>
  <si>
    <t>024/LT/SS-SMG-317/IV/2021</t>
  </si>
  <si>
    <t>Sewa Kendaraan (Ahmad Mubarak)</t>
  </si>
  <si>
    <t>Mobil Toyota Avanza Grand New Veloz 1.5 A/T</t>
  </si>
  <si>
    <t>057/LT/SS-SMG-317/IX/2021</t>
  </si>
  <si>
    <t>Sewa Kendaraan (Agus Nugroho)</t>
  </si>
  <si>
    <t>Mobil Toyota Avanza Grand New Veloz 1.5 A/T GR Limited 2021</t>
  </si>
  <si>
    <t>053/LT/SS-SMG-317/VI/2022</t>
  </si>
  <si>
    <t>Sewa Kendaraan (Ari Wijayanti)</t>
  </si>
  <si>
    <t>Mobil Toyota New Veloz 1.5 Q CVT TSS tahun 2022</t>
  </si>
  <si>
    <t>061/LT/SS-SMG-317/VII/2022</t>
  </si>
  <si>
    <t>Sewa Kendaraan (Yoen Yoedono S)</t>
  </si>
  <si>
    <t>SAMI/LKM-LA/06-2022/071</t>
  </si>
  <si>
    <t>Kontrak Perjanjian Cleaning Servise SAMI Tugu</t>
  </si>
  <si>
    <t>PT. Bintara Mitra Andalan</t>
  </si>
  <si>
    <t>Gardener</t>
  </si>
  <si>
    <t>STI</t>
  </si>
  <si>
    <t>SAMI/LKM-LA/12-2021/122</t>
  </si>
  <si>
    <t>PT. Amazon Karya Elok Daya Mandiri</t>
  </si>
  <si>
    <t>Cleaning servis outside (kecuali gardener), inside, polytainer, sewa washroom &amp; pest control</t>
  </si>
  <si>
    <t>Budi, 08157700609</t>
  </si>
  <si>
    <t>Tenaga pengamanan (Security) SAMI-TF</t>
  </si>
  <si>
    <t>SAMI/LKM-LA/12-2021/117</t>
  </si>
  <si>
    <t>Penyediaan dan pengelolaan personil satpam</t>
  </si>
  <si>
    <t>Kuswari Lusianawati/ Alwi Subekhi
bintaramitraandalan@yahoo.com
alwisubekhibima@gmail.com
024-76420025</t>
  </si>
  <si>
    <t>SAMI/LKM-LA/08-2022/097</t>
  </si>
  <si>
    <t>Pengolahan Sampah SAMI-TF</t>
  </si>
  <si>
    <t>PT. Eben Haezer</t>
  </si>
  <si>
    <t>Pengelolaan sampah</t>
  </si>
  <si>
    <t>Agus Suriyanto, (0295)4746122
08122847819</t>
  </si>
  <si>
    <t>SAMI/LKM-LA/11-2021/099</t>
  </si>
  <si>
    <t>Pembuatan Seragam Karyawan dan barang lain dari kain</t>
  </si>
  <si>
    <t>CV. Cipta Cemerlang Abadi</t>
  </si>
  <si>
    <t>seragam, rompi, wearpack, bendera, celemek, topi, dll</t>
  </si>
  <si>
    <t>Rohmat, 085727198941, 085105729200
rohmatcca69@gmail.com</t>
  </si>
  <si>
    <t>Lampiran</t>
  </si>
  <si>
    <t>tidak diperpanjang
bad performance</t>
  </si>
  <si>
    <t>FYH
NZA</t>
  </si>
  <si>
    <t>Perjanjian Sambungan Telkom</t>
  </si>
  <si>
    <t>PT. Telkom</t>
  </si>
  <si>
    <t>Sambungan telekomunikasi</t>
  </si>
  <si>
    <t>FYH</t>
  </si>
  <si>
    <t>GARUDA/DPSAM/20029/2022</t>
  </si>
  <si>
    <t>Coorporate Garuda Indonesia</t>
  </si>
  <si>
    <t>PT. Garuda Indonesia (Persero) Tbk.</t>
  </si>
  <si>
    <t>Diskon harga tiket pesawat Garuda</t>
  </si>
  <si>
    <t>Rachel Jessica
rachel.jessica@garuda-indonesia
081210801223</t>
  </si>
  <si>
    <t>Perjanjian Pengelolaan Cafetaria Tugu</t>
  </si>
  <si>
    <t>Pengelolaan Cafetaria</t>
  </si>
  <si>
    <t>SAMI/LKM-LA/02-2022/016</t>
  </si>
  <si>
    <t>Koperasi SAMI Mart</t>
  </si>
  <si>
    <t>Sulis Hariyanto</t>
  </si>
  <si>
    <t>SAMI/LKM-LA/06-2022/077</t>
  </si>
  <si>
    <t>Pembelian</t>
  </si>
  <si>
    <t>susu prenagen &amp; susu realgood</t>
  </si>
  <si>
    <t>9.800
2.000</t>
  </si>
  <si>
    <t>prenagen
real good</t>
  </si>
  <si>
    <t>0312/III/AZ-SAMI-SMG/I/2022</t>
  </si>
  <si>
    <t>Kerjasama Tenaga Masak Expat</t>
  </si>
  <si>
    <t>Tenaga masak</t>
  </si>
  <si>
    <t>Budi Sanyoto
024-8412753
az.dayamandiri@gmail.com</t>
  </si>
  <si>
    <t>SAMI/LKM-LA/08-2022/099</t>
  </si>
  <si>
    <t>Pembersihan kipas angin</t>
  </si>
  <si>
    <t>pembersihan kipas angin</t>
  </si>
  <si>
    <t>37.500
42.500</t>
  </si>
  <si>
    <t>weekday
weekend</t>
  </si>
  <si>
    <t>S</t>
  </si>
  <si>
    <t>Agen Property</t>
  </si>
  <si>
    <t>PT. Karunia Sola Gratia (LJ Hooker Semarang Kota)</t>
  </si>
  <si>
    <t>Jasa pemasaran penjualan tanah milik PT SAMI di Bergas</t>
  </si>
  <si>
    <t>Thio Mei Lan
ljhsemarangkota@gmail.com
024-8410099</t>
  </si>
  <si>
    <t>nilai jual</t>
  </si>
  <si>
    <t>tidak diperpanjang, ganti vendor</t>
  </si>
  <si>
    <t>AWI</t>
  </si>
  <si>
    <t>SAMI/LKM-LA/10-2021/084</t>
  </si>
  <si>
    <t>Sewa Printer</t>
  </si>
  <si>
    <t>CV. Mitra Media Sukses</t>
  </si>
  <si>
    <t>Printer 20 unit</t>
  </si>
  <si>
    <t>Toni Rahmawan
mitramedia.computer@yahoo.com
081904300844</t>
  </si>
  <si>
    <t>400.000
300.000</t>
  </si>
  <si>
    <t>1 Printer off
1 Printer prd</t>
  </si>
  <si>
    <t>SAMI/LKM-LA/07-2022/088</t>
  </si>
  <si>
    <t>Preventive Komputer</t>
  </si>
  <si>
    <t>preventive dan maintenance komputer</t>
  </si>
  <si>
    <t>Toni Rahmawan
toniwaeyoo@yahoo.com
081904300844</t>
  </si>
  <si>
    <t>AKA</t>
  </si>
  <si>
    <t>SAMI/LKM-LA/07-2022/085</t>
  </si>
  <si>
    <t>Service dan Overhaul AC</t>
  </si>
  <si>
    <t>CV. Mukti Utama Jaya</t>
  </si>
  <si>
    <t>Service dan overhaul AC Split sebanyak 43 unit</t>
  </si>
  <si>
    <t>Angga Mardian
cv.muktiutama2010@gmail.com
024-8452307</t>
  </si>
  <si>
    <t>107.000
1.600.000</t>
  </si>
  <si>
    <t>service
overhaul</t>
  </si>
  <si>
    <t>Kawasaki Nozomi</t>
  </si>
  <si>
    <t>SAMI/LKM-LA/07-2022/092</t>
  </si>
  <si>
    <t>CV. Putra Pandawa</t>
  </si>
  <si>
    <t>Service dan overhaul AC Cassete sebanyak 18 unit</t>
  </si>
  <si>
    <t>Basith Sulistyo Martdhiko
basit.sulistyo@gmail.com
085641014714</t>
  </si>
  <si>
    <t>226.800
2.600.000</t>
  </si>
  <si>
    <t>SAMI/LKM-LA/07-2022/090</t>
  </si>
  <si>
    <t>Preventive IPAL</t>
  </si>
  <si>
    <t>PT. Taiyo Sinar Raya Teknik</t>
  </si>
  <si>
    <t>perwawatan IPAL periodik STP BJ-10, BJ-100 &amp; BJ-150 selama 1 tahun</t>
  </si>
  <si>
    <t>Mohammad Agung Wijaya
021-5253400 / 021-88325503
agungwijaya@tsrt.co.id</t>
  </si>
  <si>
    <t>SAMI/LKM-LA/06-2022/040</t>
  </si>
  <si>
    <t>Sewa Mesin fotocopy</t>
  </si>
  <si>
    <t>CV. Dea Copier</t>
  </si>
  <si>
    <t>1 unit mesin konica minolta bizhub 554e dan 1 unit mesin konica minolta bizhub 362 backup</t>
  </si>
  <si>
    <t>tata9wib1278@gmail.com
081 2253 2554</t>
  </si>
  <si>
    <t>SAMI/LKM-LA/06-2020/066</t>
  </si>
  <si>
    <t>CV. Acindo Perkasa</t>
  </si>
  <si>
    <t>4 unit AC ruang GA, IT, Traning</t>
  </si>
  <si>
    <t>Afan Haryono
acindoperkasa@gmail.com
081901027575</t>
  </si>
  <si>
    <t>4 unit</t>
  </si>
  <si>
    <t>garansi pemasangan 6 bulan
garansi elektronik 1 tahun
garansi compresor outdor 3 tahun</t>
  </si>
  <si>
    <t>SAMI/LKM-LA/09-2021/078</t>
  </si>
  <si>
    <t>Pengurusan SLF</t>
  </si>
  <si>
    <t>CV. Reswara Praptama</t>
  </si>
  <si>
    <t>Pengurusan SLF termasuk Andalalin dan Rekom Kebakaran</t>
  </si>
  <si>
    <t>Wahyu Siswoyo
089601903678
wahyu.reswara@gmail.com</t>
  </si>
  <si>
    <t>SAMI/LKM-LA/10-2021/085</t>
  </si>
  <si>
    <t>Pembuatan Ram Gutter</t>
  </si>
  <si>
    <t>CV. Sangroni Putra</t>
  </si>
  <si>
    <t>Pekerjaan pembuatan dan jasa pemasangan ram goter</t>
  </si>
  <si>
    <t>Imam Hidayat
sangroniputra@gmail.com
081320410997</t>
  </si>
  <si>
    <t>garansi 6 bulan</t>
  </si>
  <si>
    <t>SAMI/LKM-LA/06-2022/041</t>
  </si>
  <si>
    <t>garansi material 1 tahun
garansi pekerjaan 3 bulan</t>
  </si>
  <si>
    <t>SAMI/LKM-LA/01-2022/012</t>
  </si>
  <si>
    <t>Pembuatan Kanopi</t>
  </si>
  <si>
    <t>Pekerjaan pembuatan kanopi samping mushola</t>
  </si>
  <si>
    <t>pekerjaan</t>
  </si>
  <si>
    <t>SAMI/LKM-LA/10-2021/080</t>
  </si>
  <si>
    <t>CV. Bie Jav Engineering</t>
  </si>
  <si>
    <t>Pembelian dan jasa pemasangan lampu jalan</t>
  </si>
  <si>
    <t>Triesal
biejav@gmail.com
024-76332280</t>
  </si>
  <si>
    <t>10 set</t>
  </si>
  <si>
    <t>garansi lampu 3 tahun
garansi pemasangan 6 bulan</t>
  </si>
  <si>
    <t>SAMI/LKM-LA/10-2021/083</t>
  </si>
  <si>
    <t>Perbaikan plafon</t>
  </si>
  <si>
    <t>CV. Karya Tuwuh</t>
  </si>
  <si>
    <t>Pekerjaan penggantian plafon PVC rest area depan kantin</t>
  </si>
  <si>
    <t>Suryadi
karyatuwuh01@gmail.com
085881114328</t>
  </si>
  <si>
    <t>2072/AJS/PS-A/XI/2021</t>
  </si>
  <si>
    <t>CV. Aneka Jaya</t>
  </si>
  <si>
    <t>3.725 paket sembako</t>
  </si>
  <si>
    <t>paket</t>
  </si>
  <si>
    <t>SAMI/LKM-LA/11-2021/093</t>
  </si>
  <si>
    <t>PT. Maxima Surya Abadi</t>
  </si>
  <si>
    <t>46 komputer &amp; 8 laptop</t>
  </si>
  <si>
    <t>Hamsyah Irawan
irhamsyah@maxsa.co.id
031-9925707</t>
  </si>
  <si>
    <t>15.940.000
24.000.000</t>
  </si>
  <si>
    <t>komputer
laptop</t>
  </si>
  <si>
    <t>SAMI/LKM-LA/06-2022/080</t>
  </si>
  <si>
    <t>85 komputer &amp; 11 laptop</t>
  </si>
  <si>
    <t>16.340.000
23.900.000</t>
  </si>
  <si>
    <t>garansi 1 tahun</t>
  </si>
  <si>
    <t>SAMI/LKM-LA/12-2021/126</t>
  </si>
  <si>
    <t>SAMI/LKM-LA/08-2022/096</t>
  </si>
  <si>
    <t>Pekerjaan Instalasi Pipa Hidran</t>
  </si>
  <si>
    <t>pekerjaan instalasi pipa hidran</t>
  </si>
  <si>
    <t>Triesal
biejav@gmail.com
0898 54 50444</t>
  </si>
  <si>
    <t>garansi material 1 tahun
garansi maintenance 2 tahun</t>
  </si>
  <si>
    <t>SAMI/LKM-LA/06-2022/083</t>
  </si>
  <si>
    <t>Pembuatan tandon air hujan</t>
  </si>
  <si>
    <t>PT. Tajako Abadi Sejahtera Group</t>
  </si>
  <si>
    <t>pekerjaan pembuatan tandon air hujan</t>
  </si>
  <si>
    <t>Indah Wati
pttajakoabadisejahteragroup@gmail.com
024-7612557</t>
  </si>
  <si>
    <t>garansi pekerjaan 1 tahun</t>
  </si>
  <si>
    <t>Perangkat komputer</t>
  </si>
  <si>
    <t>Base on quotation letter</t>
  </si>
  <si>
    <t>SAMI/LKM-LA/06/2022/062</t>
  </si>
  <si>
    <t>CV. Abasis Solusi Mandiri</t>
  </si>
  <si>
    <t>Perangkat lunak komputer</t>
  </si>
  <si>
    <t>Ahmad Sopian,
081219510096</t>
  </si>
  <si>
    <t>SAMI/LKM-LA/06-2022/070</t>
  </si>
  <si>
    <t>CV. Anugrah Agung</t>
  </si>
  <si>
    <t>alat listrik, material perawatan gedung &amp; sanitari, alat teknik</t>
  </si>
  <si>
    <t>Wahyu
anugrahagung_adm@yahoo.com
024-76489095 / 76489096</t>
  </si>
  <si>
    <t>SAMI/LKM-LA/07-2020/086</t>
  </si>
  <si>
    <t>CV. Anugrah Sentosa</t>
  </si>
  <si>
    <t>safety shoes &amp; sarung tangan</t>
  </si>
  <si>
    <t>Carina Kusumaningrum.
024-3560445
anugrahsentosasmg@gmail.com</t>
  </si>
  <si>
    <t>ganti dari CV ke PT. Anugrah Sentosa Proteksindo</t>
  </si>
  <si>
    <t>PT. Anugrah Sentosa Proteksindo</t>
  </si>
  <si>
    <t>Sarung tangan comet</t>
  </si>
  <si>
    <t>Rahmat Suwitono
024-3560445</t>
  </si>
  <si>
    <t>SAMI/LKM-LA/06-2022/046</t>
  </si>
  <si>
    <t>CV. Cahaya Purnama Mentari</t>
  </si>
  <si>
    <t>Stiker &amp; Plastik</t>
  </si>
  <si>
    <t>Akhid</t>
  </si>
  <si>
    <t>FYH
TOY</t>
  </si>
  <si>
    <t>Servis air compressor dan air dryer</t>
  </si>
  <si>
    <t>Taryono
(024)76727414</t>
  </si>
  <si>
    <t>JAW</t>
  </si>
  <si>
    <t>SAMI/LKM-LA/06-2022/055</t>
  </si>
  <si>
    <t>CV. Central Java Engineering</t>
  </si>
  <si>
    <t>1 unit air compressor GA90VSD Atlas Copco dan 1 unit air dryer FX16 Atlas Copco</t>
  </si>
  <si>
    <t>SAMI/LKM-LA/06-2022/079</t>
  </si>
  <si>
    <t>PT. Kobelindo Compressors</t>
  </si>
  <si>
    <t>1 unit compresscor dan 1 unit air dryer merk Cobelco</t>
  </si>
  <si>
    <t>Aziz/Santra
semarang@kobelindo.co.id
024-7605446</t>
  </si>
  <si>
    <t>2.545.000
53.863.600</t>
  </si>
  <si>
    <t>jasa
sparepart</t>
  </si>
  <si>
    <t>SAMI/LKM-LA/04-2019/036</t>
  </si>
  <si>
    <t>CV. Gema Insan Mandiri</t>
  </si>
  <si>
    <t>hasil review bulan januari, tidak diperpanjang transaksi tidak rutin</t>
  </si>
  <si>
    <t>Hiroshi Yamashita</t>
  </si>
  <si>
    <t>SAMI/LKM-LA/06-2020/079</t>
  </si>
  <si>
    <t>CV. Jaya Protect</t>
  </si>
  <si>
    <t>Refill APAR</t>
  </si>
  <si>
    <t>Marno,
024-76485055
jayaprotect@yahoo.co.id</t>
  </si>
  <si>
    <t>Tidak diperpanjang
ganti nama PT. Aman Multi Indonesia</t>
  </si>
  <si>
    <t>002/CV/JJA/KDL/IV/'19
SAMI/LKM-LA/05-2019/050</t>
  </si>
  <si>
    <t>CV. JTWO Jaya Abadi</t>
  </si>
  <si>
    <t>jasa advertising/ barang cetakan</t>
  </si>
  <si>
    <t>Moh. Adib
082113425503
mohadib371@gmail.com</t>
  </si>
  <si>
    <t>tidak diperpanjang
transaksi tidak rutin</t>
  </si>
  <si>
    <t>SAMI/LKM-LA/06-2022/068</t>
  </si>
  <si>
    <t>CV. Mitra Teknik</t>
  </si>
  <si>
    <t>perangkat keamanan seperti cctv, alarm, akses door, dll</t>
  </si>
  <si>
    <t>Romi,
024-7609131
info@mitrateknik.co.id</t>
  </si>
  <si>
    <t>SAMI/LKM-LA/06-2022/058</t>
  </si>
  <si>
    <t>CV. Mustika Rajawali</t>
  </si>
  <si>
    <t>Refill toner dan sparepart</t>
  </si>
  <si>
    <t>Ery Dwi Wahyuni,
085100560656/085100173728</t>
  </si>
  <si>
    <t>SAMI/LKM-LA/06-2022/048</t>
  </si>
  <si>
    <t>CV. Prema Jaya</t>
  </si>
  <si>
    <t>label box</t>
  </si>
  <si>
    <t>Budi Dwi Priyanto
08164888581/085100127029
premajaya_1970@yahoo.com</t>
  </si>
  <si>
    <t>SAMI/LKM-LA/05-2019/045</t>
  </si>
  <si>
    <t>CV. Prima Engineering</t>
  </si>
  <si>
    <t>spare part industri</t>
  </si>
  <si>
    <t>Prasetyo
087731733313
rudigloyor@ymail.com</t>
  </si>
  <si>
    <t>SAMI/LKM-LA/06-2022/047</t>
  </si>
  <si>
    <t>CV. Sarana Mitra Sejahtera</t>
  </si>
  <si>
    <t>perlengkapan kantor, peralatan kerja</t>
  </si>
  <si>
    <t>Hary, 081325144858/085865734858
harry_saranams@yahoo.com</t>
  </si>
  <si>
    <t>base on quotation &amp; lampiran</t>
  </si>
  <si>
    <t>FYH
TOY
NZA</t>
  </si>
  <si>
    <t>SAMI/LKM-LA/06-2022/060</t>
  </si>
  <si>
    <t>CV. Sentral Teknik Utama</t>
  </si>
  <si>
    <t>perkakas industri dan jasa instalasi listrik</t>
  </si>
  <si>
    <t>Eko Wibowo
024-76921544
sentral.teknik.utama@gmail.com</t>
  </si>
  <si>
    <t>SAMI/LKM-LA/06-2022/061</t>
  </si>
  <si>
    <t>CV. Sumber Rejeki</t>
  </si>
  <si>
    <t>perkakas industri</t>
  </si>
  <si>
    <t>Eko Kristianto
08987000054
cvsumberrejeki007@gmail.com</t>
  </si>
  <si>
    <t>SAMI/LKM-LA/11-2018/099</t>
  </si>
  <si>
    <t>CV. Xpit Pilar</t>
  </si>
  <si>
    <t>Perangkat komputer &amp; jaringan</t>
  </si>
  <si>
    <t>Budi, 081225048910</t>
  </si>
  <si>
    <t>CV. Gusmanto Kedungombo Putro</t>
  </si>
  <si>
    <t>Air Bersih</t>
  </si>
  <si>
    <t>Gusmanto
081390497282
yunantohandoko4682@gmail.com</t>
  </si>
  <si>
    <t>8m3</t>
  </si>
  <si>
    <t>CV. Kembar Putra Makmur</t>
  </si>
  <si>
    <t>Sairah Riyanti
081904410877
cheche.riyanti5@gmail.com</t>
  </si>
  <si>
    <t>SAMI/LKM-LA/11-2021/096</t>
  </si>
  <si>
    <t>CV. Elang Jagad Group</t>
  </si>
  <si>
    <t>Raeka Angel Setyowati
082133902979
elangjagadgroup21@gmail.com</t>
  </si>
  <si>
    <t>tidak diperpanjang
performance buruk</t>
  </si>
  <si>
    <t>Tunggak Semi Floris</t>
  </si>
  <si>
    <t>Tanaman</t>
  </si>
  <si>
    <t>Mardi
pakmardi298@gmail.com
085640212218</t>
  </si>
  <si>
    <t>PT. Aman Multi Indonesia</t>
  </si>
  <si>
    <t>Marnoto
081575383875
amanmultiindonesia@gmail.com</t>
  </si>
  <si>
    <t>SAMI/LKM-LA/12-2021/125</t>
  </si>
  <si>
    <t>Jasa kalibrasi dan preventive screwdriver desoutter</t>
  </si>
  <si>
    <t>PT. Atlas Copco Indonesia</t>
  </si>
  <si>
    <t>kalibrasi &amp; preventive screwdriver desoutter</t>
  </si>
  <si>
    <t>eko, 08118470756
eko.sarjono@desouttertools.com</t>
  </si>
  <si>
    <t>AZP</t>
  </si>
  <si>
    <t>SAMI/LKM-LA/12-2021/119</t>
  </si>
  <si>
    <t>Jasa kalibrasi</t>
  </si>
  <si>
    <t>PT. Anametri Metrologi Indonesia</t>
  </si>
  <si>
    <t>kalibrasi voltage tester, push pull tester, tube gauge, dll</t>
  </si>
  <si>
    <t>Dita permana putra
anametrimetrologi@gmail.com
sekretariat@anametri.com
024 76402446</t>
  </si>
  <si>
    <t>Jasa Kalibrasi</t>
  </si>
  <si>
    <t>Kalibrasi survey meter/ pendose</t>
  </si>
  <si>
    <t>SAMI/LKM-LA/08-2022/098</t>
  </si>
  <si>
    <t>CV. Cahaya Nuklida Persada</t>
  </si>
  <si>
    <t>SAMI/LKM-LA/06-2022/076</t>
  </si>
  <si>
    <t>PT. Caltesys Indonesia</t>
  </si>
  <si>
    <t>Kalibrasi alat ukur</t>
  </si>
  <si>
    <t>Yunus Rahadiono
yunus@catesys.com
024 76431688</t>
  </si>
  <si>
    <t>USI-1014/1118</t>
  </si>
  <si>
    <t>Sertifikasi IATF 16949:2016 &amp; ISO 9001:2015</t>
  </si>
  <si>
    <t>PT. URS Service Indonesia</t>
  </si>
  <si>
    <t>- 87.500.000
- 66.500.000
- 66.500.000</t>
  </si>
  <si>
    <t>-Recertification
-Audit surveillance 2023
-Audit surveillance 2024</t>
  </si>
  <si>
    <t>DMJ</t>
  </si>
  <si>
    <t>Register DUNS Number</t>
  </si>
  <si>
    <t>PT. D&amp;B Indonesia</t>
  </si>
  <si>
    <t>Sertifikat DUNS</t>
  </si>
  <si>
    <t>otomatis perpanjang untuk 1 tahun berikutnya</t>
  </si>
  <si>
    <t>SAMI/LKM-LA/06-2022/063</t>
  </si>
  <si>
    <t>PT. Autojaya Idetech</t>
  </si>
  <si>
    <t>barang elektronik dan perlengkapan komputer</t>
  </si>
  <si>
    <t>Adrian Dewantoro
adrian.d@acsgroup.co.id
024-76638095/93</t>
  </si>
  <si>
    <t>SAMI/LKM-LA/05-2019/054</t>
  </si>
  <si>
    <t>PT. Bino Mitra Sejati</t>
  </si>
  <si>
    <t>perlengkapan kantor merk Bantex</t>
  </si>
  <si>
    <t>Fendi Firmansyah
adm.binosemarang@gmail.com
024-7627367</t>
  </si>
  <si>
    <t>SAMI/LKM-LA/11-2021/111</t>
  </si>
  <si>
    <t>PT. Central Plotter Indonesia</t>
  </si>
  <si>
    <t>tinta ploter &amp; printhead</t>
  </si>
  <si>
    <t>Zera Donna
zera@centralplotter.com
021 8309744</t>
  </si>
  <si>
    <t>SAMI/LKM-LA/06-2022/059</t>
  </si>
  <si>
    <t>PT. Gading Murni</t>
  </si>
  <si>
    <t>alat tulis kantor</t>
  </si>
  <si>
    <t>Venny Adrianto
031-5474461
venny@gadingmurni.co.id</t>
  </si>
  <si>
    <t>SAMI/LKM-LA/06-2022/064</t>
  </si>
  <si>
    <t>PT. Global Deals Asia</t>
  </si>
  <si>
    <t>Calibration tools</t>
  </si>
  <si>
    <t>Robert Handoyo Susetyo
021-59892241
robert@globaldeals.asia</t>
  </si>
  <si>
    <t>SAMI/LKM-LA/09-2022/103</t>
  </si>
  <si>
    <t>1 unit micro computer universal testing machine, include 1 set grip cap. 2-200 Kgf</t>
  </si>
  <si>
    <t>unit</t>
  </si>
  <si>
    <t>SAMI/LKM-LA/06-2020/065</t>
  </si>
  <si>
    <t>PT. Grafitama Deltakreasi</t>
  </si>
  <si>
    <t>cartridge remanufactur</t>
  </si>
  <si>
    <t>Nana/ Didik
astriana.rengganis@grafitama.com
didik.widiatmoko@grafitama.com</t>
  </si>
  <si>
    <t>SAMI/LKM-LA/06-2021/044</t>
  </si>
  <si>
    <t>PT. Kahar Duta Sarana</t>
  </si>
  <si>
    <t>Label thermal, label sticker syntetic</t>
  </si>
  <si>
    <t>Siti Arifatun
arifatun@kahar.co.id
024-3563879</t>
  </si>
  <si>
    <t>SAMI/LKM-LA/11-2021/102</t>
  </si>
  <si>
    <t>PT. Kawan Lama Sejahtera</t>
  </si>
  <si>
    <t>pembelian alat ukur</t>
  </si>
  <si>
    <t>Sinta
024-3580426
financeklssmg@kawanlama.com</t>
  </si>
  <si>
    <t>PT. Krisbow Indonesia</t>
  </si>
  <si>
    <t>PT. Mandala Adhiperkasa Sejati</t>
  </si>
  <si>
    <t>PT. Nachindo Tape Indonesia</t>
  </si>
  <si>
    <t>SAMI/LKM-LA/11-2018/087</t>
  </si>
  <si>
    <t>PT. Sarana Solusindo Informatika</t>
  </si>
  <si>
    <t>Rudy Siswanto,
021-7201419
rudys@solusi.com</t>
  </si>
  <si>
    <t>05/03/22 BPI: pembelian tidak rutin dan nilai kurang dari 10juta</t>
  </si>
  <si>
    <t>SAMI/LKM-LA/06-2022/081</t>
  </si>
  <si>
    <t>Software Office Std Dev SL &amp; Win Server Dev CAL @85 unit</t>
  </si>
  <si>
    <t>5.650.000
450.000</t>
  </si>
  <si>
    <t>office std
win server</t>
  </si>
  <si>
    <t>SAMI/LKM-LA/07-2022/093</t>
  </si>
  <si>
    <t>Belajar Bahasa</t>
  </si>
  <si>
    <t>LPK Kizuna Mitra Indonesia</t>
  </si>
  <si>
    <t>belajar bahasa jepang</t>
  </si>
  <si>
    <t>Eko Setyo Putro
ekoputrosetyo@gmail.com
085200608802</t>
  </si>
  <si>
    <t>DAP</t>
  </si>
  <si>
    <t>Servis generator set</t>
  </si>
  <si>
    <t>servis 2 unit genset model PL 800</t>
  </si>
  <si>
    <t>SAMI/LKM-LA/09-2022/102</t>
  </si>
  <si>
    <t>Lampu Led, lampu WHS, lampu TL, lampu jalan, jasa pemasangan</t>
  </si>
  <si>
    <t>SAMI/LKM-LA/06-2022/054</t>
  </si>
  <si>
    <t>CV. Aksara Media Promosi</t>
  </si>
  <si>
    <t>MMT</t>
  </si>
  <si>
    <t>Dewi Ratnasari,
08988758080
aksaramediapromosi@gmail.com</t>
  </si>
  <si>
    <t>SAMI/LKM-LA/06-2022/069</t>
  </si>
  <si>
    <t>UD. 21</t>
  </si>
  <si>
    <t>peralatan kebersihan dan perlengkapan rumah tangga</t>
  </si>
  <si>
    <t>Jenni Harsono
harsono_jenni@gmail.com
024-3510464</t>
  </si>
  <si>
    <t>toko21</t>
  </si>
  <si>
    <t>SAMI/LKM-LA/06-2022/049</t>
  </si>
  <si>
    <t>CV. Trijaya Sejahtera</t>
  </si>
  <si>
    <t>alat tulis</t>
  </si>
  <si>
    <t>Nova/ Tini/ Kiky
024-3587278
rudy_budiono@yahoo.com</t>
  </si>
  <si>
    <t>SAMI/LKM-LA/06-2022/065</t>
  </si>
  <si>
    <t>CV. Delta Teknik</t>
  </si>
  <si>
    <t>perlengkapan komputer dan elektronik dan fire alarm</t>
  </si>
  <si>
    <t>Nur Rochman
024-6712424
info@deltateknik.co.id</t>
  </si>
  <si>
    <t>SAMI/LKM-LA/09-2021/075</t>
  </si>
  <si>
    <t>Sewa printer plotter</t>
  </si>
  <si>
    <t>PT. Sahabat Makmur Mandiri</t>
  </si>
  <si>
    <t>1 unit printer plotter T1700</t>
  </si>
  <si>
    <t>Muh. Sunarso
sahabatmakmurmandiri@gmail.com
024-776405991</t>
  </si>
  <si>
    <t>SAMI/LKM-LA/09-2022/104</t>
  </si>
  <si>
    <t>Servis Plotter</t>
  </si>
  <si>
    <t>servis plotter HP Designjet T5130</t>
  </si>
  <si>
    <t>SAMI/LKM-LA/08-2022/101</t>
  </si>
  <si>
    <t>CV. Pramunegeri</t>
  </si>
  <si>
    <t>2 unit printer laser warna M750</t>
  </si>
  <si>
    <t>Shofi
085878124000
elhamedia@ymail.com</t>
  </si>
  <si>
    <t>SAMI/LKM-LA/01-2021/017</t>
  </si>
  <si>
    <t>PT. Sato Label Solutions</t>
  </si>
  <si>
    <t>SATO Barcode Printer dan Accessories</t>
  </si>
  <si>
    <t>Oni Zukhriaddin
oni.zukhriaddin@sato-global.com
024-7603055, 024-76638058</t>
  </si>
  <si>
    <t>22.000.000
6.300.000</t>
  </si>
  <si>
    <t>Printer
Accessories</t>
  </si>
  <si>
    <t>garansi 12 bulan</t>
  </si>
  <si>
    <t>SAMI/LKM-LA/03-2022/020</t>
  </si>
  <si>
    <t>CV. Tri Mulyanto Teknik</t>
  </si>
  <si>
    <t>tangki solar genset kapasitas 8000 liter</t>
  </si>
  <si>
    <t>Tri Mulyanto
tmbajaringan@gmail.com
081226258435</t>
  </si>
  <si>
    <t>SAMI/LKM-LA/05-2022/031</t>
  </si>
  <si>
    <t>PT. Okaya Indonesia</t>
  </si>
  <si>
    <t>software OTRS &amp; instalasi</t>
  </si>
  <si>
    <t>Muhammad Risky
risky@okayajkt.co.id
087885965990</t>
  </si>
  <si>
    <t>okayaotrs</t>
  </si>
  <si>
    <t>SAMI/LKM-LA/07-2022/091</t>
  </si>
  <si>
    <t>PT. Narrada Nayottama Cakti</t>
  </si>
  <si>
    <t>1 QNAP, 10 HDD Seagate Exos 8TB, 1 Rail Kit B02, jasa instalasi</t>
  </si>
  <si>
    <t>Hendri Setiawan
sales.greenfogsrg@gmail.com
024-76605012</t>
  </si>
  <si>
    <t>Sewa Bus Karyawan</t>
  </si>
  <si>
    <t>CV. Pratama Jaya</t>
  </si>
  <si>
    <t>2 unit bus AC kapasitas 31 kursi + driver</t>
  </si>
  <si>
    <t>Arie Kestiawan
ariekestiawan0206@gmail.com
0838-3689-9220</t>
  </si>
  <si>
    <t>1 bus/rute</t>
  </si>
  <si>
    <t>SAMI/LKM-LA/11-2021/097</t>
  </si>
  <si>
    <t>Pembelian Air Minum Galon</t>
  </si>
  <si>
    <t>PT. Mitra Tirta Buwana</t>
  </si>
  <si>
    <t>Air minum kemasan galon merk Hexsoul</t>
  </si>
  <si>
    <t>Surono
surono.se.kokola@gmail.com
mitratirtabuwana_jogja@yahoo.com
0274-488811</t>
  </si>
  <si>
    <t>1 galon</t>
  </si>
  <si>
    <t>SAMI/LKM-LA/11-2021/101</t>
  </si>
  <si>
    <t>CV. Jaya Makmur</t>
  </si>
  <si>
    <t>perangkat hardware PC</t>
  </si>
  <si>
    <t>Reza/Lies Siana
lies@jayamakmurkomputer.com
024-3516396</t>
  </si>
  <si>
    <t>SAMI/LKM-LA/11-2021/106</t>
  </si>
  <si>
    <t>printer &amp; spare part printer</t>
  </si>
  <si>
    <t>SAMI/LKM-LA/06-2022/056</t>
  </si>
  <si>
    <t>Konveksi Sumber Rejeki</t>
  </si>
  <si>
    <t>seragam, rompi, celemek</t>
  </si>
  <si>
    <t>Muhammad Taufiq
taufiq.piji@gmail.com
082324205828</t>
  </si>
  <si>
    <t>SAMI/LKM-LA/06-2022/057</t>
  </si>
  <si>
    <t>Konveksi Passive Clothing</t>
  </si>
  <si>
    <t>Eka Rahman
ekaninoo38@gmail.com
08562750571</t>
  </si>
  <si>
    <t>SAMI/LKM-LA/11-2021/110</t>
  </si>
  <si>
    <t>PT. Yakult Indonesia Persada</t>
  </si>
  <si>
    <t>yakult</t>
  </si>
  <si>
    <t>Mimid Hamid Arif
mimid.hamid@yakult.co.id
024-7602460</t>
  </si>
  <si>
    <t>SAMI/LKM-LA/06-2022/073</t>
  </si>
  <si>
    <t>PT. Solusi Periferal</t>
  </si>
  <si>
    <t>barcode scanner</t>
  </si>
  <si>
    <t>004/SPP/I/2018</t>
  </si>
  <si>
    <t>Sewa Forklift</t>
  </si>
  <si>
    <t>PT. Satria Piranti Perkasa</t>
  </si>
  <si>
    <t>2 unit forklift TOYOTA</t>
  </si>
  <si>
    <t>1 bulan/ unit</t>
  </si>
  <si>
    <t>TOY</t>
  </si>
  <si>
    <t>SAMI/LKM-LA/12-2021/113</t>
  </si>
  <si>
    <t>Sambungan Telepon</t>
  </si>
  <si>
    <t>PT. Flexindo Mandiri Utama</t>
  </si>
  <si>
    <t>Layanan aktivasi sambungan telepon baik SLJJ dan ponsel melalui jaringan GSM</t>
  </si>
  <si>
    <t>Wahyu Setyo Utomo
adm.project@flexindo.co.id
024-76438544</t>
  </si>
  <si>
    <t>SAMI/LKM-LA/03-2021/023</t>
  </si>
  <si>
    <t>CV. Karunia Mas Sewatama</t>
  </si>
  <si>
    <t>1 unit forklift engine TOYOTA</t>
  </si>
  <si>
    <t>SAMI/LKM-LA/09-2020/092</t>
  </si>
  <si>
    <t>2 unit forklift electric TOYOTA</t>
  </si>
  <si>
    <t>SAMI/LKM-LA/8-2019/075</t>
  </si>
  <si>
    <t>Perbaikan/ penambalan talang</t>
  </si>
  <si>
    <t>CV. Varia Usaha Mandiri</t>
  </si>
  <si>
    <t>penambalan talang area produksi</t>
  </si>
  <si>
    <t>Baskoro
(024) 8415648
cvvariausahamandiri@gmail.com</t>
  </si>
  <si>
    <t>garansi 10 tahun</t>
  </si>
  <si>
    <t>SAMI/LKM-LA/07-2020/088</t>
  </si>
  <si>
    <t>PT. Berjaya Bersama Sahabat</t>
  </si>
  <si>
    <t>penambalan talang area produksi seluas 893 M2</t>
  </si>
  <si>
    <t>Faisal
bbs.smg@outlook.com
024 76332280
085101574156</t>
  </si>
  <si>
    <t>SAMI/LKM-LA/08-2021/064</t>
  </si>
  <si>
    <t>Pekerjaan Instalasi Pipa Air Bersih</t>
  </si>
  <si>
    <t>Eka Budi
semarangbbs@gmail.com
085727711224</t>
  </si>
  <si>
    <t>garansi instalasi pipa 3 tahun
garansi aksesoris utama 6 bulan</t>
  </si>
  <si>
    <t>SAMI/LKM-LA/08-2022/010</t>
  </si>
  <si>
    <t>Perbaikan talang</t>
  </si>
  <si>
    <t>Perbaikan talang area produksi, kantin, warehouse, loading dock, ruang mesin pompa, ruang genset</t>
  </si>
  <si>
    <t>SAMI/LKM-LA/10-2022/118</t>
  </si>
  <si>
    <t>CV. Cahaya Cipta Creation</t>
  </si>
  <si>
    <t>pekerjaan pembuatan kanopi TPA</t>
  </si>
  <si>
    <t>Farkhan Syukri
tripleches@gmail.com
081215462373</t>
  </si>
  <si>
    <t>garansi pekerjaan 4 bulan</t>
  </si>
  <si>
    <t>SAMI/LKM-LA/10-2022/117</t>
  </si>
  <si>
    <t>Pekerjaan penggantian instalasi pipa angin</t>
  </si>
  <si>
    <t>CV. Tri Jaya</t>
  </si>
  <si>
    <t>0812 1164 7962
cv.trijaya18@yahoo.com</t>
  </si>
  <si>
    <t>garansi material pipa 1 tahun
garansi pekerjaan 6 bulan</t>
  </si>
  <si>
    <t>new</t>
  </si>
  <si>
    <t>SAMI/LKM-LA/06-2022/084</t>
  </si>
  <si>
    <t>PT. Sedayu Prima Teknik</t>
  </si>
  <si>
    <t>Dani Pramadi Suhendro
sedayuprimateknik@gmail.com
0819 0158 1169</t>
  </si>
  <si>
    <t xml:space="preserve">garansi perkerjaan 6 bulan
</t>
  </si>
  <si>
    <t>SAMI/LKM-LA/07-2022/086</t>
  </si>
  <si>
    <t>Pembuatan gasebo</t>
  </si>
  <si>
    <t>CV. Gumuk Rejo</t>
  </si>
  <si>
    <t>pekerjaan pembuatan gazebo</t>
  </si>
  <si>
    <t>Setiyanti
gumukrejocv@gmail.com
0815 7549 8925</t>
  </si>
  <si>
    <t>SAMI/LKM-LA/07-2022/094</t>
  </si>
  <si>
    <t>Virgin Cake &amp; Bakery</t>
  </si>
  <si>
    <t>snack</t>
  </si>
  <si>
    <t>Mansur Isnaeni</t>
  </si>
  <si>
    <t>SAMI/LKM-LA/06-2022/082</t>
  </si>
  <si>
    <t>PT. Citra Sarana Media</t>
  </si>
  <si>
    <t>pembelian 1 unit dryer &amp; filter orion</t>
  </si>
  <si>
    <t>Enik Kusrini
sales-admin.smg@thecitragroup.com</t>
  </si>
  <si>
    <t>Garansi unit 1 tahun</t>
  </si>
  <si>
    <t>SAMI/LKM-LA/08-2016/010</t>
  </si>
  <si>
    <t>Pemborongan pekerjaan pembangunan ruang sekat (movable partition)</t>
  </si>
  <si>
    <t>PT. Abaccura Indonesia</t>
  </si>
  <si>
    <t>Garansi 5 tahun</t>
  </si>
  <si>
    <t>SAMI/LKM-LA/7-2017/029</t>
  </si>
  <si>
    <t>Pembelian/ pengadaan CPU</t>
  </si>
  <si>
    <t>Pembelian perangkat komputer HP 280 G3 MT-1RY23PA sebanyak 34 unit</t>
  </si>
  <si>
    <t>Teguh, 024-7462212
gemasmg@yahoo.com</t>
  </si>
  <si>
    <t xml:space="preserve">Garansi perangkat 3 tahun
</t>
  </si>
  <si>
    <t>SAMI/LKM-LA/7-2017/033</t>
  </si>
  <si>
    <t>Pembelian/ pengadaan Monitor</t>
  </si>
  <si>
    <t>Pembelian monitor Led Dell S2240T 21,5" sebanyak 34 unit</t>
  </si>
  <si>
    <t>SAMI/LKM-LA/9-2017/060</t>
  </si>
  <si>
    <t>Car Ownership Program (COP) AMU</t>
  </si>
  <si>
    <t>Ahmad Mubarak</t>
  </si>
  <si>
    <t>Mobil Honda Mobilio DD4 1,5 E M-CVT</t>
  </si>
  <si>
    <t>SAMI/LKM-LA/9-2017/061</t>
  </si>
  <si>
    <t>Car Ownership Program (COP) AWI</t>
  </si>
  <si>
    <t>Ari Wijayanti</t>
  </si>
  <si>
    <t>Motoaki Tamaya</t>
  </si>
  <si>
    <t>SAMI/LKM-LA/9-2017/062</t>
  </si>
  <si>
    <t>Car Ownership Program (COP) YYS</t>
  </si>
  <si>
    <t>Yoen Yoedono S</t>
  </si>
  <si>
    <t>SAMI/LKM-LA/9-2017/063</t>
  </si>
  <si>
    <t>Car Ownership Program (COP) MIS</t>
  </si>
  <si>
    <t>Mobil Toyota Innova 2,0 V A/T</t>
  </si>
  <si>
    <t>Pembelian server</t>
  </si>
  <si>
    <t>PT. Mitra Infosarana</t>
  </si>
  <si>
    <t>SAMI/LKM-LA/07-2020/087</t>
  </si>
  <si>
    <t>Perangkat HCI Nutanix-NRDK dan Switch Ruckus</t>
  </si>
  <si>
    <t>Handri Bayudhi
handri@mitrainfosarana.co.id
024 3547356</t>
  </si>
  <si>
    <t>Agreement (plant and equipment investment plan)</t>
  </si>
  <si>
    <t>Yazaki Corporation</t>
  </si>
  <si>
    <t>respect to project management agreement  executed as 24.07.17</t>
  </si>
  <si>
    <t>TMA</t>
  </si>
  <si>
    <t>Project Management Agreement (plan and equipment investment plan)</t>
  </si>
  <si>
    <t>SAMI-BBF Building Demolish &amp; Landslides Prevention Work</t>
  </si>
  <si>
    <t>Addendum agreement 30.09.19 article 5.1</t>
  </si>
  <si>
    <t>Expansion of SAMI production technology building</t>
  </si>
  <si>
    <t>Addendum termination agreement 30.06.20</t>
  </si>
  <si>
    <t>Corporate Support Services Agreement</t>
  </si>
  <si>
    <t>Manpower Agreement</t>
  </si>
  <si>
    <t>automatically be renewed for one year</t>
  </si>
  <si>
    <t>Tadahiko Kotoda</t>
  </si>
  <si>
    <t>340/PPLI-LOA/V-2022</t>
  </si>
  <si>
    <t>Sampah B3 SAMI-TF</t>
  </si>
  <si>
    <t>PPLi (PT. Prasadha Pamunah Limbah Industri)</t>
  </si>
  <si>
    <t>Pengelolaan sampah B3</t>
  </si>
  <si>
    <t>SAMI/LKM-LA/09-2022/106</t>
  </si>
  <si>
    <t>Catering</t>
  </si>
  <si>
    <t>Yukama Catering</t>
  </si>
  <si>
    <t>Penyediaan makan catering</t>
  </si>
  <si>
    <t>Siti Sutami
yukamaputraabadi@gmail.com
085225309187, 085726770334</t>
  </si>
  <si>
    <t>rantang</t>
  </si>
  <si>
    <t>SAMI/LKM-LA/09-2022/107</t>
  </si>
  <si>
    <t>Arto Catering</t>
  </si>
  <si>
    <t>Suyami
setyosantoso58@gmail.com
081932125222</t>
  </si>
  <si>
    <t>SAMI/LKM-LA/09-2022/108</t>
  </si>
  <si>
    <t>Anugrah Catering</t>
  </si>
  <si>
    <t>Jarot Andy Hermawan
sriendangpurwaningsih@gmail.com
081575889058</t>
  </si>
  <si>
    <t>SAMI/LKM-LA/05-2022/036</t>
  </si>
  <si>
    <t>Mandiri Catering</t>
  </si>
  <si>
    <t>Rahmad Widodo
dodoksaputra2018@gmail.com
085326417491</t>
  </si>
  <si>
    <t>SAMI/LKM-LA/09-2022/110</t>
  </si>
  <si>
    <t>Kenanga Catering</t>
  </si>
  <si>
    <t>Nur Amin, Tedy
087821312242</t>
  </si>
  <si>
    <t>SAMI/LKM-LA/09-2022/111</t>
  </si>
  <si>
    <t>Yulia Catering</t>
  </si>
  <si>
    <t>Yulia Ismiani
089504053000, 089677229972</t>
  </si>
  <si>
    <t>SAMI/LKM-LA/09-2022/112</t>
  </si>
  <si>
    <t>Melati Catering</t>
  </si>
  <si>
    <t>Moch. Ari Budiharjo
mocharibudiharjo@gmail.com
081225178843</t>
  </si>
  <si>
    <t>SAMI/LKM-LA/09-2022/113</t>
  </si>
  <si>
    <t>CV. Wahyu Lestari Sumber Waras</t>
  </si>
  <si>
    <t>Nina Juliani
cvwlsumberlaras@gmail.com
081336484299</t>
  </si>
  <si>
    <t>SAMI/LKM-LA/09-2022/105</t>
  </si>
  <si>
    <t>Perjanjian Laboratorium Kesehatan Masyarakat</t>
  </si>
  <si>
    <t>PT. Cito Diagnostika Utama</t>
  </si>
  <si>
    <t>Pengujian lingkungan</t>
  </si>
  <si>
    <t>FY. Indriana
citolabkesmas@yahoo.com
024-7615511
08122522348</t>
  </si>
  <si>
    <t>Pelayanan Kesehatan</t>
  </si>
  <si>
    <t>PT. Nala Mega Cipta</t>
  </si>
  <si>
    <t>In house clinic, pemeriksaan laboratorium, medical check up, swab PCR &amp; rapid test antigen</t>
  </si>
  <si>
    <t>in house clinic
per bulan</t>
  </si>
  <si>
    <t>SAMI/LKM-LA/04-2022/022
445/PKS/883</t>
  </si>
  <si>
    <t>Hospital Kontrak</t>
  </si>
  <si>
    <t>RSUD Tugurejo</t>
  </si>
  <si>
    <t>Pelayanan kesehatan karyawan</t>
  </si>
  <si>
    <t>Dwi Astuti, SKM, M.Kes
0812 2822 098
humas_rsudtugurejo@yahoo.com</t>
  </si>
  <si>
    <t>DPS/FAD</t>
  </si>
  <si>
    <t>4554/RSPWC/PK/IX/2017
SAMI/LKM-LA/10-2017/074</t>
  </si>
  <si>
    <t>RS Panti Wilasa Citarum</t>
  </si>
  <si>
    <t>Riries Anjari BP
marketing.pantiwilasa.citarum@gmail.com
085728098940</t>
  </si>
  <si>
    <t>end contract karena tidak ada respon sejak Mei 22</t>
  </si>
  <si>
    <t>SAMI/LKM-LA/09-2021/077
035/Dir-RSPM/PKS/X/2021</t>
  </si>
  <si>
    <t>RS Permata Medika</t>
  </si>
  <si>
    <t>Dr. Adhi, (024)7625005
rspm_smg@yahoo.co.id</t>
  </si>
  <si>
    <t>SAMI/LKM-LA/11-2021/092</t>
  </si>
  <si>
    <t>RS ST Elisabeth Semarang</t>
  </si>
  <si>
    <t xml:space="preserve">(024)8310076, 8310035
</t>
  </si>
  <si>
    <t>17/10/22 email dari hr_03 (sari) kontrak tidak diperpanjang, pakai BPJS</t>
  </si>
  <si>
    <t>SAMI/LKM-LA/01-2018/002
HK.03.01/I.IV/1747/2017</t>
  </si>
  <si>
    <t>RSUP Dokter Kariadi Semarang</t>
  </si>
  <si>
    <t>(024)8413476
humas_rskariadi@yahoo.co.id</t>
  </si>
  <si>
    <t>selama masa kontrak tidak ada karyawan yang periksa</t>
  </si>
  <si>
    <t>SAMI/LKM-LA/02-2021/022</t>
  </si>
  <si>
    <t>PT. Belefina Sarana Medika (RS Columbia Asia)</t>
  </si>
  <si>
    <t>(024)7629999
customercare.semarang@columbiaasia.com</t>
  </si>
  <si>
    <t>diperpanjang otomatis untuk 1 tahun setelah jangka waktu berakhir</t>
  </si>
  <si>
    <t>2009033/SIP-SDM/MA/202009</t>
  </si>
  <si>
    <t>Perawatan system</t>
  </si>
  <si>
    <t>PT. Suluh Insan Persada</t>
  </si>
  <si>
    <t>Perawatan sistem SIP-SDM</t>
  </si>
  <si>
    <t>R07.Br.SKC/246/2020
SAMI/LKM-LA/03-2020/017</t>
  </si>
  <si>
    <t>Layanan payroll</t>
  </si>
  <si>
    <t>PT. Bank Mandiri (Persero) Tbk.</t>
  </si>
  <si>
    <t>layanan Mandiri payroll package</t>
  </si>
  <si>
    <t>Ari Widyastuti
024-7612381
13611@bankmandiri.co.id</t>
  </si>
  <si>
    <t>tidak diperpanjang
sudah tidak pakai layanan</t>
  </si>
  <si>
    <t>R07.Br.SKC/351A/2022
SAMI/LKM-LA/02-2022/019</t>
  </si>
  <si>
    <t>Tabungan Payroll</t>
  </si>
  <si>
    <t>Pengelolaan rekening tabungan payroll</t>
  </si>
  <si>
    <t>Erna Sumarwani
024-7612381
13611@bankmandiri.co.id</t>
  </si>
  <si>
    <t>SAMI/LKM-LA/02-2022/018
14/RSPWDC/PKS.03/I/2022</t>
  </si>
  <si>
    <t>RS Panti Wilasa Dr. Cipto</t>
  </si>
  <si>
    <t>Daniel Widhi Herminto
danielxsinga@yahoo.com
081578402367</t>
  </si>
  <si>
    <t>Dana Pensiun</t>
  </si>
  <si>
    <t>DPLK Manulife Indonesia</t>
  </si>
  <si>
    <t>Pengelolaan program pensiun bagi karyawan SAMI</t>
  </si>
  <si>
    <r>
      <t xml:space="preserve">otomatis perpanjang untuk 2 tahun berikutnya
</t>
    </r>
    <r>
      <rPr>
        <i/>
        <sz val="22"/>
        <color theme="1"/>
        <rFont val="Times New Roman"/>
        <family val="1"/>
      </rPr>
      <t>note: email DPS 09.12.21 kontrak diperpanjang otomatis</t>
    </r>
  </si>
  <si>
    <t>Mitsuho Honda</t>
  </si>
  <si>
    <t>SAMI/LKM-LA/12-2021/118</t>
  </si>
  <si>
    <t>Pekerjaan Pemeliharaan Aplikasi Finished Good &amp; Invoicing</t>
  </si>
  <si>
    <t>PT. Dutasoft</t>
  </si>
  <si>
    <t>Layanan pemeliharaan aplikasi finished good &amp; invoicing</t>
  </si>
  <si>
    <t>AFK/AKA</t>
  </si>
  <si>
    <t>PASI-IT-2022-V-006</t>
  </si>
  <si>
    <t>Biaya-biaya (reimbursement) oleh PASI ke SAMI</t>
  </si>
  <si>
    <t>PT. Autocomp System Indonesia</t>
  </si>
  <si>
    <t>Jaringan internet &amp; sortware maintenance</t>
  </si>
  <si>
    <t>03.0068.0311</t>
  </si>
  <si>
    <t>Perjanjian Berlangganan Sistem Jaringan Layanan Internet-SAMI TF</t>
  </si>
  <si>
    <t>PT. Media Sarana Data / GMEDIA</t>
  </si>
  <si>
    <t>Langganan sistem jaringan komunikasi data</t>
  </si>
  <si>
    <t>PANDU, 081327663777</t>
  </si>
  <si>
    <t>03.0399.0811</t>
  </si>
  <si>
    <t>Perjanjian Berlangganan Sistem Jaringan Layanan Internet-SAMI CANDI</t>
  </si>
  <si>
    <t>Layanan Internet</t>
  </si>
  <si>
    <t>PT. Internet Mulia Untuk Negeri / GMEDIA</t>
  </si>
  <si>
    <t>Layanan akses internet SAMI TF &amp; SAMI Candi, Hosting SAMI TF &amp; SAMI JF</t>
  </si>
  <si>
    <t>Pandu Pratomo
024-8509595</t>
  </si>
  <si>
    <t>7.500.000
6.000.000
500.000</t>
  </si>
  <si>
    <t>internet TF
internet Candi
hosting</t>
  </si>
  <si>
    <t>0002/MOU/DATA-SMG/I/2020
SAMI/LKM-LA/12-2020/109</t>
  </si>
  <si>
    <t>PT. Data Utama Dinamika</t>
  </si>
  <si>
    <t>jaringan akses internet lokal SAMI Tugu ke Jepara 13 Mbps CIR 1:1 (IIX Only)</t>
  </si>
  <si>
    <t>finance@datautama.net.id
024-8453481</t>
  </si>
  <si>
    <t>SAMI/LKM-LA/06-2022/075</t>
  </si>
  <si>
    <t>Maintenance GPNet</t>
  </si>
  <si>
    <t>PT. Global Infotech Solution</t>
  </si>
  <si>
    <t>maintenance Gpnet</t>
  </si>
  <si>
    <t>Della Gitariana
021-5708178</t>
  </si>
  <si>
    <t>Jasa ICS (Indosat Conectivity Solution)</t>
  </si>
  <si>
    <t>PT. Indosat Tbk.</t>
  </si>
  <si>
    <t>berlanggaran jasa ICS dari Indosat</t>
  </si>
  <si>
    <t>diperpanjang otomatis setiap bulan</t>
  </si>
  <si>
    <t>SAMI/LKM-LA/06-2022/078</t>
  </si>
  <si>
    <t>Pemeliharaan dan pengembangan aplikasi</t>
  </si>
  <si>
    <t>CV. Multi Reva Parama</t>
  </si>
  <si>
    <t>SAMI system, Esys, BPS, FACS, SIS, PS, ITSMS</t>
  </si>
  <si>
    <t>Bayu
multirevaparama@gmail.com
0856 4156 8878</t>
  </si>
  <si>
    <t>PENGADAAN MATERIAL</t>
  </si>
  <si>
    <t>ELCOM (Yazaki North America, Inc El Paso)</t>
  </si>
  <si>
    <t>21/2/20 ajukan ke TMA, request matrix resiko
9/4/20 approved TMA, tanda tangan supplier</t>
  </si>
  <si>
    <t>SNK</t>
  </si>
  <si>
    <t>YUKBL (Yazaki Europe Limited)</t>
  </si>
  <si>
    <t>masa berlaku sampai para pihak mengakhiri dengan pemberitahuan 3 bulan sebelumnya.</t>
  </si>
  <si>
    <t>Ver.2012, vol.001</t>
  </si>
  <si>
    <t>HIB (Yazaki Corporation)</t>
  </si>
  <si>
    <t>material wiring harness</t>
  </si>
  <si>
    <t>automatically extended in additional 1 year periods</t>
  </si>
  <si>
    <t>copy</t>
  </si>
  <si>
    <t>AYC/ CPS/ YNA</t>
  </si>
  <si>
    <t>15/5/20 approved TMA, tanda tangan supplier.
'- this agreement will be valid from the date signature from both parties until termination by either party three months in advance</t>
  </si>
  <si>
    <t>Thai Arrow Products Co., Ltd. (TAP-C: Injection, Auto Wire and VTA Tape)</t>
  </si>
  <si>
    <t>ARTRON (TOA E&amp;I International Pte Ltd)</t>
  </si>
  <si>
    <t>3/7/19 tunggu feedback supplier
29/10/19 user follow up vendor
27/5/20 user follow up supplier
27/5/20 supplier reply tdk ada tanggapan dari SAI
28/5/20 supplier kirim koreksi kontrak
16/7/20 cek legal kirim ke user
17/7/20 user email ke vendor
27/7/20 user follow up vendor
29/7/20 user follow up vendor</t>
  </si>
  <si>
    <t>HZY (Hangzhou Yazaki Parts Co., Ltd)</t>
  </si>
  <si>
    <t>29/10/19 user follow up vendor
10/3/20 dibantu follow up oleh PASI (pak Mogi)
27/5/20 user follow up supplier
27/7/20 user follow up supplier</t>
  </si>
  <si>
    <t>YGP (YGP Pte Ltd)</t>
  </si>
  <si>
    <t>C-LUX</t>
  </si>
  <si>
    <t>17/01/2022 email dari SNK, gabung YGP</t>
  </si>
  <si>
    <t>MHART
(Guangzhou Emhart Fastening System Co., Ltd.,)</t>
  </si>
  <si>
    <t>MHATT
(Emhart Teknologies (Thailand) Ltd.)</t>
  </si>
  <si>
    <t>TDK Singapore (Pte) Ltd</t>
  </si>
  <si>
    <t>HELTY (Hellermann Tyton Pte Ltd)</t>
  </si>
  <si>
    <t>NISEI (Nissei Electric (H.K) Co., Ltd</t>
  </si>
  <si>
    <t>YCIC (Yazaki (China) Investment Corp.)</t>
  </si>
  <si>
    <t>PASAW</t>
  </si>
  <si>
    <t>PASI-SPA-03</t>
  </si>
  <si>
    <t>tetap berlaku efektif kecuali ada perubahan atas isi dan persyaratan didalamnya.
Ada perubahan dari PASI, on proses cek</t>
  </si>
  <si>
    <t>IWPI (PT. Indowire Prima Industrindo)</t>
  </si>
  <si>
    <t>kontrak ada di iwpi</t>
  </si>
  <si>
    <t>NMI (Nitto Material Indonesia)</t>
  </si>
  <si>
    <t>material wiring harness - JF</t>
  </si>
  <si>
    <t>PTDKP (PT. Duta Kalingga Pratama)</t>
  </si>
  <si>
    <t>SATO (PT. Satoseiki)</t>
  </si>
  <si>
    <t>AMANDEMEN PERJANJIAN PERGUDANGAN</t>
  </si>
  <si>
    <t>PT. Agility International</t>
  </si>
  <si>
    <t>Jasa pengelolaan gudang (ruang gudang, ruang kantor, personil)</t>
  </si>
  <si>
    <t>YYS</t>
  </si>
  <si>
    <t>08/AGILITY/SAMI/XII/2018</t>
  </si>
  <si>
    <t>PENGELOLAAN GUDANG PLB (Pusat Logistik Berikat)</t>
  </si>
  <si>
    <t>PT. Agility International / PT DSV Solutions Indonesia</t>
  </si>
  <si>
    <t>Pengelolaan gudang PLB</t>
  </si>
  <si>
    <t>715.000.000
16.875.000
67.500
67.500</t>
  </si>
  <si>
    <t>- penyimpanan tetap
- manajemen
- handling in
- handling out</t>
  </si>
  <si>
    <t>- Addendum per 31/08/21:
a. tambahan luasan pergudangan
b. biaya pergudangan
'- Amandemen I 01/06/22:
perubahan nama, before "PT Agility International" after "PT DSV Solutions Indonesia"</t>
  </si>
  <si>
    <t>FMTHA (Federal Mogul Thailand)</t>
  </si>
  <si>
    <t>PT. EDS Manufacturing Indonesia Automotive Wire Division</t>
  </si>
  <si>
    <t>Finished Part Master Supply Agreement</t>
  </si>
  <si>
    <t>wiring harnesses, battery cables, high tension cables, etc</t>
  </si>
  <si>
    <t>automatically extended in additional 1 year periods
- memorandum 01.10.19
- memorandum 10.11.20</t>
  </si>
  <si>
    <t>WHY</t>
  </si>
  <si>
    <t>PASI-SPA-02</t>
  </si>
  <si>
    <t>Finished Goods Sale And Purchase Agreement For Domestic Customers</t>
  </si>
  <si>
    <t>Jual beli wiring harness</t>
  </si>
  <si>
    <t>perjanjian tetap berlaku dan mengikat selama kondisi bisnis masih berjalan</t>
  </si>
  <si>
    <t>264/PASI/SALES-PRC/VI/2022</t>
  </si>
  <si>
    <t>Sales Contract</t>
  </si>
  <si>
    <t>pcs</t>
  </si>
  <si>
    <t>End contract until this part discontinued</t>
  </si>
  <si>
    <t>SAMI/LKM-LA/08-2022/095
11/SUAI/EXIM/X/2022</t>
  </si>
  <si>
    <t>PT. Subang Autocomp Indonesia</t>
  </si>
  <si>
    <t>Jual beli jyunkan circuit automotive wiring harness</t>
  </si>
  <si>
    <t>Master Supply Agreement</t>
  </si>
  <si>
    <t>PT. Surabaya Autocomp Indonesia</t>
  </si>
  <si>
    <t>Jula beli produk dan komponen wiring harness</t>
  </si>
  <si>
    <t>Vol. 2013-001</t>
  </si>
  <si>
    <t>Components And Parts Master Supply Agreement</t>
  </si>
  <si>
    <t>Foshan Shunde Yazaki Auto Parts Co., Ltd</t>
  </si>
  <si>
    <t>Jual beli jyunkan circuit automotive wiring harness (toyota)</t>
  </si>
  <si>
    <t>Yazaki North America Inc.</t>
  </si>
  <si>
    <t>Jula beli produk dan komponen</t>
  </si>
  <si>
    <t>Part Purchasing Agreement</t>
  </si>
  <si>
    <t>Thai Arrow Products Co., Ltd. (TAP)</t>
  </si>
  <si>
    <t>automotive parts</t>
  </si>
  <si>
    <t>SAMI/LKM-LA/08-2022/075</t>
  </si>
  <si>
    <t>Trucking domestic untuk SAMI Group</t>
  </si>
  <si>
    <t>CV. Tangi Luhur</t>
  </si>
  <si>
    <t>3 unit kendaraan truk peti kemas, supir truk kontainer beserta container</t>
  </si>
  <si>
    <t>1 bulan 1 unit</t>
  </si>
  <si>
    <t>FEP</t>
  </si>
  <si>
    <t>034/PTYIF/GA/VII/2022</t>
  </si>
  <si>
    <t>Custom clearance handling exim</t>
  </si>
  <si>
    <t>PT. Yamato Indonesia Forwarding</t>
  </si>
  <si>
    <t>Jasa pengurusan kargo dan jasa angkut ekspor impor</t>
  </si>
  <si>
    <t>PT. Yusen Logisitc Indonesia</t>
  </si>
  <si>
    <t>Pengurusan jasa kepabeanan dan jasa transportasi</t>
  </si>
  <si>
    <t>SAMI/LKM-LA/12-2021/115
002/STE/DOM/SMG/II/2022</t>
  </si>
  <si>
    <t>Pengurusan Dokumen</t>
  </si>
  <si>
    <t>PT. Sinar Tirta Emas
(Domestik)</t>
  </si>
  <si>
    <t>Jasa pengurusan dokumen BC 2.5</t>
  </si>
  <si>
    <t>Siti Dhohiroh, email: siti@putrasm.com</t>
  </si>
  <si>
    <t>001/STE/SMG/V/2021</t>
  </si>
  <si>
    <t>PT. Sinar Tirta Emas
(Ekspor)</t>
  </si>
  <si>
    <t>Jasa pengurusan jasa kepabeanan dan jasa transportasi</t>
  </si>
  <si>
    <t>Diganti PSM</t>
  </si>
  <si>
    <t>001/PSM/SMG/V/2022</t>
  </si>
  <si>
    <t>PT. Putra Sukses Mulia</t>
  </si>
  <si>
    <t>Agung Suryo Leksono, agung.leksono@psmulia.com
Asih W, spv1.ocean@psmulia.com</t>
  </si>
  <si>
    <t>11/10/22 Addendum perubahan tarif</t>
  </si>
  <si>
    <t>SAMI/LKM-LA/04-2022/030</t>
  </si>
  <si>
    <t>PT. Sejahtera Abadi Trans</t>
  </si>
  <si>
    <t>10 unit kendaraan truk peti kemas, supir truk kontainer beserta container</t>
  </si>
  <si>
    <t>1 unit / 1 bulan</t>
  </si>
  <si>
    <t>004/AGL/SMG/VIII/2022</t>
  </si>
  <si>
    <t>PT. Asia Grow Logistics</t>
  </si>
  <si>
    <t>Harti Kawuri
wuri@asiagrow.com
024-76632980</t>
  </si>
  <si>
    <t>SAMI/LKM-LA/07-2022/089</t>
  </si>
  <si>
    <t>CV. Saka Aksara</t>
  </si>
  <si>
    <t>Kasmanto
sakaaksara66@gmail.com 
024-3517896</t>
  </si>
  <si>
    <t>handling</t>
  </si>
  <si>
    <t>021/MoA-KRR/MKT/I/2022</t>
  </si>
  <si>
    <t>Pengangkutan Barang</t>
  </si>
  <si>
    <t>PT. Karura Freight Forwarding Logistics</t>
  </si>
  <si>
    <t>Jasa pengangkutan barang</t>
  </si>
  <si>
    <t>hendry untara indrapraja
hendry.ui@karura-logistic.com
031-8988035 / 36</t>
  </si>
  <si>
    <t>SAMI/LKM-LA/12-2021/116</t>
  </si>
  <si>
    <t xml:space="preserve">Putra Mandiri Transport                                            </t>
  </si>
  <si>
    <t>Andy
putramandiri.transport@yahoo.com
024-76673430</t>
  </si>
  <si>
    <t>3/10/22 Addendum perubahan tarif</t>
  </si>
  <si>
    <t>next tambah klausul penggelapan barang &amp; sub contract</t>
  </si>
  <si>
    <t>SAMI/LKM-LA/11-2021/114</t>
  </si>
  <si>
    <t>Jasa pengiriman container</t>
  </si>
  <si>
    <t>PT. Pataya Raya</t>
  </si>
  <si>
    <t>Jasa pengiriman container dari dan ke pelabuhan Semarang</t>
  </si>
  <si>
    <t>Riyadi Pataya
riyadipataya@ptpatayaraya.com
024-76631718</t>
  </si>
  <si>
    <t>SAMI/LKM-LA/12-2021/124</t>
  </si>
  <si>
    <t>PT. Platinum Jaya Logistic Semarang</t>
  </si>
  <si>
    <t>Agung Cahyo Budianto
agung_srg@platinumjayalogistic.com
024-76585260 / 08156531770</t>
  </si>
  <si>
    <t>002/PKK/X/2021</t>
  </si>
  <si>
    <t>PT. MCL Trans Indonesia</t>
  </si>
  <si>
    <t>Andi Setiawan
andi_smg@mcltransindo.com
021-6629707</t>
  </si>
  <si>
    <t>VA-20220601.KWESRG/SAMI.01</t>
  </si>
  <si>
    <t>PT. Kintetsu World Express Indonesia</t>
  </si>
  <si>
    <t>Elok Khotidjah
elok.khotidjah@kwe.com
024-3549680</t>
  </si>
  <si>
    <t>Ekspedisi</t>
  </si>
  <si>
    <t>PT. Birotika Semesta
(DHL Express)</t>
  </si>
  <si>
    <t>jasa ekspedisi/ pengiriman barang</t>
  </si>
  <si>
    <t>SAMI/LKM-LA/06-2022/042</t>
  </si>
  <si>
    <t>CV. Mitra Dunia Palletindo</t>
  </si>
  <si>
    <t>Karton box</t>
  </si>
  <si>
    <t>SAMI/LKM-LA/06-2022/043</t>
  </si>
  <si>
    <t>CV. Samugra Anugrah Sion</t>
  </si>
  <si>
    <t>SAMI/LKM-LA/06-2022/044</t>
  </si>
  <si>
    <t>CV. Semarang Damai Printing</t>
  </si>
  <si>
    <t>SAMI/LKM-LA/06-2022/045</t>
  </si>
  <si>
    <t>CV. Suryamas Boxindo</t>
  </si>
  <si>
    <t>SAMI/LKM-LA/06-2021/043</t>
  </si>
  <si>
    <t>PT. Graha Multisarana Mesindo</t>
  </si>
  <si>
    <t>Container plastik rabbit, LID 6303</t>
  </si>
  <si>
    <t>Henry Santoso
024-76633263
henry.s@grahamultisarana.com</t>
  </si>
  <si>
    <t>tidak diperpanjang
tidak ada order</t>
  </si>
  <si>
    <t>SAMI/LKM-LA/06-2022/053</t>
  </si>
  <si>
    <t>paper tape, double tape</t>
  </si>
  <si>
    <t>Lanny Lindawati
024-3560740
smg.nachindo@yahoo.com</t>
  </si>
  <si>
    <t>SAMI/LKM-LA/06-2022/052</t>
  </si>
  <si>
    <t>PT. Tunas Mitra Sentosa</t>
  </si>
  <si>
    <t>strech film</t>
  </si>
  <si>
    <t>Novan
024-6719014
novan@tunasmitra.co.id</t>
  </si>
  <si>
    <t>SAMI/LKM-LA/05-2020/052</t>
  </si>
  <si>
    <t>UD. Filina</t>
  </si>
  <si>
    <t>karet gelang, kain majun, masker kain, sarung tangan</t>
  </si>
  <si>
    <t>Sanafi, 024-6590118
filina.semarang@gmail.com</t>
  </si>
  <si>
    <t>LD tidak pakai lagi</t>
  </si>
  <si>
    <t>TOY
NZA</t>
  </si>
  <si>
    <t>SAMI/LKM-LA/06-2022/051</t>
  </si>
  <si>
    <t>CV. Mitra Lestari</t>
  </si>
  <si>
    <t>pallet karton, top cover</t>
  </si>
  <si>
    <t>Saheri, 087832930017
saheri17@yahoo.com
mitralestari83@gmail.com</t>
  </si>
  <si>
    <t>SAMI/LKM-LA/06-2022/066</t>
  </si>
  <si>
    <t>PT. Abadi Kemas Pitados</t>
  </si>
  <si>
    <t>Orgapack PP &amp; PET strapping tools, spare part orgapack OR-T 50</t>
  </si>
  <si>
    <t>Yulia Dewi Mariska
085776518967
abadikemaspitados@yahoo.co.id</t>
  </si>
  <si>
    <t>SAMI/LKM-LA/07-2021/062</t>
  </si>
  <si>
    <t>PLL Packaging Sdn. Bhd.</t>
  </si>
  <si>
    <t>Slip Sheet</t>
  </si>
  <si>
    <t>dapat diperpanjang otomatis 1 tahun berikutnya
addendum GADSL, dll</t>
  </si>
  <si>
    <t>SAMI/LKM-LA/06-2022/050</t>
  </si>
  <si>
    <t>CV. Agung Jaya Sentosa</t>
  </si>
  <si>
    <t>Isi staples, dll</t>
  </si>
  <si>
    <t>SAMI/LKM-LA/06-2022/067</t>
  </si>
  <si>
    <t>CV. Dai Sabisu Indonesia</t>
  </si>
  <si>
    <t>Polybox, pallet plastik, container plastik</t>
  </si>
  <si>
    <t>Albertus Bimo Dewanto Caesar
bimo@daisabisuindonesia.com
08119614509</t>
  </si>
  <si>
    <t>MULTILATERAL NETTING AMONG GROUP COMPANIES</t>
  </si>
  <si>
    <t>Yamada,Aya_山田 亜弥 &lt;aya.yamada@jp.yazaki.com&gt;</t>
  </si>
  <si>
    <t>04.10.21 email dari RMU tidak ada perubahan kontrak --&gt; perpanjang otomatis
(1 tahun dan diperpanjang otomatis lagi untuk 1 tahun berikutnya dan seterusnya jika tidak ada perubahan)</t>
  </si>
  <si>
    <t>MBM</t>
  </si>
  <si>
    <t>NOTICE OF SERVICE FEES FOR NETTING SERVICE</t>
  </si>
  <si>
    <t>Bambang Rianto</t>
  </si>
  <si>
    <t>CASH MANAGEMENT AGREEMENT / PERJANJIAN PENGELOLAAN KAS</t>
  </si>
  <si>
    <t>MUFG Bank, Ltd</t>
  </si>
  <si>
    <t>Layanan dari bank dalam pengelolaan kas</t>
  </si>
  <si>
    <t>Telp. (021)5706185
Fax. (021)5703953</t>
  </si>
  <si>
    <t>Takashi Takagishi</t>
  </si>
  <si>
    <t>064/PASI-LGL/VII/2020</t>
  </si>
  <si>
    <t xml:space="preserve">INTER COMPANY LOAN AGREEMENT </t>
  </si>
  <si>
    <t>Intern company loan</t>
  </si>
  <si>
    <t>Balaraja, (021)5951535
Cikarang, (021)29288502</t>
  </si>
  <si>
    <t>09/08/22 email dari Joseph Pangaribuan (PASI) kontrak perpanjang otomatis</t>
  </si>
  <si>
    <t>ROYALTY AGREEMENT / TECHNICAL ASSISTANCE AGREEMENT</t>
  </si>
  <si>
    <t>Royalti</t>
  </si>
  <si>
    <t>Fukasawa,Shuhei_深澤 周平 &lt;shuhei.fukasawa@jp.yazaki.com&gt;</t>
  </si>
  <si>
    <t>5 tahun diperpanjang otomatis untuk 5 tahun - 5 tahun berikutnya jika tidak ada perubahan</t>
  </si>
  <si>
    <t>328/CF/CDU-JP/22/2022-0034604</t>
  </si>
  <si>
    <t>Confirmation Of Facilities</t>
  </si>
  <si>
    <t>009/SAMI/FA-PKS/VIII/2022</t>
  </si>
  <si>
    <t>Pendampingan &amp; Pelatihan Pajak</t>
  </si>
  <si>
    <t>PT. Sintesis Atlas Sinergi</t>
  </si>
  <si>
    <t>Pendampingan &amp; pelatihan pajak kepada staff pajak SAMI</t>
  </si>
  <si>
    <t>109/09/22/SA/FAN</t>
  </si>
  <si>
    <t>Reviu laporan keuangan</t>
  </si>
  <si>
    <t>DELOITTE
Imelda &amp; Rekan</t>
  </si>
  <si>
    <t>Reviu atas laporan keuangan SAMI periode 6 bulan yang berakhir 30 sep 22</t>
  </si>
  <si>
    <t>PT. Trustindo Mekatronics Mulya</t>
  </si>
  <si>
    <t>Jual beli material</t>
  </si>
  <si>
    <t>Perpanjang otomatis untuk 6 bulan berikutnya</t>
  </si>
  <si>
    <t>NZA</t>
  </si>
  <si>
    <t>CV. Djaya Mandiri Teknik</t>
  </si>
  <si>
    <t>018/KT/AJT/10/2018
SAMI/LKM-LA/11-2018/096</t>
  </si>
  <si>
    <t>CV. Adijaya Teknik</t>
  </si>
  <si>
    <t>spare part industri
(oil pot, plat SA, pengunci connector new design, plat dudukan Led, stoper ram, bracket applikator)</t>
  </si>
  <si>
    <t>Icoek Adi N
adijaya_teknik88@yahoo.com</t>
  </si>
  <si>
    <t>CV. ANUGRAH SENTOSA</t>
  </si>
  <si>
    <t>SAMI/LKM-LA/12-2019/160</t>
  </si>
  <si>
    <t>CV. Bumi Raya Indonesia</t>
  </si>
  <si>
    <t>barang-barang komputer, elektronik, dan alat-alat kantor</t>
  </si>
  <si>
    <t>Sri Kusmini
teknisi@hitechcomputer.co.id
081325460470, 024 3553888</t>
  </si>
  <si>
    <t>SAMI/LKM-LA/10-2019/107</t>
  </si>
  <si>
    <t>CV. Kurnia Makmur Perkasa</t>
  </si>
  <si>
    <t>spare part pneumatic &amp; electric</t>
  </si>
  <si>
    <t>Ria Purnamasari
kurniamakmurperkasa@yahoo.co.id
024-8311087 / 024-8446268</t>
  </si>
  <si>
    <t>SAMI/LKM-LA/11-2019/142</t>
  </si>
  <si>
    <t>CV. Surya Pranata</t>
  </si>
  <si>
    <t>push button, saklar, bearing</t>
  </si>
  <si>
    <t>Arief Pranoto
pranatasurya5@gmail.com
081328204587</t>
  </si>
  <si>
    <t>base on quotation letter</t>
  </si>
  <si>
    <t>perpanjangan otomatis, harga sama sampai 2022</t>
  </si>
  <si>
    <t>SAMI/LKM-LA/06-2019/065</t>
  </si>
  <si>
    <t>CV. Surya Sinergy</t>
  </si>
  <si>
    <t>barang elektrikal</t>
  </si>
  <si>
    <t>Verry Budi Santoso
surya.sinergy@gmail.com
024-76410779</t>
  </si>
  <si>
    <t>SAMI/LKM-LA/11-2018/097</t>
  </si>
  <si>
    <t>PT. Akurasi Semarang Teknologi Indonesia</t>
  </si>
  <si>
    <t>equipment fabrikasi logam, spt: safety cover, base applicator, part mesin grommet, dll</t>
  </si>
  <si>
    <t>Eka Yulia Purnietik
pt.asti@yahoo.com
024-7627179</t>
  </si>
  <si>
    <t>diperpanjang dengan membuat perjanjian baru, harga penawaran</t>
  </si>
  <si>
    <t>SAMI/LKM-LA/10-2018/086</t>
  </si>
  <si>
    <t>PT. Denko Wahana Sakti</t>
  </si>
  <si>
    <t>roda trolly</t>
  </si>
  <si>
    <t>Agustina
tina@denko.co.id
024-76580101 / 081326567615</t>
  </si>
  <si>
    <t>SAMI/LKM-LA/07-2019/073</t>
  </si>
  <si>
    <t>PT. Dou Yee Enterprises</t>
  </si>
  <si>
    <t>produk untuk proses silikon injectin di mesin WK13</t>
  </si>
  <si>
    <t>Robet Hutabarat
robet@douyee.com.sg 
021-89901153</t>
  </si>
  <si>
    <t>SAMI/LKM-LA/11-2018/098</t>
  </si>
  <si>
    <t>PT. Eraperkasa Maju Cemerlang</t>
  </si>
  <si>
    <t>airtac peneumatic, autonics sensor control, fabrication</t>
  </si>
  <si>
    <t>Hardi Widodo,
semarang@eraperkasa.com
024-7627090/76469141</t>
  </si>
  <si>
    <t>SAMI/LKM-LA/09-2019/091</t>
  </si>
  <si>
    <t>PT. Hibex Indonesia</t>
  </si>
  <si>
    <t>barang elektronika</t>
  </si>
  <si>
    <t>Diki Novriana
diki@hibex.co.id
021-8936920</t>
  </si>
  <si>
    <t>SAMI/LKM-LA/12-2019/159</t>
  </si>
  <si>
    <t>PT. KAIROS SOLUSI INDONESIA</t>
  </si>
  <si>
    <t>spare part automations</t>
  </si>
  <si>
    <t>Agus
031-8554391
sales@kairos-solusi.com</t>
  </si>
  <si>
    <t>hasil review bulan desember 2021, tidak diperpanjang sudah tidak ada transaksi</t>
  </si>
  <si>
    <t>SAMI/LKM-LA/09-2019/088</t>
  </si>
  <si>
    <t>PT. Keyence Indonesia</t>
  </si>
  <si>
    <t>alat penunjang produksi</t>
  </si>
  <si>
    <t>Faikar
order@keyence.co.id
021-29660120</t>
  </si>
  <si>
    <t>SAMI/LKM-LA/04-2020/020</t>
  </si>
  <si>
    <t>PT. KARYA ABADI INTIBUANA</t>
  </si>
  <si>
    <t>Toluene AR 4 liter Smartlab katalog A-1075</t>
  </si>
  <si>
    <t>Ridho/Nana/Dwi
sales1@kadint.com, finance@kadint.com
03532898511</t>
  </si>
  <si>
    <t>botol</t>
  </si>
  <si>
    <t>hasil review bulan desember 2021, tidak diperpanjang ganti supplier smartlab</t>
  </si>
  <si>
    <t>SAMI/LKM-LA/03-2021/022</t>
  </si>
  <si>
    <t>PT. Kreatif Mandiri Teknologi</t>
  </si>
  <si>
    <t>spare part</t>
  </si>
  <si>
    <t>Ahmad Hildan Nur
kreatifmandiriteknologi@gmail.com
021-22104298</t>
  </si>
  <si>
    <t>SAMI/LKM-LA/02-2020/015</t>
  </si>
  <si>
    <t>alat-alat industrial</t>
  </si>
  <si>
    <t>Novianto Susilo
sr6.srg@krisbow.com
024-7602329</t>
  </si>
  <si>
    <t>SAMI/LKM-LA/08-2019/079</t>
  </si>
  <si>
    <t>insulock, kabel, push button, sensor, spiral, trafo</t>
  </si>
  <si>
    <t>mandala2@mandalasmg.com
085640250386</t>
  </si>
  <si>
    <t>SAMI/LKM-LA/01-2020/005</t>
  </si>
  <si>
    <t>PT. Misumi Indonesia</t>
  </si>
  <si>
    <t>limit switch, bearing, belt, toggle clamp, cutter, dll</t>
  </si>
  <si>
    <t>Novia Mardasari
novia.m@misumi.co.id
021-89840008</t>
  </si>
  <si>
    <t>system MISUMI</t>
  </si>
  <si>
    <t>SAMI/LKM-LA/12-2019/161</t>
  </si>
  <si>
    <t>PT. Oriental Abadi Indonesia</t>
  </si>
  <si>
    <t>spare part mesin produksi</t>
  </si>
  <si>
    <t>Sandra Natalea
sandra@oriental-abadi.com
(031) 8471039 - 40</t>
  </si>
  <si>
    <t>SAMI/LKM-LA/12-2019/162</t>
  </si>
  <si>
    <t>PT. Rhema Konektika Wiratama</t>
  </si>
  <si>
    <t>tools, accessories, barang teknik</t>
  </si>
  <si>
    <t>Deddy/ Agung
info@rhemakonektika.com
024-7624131</t>
  </si>
  <si>
    <t>SAMI/LKM-LA/02-2019/010</t>
  </si>
  <si>
    <t>PT. Sinergi Multi Citramas</t>
  </si>
  <si>
    <t>barang teknik</t>
  </si>
  <si>
    <t>Amelia Rahardjo
accounting@sinergimulticitramas.co.id
(024) 3516599</t>
  </si>
  <si>
    <t>SAMI/LKM-LA/10-2019/111</t>
  </si>
  <si>
    <t>PT. Sugity Creatives</t>
  </si>
  <si>
    <t>bobin</t>
  </si>
  <si>
    <t>Kevin Ajawaila
kevin.a.ajawaila@sugity.co.id
021-8980307</t>
  </si>
  <si>
    <t>SAMI/LKM-LA/09-2019/089</t>
  </si>
  <si>
    <t>PT. Victori Sindo Utama</t>
  </si>
  <si>
    <t>mobil lubricant</t>
  </si>
  <si>
    <t>Laelatul Munafidloh
laelatul@victori.co.id 
024-76928337</t>
  </si>
  <si>
    <t>SAMI/LKM-LA/06-2020/063</t>
  </si>
  <si>
    <t xml:space="preserve">Emdep (Shanghai) Automotive Harness Sys. Co. Ltd                       </t>
  </si>
  <si>
    <t>mesin dan part mesin</t>
  </si>
  <si>
    <t>Zhang Huifeng
hfzhang@emdep.com
86-021-59953812</t>
  </si>
  <si>
    <t>SAMI/LKM-LA/11-2020/104</t>
  </si>
  <si>
    <t xml:space="preserve">Japan Chain Terminal Co., Ltd                                       </t>
  </si>
  <si>
    <t>crimping dies</t>
  </si>
  <si>
    <t>Ken Suzuki
ken_s@j-c-t.co.jp
81-23-653-0180</t>
  </si>
  <si>
    <t>SAMI/LKM-LA/05-2020/057</t>
  </si>
  <si>
    <t>Komax Singapore Pte Ltd</t>
  </si>
  <si>
    <t>mesin &amp; part mesin Komax</t>
  </si>
  <si>
    <t>Koh Sim Seng
kimseng.koh@komaxgroup.com
+65 62859713</t>
  </si>
  <si>
    <t>SAMI/LKM-LA/05-2020/058</t>
  </si>
  <si>
    <t xml:space="preserve">Lakes Precission, Inc                                                           </t>
  </si>
  <si>
    <t>cutter ac90</t>
  </si>
  <si>
    <t>jim@lakesprecision.com
715-546-3070 (USA)</t>
  </si>
  <si>
    <t>SAMI/LKM-LA/06-2020/061</t>
  </si>
  <si>
    <t xml:space="preserve">Schleuniger Japan Co., Ltd                                       </t>
  </si>
  <si>
    <t>air filter, blade, transport belt, body fit screw, dll</t>
  </si>
  <si>
    <t>Mitsuhiro Chiba
81 42 401 6581
mitsuhiro.chiba@schleuniger.co.jp</t>
  </si>
  <si>
    <t>SAMI/LKM-LA/06-2020/062</t>
  </si>
  <si>
    <t xml:space="preserve">Toman Corporation                                                       </t>
  </si>
  <si>
    <t>info@toman-c.co.jp
+81542549600</t>
  </si>
  <si>
    <t>DELFI (Delfingen PH-Filipinas)</t>
  </si>
  <si>
    <t>RELATS
(Relats Insulation Material (Suzhou) Co., Ltd.,)</t>
  </si>
  <si>
    <t>PTCAR (Caturindo Agungjaya Rubber)</t>
  </si>
  <si>
    <t>PTIKP (PT. Indokarlo Perkasa)</t>
  </si>
  <si>
    <t>Kontrak 1</t>
  </si>
  <si>
    <t>Kontrak 2</t>
  </si>
  <si>
    <t>Kontrak 3</t>
  </si>
  <si>
    <t>Kontrak 4</t>
  </si>
  <si>
    <t>Kontrak 5</t>
  </si>
  <si>
    <t>Kontrak 6</t>
  </si>
  <si>
    <t>Kontrak 7</t>
  </si>
  <si>
    <t>Kontrak 8</t>
  </si>
  <si>
    <t>Kontrak 9</t>
  </si>
  <si>
    <t>Kontrak 10</t>
  </si>
  <si>
    <t>Kontrak 11</t>
  </si>
  <si>
    <t>Kontrak 12</t>
  </si>
  <si>
    <t>Kontrak 13</t>
  </si>
  <si>
    <t>Kontrak 14</t>
  </si>
  <si>
    <t>Kontrak 15</t>
  </si>
  <si>
    <t>Kontrak 18</t>
  </si>
  <si>
    <t>Kontrak 17</t>
  </si>
  <si>
    <t>Kontrak 16</t>
  </si>
  <si>
    <t>Kontrak 19</t>
  </si>
  <si>
    <t>Kontrak 20</t>
  </si>
  <si>
    <t>Kontrak 21</t>
  </si>
  <si>
    <t>Kontrak 22</t>
  </si>
  <si>
    <t>SAMI/LKM-LA/10-2022/120</t>
  </si>
  <si>
    <t>Kontrak 23</t>
  </si>
  <si>
    <t>Kontrak 24</t>
  </si>
  <si>
    <t>Kontrak 25</t>
  </si>
  <si>
    <t>Kontrak 26</t>
  </si>
  <si>
    <t>Kontrak 27</t>
  </si>
  <si>
    <t>Kontrak 28</t>
  </si>
  <si>
    <t>Kontrak 29</t>
  </si>
  <si>
    <t>Kontrak 30</t>
  </si>
  <si>
    <t>Kontrak 31</t>
  </si>
  <si>
    <t>kontrak baru PEMI AW</t>
  </si>
  <si>
    <t>Kontrak 32</t>
  </si>
  <si>
    <t>004/PKS/SWI/IX/2022</t>
  </si>
  <si>
    <t>Pengiriman Barang</t>
  </si>
  <si>
    <t>PT. Sentra World Indonesia</t>
  </si>
  <si>
    <t>pengangkutan dan pengiriman barang</t>
  </si>
  <si>
    <t>SAMI/LKM-LA/10-2022/124</t>
  </si>
  <si>
    <t>SAMI/LKM-LA/09-2022/114</t>
  </si>
  <si>
    <t>PT. Cahaya Makmur Propertindo (LJ Hooker Imam Bonjol)</t>
  </si>
  <si>
    <t>Laurensia
ljhimambonjol@gmail.com
024-3584308</t>
  </si>
  <si>
    <t>SAMI/LKM-LA/11-2022/130</t>
  </si>
  <si>
    <t>2370/PKS/NMC/XI/2022
SAMI/LKM-LA/11-2022/128</t>
  </si>
  <si>
    <t>Yuni Artin (082134047522)
Putri Anggit (081325136916)
nmc_health@yahoo.co.id</t>
  </si>
  <si>
    <t>SAMI/LKM-LA/11-2022/126</t>
  </si>
  <si>
    <t>Pengecoran tutup got</t>
  </si>
  <si>
    <t>pengecoran tutup got area parkir motor</t>
  </si>
  <si>
    <t>Management</t>
  </si>
  <si>
    <t>Kontrak 33</t>
  </si>
  <si>
    <t>Kontark 33</t>
  </si>
  <si>
    <t>SAMI/LKM-LA/11-2022/125</t>
  </si>
  <si>
    <t>nov 22/unit
mei 23/unit</t>
  </si>
  <si>
    <t>21.735.980
25.639.089</t>
  </si>
  <si>
    <t>SAMI/LKM-LA/11-2022/142</t>
  </si>
  <si>
    <t>Even Organizer</t>
  </si>
  <si>
    <t>CV. Black Star Production</t>
  </si>
  <si>
    <t>Penyelenggaraan HUT SAMI Ke-21 pada tanggal 8 Januari 2023</t>
  </si>
  <si>
    <t>Irham Dhanu Nurmanto
blackstarkendal@gmail.com
082211445525</t>
  </si>
  <si>
    <t>event</t>
  </si>
  <si>
    <t>SAMI/LKM-LA/11-2020/138</t>
  </si>
  <si>
    <t>SAMI/LKM-LA/11-2020/139</t>
  </si>
  <si>
    <t>SAMI/LKM-LA/11-2020/140</t>
  </si>
  <si>
    <t>PT. Putri Mandiri Catering</t>
  </si>
  <si>
    <t>Kembang Telang Catering</t>
  </si>
  <si>
    <t>CV. Mumun Mandiri Berkah</t>
  </si>
  <si>
    <t>Putri Vitriana
085326417491
cateringputrimandiri@gmail.com</t>
  </si>
  <si>
    <t>Ulin Na'mah Azisa
085727087511
ulinazisa@gmail.com</t>
  </si>
  <si>
    <t>Siti Maemunah
081227012244
mumunmandiriberkah2019@gmail.com</t>
  </si>
  <si>
    <t>DATABASE KONTRAK KERJASAMA
PT SEMARANG AUTOCOMP MANUFACTURING INDONESIA - TUGU FACTORY
Bulan November 2022</t>
  </si>
  <si>
    <t>email dari BPI 30/11/22 tidak diperpanjang, respon vendor lama</t>
  </si>
  <si>
    <t>SAMI/LKM-LA/11-2022/137</t>
  </si>
  <si>
    <t>Addemdum 01/11/22 :
SAMI/LKM-LA/11-2022/127
Kunci harga kipas angin 30" dan ceiling fan 56"</t>
  </si>
  <si>
    <t>`</t>
  </si>
  <si>
    <t>SAMI/LKM-LA/11-2022/129</t>
  </si>
  <si>
    <t>pekerjaan pembuatan kanopi belakang loker karyawan</t>
  </si>
  <si>
    <t>SAMI/LKM-LA/11-2022/134</t>
  </si>
  <si>
    <t>pekerjaan pembuatan kanopi depan loker karyawan</t>
  </si>
  <si>
    <t>SAMI/LKM-LA/11-2022/132</t>
  </si>
  <si>
    <t>SAMI/LKM-LA/11-2022/131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</si>
</sst>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(* #,##0.0_);_(* \(#,##0.0\);_(* &quot;-&quot;??_);_(@_)"/>
    <numFmt numFmtId="167" formatCode="[$-409]mmm\-yy;@"/>
  </numFmts>
  <fonts count="2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22"/>
      <name val="Times New Roman"/>
      <family val="1"/>
    </font>
    <font>
      <b/>
      <sz val="48"/>
      <name val="Times New Roman"/>
      <family val="1"/>
    </font>
    <font>
      <b/>
      <sz val="20"/>
      <name val="Times New Roman"/>
      <family val="1"/>
    </font>
    <font>
      <sz val="36"/>
      <name val="Times New Roman"/>
      <family val="1"/>
    </font>
    <font>
      <i/>
      <sz val="20"/>
      <name val="Times New Roman"/>
      <family val="1"/>
    </font>
    <font>
      <b/>
      <sz val="22"/>
      <name val="Times New Roman"/>
      <family val="1"/>
    </font>
    <font>
      <b/>
      <sz val="26"/>
      <name val="Times New Roman"/>
      <family val="1"/>
    </font>
    <font>
      <sz val="10"/>
      <color theme="1"/>
      <name val="Times New Roman"/>
      <family val="1"/>
    </font>
    <font>
      <sz val="26"/>
      <name val="Times New Roman"/>
      <family val="1"/>
    </font>
    <font>
      <sz val="22"/>
      <color rgb="FFFF0000"/>
      <name val="Times New Roman"/>
      <family val="1"/>
    </font>
    <font>
      <b/>
      <sz val="24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sz val="24"/>
      <name val="Times New Roman"/>
      <family val="1"/>
    </font>
    <font>
      <i/>
      <u/>
      <sz val="22"/>
      <name val="Times New Roman"/>
      <family val="1"/>
    </font>
    <font>
      <sz val="22"/>
      <color rgb="FF0000FF"/>
      <name val="Times New Roman"/>
      <family val="1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b/>
      <sz val="18"/>
      <color theme="0" tint="-0.249977111117893"/>
      <name val="Times New Roman"/>
      <family val="1"/>
    </font>
    <font>
      <sz val="16"/>
      <name val="Times New Roman"/>
      <family val="1"/>
    </font>
    <font>
      <sz val="22"/>
      <color theme="1"/>
      <name val="Times New Roman"/>
      <family val="1"/>
    </font>
    <font>
      <sz val="22"/>
      <color theme="0" tint="-0.249977111117893"/>
      <name val="Times New Roman"/>
      <family val="1"/>
    </font>
    <font>
      <sz val="30"/>
      <color theme="1"/>
      <name val="Calibri"/>
      <family val="2"/>
    </font>
    <font>
      <i/>
      <sz val="22"/>
      <color theme="1"/>
      <name val="Times New Roman"/>
      <family val="1"/>
    </font>
    <font>
      <sz val="18"/>
      <color theme="1"/>
      <name val="Times New Roman"/>
      <family val="1"/>
    </font>
    <font>
      <sz val="2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87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F76A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84E4A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747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14" fontId="7" fillId="0" borderId="0" xfId="0" applyNumberFormat="1" applyFont="1" applyAlignment="1">
      <alignment horizontal="right" wrapText="1"/>
    </xf>
    <xf numFmtId="14" fontId="7" fillId="0" borderId="0" xfId="0" applyNumberFormat="1" applyFont="1"/>
    <xf numFmtId="1" fontId="2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right" vertical="center"/>
    </xf>
    <xf numFmtId="14" fontId="8" fillId="0" borderId="0" xfId="0" applyNumberFormat="1" applyFont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7" borderId="0" xfId="0" applyFont="1" applyFill="1" applyAlignment="1">
      <alignment vertical="center"/>
    </xf>
    <xf numFmtId="0" fontId="8" fillId="0" borderId="0" xfId="0" applyFont="1"/>
    <xf numFmtId="0" fontId="9" fillId="8" borderId="1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7" fontId="3" fillId="0" borderId="13" xfId="0" applyNumberFormat="1" applyFont="1" applyBorder="1" applyAlignment="1">
      <alignment vertical="center"/>
    </xf>
    <xf numFmtId="0" fontId="2" fillId="0" borderId="13" xfId="0" applyFont="1" applyBorder="1"/>
    <xf numFmtId="0" fontId="3" fillId="0" borderId="13" xfId="0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/>
    </xf>
    <xf numFmtId="9" fontId="3" fillId="0" borderId="13" xfId="2" applyFont="1" applyFill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7" borderId="0" xfId="0" applyNumberFormat="1" applyFont="1" applyFill="1" applyAlignment="1">
      <alignment vertical="center"/>
    </xf>
    <xf numFmtId="1" fontId="13" fillId="3" borderId="12" xfId="0" applyNumberFormat="1" applyFont="1" applyFill="1" applyBorder="1" applyAlignment="1">
      <alignment horizontal="center" vertical="center"/>
    </xf>
    <xf numFmtId="1" fontId="13" fillId="4" borderId="13" xfId="0" applyNumberFormat="1" applyFont="1" applyFill="1" applyBorder="1" applyAlignment="1">
      <alignment horizontal="center" vertical="center"/>
    </xf>
    <xf numFmtId="1" fontId="13" fillId="8" borderId="12" xfId="0" applyNumberFormat="1" applyFont="1" applyFill="1" applyBorder="1" applyAlignment="1">
      <alignment horizontal="center" vertical="center"/>
    </xf>
    <xf numFmtId="1" fontId="13" fillId="9" borderId="13" xfId="0" applyNumberFormat="1" applyFont="1" applyFill="1" applyBorder="1" applyAlignment="1">
      <alignment horizontal="center" vertical="center"/>
    </xf>
    <xf numFmtId="1" fontId="13" fillId="11" borderId="13" xfId="0" applyNumberFormat="1" applyFont="1" applyFill="1" applyBorder="1" applyAlignment="1">
      <alignment horizontal="center" vertical="center"/>
    </xf>
    <xf numFmtId="1" fontId="13" fillId="12" borderId="13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" fontId="9" fillId="10" borderId="13" xfId="0" applyNumberFormat="1" applyFont="1" applyFill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9" xfId="0" applyNumberFormat="1" applyFont="1" applyBorder="1" applyAlignment="1">
      <alignment vertical="center"/>
    </xf>
    <xf numFmtId="1" fontId="8" fillId="0" borderId="1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vertical="top"/>
    </xf>
    <xf numFmtId="0" fontId="5" fillId="0" borderId="0" xfId="0" applyFont="1"/>
    <xf numFmtId="9" fontId="5" fillId="0" borderId="0" xfId="2" applyFont="1" applyFill="1" applyBorder="1" applyAlignment="1">
      <alignment vertical="top"/>
    </xf>
    <xf numFmtId="0" fontId="3" fillId="0" borderId="0" xfId="0" applyFont="1" applyAlignment="1">
      <alignment horizontal="right" wrapText="1"/>
    </xf>
    <xf numFmtId="9" fontId="8" fillId="0" borderId="0" xfId="2" applyFont="1" applyFill="1" applyBorder="1" applyAlignment="1">
      <alignment horizontal="center" vertical="center"/>
    </xf>
    <xf numFmtId="2" fontId="15" fillId="0" borderId="0" xfId="0" applyNumberFormat="1" applyFont="1" applyAlignment="1">
      <alignment wrapText="1"/>
    </xf>
    <xf numFmtId="14" fontId="2" fillId="0" borderId="0" xfId="0" applyNumberFormat="1" applyFont="1"/>
    <xf numFmtId="0" fontId="3" fillId="0" borderId="9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9" fontId="3" fillId="0" borderId="9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8" fillId="13" borderId="10" xfId="0" applyNumberFormat="1" applyFont="1" applyFill="1" applyBorder="1" applyAlignment="1">
      <alignment vertical="center"/>
    </xf>
    <xf numFmtId="1" fontId="8" fillId="13" borderId="11" xfId="0" applyNumberFormat="1" applyFont="1" applyFill="1" applyBorder="1" applyAlignment="1">
      <alignment vertical="center"/>
    </xf>
    <xf numFmtId="1" fontId="8" fillId="13" borderId="12" xfId="0" applyNumberFormat="1" applyFont="1" applyFill="1" applyBorder="1" applyAlignment="1">
      <alignment vertical="center"/>
    </xf>
    <xf numFmtId="14" fontId="13" fillId="0" borderId="23" xfId="0" applyNumberFormat="1" applyFont="1" applyBorder="1" applyAlignment="1">
      <alignment horizontal="center" vertical="center"/>
    </xf>
    <xf numFmtId="14" fontId="16" fillId="0" borderId="13" xfId="0" applyNumberFormat="1" applyFont="1" applyBorder="1" applyAlignment="1">
      <alignment horizontal="center" vertical="center"/>
    </xf>
    <xf numFmtId="0" fontId="15" fillId="0" borderId="0" xfId="0" applyFont="1"/>
    <xf numFmtId="1" fontId="2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3" fillId="0" borderId="0" xfId="0" applyFont="1"/>
    <xf numFmtId="14" fontId="5" fillId="0" borderId="0" xfId="0" applyNumberFormat="1" applyFont="1" applyAlignment="1">
      <alignment vertical="center"/>
    </xf>
    <xf numFmtId="0" fontId="16" fillId="0" borderId="0" xfId="0" applyFont="1"/>
    <xf numFmtId="17" fontId="16" fillId="0" borderId="13" xfId="0" applyNumberFormat="1" applyFont="1" applyBorder="1"/>
    <xf numFmtId="0" fontId="17" fillId="0" borderId="0" xfId="0" applyFont="1"/>
    <xf numFmtId="0" fontId="18" fillId="0" borderId="0" xfId="0" applyFont="1"/>
    <xf numFmtId="0" fontId="18" fillId="14" borderId="13" xfId="0" applyFont="1" applyFill="1" applyBorder="1"/>
    <xf numFmtId="0" fontId="3" fillId="15" borderId="13" xfId="0" applyFont="1" applyFill="1" applyBorder="1"/>
    <xf numFmtId="0" fontId="3" fillId="9" borderId="13" xfId="0" applyFont="1" applyFill="1" applyBorder="1"/>
    <xf numFmtId="0" fontId="3" fillId="8" borderId="13" xfId="0" applyFont="1" applyFill="1" applyBorder="1"/>
    <xf numFmtId="0" fontId="3" fillId="10" borderId="13" xfId="0" applyFont="1" applyFill="1" applyBorder="1"/>
    <xf numFmtId="0" fontId="3" fillId="12" borderId="13" xfId="0" applyFont="1" applyFill="1" applyBorder="1"/>
    <xf numFmtId="0" fontId="19" fillId="0" borderId="9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/>
    <xf numFmtId="0" fontId="19" fillId="0" borderId="1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4" fontId="19" fillId="0" borderId="13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" fontId="23" fillId="0" borderId="13" xfId="0" applyNumberFormat="1" applyFont="1" applyBorder="1" applyAlignment="1">
      <alignment horizontal="center" vertical="center"/>
    </xf>
    <xf numFmtId="1" fontId="23" fillId="0" borderId="13" xfId="0" applyNumberFormat="1" applyFont="1" applyBorder="1" applyAlignment="1">
      <alignment horizontal="center" vertical="center" wrapText="1"/>
    </xf>
    <xf numFmtId="1" fontId="23" fillId="0" borderId="13" xfId="0" applyNumberFormat="1" applyFont="1" applyBorder="1" applyAlignment="1">
      <alignment vertical="center" wrapText="1"/>
    </xf>
    <xf numFmtId="14" fontId="23" fillId="0" borderId="13" xfId="0" applyNumberFormat="1" applyFont="1" applyBorder="1" applyAlignment="1">
      <alignment vertical="center" wrapText="1"/>
    </xf>
    <xf numFmtId="14" fontId="23" fillId="0" borderId="13" xfId="0" applyNumberFormat="1" applyFont="1" applyBorder="1" applyAlignment="1" applyProtection="1">
      <alignment vertical="center" wrapText="1"/>
      <protection locked="0"/>
    </xf>
    <xf numFmtId="164" fontId="23" fillId="0" borderId="13" xfId="1" applyNumberFormat="1" applyFont="1" applyFill="1" applyBorder="1" applyAlignment="1">
      <alignment vertical="center" wrapText="1"/>
    </xf>
    <xf numFmtId="165" fontId="23" fillId="0" borderId="13" xfId="0" applyNumberFormat="1" applyFont="1" applyBorder="1" applyAlignment="1">
      <alignment vertical="center" wrapText="1"/>
    </xf>
    <xf numFmtId="166" fontId="23" fillId="0" borderId="13" xfId="1" applyNumberFormat="1" applyFont="1" applyFill="1" applyBorder="1" applyAlignment="1">
      <alignment horizontal="center" vertical="center" wrapText="1"/>
    </xf>
    <xf numFmtId="1" fontId="23" fillId="0" borderId="10" xfId="0" applyNumberFormat="1" applyFont="1" applyBorder="1" applyAlignment="1">
      <alignment horizontal="center" vertical="center" wrapText="1"/>
    </xf>
    <xf numFmtId="167" fontId="23" fillId="0" borderId="13" xfId="0" applyNumberFormat="1" applyFont="1" applyBorder="1" applyAlignment="1">
      <alignment vertical="center" wrapText="1"/>
    </xf>
    <xf numFmtId="165" fontId="3" fillId="0" borderId="13" xfId="0" applyNumberFormat="1" applyFont="1" applyBorder="1" applyAlignment="1">
      <alignment horizontal="center" vertical="center"/>
    </xf>
    <xf numFmtId="165" fontId="24" fillId="0" borderId="13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" fontId="25" fillId="0" borderId="13" xfId="0" applyNumberFormat="1" applyFont="1" applyBorder="1" applyAlignment="1">
      <alignment horizontal="center" vertical="center" wrapText="1"/>
    </xf>
    <xf numFmtId="9" fontId="23" fillId="0" borderId="13" xfId="2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22" fillId="0" borderId="0" xfId="0" applyNumberFormat="1" applyFont="1" applyAlignment="1">
      <alignment vertical="center"/>
    </xf>
    <xf numFmtId="0" fontId="2" fillId="0" borderId="18" xfId="0" applyFont="1" applyBorder="1"/>
    <xf numFmtId="0" fontId="2" fillId="0" borderId="18" xfId="0" applyFont="1" applyBorder="1" applyAlignment="1">
      <alignment wrapText="1"/>
    </xf>
    <xf numFmtId="14" fontId="2" fillId="0" borderId="18" xfId="0" applyNumberFormat="1" applyFont="1" applyBorder="1" applyAlignment="1">
      <alignment wrapText="1"/>
    </xf>
    <xf numFmtId="1" fontId="27" fillId="0" borderId="0" xfId="0" applyNumberFormat="1" applyFont="1" applyAlignment="1">
      <alignment horizontal="left"/>
    </xf>
    <xf numFmtId="14" fontId="27" fillId="0" borderId="0" xfId="0" applyNumberFormat="1" applyFont="1" applyAlignment="1" applyProtection="1">
      <alignment vertical="top" wrapText="1"/>
      <protection locked="0"/>
    </xf>
    <xf numFmtId="14" fontId="27" fillId="0" borderId="0" xfId="0" applyNumberFormat="1" applyFont="1" applyAlignment="1">
      <alignment vertical="top" wrapText="1"/>
    </xf>
    <xf numFmtId="14" fontId="27" fillId="0" borderId="0" xfId="0" applyNumberFormat="1" applyFont="1" applyAlignment="1">
      <alignment vertical="center" wrapText="1"/>
    </xf>
    <xf numFmtId="164" fontId="27" fillId="0" borderId="0" xfId="1" applyNumberFormat="1" applyFont="1" applyFill="1" applyBorder="1" applyAlignment="1">
      <alignment vertical="top" wrapText="1"/>
    </xf>
    <xf numFmtId="165" fontId="27" fillId="0" borderId="0" xfId="0" applyNumberFormat="1" applyFont="1" applyAlignment="1">
      <alignment vertical="top" wrapText="1"/>
    </xf>
    <xf numFmtId="166" fontId="27" fillId="0" borderId="0" xfId="1" applyNumberFormat="1" applyFont="1" applyFill="1" applyBorder="1" applyAlignment="1">
      <alignment vertical="top" wrapText="1"/>
    </xf>
    <xf numFmtId="1" fontId="27" fillId="0" borderId="0" xfId="0" applyNumberFormat="1" applyFont="1" applyAlignment="1">
      <alignment vertical="top" wrapText="1"/>
    </xf>
    <xf numFmtId="1" fontId="27" fillId="0" borderId="0" xfId="0" applyNumberFormat="1" applyFont="1" applyAlignment="1">
      <alignment horizontal="center" vertical="top" wrapText="1"/>
    </xf>
    <xf numFmtId="1" fontId="27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1" fontId="27" fillId="0" borderId="0" xfId="0" applyNumberFormat="1" applyFont="1" applyAlignment="1">
      <alignment horizontal="left" wrapText="1"/>
    </xf>
    <xf numFmtId="0" fontId="28" fillId="0" borderId="0" xfId="0" applyFont="1" applyAlignment="1">
      <alignment wrapText="1"/>
    </xf>
    <xf numFmtId="0" fontId="19" fillId="0" borderId="1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9" fontId="23" fillId="0" borderId="13" xfId="2" quotePrefix="1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17" fontId="16" fillId="0" borderId="1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" fontId="8" fillId="13" borderId="10" xfId="0" applyNumberFormat="1" applyFont="1" applyFill="1" applyBorder="1" applyAlignment="1">
      <alignment horizontal="center" vertical="center"/>
    </xf>
    <xf numFmtId="1" fontId="8" fillId="13" borderId="11" xfId="0" applyNumberFormat="1" applyFont="1" applyFill="1" applyBorder="1" applyAlignment="1">
      <alignment horizontal="center" vertical="center"/>
    </xf>
    <xf numFmtId="1" fontId="8" fillId="13" borderId="12" xfId="0" applyNumberFormat="1" applyFont="1" applyFill="1" applyBorder="1" applyAlignment="1">
      <alignment horizontal="center" vertical="center"/>
    </xf>
    <xf numFmtId="1" fontId="8" fillId="11" borderId="10" xfId="0" applyNumberFormat="1" applyFont="1" applyFill="1" applyBorder="1" applyAlignment="1">
      <alignment horizontal="center" vertical="center"/>
    </xf>
    <xf numFmtId="1" fontId="8" fillId="11" borderId="11" xfId="0" applyNumberFormat="1" applyFont="1" applyFill="1" applyBorder="1" applyAlignment="1">
      <alignment horizontal="center" vertical="center"/>
    </xf>
    <xf numFmtId="1" fontId="8" fillId="11" borderId="12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4" fontId="9" fillId="2" borderId="9" xfId="0" applyNumberFormat="1" applyFont="1" applyFill="1" applyBorder="1" applyAlignment="1">
      <alignment horizontal="center" vertical="center" wrapText="1"/>
    </xf>
    <xf numFmtId="14" fontId="9" fillId="2" borderId="15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/>
    </xf>
    <xf numFmtId="9" fontId="8" fillId="0" borderId="13" xfId="2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1" fontId="8" fillId="4" borderId="13" xfId="0" applyNumberFormat="1" applyFont="1" applyFill="1" applyBorder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/>
    </xf>
    <xf numFmtId="1" fontId="8" fillId="6" borderId="13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36"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theme="6" tint="0.39994506668294322"/>
        </patternFill>
      </fill>
    </dxf>
    <dxf>
      <fill>
        <patternFill>
          <bgColor rgb="FFFF66CC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Kategori Kontrak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DDA-4652-8007-DEEFE30AFB4F}"/>
              </c:ext>
            </c:extLst>
          </c:dPt>
          <c:dPt>
            <c:idx val="1"/>
            <c:bubble3D val="0"/>
            <c:spPr>
              <a:solidFill>
                <a:srgbClr val="FD8745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DDA-4652-8007-DEEFE30AFB4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'Kontrak ALL ok'!$F$16:$G$16</c:f>
              <c:strCache>
                <c:ptCount val="2"/>
                <c:pt idx="0">
                  <c:v>Penting</c:v>
                </c:pt>
                <c:pt idx="1">
                  <c:v>Biasa</c:v>
                </c:pt>
              </c:strCache>
            </c:strRef>
          </c:cat>
          <c:val>
            <c:numRef>
              <c:f>'Kontrak ALL ok'!$F$30:$G$30</c:f>
              <c:numCache>
                <c:formatCode>0</c:formatCode>
                <c:ptCount val="2"/>
                <c:pt idx="0">
                  <c:v>146</c:v>
                </c:pt>
                <c:pt idx="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DA-4652-8007-DEEFE30AF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Penting "Kadaluarsa"</a:t>
            </a:r>
          </a:p>
        </c:rich>
      </c:tx>
      <c:layout>
        <c:manualLayout>
          <c:xMode val="edge"/>
          <c:yMode val="edge"/>
          <c:x val="0.35405188960951672"/>
          <c:y val="1.05988633581195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 ok'!$CD$17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ok'!$CC$19:$CC$29</c:f>
              <c:strCache>
                <c:ptCount val="11"/>
                <c:pt idx="0">
                  <c:v>EXIM</c:v>
                </c:pt>
                <c:pt idx="1">
                  <c:v>QA</c:v>
                </c:pt>
                <c:pt idx="2">
                  <c:v>SHE</c:v>
                </c:pt>
                <c:pt idx="3">
                  <c:v>GA</c:v>
                </c:pt>
                <c:pt idx="4">
                  <c:v>PPC</c:v>
                </c:pt>
                <c:pt idx="5">
                  <c:v>MTP</c:v>
                </c:pt>
                <c:pt idx="6">
                  <c:v>LD</c:v>
                </c:pt>
                <c:pt idx="7">
                  <c:v>MPC</c:v>
                </c:pt>
                <c:pt idx="8">
                  <c:v>IT</c:v>
                </c:pt>
                <c:pt idx="9">
                  <c:v>FA</c:v>
                </c:pt>
                <c:pt idx="10">
                  <c:v>HR</c:v>
                </c:pt>
              </c:strCache>
            </c:strRef>
          </c:cat>
          <c:val>
            <c:numRef>
              <c:f>'Kontrak ALL ok'!$CD$19:$CD$29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5-4DF4-A3B2-410F292A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4709632"/>
        <c:axId val="56588480"/>
      </c:barChart>
      <c:lineChart>
        <c:grouping val="standard"/>
        <c:varyColors val="0"/>
        <c:ser>
          <c:idx val="1"/>
          <c:order val="1"/>
          <c:tx>
            <c:strRef>
              <c:f>'Kontrak ALL ok'!$CF$17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FF0000"/>
              </a:solidFill>
            </a:ln>
          </c:spPr>
          <c:marker>
            <c:spPr>
              <a:ln w="38100">
                <a:solidFill>
                  <a:srgbClr val="FF000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ok'!$CF$18:$CF$29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5-4DF4-A3B2-410F292A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56672"/>
        <c:axId val="56589632"/>
      </c:lineChart>
      <c:catAx>
        <c:axId val="1047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8480"/>
        <c:crosses val="autoZero"/>
        <c:auto val="1"/>
        <c:lblAlgn val="ctr"/>
        <c:lblOffset val="100"/>
        <c:noMultiLvlLbl val="0"/>
      </c:catAx>
      <c:valAx>
        <c:axId val="56588480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9632"/>
        <c:crosses val="autoZero"/>
        <c:crossBetween val="between"/>
        <c:majorUnit val="1"/>
      </c:valAx>
      <c:catAx>
        <c:axId val="107356672"/>
        <c:scaling>
          <c:orientation val="minMax"/>
        </c:scaling>
        <c:delete val="0"/>
        <c:axPos val="t"/>
        <c:majorTickMark val="none"/>
        <c:minorTickMark val="none"/>
        <c:tickLblPos val="none"/>
        <c:crossAx val="56589632"/>
        <c:crosses val="max"/>
        <c:auto val="1"/>
        <c:lblAlgn val="ctr"/>
        <c:lblOffset val="100"/>
        <c:noMultiLvlLbl val="0"/>
      </c:catAx>
      <c:valAx>
        <c:axId val="56589632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6672"/>
        <c:crosses val="max"/>
        <c:crossBetween val="midCat"/>
        <c:majorUnit val="0.2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Penting "Belum Pernah Ada Kontrak"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 ok'!$CN$17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ok'!$CM$19:$CM$29</c:f>
              <c:strCache>
                <c:ptCount val="11"/>
                <c:pt idx="0">
                  <c:v>MPC</c:v>
                </c:pt>
                <c:pt idx="1">
                  <c:v>LD</c:v>
                </c:pt>
                <c:pt idx="2">
                  <c:v>PPC</c:v>
                </c:pt>
                <c:pt idx="3">
                  <c:v>MTP</c:v>
                </c:pt>
                <c:pt idx="4">
                  <c:v>EXIM</c:v>
                </c:pt>
                <c:pt idx="5">
                  <c:v>SHE</c:v>
                </c:pt>
                <c:pt idx="6">
                  <c:v>QA</c:v>
                </c:pt>
                <c:pt idx="7">
                  <c:v>GA</c:v>
                </c:pt>
                <c:pt idx="8">
                  <c:v>IT</c:v>
                </c:pt>
                <c:pt idx="9">
                  <c:v>HR</c:v>
                </c:pt>
                <c:pt idx="10">
                  <c:v>FA</c:v>
                </c:pt>
              </c:strCache>
            </c:strRef>
          </c:cat>
          <c:val>
            <c:numRef>
              <c:f>'Kontrak ALL ok'!$CN$19:$CN$29</c:f>
              <c:numCache>
                <c:formatCode>0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7-4811-BA12-A2CD25D6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7357696"/>
        <c:axId val="55440448"/>
      </c:barChart>
      <c:lineChart>
        <c:grouping val="standard"/>
        <c:varyColors val="0"/>
        <c:ser>
          <c:idx val="1"/>
          <c:order val="1"/>
          <c:tx>
            <c:strRef>
              <c:f>'Kontrak ALL ok'!$CP$17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ok'!$CP$18:$CP$29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7-4811-BA12-A2CD25D6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58720"/>
        <c:axId val="55441024"/>
      </c:lineChart>
      <c:catAx>
        <c:axId val="10735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440448"/>
        <c:crosses val="autoZero"/>
        <c:auto val="1"/>
        <c:lblAlgn val="ctr"/>
        <c:lblOffset val="100"/>
        <c:noMultiLvlLbl val="0"/>
      </c:catAx>
      <c:valAx>
        <c:axId val="55440448"/>
        <c:scaling>
          <c:orientation val="minMax"/>
          <c:max val="4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7696"/>
        <c:crosses val="autoZero"/>
        <c:crossBetween val="between"/>
        <c:majorUnit val="1"/>
      </c:valAx>
      <c:catAx>
        <c:axId val="107358720"/>
        <c:scaling>
          <c:orientation val="minMax"/>
        </c:scaling>
        <c:delete val="0"/>
        <c:axPos val="t"/>
        <c:majorTickMark val="none"/>
        <c:minorTickMark val="none"/>
        <c:tickLblPos val="none"/>
        <c:crossAx val="55441024"/>
        <c:crosses val="max"/>
        <c:auto val="1"/>
        <c:lblAlgn val="ctr"/>
        <c:lblOffset val="100"/>
        <c:noMultiLvlLbl val="0"/>
      </c:catAx>
      <c:valAx>
        <c:axId val="55441024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8720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Kontrak "Penting"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17719245384549"/>
          <c:y val="0.13577786110069576"/>
          <c:w val="0.48010267878761703"/>
          <c:h val="0.84094171561888098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5FD-4436-8DF4-F1C67196935E}"/>
              </c:ext>
            </c:extLst>
          </c:dPt>
          <c:dPt>
            <c:idx val="1"/>
            <c:bubble3D val="0"/>
            <c:spPr>
              <a:solidFill>
                <a:srgbClr val="FEF76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5FD-4436-8DF4-F1C67196935E}"/>
              </c:ext>
            </c:extLst>
          </c:dPt>
          <c:dPt>
            <c:idx val="2"/>
            <c:bubble3D val="0"/>
            <c:spPr>
              <a:solidFill>
                <a:srgbClr val="66FF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5FD-4436-8DF4-F1C67196935E}"/>
              </c:ext>
            </c:extLst>
          </c:dPt>
          <c:dPt>
            <c:idx val="3"/>
            <c:bubble3D val="0"/>
            <c:spPr>
              <a:solidFill>
                <a:srgbClr val="F84E4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5FD-4436-8DF4-F1C67196935E}"/>
              </c:ext>
            </c:extLst>
          </c:dPt>
          <c:dPt>
            <c:idx val="4"/>
            <c:bubble3D val="0"/>
            <c:spPr>
              <a:solidFill>
                <a:srgbClr val="FF99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5FD-4436-8DF4-F1C67196935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'Kontrak ALL ok'!$I$16:$M$17</c:f>
              <c:multiLvlStrCache>
                <c:ptCount val="5"/>
                <c:lvl>
                  <c:pt idx="0">
                    <c:v>Aktif</c:v>
                  </c:pt>
                  <c:pt idx="1">
                    <c:v>Kadaluarsa&lt;=0 Bulan</c:v>
                  </c:pt>
                  <c:pt idx="2">
                    <c:v>End Contract</c:v>
                  </c:pt>
                  <c:pt idx="3">
                    <c:v>Belum Pernah Ada Kontrak</c:v>
                  </c:pt>
                  <c:pt idx="4">
                    <c:v>Cancel</c:v>
                  </c:pt>
                </c:lvl>
                <c:lvl>
                  <c:pt idx="0">
                    <c:v>Ada Kontrak</c:v>
                  </c:pt>
                  <c:pt idx="3">
                    <c:v>Tidak Ada Kontrak</c:v>
                  </c:pt>
                </c:lvl>
              </c:multiLvlStrCache>
            </c:multiLvlStrRef>
          </c:cat>
          <c:val>
            <c:numRef>
              <c:f>'Kontrak ALL ok'!$I$30:$M$30</c:f>
              <c:numCache>
                <c:formatCode>0</c:formatCode>
                <c:ptCount val="5"/>
                <c:pt idx="0">
                  <c:v>89</c:v>
                </c:pt>
                <c:pt idx="1">
                  <c:v>0</c:v>
                </c:pt>
                <c:pt idx="2" formatCode="General">
                  <c:v>28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FD-4436-8DF4-F1C671969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Kontrak "Biasa"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17719245384549"/>
          <c:y val="0.13577786110069576"/>
          <c:w val="0.48010267878761703"/>
          <c:h val="0.84094171561888098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2F9-48C4-A4F4-1E3037F34970}"/>
              </c:ext>
            </c:extLst>
          </c:dPt>
          <c:dPt>
            <c:idx val="1"/>
            <c:bubble3D val="0"/>
            <c:spPr>
              <a:solidFill>
                <a:srgbClr val="FEF76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2F9-48C4-A4F4-1E3037F34970}"/>
              </c:ext>
            </c:extLst>
          </c:dPt>
          <c:dPt>
            <c:idx val="2"/>
            <c:bubble3D val="0"/>
            <c:spPr>
              <a:solidFill>
                <a:srgbClr val="66FF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2F9-48C4-A4F4-1E3037F34970}"/>
              </c:ext>
            </c:extLst>
          </c:dPt>
          <c:dPt>
            <c:idx val="3"/>
            <c:bubble3D val="0"/>
            <c:spPr>
              <a:solidFill>
                <a:srgbClr val="F84E4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2F9-48C4-A4F4-1E3037F34970}"/>
              </c:ext>
            </c:extLst>
          </c:dPt>
          <c:dPt>
            <c:idx val="4"/>
            <c:bubble3D val="0"/>
            <c:spPr>
              <a:solidFill>
                <a:srgbClr val="FF99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2F9-48C4-A4F4-1E3037F3497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'Kontrak ALL ok'!$O$16:$S$17</c:f>
              <c:multiLvlStrCache>
                <c:ptCount val="5"/>
                <c:lvl>
                  <c:pt idx="0">
                    <c:v>Aktif</c:v>
                  </c:pt>
                  <c:pt idx="1">
                    <c:v>Kadaluarsa&lt;=0 Bulan</c:v>
                  </c:pt>
                  <c:pt idx="2">
                    <c:v>End Contract</c:v>
                  </c:pt>
                  <c:pt idx="3">
                    <c:v>Belum Pernah Ada Kontrak</c:v>
                  </c:pt>
                  <c:pt idx="4">
                    <c:v>Cancel</c:v>
                  </c:pt>
                </c:lvl>
                <c:lvl>
                  <c:pt idx="0">
                    <c:v>Ada Kontrak</c:v>
                  </c:pt>
                  <c:pt idx="3">
                    <c:v>Tidak Ada Kontrak</c:v>
                  </c:pt>
                </c:lvl>
              </c:multiLvlStrCache>
            </c:multiLvlStrRef>
          </c:cat>
          <c:val>
            <c:numRef>
              <c:f>'Kontrak ALL ok'!$O$30:$S$30</c:f>
              <c:numCache>
                <c:formatCode>0</c:formatCode>
                <c:ptCount val="5"/>
                <c:pt idx="0">
                  <c:v>46</c:v>
                </c:pt>
                <c:pt idx="1">
                  <c:v>0</c:v>
                </c:pt>
                <c:pt idx="2" formatCode="General">
                  <c:v>26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F9-48C4-A4F4-1E3037F34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84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"Kadaluarsa"</a:t>
            </a:r>
          </a:p>
        </c:rich>
      </c:tx>
      <c:layout>
        <c:manualLayout>
          <c:xMode val="edge"/>
          <c:yMode val="edge"/>
          <c:x val="0.35405194736563972"/>
          <c:y val="1.05988633581195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ok'!$CC$38:$CC$48</c:f>
              <c:strCache>
                <c:ptCount val="11"/>
                <c:pt idx="0">
                  <c:v>HR</c:v>
                </c:pt>
                <c:pt idx="1">
                  <c:v>GA</c:v>
                </c:pt>
                <c:pt idx="2">
                  <c:v>MTP</c:v>
                </c:pt>
                <c:pt idx="3">
                  <c:v>QA</c:v>
                </c:pt>
                <c:pt idx="4">
                  <c:v>LD</c:v>
                </c:pt>
                <c:pt idx="5">
                  <c:v>IT</c:v>
                </c:pt>
                <c:pt idx="6">
                  <c:v>SHE</c:v>
                </c:pt>
                <c:pt idx="7">
                  <c:v>FA</c:v>
                </c:pt>
                <c:pt idx="8">
                  <c:v>EXIM</c:v>
                </c:pt>
                <c:pt idx="9">
                  <c:v>PPC</c:v>
                </c:pt>
                <c:pt idx="10">
                  <c:v>MPC</c:v>
                </c:pt>
              </c:strCache>
            </c:strRef>
          </c:cat>
          <c:val>
            <c:numRef>
              <c:f>'Kontrak ALL ok'!$CD$38:$CD$48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32D-98F8-48B1F64E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621824"/>
        <c:axId val="56584448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0">
              <a:solidFill>
                <a:srgbClr val="FF0000"/>
              </a:solidFill>
            </a:ln>
          </c:spPr>
          <c:marker>
            <c:spPr>
              <a:ln w="38100">
                <a:solidFill>
                  <a:srgbClr val="FF000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ok'!$CF$37:$CF$48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B-432D-98F8-48B1F64E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22848"/>
        <c:axId val="56585024"/>
      </c:lineChart>
      <c:catAx>
        <c:axId val="10862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4448"/>
        <c:crosses val="autoZero"/>
        <c:auto val="1"/>
        <c:lblAlgn val="ctr"/>
        <c:lblOffset val="100"/>
        <c:noMultiLvlLbl val="0"/>
      </c:catAx>
      <c:valAx>
        <c:axId val="56584448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1824"/>
        <c:crosses val="autoZero"/>
        <c:crossBetween val="between"/>
        <c:majorUnit val="1"/>
      </c:valAx>
      <c:catAx>
        <c:axId val="108622848"/>
        <c:scaling>
          <c:orientation val="minMax"/>
        </c:scaling>
        <c:delete val="0"/>
        <c:axPos val="t"/>
        <c:majorTickMark val="none"/>
        <c:minorTickMark val="none"/>
        <c:tickLblPos val="none"/>
        <c:crossAx val="56585024"/>
        <c:crosses val="max"/>
        <c:auto val="1"/>
        <c:lblAlgn val="ctr"/>
        <c:lblOffset val="100"/>
        <c:noMultiLvlLbl val="0"/>
      </c:catAx>
      <c:valAx>
        <c:axId val="56585024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2848"/>
        <c:crosses val="max"/>
        <c:crossBetween val="midCat"/>
        <c:majorUnit val="0.2"/>
      </c:valAx>
    </c:plotArea>
    <c:legend>
      <c:legendPos val="b"/>
      <c:overlay val="0"/>
      <c:txPr>
        <a:bodyPr/>
        <a:lstStyle/>
        <a:p>
          <a:pPr>
            <a:defRPr sz="248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3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"Belum Pernah Ada Kontrak"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209523695729234E-2"/>
          <c:y val="0.15683532217526644"/>
          <c:w val="0.85662289558266524"/>
          <c:h val="0.5761986358556731"/>
        </c:manualLayout>
      </c:layout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ok'!$CM$38:$CM$48</c:f>
              <c:strCache>
                <c:ptCount val="11"/>
                <c:pt idx="0">
                  <c:v>MTP</c:v>
                </c:pt>
                <c:pt idx="1">
                  <c:v>QA</c:v>
                </c:pt>
                <c:pt idx="2">
                  <c:v>GA</c:v>
                </c:pt>
                <c:pt idx="3">
                  <c:v>IT</c:v>
                </c:pt>
                <c:pt idx="4">
                  <c:v>LD</c:v>
                </c:pt>
                <c:pt idx="5">
                  <c:v>MPC</c:v>
                </c:pt>
                <c:pt idx="6">
                  <c:v>EXIM</c:v>
                </c:pt>
                <c:pt idx="7">
                  <c:v>PPC</c:v>
                </c:pt>
                <c:pt idx="8">
                  <c:v>SHE</c:v>
                </c:pt>
                <c:pt idx="9">
                  <c:v>HR</c:v>
                </c:pt>
                <c:pt idx="10">
                  <c:v>FA</c:v>
                </c:pt>
              </c:strCache>
            </c:strRef>
          </c:cat>
          <c:val>
            <c:numRef>
              <c:f>'Kontrak ALL ok'!$CN$38:$CN$48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6-41D2-BC4E-CC797FB23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623360"/>
        <c:axId val="5658675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ok'!$CP$37:$CP$48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6-41D2-BC4E-CC797FB23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24384"/>
        <c:axId val="56587328"/>
      </c:lineChart>
      <c:catAx>
        <c:axId val="10862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6752"/>
        <c:crosses val="autoZero"/>
        <c:auto val="1"/>
        <c:lblAlgn val="ctr"/>
        <c:lblOffset val="100"/>
        <c:noMultiLvlLbl val="0"/>
      </c:catAx>
      <c:valAx>
        <c:axId val="56586752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3360"/>
        <c:crosses val="autoZero"/>
        <c:crossBetween val="between"/>
        <c:majorUnit val="1"/>
      </c:valAx>
      <c:catAx>
        <c:axId val="108624384"/>
        <c:scaling>
          <c:orientation val="minMax"/>
        </c:scaling>
        <c:delete val="0"/>
        <c:axPos val="t"/>
        <c:majorTickMark val="none"/>
        <c:minorTickMark val="none"/>
        <c:tickLblPos val="none"/>
        <c:crossAx val="56587328"/>
        <c:crosses val="max"/>
        <c:auto val="1"/>
        <c:lblAlgn val="ctr"/>
        <c:lblOffset val="100"/>
        <c:noMultiLvlLbl val="0"/>
      </c:catAx>
      <c:valAx>
        <c:axId val="56587328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4384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Progress Kontrak </a:t>
            </a:r>
            <a:r>
              <a:rPr lang="en-US"/>
              <a:t>Term 81</a:t>
            </a:r>
            <a:endParaRPr lang="id-ID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'Kontrak ALL ok'!$AR$17</c:f>
              <c:strCache>
                <c:ptCount val="1"/>
                <c:pt idx="0">
                  <c:v>Ada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'Kontrak ALL ok'!$AQ$18:$AQ$29</c:f>
              <c:numCache>
                <c:formatCode>mmm\-yy</c:formatCode>
                <c:ptCount val="12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</c:numCache>
            </c:numRef>
          </c:cat>
          <c:val>
            <c:numRef>
              <c:f>'Kontrak ALL ok'!$AR$18:$AR$29</c:f>
              <c:numCache>
                <c:formatCode>General</c:formatCode>
                <c:ptCount val="12"/>
                <c:pt idx="0">
                  <c:v>211</c:v>
                </c:pt>
                <c:pt idx="1">
                  <c:v>210</c:v>
                </c:pt>
                <c:pt idx="2" formatCode="0">
                  <c:v>207</c:v>
                </c:pt>
                <c:pt idx="3" formatCode="0">
                  <c:v>209</c:v>
                </c:pt>
                <c:pt idx="4" formatCode="0">
                  <c:v>215</c:v>
                </c:pt>
                <c:pt idx="5" formatCode="0">
                  <c:v>216</c:v>
                </c:pt>
                <c:pt idx="6" formatCode="0">
                  <c:v>221</c:v>
                </c:pt>
                <c:pt idx="7" formatCode="0">
                  <c:v>223</c:v>
                </c:pt>
                <c:pt idx="8" formatCode="0">
                  <c:v>225</c:v>
                </c:pt>
                <c:pt idx="9" formatCode="0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6-4239-BCF2-0F6FCA54EC7D}"/>
            </c:ext>
          </c:extLst>
        </c:ser>
        <c:ser>
          <c:idx val="1"/>
          <c:order val="1"/>
          <c:tx>
            <c:strRef>
              <c:f>'Kontrak ALL ok'!$AS$17</c:f>
              <c:strCache>
                <c:ptCount val="1"/>
                <c:pt idx="0">
                  <c:v>Tidak Ada</c:v>
                </c:pt>
              </c:strCache>
            </c:strRef>
          </c:tx>
          <c:spPr>
            <a:solidFill>
              <a:srgbClr val="FF5229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'Kontrak ALL ok'!$AQ$18:$AQ$29</c:f>
              <c:numCache>
                <c:formatCode>mmm\-yy</c:formatCode>
                <c:ptCount val="12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</c:numCache>
            </c:numRef>
          </c:cat>
          <c:val>
            <c:numRef>
              <c:f>'Kontrak ALL ok'!$AS$18:$AS$29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 formatCode="0">
                  <c:v>5</c:v>
                </c:pt>
                <c:pt idx="3" formatCode="0">
                  <c:v>4</c:v>
                </c:pt>
                <c:pt idx="4" formatCode="0">
                  <c:v>4</c:v>
                </c:pt>
                <c:pt idx="5" formatCode="0">
                  <c:v>4</c:v>
                </c:pt>
                <c:pt idx="6" formatCode="0">
                  <c:v>4</c:v>
                </c:pt>
                <c:pt idx="7" formatCode="0">
                  <c:v>4</c:v>
                </c:pt>
                <c:pt idx="8" formatCode="0">
                  <c:v>4</c:v>
                </c:pt>
                <c:pt idx="9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6-4239-BCF2-0F6FCA54E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24896"/>
        <c:axId val="56590912"/>
      </c:barChart>
      <c:dateAx>
        <c:axId val="1086248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90912"/>
        <c:crosses val="autoZero"/>
        <c:auto val="1"/>
        <c:lblOffset val="100"/>
        <c:baseTimeUnit val="months"/>
      </c:dateAx>
      <c:valAx>
        <c:axId val="56590912"/>
        <c:scaling>
          <c:orientation val="minMax"/>
          <c:max val="2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489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Penting "Progres Proses Kadaluarsa"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 ok'!$CN$17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ok'!$CH$19:$CH$24</c:f>
              <c:strCache>
                <c:ptCount val="6"/>
                <c:pt idx="0">
                  <c:v>Translate</c:v>
                </c:pt>
                <c:pt idx="1">
                  <c:v>Vendor</c:v>
                </c:pt>
                <c:pt idx="2">
                  <c:v>Legal</c:v>
                </c:pt>
                <c:pt idx="3">
                  <c:v>User</c:v>
                </c:pt>
                <c:pt idx="4">
                  <c:v>Direktur</c:v>
                </c:pt>
                <c:pt idx="5">
                  <c:v>Draft Kontrak</c:v>
                </c:pt>
              </c:strCache>
            </c:strRef>
          </c:cat>
          <c:val>
            <c:numRef>
              <c:f>'Kontrak ALL ok'!$CI$19:$CI$24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B-4B1E-B0B1-60D2C2AE6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8410368"/>
        <c:axId val="56593216"/>
      </c:barChart>
      <c:lineChart>
        <c:grouping val="standard"/>
        <c:varyColors val="0"/>
        <c:ser>
          <c:idx val="1"/>
          <c:order val="1"/>
          <c:tx>
            <c:strRef>
              <c:f>'Kontrak ALL ok'!$CP$17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ok'!$CK$18:$CK$24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9B-4B1E-B0B1-60D2C2AE6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06560"/>
        <c:axId val="56593792"/>
      </c:lineChart>
      <c:catAx>
        <c:axId val="684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6593216"/>
        <c:crosses val="autoZero"/>
        <c:auto val="1"/>
        <c:lblAlgn val="ctr"/>
        <c:lblOffset val="100"/>
        <c:noMultiLvlLbl val="0"/>
      </c:catAx>
      <c:valAx>
        <c:axId val="56593216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8410368"/>
        <c:crosses val="autoZero"/>
        <c:crossBetween val="between"/>
        <c:majorUnit val="1"/>
      </c:valAx>
      <c:catAx>
        <c:axId val="104706560"/>
        <c:scaling>
          <c:orientation val="minMax"/>
        </c:scaling>
        <c:delete val="0"/>
        <c:axPos val="t"/>
        <c:majorTickMark val="none"/>
        <c:minorTickMark val="none"/>
        <c:tickLblPos val="none"/>
        <c:crossAx val="56593792"/>
        <c:crosses val="max"/>
        <c:auto val="1"/>
        <c:lblAlgn val="ctr"/>
        <c:lblOffset val="100"/>
        <c:noMultiLvlLbl val="0"/>
      </c:catAx>
      <c:valAx>
        <c:axId val="5659379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4706560"/>
        <c:crosses val="max"/>
        <c:crossBetween val="midCat"/>
      </c:valAx>
    </c:plotArea>
    <c:legend>
      <c:legendPos val="b"/>
      <c:layout>
        <c:manualLayout>
          <c:xMode val="edge"/>
          <c:yMode val="edge"/>
          <c:x val="0.31610901255586293"/>
          <c:y val="0.89377246278146716"/>
          <c:w val="0.38354765198269136"/>
          <c:h val="8.665168077481343E-2"/>
        </c:manualLayout>
      </c:layout>
      <c:overlay val="0"/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 "Progres Proses Kadaluarsa"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 ok'!$CN$17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ok'!$CH$38:$CH$43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User</c:v>
                </c:pt>
                <c:pt idx="3">
                  <c:v>Translate</c:v>
                </c:pt>
                <c:pt idx="4">
                  <c:v>Draft Kontrak</c:v>
                </c:pt>
                <c:pt idx="5">
                  <c:v>Direktur</c:v>
                </c:pt>
              </c:strCache>
            </c:strRef>
          </c:cat>
          <c:val>
            <c:numRef>
              <c:f>'Kontrak ALL ok'!$CI$38:$CI$43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2-4A2D-A292-84D7AAA33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625408"/>
        <c:axId val="56596096"/>
      </c:barChart>
      <c:lineChart>
        <c:grouping val="standard"/>
        <c:varyColors val="0"/>
        <c:ser>
          <c:idx val="1"/>
          <c:order val="1"/>
          <c:tx>
            <c:strRef>
              <c:f>'Kontrak ALL ok'!$CP$17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ok'!$CH$38:$CH$43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User</c:v>
                </c:pt>
                <c:pt idx="3">
                  <c:v>Translate</c:v>
                </c:pt>
                <c:pt idx="4">
                  <c:v>Draft Kontrak</c:v>
                </c:pt>
                <c:pt idx="5">
                  <c:v>Direktur</c:v>
                </c:pt>
              </c:strCache>
            </c:strRef>
          </c:cat>
          <c:val>
            <c:numRef>
              <c:f>'Kontrak ALL ok'!$CK$37:$CK$43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2-4A2D-A292-84D7AAA33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50016"/>
        <c:axId val="56596672"/>
      </c:lineChart>
      <c:catAx>
        <c:axId val="1086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96096"/>
        <c:crosses val="autoZero"/>
        <c:auto val="1"/>
        <c:lblAlgn val="ctr"/>
        <c:lblOffset val="100"/>
        <c:noMultiLvlLbl val="0"/>
      </c:catAx>
      <c:valAx>
        <c:axId val="56596096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5408"/>
        <c:crosses val="autoZero"/>
        <c:crossBetween val="between"/>
        <c:majorUnit val="1"/>
      </c:valAx>
      <c:catAx>
        <c:axId val="10895001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crossAx val="56596672"/>
        <c:crosses val="max"/>
        <c:auto val="1"/>
        <c:lblAlgn val="ctr"/>
        <c:lblOffset val="100"/>
        <c:noMultiLvlLbl val="0"/>
      </c:catAx>
      <c:valAx>
        <c:axId val="5659667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0016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Penting "Proses Belum Pernah Ada Kontrak"</a:t>
            </a:r>
          </a:p>
        </c:rich>
      </c:tx>
      <c:layout>
        <c:manualLayout>
          <c:xMode val="edge"/>
          <c:yMode val="edge"/>
          <c:x val="0.20550096752166999"/>
          <c:y val="1.087547781359544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 ok'!$CN$17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ok'!$CR$19:$CR$24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Translate</c:v>
                </c:pt>
                <c:pt idx="3">
                  <c:v>User</c:v>
                </c:pt>
                <c:pt idx="4">
                  <c:v>Direktur</c:v>
                </c:pt>
                <c:pt idx="5">
                  <c:v>Draft Kontrak</c:v>
                </c:pt>
              </c:strCache>
            </c:strRef>
          </c:cat>
          <c:val>
            <c:numRef>
              <c:f>'Kontrak ALL ok'!$CS$19:$CS$24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D-4EE3-88E1-3B3002A31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951040"/>
        <c:axId val="109052480"/>
      </c:barChart>
      <c:lineChart>
        <c:grouping val="standard"/>
        <c:varyColors val="0"/>
        <c:ser>
          <c:idx val="1"/>
          <c:order val="1"/>
          <c:tx>
            <c:strRef>
              <c:f>'Kontrak ALL ok'!$CP$17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ok'!$CU$18:$CU$24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D-4EE3-88E1-3B3002A31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52064"/>
        <c:axId val="109053056"/>
      </c:lineChart>
      <c:catAx>
        <c:axId val="1089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2480"/>
        <c:crosses val="autoZero"/>
        <c:auto val="1"/>
        <c:lblAlgn val="ctr"/>
        <c:lblOffset val="100"/>
        <c:noMultiLvlLbl val="0"/>
      </c:catAx>
      <c:valAx>
        <c:axId val="109052480"/>
        <c:scaling>
          <c:orientation val="minMax"/>
          <c:max val="4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1040"/>
        <c:crosses val="autoZero"/>
        <c:crossBetween val="between"/>
        <c:majorUnit val="1"/>
      </c:valAx>
      <c:catAx>
        <c:axId val="108952064"/>
        <c:scaling>
          <c:orientation val="minMax"/>
        </c:scaling>
        <c:delete val="0"/>
        <c:axPos val="t"/>
        <c:majorTickMark val="none"/>
        <c:minorTickMark val="none"/>
        <c:tickLblPos val="none"/>
        <c:crossAx val="109053056"/>
        <c:crosses val="max"/>
        <c:auto val="1"/>
        <c:lblAlgn val="ctr"/>
        <c:lblOffset val="100"/>
        <c:noMultiLvlLbl val="0"/>
      </c:catAx>
      <c:valAx>
        <c:axId val="109053056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2064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"Proses Belum Pernah Ada Kontrak"</a:t>
            </a:r>
          </a:p>
        </c:rich>
      </c:tx>
      <c:layout>
        <c:manualLayout>
          <c:xMode val="edge"/>
          <c:yMode val="edge"/>
          <c:x val="0.19409991699755477"/>
          <c:y val="1.522574384084342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 ok'!$CR$38:$CR$43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User</c:v>
                </c:pt>
                <c:pt idx="3">
                  <c:v>Direktur</c:v>
                </c:pt>
                <c:pt idx="4">
                  <c:v>Translate</c:v>
                </c:pt>
                <c:pt idx="5">
                  <c:v>Draft Kontrak</c:v>
                </c:pt>
              </c:strCache>
            </c:strRef>
          </c:cat>
          <c:val>
            <c:numRef>
              <c:f>'Kontrak ALL ok'!$CS$38:$CS$43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A-4DCD-8646-604CAE8FB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953088"/>
        <c:axId val="109055360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 ok'!$CU$37:$CU$43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A-4DCD-8646-604CAE8FB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63712"/>
        <c:axId val="109055936"/>
      </c:lineChart>
      <c:catAx>
        <c:axId val="10895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5360"/>
        <c:crosses val="autoZero"/>
        <c:auto val="1"/>
        <c:lblAlgn val="ctr"/>
        <c:lblOffset val="100"/>
        <c:noMultiLvlLbl val="0"/>
      </c:catAx>
      <c:valAx>
        <c:axId val="109055360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3088"/>
        <c:crosses val="autoZero"/>
        <c:crossBetween val="between"/>
        <c:majorUnit val="1"/>
      </c:valAx>
      <c:catAx>
        <c:axId val="109363712"/>
        <c:scaling>
          <c:orientation val="minMax"/>
        </c:scaling>
        <c:delete val="0"/>
        <c:axPos val="t"/>
        <c:majorTickMark val="none"/>
        <c:minorTickMark val="none"/>
        <c:tickLblPos val="none"/>
        <c:crossAx val="109055936"/>
        <c:crosses val="max"/>
        <c:auto val="1"/>
        <c:lblAlgn val="ctr"/>
        <c:lblOffset val="100"/>
        <c:noMultiLvlLbl val="0"/>
      </c:catAx>
      <c:valAx>
        <c:axId val="109055936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63712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1</xdr:row>
      <xdr:rowOff>76200</xdr:rowOff>
    </xdr:from>
    <xdr:to>
      <xdr:col>24</xdr:col>
      <xdr:colOff>3411682</xdr:colOff>
      <xdr:row>10</xdr:row>
      <xdr:rowOff>171450</xdr:rowOff>
    </xdr:to>
    <xdr:grpSp>
      <xdr:nvGrpSpPr>
        <xdr:cNvPr id="2" name="Group 15">
          <a:extLst>
            <a:ext uri="{FF2B5EF4-FFF2-40B4-BE49-F238E27FC236}">
              <a16:creationId xmlns:a16="http://schemas.microsoft.com/office/drawing/2014/main" id="{C282A523-4431-417B-A31C-B37EAEC7E64C}"/>
            </a:ext>
          </a:extLst>
        </xdr:cNvPr>
        <xdr:cNvGrpSpPr>
          <a:grpSpLocks/>
        </xdr:cNvGrpSpPr>
      </xdr:nvGrpSpPr>
      <xdr:grpSpPr bwMode="auto">
        <a:xfrm>
          <a:off x="35480624" y="147638"/>
          <a:ext cx="12174683" cy="3095625"/>
          <a:chOff x="27443204" y="380999"/>
          <a:chExt cx="2756648" cy="14791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F31739E-FA5D-4CC3-80C6-279F21E8F355}"/>
              </a:ext>
            </a:extLst>
          </xdr:cNvPr>
          <xdr:cNvSpPr/>
        </xdr:nvSpPr>
        <xdr:spPr>
          <a:xfrm>
            <a:off x="29273885" y="380999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Prepared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6260A09-D99B-4805-9318-BCAA1B30EF00}"/>
              </a:ext>
            </a:extLst>
          </xdr:cNvPr>
          <xdr:cNvSpPr/>
        </xdr:nvSpPr>
        <xdr:spPr>
          <a:xfrm>
            <a:off x="28369171" y="380999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78765DE-6576-42F8-BEF4-10F84E5A9F98}"/>
              </a:ext>
            </a:extLst>
          </xdr:cNvPr>
          <xdr:cNvSpPr/>
        </xdr:nvSpPr>
        <xdr:spPr>
          <a:xfrm>
            <a:off x="27443204" y="380999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81D70A5-5318-45D3-A098-D28E0CFB79D3}"/>
              </a:ext>
            </a:extLst>
          </xdr:cNvPr>
          <xdr:cNvSpPr/>
        </xdr:nvSpPr>
        <xdr:spPr>
          <a:xfrm>
            <a:off x="29273885" y="625540"/>
            <a:ext cx="925967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A6C1320-6C39-44A9-B231-FDD0CFB29C81}"/>
              </a:ext>
            </a:extLst>
          </xdr:cNvPr>
          <xdr:cNvSpPr/>
        </xdr:nvSpPr>
        <xdr:spPr>
          <a:xfrm>
            <a:off x="28369171" y="625540"/>
            <a:ext cx="904715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AD5AA4D-F887-4BBC-99BA-10AEC0CC4DAC}"/>
              </a:ext>
            </a:extLst>
          </xdr:cNvPr>
          <xdr:cNvSpPr/>
        </xdr:nvSpPr>
        <xdr:spPr>
          <a:xfrm>
            <a:off x="27443204" y="625540"/>
            <a:ext cx="925967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26B3F566-C5B4-423B-9120-D0599E152F8D}"/>
              </a:ext>
            </a:extLst>
          </xdr:cNvPr>
          <xdr:cNvSpPr/>
        </xdr:nvSpPr>
        <xdr:spPr>
          <a:xfrm>
            <a:off x="29273885" y="1371093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RIY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E5C5D7B-9F75-45FB-AFD8-1C66D7E54502}"/>
              </a:ext>
            </a:extLst>
          </xdr:cNvPr>
          <xdr:cNvSpPr/>
        </xdr:nvSpPr>
        <xdr:spPr>
          <a:xfrm>
            <a:off x="28369171" y="1371093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STI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A0BABBC-D84D-4237-AA33-FABA59FF68FB}"/>
              </a:ext>
            </a:extLst>
          </xdr:cNvPr>
          <xdr:cNvSpPr/>
        </xdr:nvSpPr>
        <xdr:spPr>
          <a:xfrm>
            <a:off x="27443204" y="1371093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AWI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1540DA41-FA0D-496E-A8C4-794D8426D48E}"/>
              </a:ext>
            </a:extLst>
          </xdr:cNvPr>
          <xdr:cNvSpPr/>
        </xdr:nvSpPr>
        <xdr:spPr>
          <a:xfrm>
            <a:off x="29273885" y="1615634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LEADER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91C9D28-3E7F-45D5-B434-5E91B438FD6A}"/>
              </a:ext>
            </a:extLst>
          </xdr:cNvPr>
          <xdr:cNvSpPr/>
        </xdr:nvSpPr>
        <xdr:spPr>
          <a:xfrm>
            <a:off x="28369171" y="1615634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SUPERVISOR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5E83BEB-8B71-4885-ABD2-D6EABF4013DE}"/>
              </a:ext>
            </a:extLst>
          </xdr:cNvPr>
          <xdr:cNvSpPr/>
        </xdr:nvSpPr>
        <xdr:spPr>
          <a:xfrm>
            <a:off x="27443204" y="1615634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MANAGER</a:t>
            </a:r>
          </a:p>
        </xdr:txBody>
      </xdr:sp>
    </xdr:grpSp>
    <xdr:clientData/>
  </xdr:twoCellAnchor>
  <xdr:twoCellAnchor>
    <xdr:from>
      <xdr:col>2</xdr:col>
      <xdr:colOff>214312</xdr:colOff>
      <xdr:row>56</xdr:row>
      <xdr:rowOff>38100</xdr:rowOff>
    </xdr:from>
    <xdr:to>
      <xdr:col>6</xdr:col>
      <xdr:colOff>4314825</xdr:colOff>
      <xdr:row>74</xdr:row>
      <xdr:rowOff>38100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C73C6BB5-1CD0-4689-AEDD-FA74C346D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77</xdr:row>
      <xdr:rowOff>9525</xdr:rowOff>
    </xdr:from>
    <xdr:to>
      <xdr:col>10</xdr:col>
      <xdr:colOff>4495800</xdr:colOff>
      <xdr:row>95</xdr:row>
      <xdr:rowOff>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8FF6A780-A972-44D6-9C4F-CC72F4AC1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442912</xdr:colOff>
      <xdr:row>77</xdr:row>
      <xdr:rowOff>119062</xdr:rowOff>
    </xdr:from>
    <xdr:to>
      <xdr:col>7</xdr:col>
      <xdr:colOff>2205037</xdr:colOff>
      <xdr:row>79</xdr:row>
      <xdr:rowOff>136922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B55A61-5DC7-44F0-84FF-42CB1A717A39}"/>
            </a:ext>
          </a:extLst>
        </xdr:cNvPr>
        <xdr:cNvSpPr txBox="1"/>
      </xdr:nvSpPr>
      <xdr:spPr>
        <a:xfrm>
          <a:off x="15197137" y="28627387"/>
          <a:ext cx="1762125" cy="665560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18</xdr:col>
      <xdr:colOff>733426</xdr:colOff>
      <xdr:row>77</xdr:row>
      <xdr:rowOff>95250</xdr:rowOff>
    </xdr:from>
    <xdr:to>
      <xdr:col>25</xdr:col>
      <xdr:colOff>1285875</xdr:colOff>
      <xdr:row>94</xdr:row>
      <xdr:rowOff>266700</xdr:rowOff>
    </xdr:to>
    <xdr:graphicFrame macro="">
      <xdr:nvGraphicFramePr>
        <xdr:cNvPr id="18" name="Chart 28">
          <a:extLst>
            <a:ext uri="{FF2B5EF4-FFF2-40B4-BE49-F238E27FC236}">
              <a16:creationId xmlns:a16="http://schemas.microsoft.com/office/drawing/2014/main" id="{B5695141-6E8F-44F3-A8DB-93E4ADFFB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923925</xdr:colOff>
      <xdr:row>77</xdr:row>
      <xdr:rowOff>261938</xdr:rowOff>
    </xdr:from>
    <xdr:to>
      <xdr:col>19</xdr:col>
      <xdr:colOff>1185862</xdr:colOff>
      <xdr:row>79</xdr:row>
      <xdr:rowOff>291704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6AFF983-1196-4EAE-B217-E25F29698E2C}"/>
            </a:ext>
          </a:extLst>
        </xdr:cNvPr>
        <xdr:cNvSpPr txBox="1"/>
      </xdr:nvSpPr>
      <xdr:spPr>
        <a:xfrm>
          <a:off x="38119050" y="28770263"/>
          <a:ext cx="1747837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4</a:t>
          </a:r>
          <a:endParaRPr lang="id-ID" sz="2800" b="1"/>
        </a:p>
      </xdr:txBody>
    </xdr:sp>
    <xdr:clientData/>
  </xdr:twoCellAnchor>
  <xdr:twoCellAnchor editAs="oneCell">
    <xdr:from>
      <xdr:col>19</xdr:col>
      <xdr:colOff>666750</xdr:colOff>
      <xdr:row>119</xdr:row>
      <xdr:rowOff>257175</xdr:rowOff>
    </xdr:from>
    <xdr:to>
      <xdr:col>23</xdr:col>
      <xdr:colOff>702685</xdr:colOff>
      <xdr:row>130</xdr:row>
      <xdr:rowOff>247650</xdr:rowOff>
    </xdr:to>
    <xdr:pic>
      <xdr:nvPicPr>
        <xdr:cNvPr id="20" name="Picture 29">
          <a:extLst>
            <a:ext uri="{FF2B5EF4-FFF2-40B4-BE49-F238E27FC236}">
              <a16:creationId xmlns:a16="http://schemas.microsoft.com/office/drawing/2014/main" id="{600FD601-1A46-4E28-A5C0-2747620E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95" t="37782" r="7487" b="19547"/>
        <a:stretch>
          <a:fillRect/>
        </a:stretch>
      </xdr:blipFill>
      <xdr:spPr bwMode="auto">
        <a:xfrm>
          <a:off x="39347775" y="42367200"/>
          <a:ext cx="5979535" cy="355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238125</xdr:colOff>
      <xdr:row>77</xdr:row>
      <xdr:rowOff>0</xdr:rowOff>
    </xdr:from>
    <xdr:to>
      <xdr:col>6</xdr:col>
      <xdr:colOff>4191000</xdr:colOff>
      <xdr:row>95</xdr:row>
      <xdr:rowOff>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92EB6897-7E8E-46FD-9296-AA25FA71A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214312</xdr:colOff>
      <xdr:row>97</xdr:row>
      <xdr:rowOff>171450</xdr:rowOff>
    </xdr:from>
    <xdr:to>
      <xdr:col>6</xdr:col>
      <xdr:colOff>4171950</xdr:colOff>
      <xdr:row>115</xdr:row>
      <xdr:rowOff>171450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BAC679C6-6E18-4B11-99B8-55826709C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9525</xdr:colOff>
      <xdr:row>97</xdr:row>
      <xdr:rowOff>238125</xdr:rowOff>
    </xdr:from>
    <xdr:to>
      <xdr:col>10</xdr:col>
      <xdr:colOff>4495800</xdr:colOff>
      <xdr:row>115</xdr:row>
      <xdr:rowOff>228600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A0FAB691-7C1F-462C-B4B6-650A3DCBD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433389</xdr:colOff>
      <xdr:row>98</xdr:row>
      <xdr:rowOff>14286</xdr:rowOff>
    </xdr:from>
    <xdr:to>
      <xdr:col>7</xdr:col>
      <xdr:colOff>2195514</xdr:colOff>
      <xdr:row>100</xdr:row>
      <xdr:rowOff>32146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037B25D-FD29-4805-A62D-929BE31D24C3}"/>
            </a:ext>
          </a:extLst>
        </xdr:cNvPr>
        <xdr:cNvSpPr txBox="1"/>
      </xdr:nvSpPr>
      <xdr:spPr>
        <a:xfrm>
          <a:off x="15187614" y="35323461"/>
          <a:ext cx="1762125" cy="665560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18</xdr:col>
      <xdr:colOff>733426</xdr:colOff>
      <xdr:row>98</xdr:row>
      <xdr:rowOff>9525</xdr:rowOff>
    </xdr:from>
    <xdr:to>
      <xdr:col>25</xdr:col>
      <xdr:colOff>1318734</xdr:colOff>
      <xdr:row>115</xdr:row>
      <xdr:rowOff>180975</xdr:rowOff>
    </xdr:to>
    <xdr:graphicFrame macro="">
      <xdr:nvGraphicFramePr>
        <xdr:cNvPr id="25" name="Chart 28">
          <a:extLst>
            <a:ext uri="{FF2B5EF4-FFF2-40B4-BE49-F238E27FC236}">
              <a16:creationId xmlns:a16="http://schemas.microsoft.com/office/drawing/2014/main" id="{A9A550A7-D450-44C8-B0A1-812571CF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890590</xdr:colOff>
      <xdr:row>98</xdr:row>
      <xdr:rowOff>61915</xdr:rowOff>
    </xdr:from>
    <xdr:to>
      <xdr:col>19</xdr:col>
      <xdr:colOff>1152527</xdr:colOff>
      <xdr:row>100</xdr:row>
      <xdr:rowOff>91681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63BB061-B7E3-4769-9B56-ACD0CCFDC515}"/>
            </a:ext>
          </a:extLst>
        </xdr:cNvPr>
        <xdr:cNvSpPr txBox="1"/>
      </xdr:nvSpPr>
      <xdr:spPr>
        <a:xfrm>
          <a:off x="38085715" y="35371090"/>
          <a:ext cx="1747837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0</a:t>
          </a:r>
        </a:p>
      </xdr:txBody>
    </xdr:sp>
    <xdr:clientData/>
  </xdr:twoCellAnchor>
  <xdr:twoCellAnchor>
    <xdr:from>
      <xdr:col>6</xdr:col>
      <xdr:colOff>4572001</xdr:colOff>
      <xdr:row>56</xdr:row>
      <xdr:rowOff>19050</xdr:rowOff>
    </xdr:from>
    <xdr:to>
      <xdr:col>14</xdr:col>
      <xdr:colOff>976312</xdr:colOff>
      <xdr:row>74</xdr:row>
      <xdr:rowOff>66675</xdr:rowOff>
    </xdr:to>
    <xdr:graphicFrame macro="">
      <xdr:nvGraphicFramePr>
        <xdr:cNvPr id="27" name="Chart 6">
          <a:extLst>
            <a:ext uri="{FF2B5EF4-FFF2-40B4-BE49-F238E27FC236}">
              <a16:creationId xmlns:a16="http://schemas.microsoft.com/office/drawing/2014/main" id="{BDE9A843-A0DF-4652-87BC-BF9F33510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66675</xdr:colOff>
      <xdr:row>77</xdr:row>
      <xdr:rowOff>47625</xdr:rowOff>
    </xdr:from>
    <xdr:to>
      <xdr:col>18</xdr:col>
      <xdr:colOff>342900</xdr:colOff>
      <xdr:row>94</xdr:row>
      <xdr:rowOff>219075</xdr:rowOff>
    </xdr:to>
    <xdr:graphicFrame macro="">
      <xdr:nvGraphicFramePr>
        <xdr:cNvPr id="28" name="Chart 28">
          <a:extLst>
            <a:ext uri="{FF2B5EF4-FFF2-40B4-BE49-F238E27FC236}">
              <a16:creationId xmlns:a16="http://schemas.microsoft.com/office/drawing/2014/main" id="{79C30A94-787A-4EF4-B06A-7644B93E6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547687</xdr:colOff>
      <xdr:row>77</xdr:row>
      <xdr:rowOff>195263</xdr:rowOff>
    </xdr:from>
    <xdr:to>
      <xdr:col>12</xdr:col>
      <xdr:colOff>152399</xdr:colOff>
      <xdr:row>79</xdr:row>
      <xdr:rowOff>225029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95410A7-E875-4087-B3BD-C41475BF54A2}"/>
            </a:ext>
          </a:extLst>
        </xdr:cNvPr>
        <xdr:cNvSpPr txBox="1"/>
      </xdr:nvSpPr>
      <xdr:spPr>
        <a:xfrm>
          <a:off x="26465212" y="28703588"/>
          <a:ext cx="1738312" cy="677466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11</xdr:col>
      <xdr:colOff>76200</xdr:colOff>
      <xdr:row>97</xdr:row>
      <xdr:rowOff>261937</xdr:rowOff>
    </xdr:from>
    <xdr:to>
      <xdr:col>18</xdr:col>
      <xdr:colOff>457200</xdr:colOff>
      <xdr:row>115</xdr:row>
      <xdr:rowOff>238125</xdr:rowOff>
    </xdr:to>
    <xdr:graphicFrame macro="">
      <xdr:nvGraphicFramePr>
        <xdr:cNvPr id="30" name="Chart 28">
          <a:extLst>
            <a:ext uri="{FF2B5EF4-FFF2-40B4-BE49-F238E27FC236}">
              <a16:creationId xmlns:a16="http://schemas.microsoft.com/office/drawing/2014/main" id="{77312B4D-782A-4141-8666-F776A6808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381000</xdr:colOff>
      <xdr:row>97</xdr:row>
      <xdr:rowOff>314330</xdr:rowOff>
    </xdr:from>
    <xdr:to>
      <xdr:col>11</xdr:col>
      <xdr:colOff>2119312</xdr:colOff>
      <xdr:row>100</xdr:row>
      <xdr:rowOff>10721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8B3972D-60F3-4726-9D5D-48F5DC3BDC04}"/>
            </a:ext>
          </a:extLst>
        </xdr:cNvPr>
        <xdr:cNvSpPr txBox="1"/>
      </xdr:nvSpPr>
      <xdr:spPr>
        <a:xfrm>
          <a:off x="26298525" y="35299655"/>
          <a:ext cx="1738312" cy="667941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26</xdr:col>
      <xdr:colOff>166687</xdr:colOff>
      <xdr:row>77</xdr:row>
      <xdr:rowOff>76200</xdr:rowOff>
    </xdr:from>
    <xdr:to>
      <xdr:col>34</xdr:col>
      <xdr:colOff>1023937</xdr:colOff>
      <xdr:row>94</xdr:row>
      <xdr:rowOff>247650</xdr:rowOff>
    </xdr:to>
    <xdr:graphicFrame macro="">
      <xdr:nvGraphicFramePr>
        <xdr:cNvPr id="32" name="Chart 28">
          <a:extLst>
            <a:ext uri="{FF2B5EF4-FFF2-40B4-BE49-F238E27FC236}">
              <a16:creationId xmlns:a16="http://schemas.microsoft.com/office/drawing/2014/main" id="{3E94EF4D-E37C-4137-B3C1-BC2020DF8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385762</xdr:colOff>
      <xdr:row>77</xdr:row>
      <xdr:rowOff>200026</xdr:rowOff>
    </xdr:from>
    <xdr:to>
      <xdr:col>31</xdr:col>
      <xdr:colOff>638174</xdr:colOff>
      <xdr:row>79</xdr:row>
      <xdr:rowOff>229792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670C8BD-9FF9-4D83-83ED-86A73793B27E}"/>
            </a:ext>
          </a:extLst>
        </xdr:cNvPr>
        <xdr:cNvSpPr txBox="1"/>
      </xdr:nvSpPr>
      <xdr:spPr>
        <a:xfrm>
          <a:off x="58240612" y="28708351"/>
          <a:ext cx="1738312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4</a:t>
          </a:r>
          <a:endParaRPr lang="id-ID" sz="2800" b="1"/>
        </a:p>
      </xdr:txBody>
    </xdr:sp>
    <xdr:clientData/>
  </xdr:twoCellAnchor>
  <xdr:twoCellAnchor>
    <xdr:from>
      <xdr:col>26</xdr:col>
      <xdr:colOff>190500</xdr:colOff>
      <xdr:row>97</xdr:row>
      <xdr:rowOff>323850</xdr:rowOff>
    </xdr:from>
    <xdr:to>
      <xdr:col>34</xdr:col>
      <xdr:colOff>1000126</xdr:colOff>
      <xdr:row>115</xdr:row>
      <xdr:rowOff>161925</xdr:rowOff>
    </xdr:to>
    <xdr:graphicFrame macro="">
      <xdr:nvGraphicFramePr>
        <xdr:cNvPr id="34" name="Chart 28">
          <a:extLst>
            <a:ext uri="{FF2B5EF4-FFF2-40B4-BE49-F238E27FC236}">
              <a16:creationId xmlns:a16="http://schemas.microsoft.com/office/drawing/2014/main" id="{29B5E889-BE94-4D4D-8EF3-039EE59B1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352427</xdr:colOff>
      <xdr:row>98</xdr:row>
      <xdr:rowOff>119063</xdr:rowOff>
    </xdr:from>
    <xdr:to>
      <xdr:col>31</xdr:col>
      <xdr:colOff>604839</xdr:colOff>
      <xdr:row>100</xdr:row>
      <xdr:rowOff>148829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51004DA-609C-4033-A6D3-654C1D6FAD69}"/>
            </a:ext>
          </a:extLst>
        </xdr:cNvPr>
        <xdr:cNvSpPr txBox="1"/>
      </xdr:nvSpPr>
      <xdr:spPr>
        <a:xfrm>
          <a:off x="58207277" y="35428238"/>
          <a:ext cx="1738312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0</a:t>
          </a:r>
        </a:p>
      </xdr:txBody>
    </xdr:sp>
    <xdr:clientData/>
  </xdr:twoCellAnchor>
  <xdr:twoCellAnchor>
    <xdr:from>
      <xdr:col>45</xdr:col>
      <xdr:colOff>714373</xdr:colOff>
      <xdr:row>47</xdr:row>
      <xdr:rowOff>238124</xdr:rowOff>
    </xdr:from>
    <xdr:to>
      <xdr:col>53</xdr:col>
      <xdr:colOff>1309686</xdr:colOff>
      <xdr:row>59</xdr:row>
      <xdr:rowOff>95250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8862A624-2825-40A8-AF78-D333875C239F}"/>
            </a:ext>
          </a:extLst>
        </xdr:cNvPr>
        <xdr:cNvSpPr/>
      </xdr:nvSpPr>
      <xdr:spPr>
        <a:xfrm>
          <a:off x="80533873" y="19030949"/>
          <a:ext cx="17187863" cy="37433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600">
              <a:solidFill>
                <a:srgbClr val="FF0000"/>
              </a:solidFill>
            </a:rPr>
            <a:t>DATA</a:t>
          </a:r>
          <a:r>
            <a:rPr lang="en-US" sz="6600" baseline="0">
              <a:solidFill>
                <a:srgbClr val="FF0000"/>
              </a:solidFill>
            </a:rPr>
            <a:t> </a:t>
          </a:r>
        </a:p>
        <a:p>
          <a:pPr algn="ctr"/>
          <a:r>
            <a:rPr lang="en-US" sz="6600" baseline="0">
              <a:solidFill>
                <a:srgbClr val="FF0000"/>
              </a:solidFill>
            </a:rPr>
            <a:t>HOSIN</a:t>
          </a:r>
        </a:p>
        <a:p>
          <a:pPr algn="ctr"/>
          <a:r>
            <a:rPr lang="en-US" sz="6600" baseline="0">
              <a:solidFill>
                <a:srgbClr val="FF0000"/>
              </a:solidFill>
            </a:rPr>
            <a:t>JANGAN DI HAPUS</a:t>
          </a:r>
        </a:p>
        <a:p>
          <a:pPr algn="ctr"/>
          <a:endParaRPr lang="en-US" sz="6600"/>
        </a:p>
      </xdr:txBody>
    </xdr:sp>
    <xdr:clientData/>
  </xdr:twoCellAnchor>
  <xdr:oneCellAnchor>
    <xdr:from>
      <xdr:col>85</xdr:col>
      <xdr:colOff>666467</xdr:colOff>
      <xdr:row>10</xdr:row>
      <xdr:rowOff>233653</xdr:rowOff>
    </xdr:from>
    <xdr:ext cx="4286816" cy="937629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3192F78-EDCD-4FA8-9B63-363DEDECAA99}"/>
            </a:ext>
          </a:extLst>
        </xdr:cNvPr>
        <xdr:cNvSpPr/>
      </xdr:nvSpPr>
      <xdr:spPr>
        <a:xfrm>
          <a:off x="122681717" y="3214978"/>
          <a:ext cx="428681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DATA PARETO</a:t>
          </a:r>
          <a:endParaRPr lang="en-US" sz="54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  <xdr:oneCellAnchor>
    <xdr:from>
      <xdr:col>82</xdr:col>
      <xdr:colOff>23408</xdr:colOff>
      <xdr:row>49</xdr:row>
      <xdr:rowOff>0</xdr:rowOff>
    </xdr:from>
    <xdr:ext cx="13098266" cy="937629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8A79024-AD93-4234-A2A3-A209AF75D192}"/>
            </a:ext>
          </a:extLst>
        </xdr:cNvPr>
        <xdr:cNvSpPr/>
      </xdr:nvSpPr>
      <xdr:spPr>
        <a:xfrm>
          <a:off x="117580958" y="19440525"/>
          <a:ext cx="1309826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DATA PROGRESS BELUM ADA ADA KONTRAK</a:t>
          </a:r>
          <a:endParaRPr lang="en-US" sz="54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0.05713</cdr:x>
      <cdr:y>0.04826</cdr:y>
    </cdr:from>
    <cdr:to>
      <cdr:x>0.24606</cdr:x>
      <cdr:y>0.17493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82254" y="285153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</a:t>
          </a:r>
          <a:r>
            <a:rPr lang="en-US" sz="4000" baseline="0"/>
            <a:t>304</a:t>
          </a:r>
          <a:endParaRPr lang="en-US" sz="4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0.05408</cdr:x>
      <cdr:y>0.04404</cdr:y>
    </cdr:from>
    <cdr:to>
      <cdr:x>0.23979</cdr:x>
      <cdr:y>0.17096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34629" y="261341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1</a:t>
          </a:r>
          <a:r>
            <a:rPr lang="en-US" sz="4000" baseline="0"/>
            <a:t>21</a:t>
          </a:r>
          <a:endParaRPr lang="en-US" sz="40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0.05408</cdr:x>
      <cdr:y>0.04801</cdr:y>
    </cdr:from>
    <cdr:to>
      <cdr:x>0.24004</cdr:x>
      <cdr:y>0.17493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34628" y="285153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</a:t>
          </a:r>
          <a:r>
            <a:rPr lang="en-US" sz="4000" baseline="0"/>
            <a:t>71</a:t>
          </a:r>
          <a:endParaRPr lang="en-US" sz="4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m@lakesprecision.com715-546-3070%20(USA)" TargetMode="External"/><Relationship Id="rId2" Type="http://schemas.openxmlformats.org/officeDocument/2006/relationships/hyperlink" Target="mailto:tata9wib1278@gmail.com081%202253%202554" TargetMode="External"/><Relationship Id="rId1" Type="http://schemas.openxmlformats.org/officeDocument/2006/relationships/hyperlink" Target="mailto:info@toman-c.co.jp+81542549600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G478"/>
  <sheetViews>
    <sheetView showGridLines="0" tabSelected="1" view="pageBreakPreview" topLeftCell="A123" zoomScale="40" zoomScaleNormal="25" zoomScaleSheetLayoutView="40" workbookViewId="0">
      <selection activeCell="F169" sqref="F169"/>
    </sheetView>
  </sheetViews>
  <sheetFormatPr defaultRowHeight="15" x14ac:dyDescent="0.25"/>
  <cols>
    <col min="1" max="1" width="10.28515625" style="1" customWidth="1"/>
    <col min="2" max="2" width="12.42578125" style="1" customWidth="1"/>
    <col min="3" max="3" width="26.5703125" style="1" bestFit="1" customWidth="1"/>
    <col min="4" max="4" width="16.140625" style="1" customWidth="1"/>
    <col min="5" max="5" width="19.140625" style="1" customWidth="1"/>
    <col min="6" max="6" width="36.85546875" style="1" customWidth="1"/>
    <col min="7" max="7" width="72.42578125" style="2" customWidth="1"/>
    <col min="8" max="8" width="39" style="2" customWidth="1"/>
    <col min="9" max="9" width="18.5703125" style="2" customWidth="1"/>
    <col min="10" max="10" width="39.5703125" style="2" customWidth="1"/>
    <col min="11" max="11" width="70.28515625" style="2" customWidth="1"/>
    <col min="12" max="12" width="32" style="2" customWidth="1"/>
    <col min="13" max="13" width="30.140625" style="2" customWidth="1"/>
    <col min="14" max="14" width="24" style="3" customWidth="1"/>
    <col min="15" max="15" width="25.28515625" style="3" customWidth="1"/>
    <col min="16" max="17" width="17.7109375" style="2" customWidth="1"/>
    <col min="18" max="24" width="22.28515625" style="2" customWidth="1"/>
    <col min="25" max="25" width="53.28515625" style="2" customWidth="1"/>
    <col min="26" max="29" width="23.5703125" style="2" customWidth="1"/>
    <col min="30" max="30" width="28.5703125" style="2" customWidth="1"/>
    <col min="31" max="31" width="22.28515625" style="2" customWidth="1"/>
    <col min="32" max="32" width="24.85546875" style="1" customWidth="1"/>
    <col min="33" max="33" width="22.28515625" style="1" customWidth="1"/>
    <col min="34" max="35" width="19.85546875" style="1" customWidth="1"/>
    <col min="36" max="36" width="23.85546875" style="1" customWidth="1"/>
    <col min="37" max="37" width="19.85546875" style="1" customWidth="1"/>
    <col min="38" max="38" width="27.85546875" style="1" customWidth="1"/>
    <col min="39" max="39" width="19.85546875" style="1" customWidth="1"/>
    <col min="40" max="40" width="24.140625" style="1" customWidth="1"/>
    <col min="41" max="42" width="24.7109375" style="1" customWidth="1"/>
    <col min="43" max="45" width="18.42578125" style="1" customWidth="1"/>
    <col min="46" max="47" width="19.85546875" style="1" customWidth="1"/>
    <col min="48" max="54" width="34.85546875" style="1" customWidth="1"/>
    <col min="55" max="80" width="9.140625" style="1"/>
    <col min="81" max="189" width="22.28515625" style="1" customWidth="1"/>
    <col min="190" max="16384" width="9.140625" style="1"/>
  </cols>
  <sheetData>
    <row r="1" spans="3:99" ht="5.25" customHeight="1" thickBot="1" x14ac:dyDescent="0.3">
      <c r="AW1" s="4"/>
    </row>
    <row r="2" spans="3:99" ht="25.5" customHeight="1" x14ac:dyDescent="0.25">
      <c r="C2" s="222" t="s">
        <v>1266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4"/>
      <c r="S2" s="149"/>
      <c r="T2" s="149"/>
      <c r="U2" s="149"/>
      <c r="V2" s="149"/>
      <c r="W2" s="149"/>
      <c r="X2" s="149"/>
      <c r="AW2" s="4"/>
    </row>
    <row r="3" spans="3:99" ht="25.5" customHeight="1" x14ac:dyDescent="0.25">
      <c r="C3" s="225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7"/>
      <c r="S3" s="149"/>
      <c r="T3" s="149"/>
      <c r="U3" s="149"/>
      <c r="V3" s="149"/>
      <c r="W3" s="149"/>
      <c r="X3" s="149"/>
      <c r="AW3" s="4"/>
    </row>
    <row r="4" spans="3:99" ht="25.5" customHeight="1" x14ac:dyDescent="0.25">
      <c r="C4" s="225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  <c r="S4" s="149"/>
      <c r="T4" s="149"/>
      <c r="U4" s="149"/>
      <c r="V4" s="149"/>
      <c r="W4" s="149"/>
      <c r="X4" s="149"/>
      <c r="AW4" s="4"/>
    </row>
    <row r="5" spans="3:99" ht="25.5" customHeight="1" x14ac:dyDescent="0.25">
      <c r="C5" s="225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  <c r="S5" s="149"/>
      <c r="T5" s="149"/>
      <c r="U5" s="149"/>
      <c r="V5" s="149"/>
      <c r="W5" s="149"/>
      <c r="X5" s="149"/>
      <c r="AW5" s="4"/>
    </row>
    <row r="6" spans="3:99" ht="25.5" customHeight="1" x14ac:dyDescent="0.25">
      <c r="C6" s="225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7"/>
      <c r="S6" s="149"/>
      <c r="T6" s="149"/>
      <c r="U6" s="149"/>
      <c r="V6" s="149"/>
      <c r="W6" s="149"/>
      <c r="X6" s="149"/>
      <c r="AW6" s="4"/>
    </row>
    <row r="7" spans="3:99" ht="25.5" customHeight="1" x14ac:dyDescent="0.25">
      <c r="C7" s="225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7"/>
      <c r="S7" s="149"/>
      <c r="T7" s="149"/>
      <c r="U7" s="149"/>
      <c r="V7" s="149"/>
      <c r="W7" s="149"/>
      <c r="X7" s="149"/>
      <c r="AW7" s="4"/>
    </row>
    <row r="8" spans="3:99" ht="25.5" customHeight="1" x14ac:dyDescent="0.25">
      <c r="C8" s="225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7"/>
      <c r="S8" s="149"/>
      <c r="T8" s="149"/>
      <c r="U8" s="149"/>
      <c r="V8" s="149"/>
      <c r="W8" s="149"/>
      <c r="X8" s="149"/>
      <c r="AW8" s="4"/>
    </row>
    <row r="9" spans="3:99" ht="25.5" customHeight="1" x14ac:dyDescent="0.25">
      <c r="C9" s="225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7"/>
      <c r="S9" s="149"/>
      <c r="T9" s="149"/>
      <c r="U9" s="149"/>
      <c r="V9" s="149"/>
      <c r="W9" s="149"/>
      <c r="X9" s="149"/>
      <c r="AW9" s="4"/>
    </row>
    <row r="10" spans="3:99" ht="25.5" customHeight="1" x14ac:dyDescent="0.25">
      <c r="C10" s="225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7"/>
      <c r="S10" s="149"/>
      <c r="T10" s="149"/>
      <c r="U10" s="149"/>
      <c r="V10" s="149"/>
      <c r="W10" s="149"/>
      <c r="X10" s="149"/>
      <c r="AW10" s="4"/>
    </row>
    <row r="11" spans="3:99" ht="25.5" customHeight="1" thickBot="1" x14ac:dyDescent="0.3">
      <c r="C11" s="228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30"/>
      <c r="S11" s="149"/>
      <c r="T11" s="149"/>
      <c r="U11" s="149"/>
      <c r="V11" s="149"/>
      <c r="W11" s="149"/>
      <c r="X11" s="149"/>
      <c r="AW11" s="4"/>
    </row>
    <row r="12" spans="3:99" ht="25.5" customHeight="1" x14ac:dyDescent="0.25">
      <c r="AD12" s="5"/>
      <c r="AW12" s="4"/>
    </row>
    <row r="13" spans="3:99" ht="25.5" customHeight="1" x14ac:dyDescent="0.65">
      <c r="G13" s="1"/>
      <c r="H13" s="6"/>
      <c r="N13" s="7"/>
      <c r="O13" s="8"/>
      <c r="Q13" s="9"/>
      <c r="R13" s="9"/>
      <c r="V13" s="9"/>
      <c r="W13" s="9"/>
      <c r="X13" s="10" t="s">
        <v>0</v>
      </c>
      <c r="Y13" s="11">
        <f ca="1">TODAY()</f>
        <v>44903</v>
      </c>
      <c r="AW13" s="4"/>
    </row>
    <row r="14" spans="3:99" ht="25.5" customHeight="1" x14ac:dyDescent="0.25">
      <c r="Q14" s="9"/>
      <c r="R14" s="9"/>
      <c r="S14" s="9"/>
      <c r="T14" s="9"/>
      <c r="U14" s="9"/>
      <c r="V14" s="9"/>
      <c r="W14" s="9"/>
      <c r="X14" s="9"/>
      <c r="AW14" s="4"/>
    </row>
    <row r="15" spans="3:99" ht="72.75" customHeight="1" x14ac:dyDescent="0.35">
      <c r="C15" s="184" t="s">
        <v>1</v>
      </c>
      <c r="D15" s="184" t="s">
        <v>2</v>
      </c>
      <c r="E15" s="184" t="s">
        <v>3</v>
      </c>
      <c r="F15" s="181" t="s">
        <v>4</v>
      </c>
      <c r="G15" s="182"/>
      <c r="H15" s="183"/>
      <c r="I15" s="221" t="s">
        <v>5</v>
      </c>
      <c r="J15" s="221"/>
      <c r="K15" s="221"/>
      <c r="L15" s="221"/>
      <c r="M15" s="221"/>
      <c r="N15" s="221"/>
      <c r="O15" s="231" t="s">
        <v>6</v>
      </c>
      <c r="P15" s="231"/>
      <c r="Q15" s="231"/>
      <c r="R15" s="231"/>
      <c r="S15" s="231"/>
      <c r="T15" s="231"/>
      <c r="U15" s="232" t="s">
        <v>7</v>
      </c>
      <c r="V15" s="233"/>
      <c r="W15" s="234"/>
      <c r="X15" s="215" t="s">
        <v>8</v>
      </c>
      <c r="Y15" s="215"/>
      <c r="Z15" s="12"/>
      <c r="AA15" s="13"/>
      <c r="AB15" s="13"/>
      <c r="AC15" s="13"/>
      <c r="AM15" s="14"/>
      <c r="AN15" s="14"/>
      <c r="AT15" s="2"/>
      <c r="AU15" s="2"/>
      <c r="AY15" s="15"/>
      <c r="AZ15" s="15"/>
      <c r="BA15" s="15"/>
      <c r="CC15" s="16" t="s">
        <v>9</v>
      </c>
    </row>
    <row r="16" spans="3:99" ht="72.75" customHeight="1" x14ac:dyDescent="0.25">
      <c r="C16" s="185"/>
      <c r="D16" s="185"/>
      <c r="E16" s="185"/>
      <c r="F16" s="216" t="s">
        <v>5</v>
      </c>
      <c r="G16" s="218" t="s">
        <v>6</v>
      </c>
      <c r="H16" s="179" t="s">
        <v>10</v>
      </c>
      <c r="I16" s="220" t="s">
        <v>11</v>
      </c>
      <c r="J16" s="220"/>
      <c r="K16" s="220"/>
      <c r="L16" s="215" t="s">
        <v>12</v>
      </c>
      <c r="M16" s="215"/>
      <c r="N16" s="221" t="s">
        <v>10</v>
      </c>
      <c r="O16" s="220" t="s">
        <v>11</v>
      </c>
      <c r="P16" s="220"/>
      <c r="Q16" s="220"/>
      <c r="R16" s="215" t="s">
        <v>12</v>
      </c>
      <c r="S16" s="215"/>
      <c r="T16" s="231" t="s">
        <v>10</v>
      </c>
      <c r="U16" s="202" t="s">
        <v>13</v>
      </c>
      <c r="V16" s="204" t="s">
        <v>14</v>
      </c>
      <c r="W16" s="206" t="s">
        <v>15</v>
      </c>
      <c r="X16" s="208" t="s">
        <v>16</v>
      </c>
      <c r="Y16" s="210" t="s">
        <v>17</v>
      </c>
      <c r="Z16" s="12"/>
      <c r="AA16" s="13"/>
      <c r="AB16" s="13"/>
      <c r="AC16" s="13"/>
      <c r="AM16" s="14"/>
      <c r="AN16" s="14"/>
      <c r="AQ16" s="212" t="s">
        <v>18</v>
      </c>
      <c r="AR16" s="213"/>
      <c r="AS16" s="213"/>
      <c r="AT16" s="214"/>
      <c r="BA16" s="15"/>
      <c r="CC16" s="195" t="s">
        <v>19</v>
      </c>
      <c r="CD16" s="195"/>
      <c r="CE16" s="195"/>
      <c r="CF16" s="195"/>
      <c r="CH16" s="195" t="s">
        <v>19</v>
      </c>
      <c r="CI16" s="195"/>
      <c r="CJ16" s="195"/>
      <c r="CK16" s="195"/>
      <c r="CM16" s="195" t="s">
        <v>16</v>
      </c>
      <c r="CN16" s="195"/>
      <c r="CO16" s="195"/>
      <c r="CP16" s="195"/>
      <c r="CR16" s="195" t="s">
        <v>16</v>
      </c>
      <c r="CS16" s="195"/>
      <c r="CT16" s="195"/>
      <c r="CU16" s="195"/>
    </row>
    <row r="17" spans="3:99" ht="115.5" customHeight="1" x14ac:dyDescent="0.25">
      <c r="C17" s="186"/>
      <c r="D17" s="186"/>
      <c r="E17" s="186"/>
      <c r="F17" s="217"/>
      <c r="G17" s="219"/>
      <c r="H17" s="180"/>
      <c r="I17" s="17" t="s">
        <v>13</v>
      </c>
      <c r="J17" s="18" t="s">
        <v>14</v>
      </c>
      <c r="K17" s="19" t="s">
        <v>15</v>
      </c>
      <c r="L17" s="20" t="s">
        <v>16</v>
      </c>
      <c r="M17" s="21" t="s">
        <v>17</v>
      </c>
      <c r="N17" s="221"/>
      <c r="O17" s="17" t="s">
        <v>13</v>
      </c>
      <c r="P17" s="18" t="s">
        <v>14</v>
      </c>
      <c r="Q17" s="19" t="s">
        <v>15</v>
      </c>
      <c r="R17" s="20" t="s">
        <v>16</v>
      </c>
      <c r="S17" s="21" t="s">
        <v>17</v>
      </c>
      <c r="T17" s="231"/>
      <c r="U17" s="203"/>
      <c r="V17" s="205"/>
      <c r="W17" s="207"/>
      <c r="X17" s="209"/>
      <c r="Y17" s="211"/>
      <c r="Z17" s="12"/>
      <c r="AA17" s="13"/>
      <c r="AB17" s="13"/>
      <c r="AC17" s="13"/>
      <c r="AF17" s="2"/>
      <c r="AG17" s="2"/>
      <c r="AQ17" s="22" t="s">
        <v>20</v>
      </c>
      <c r="AR17" s="22" t="s">
        <v>21</v>
      </c>
      <c r="AS17" s="22" t="s">
        <v>22</v>
      </c>
      <c r="AT17" s="22" t="s">
        <v>10</v>
      </c>
      <c r="CC17" s="23" t="s">
        <v>23</v>
      </c>
      <c r="CD17" s="23" t="s">
        <v>24</v>
      </c>
      <c r="CE17" s="23" t="s">
        <v>25</v>
      </c>
      <c r="CF17" s="23" t="s">
        <v>26</v>
      </c>
      <c r="CG17" s="24"/>
      <c r="CH17" s="23" t="s">
        <v>23</v>
      </c>
      <c r="CI17" s="23" t="s">
        <v>24</v>
      </c>
      <c r="CJ17" s="23" t="s">
        <v>25</v>
      </c>
      <c r="CK17" s="23" t="s">
        <v>26</v>
      </c>
      <c r="CM17" s="23" t="s">
        <v>23</v>
      </c>
      <c r="CN17" s="23" t="s">
        <v>24</v>
      </c>
      <c r="CO17" s="23" t="s">
        <v>25</v>
      </c>
      <c r="CP17" s="23" t="s">
        <v>26</v>
      </c>
      <c r="CR17" s="23" t="s">
        <v>23</v>
      </c>
      <c r="CS17" s="23" t="s">
        <v>24</v>
      </c>
      <c r="CT17" s="23" t="s">
        <v>25</v>
      </c>
      <c r="CU17" s="23" t="s">
        <v>26</v>
      </c>
    </row>
    <row r="18" spans="3:99" ht="25.5" customHeight="1" x14ac:dyDescent="0.25">
      <c r="C18" s="25">
        <v>1</v>
      </c>
      <c r="D18" s="164" t="s">
        <v>27</v>
      </c>
      <c r="E18" s="25" t="s">
        <v>28</v>
      </c>
      <c r="F18" s="26">
        <f>COUNTIFS($Q$134:$Q$438,"GA",$X$134:$X$438,"Penting")</f>
        <v>44</v>
      </c>
      <c r="G18" s="26">
        <f>COUNTIFS($Q$134:$Q$438,"GA",$X$134:$X$438,"Biasa")</f>
        <v>109</v>
      </c>
      <c r="H18" s="26">
        <f t="shared" ref="H18:H29" si="0">SUM(F18:G18)</f>
        <v>153</v>
      </c>
      <c r="I18" s="27">
        <f ca="1">COUNTIFS($Q$246:$Q$438,"GA",$S$246:$S$438,"O",$X$246:$X$438,"Penting")</f>
        <v>33</v>
      </c>
      <c r="J18" s="27">
        <f ca="1">COUNTIFS($Q$246:$Q$438,"GA",$S$246:$S$438,"Y",$X$246:$X$438,"Penting")</f>
        <v>0</v>
      </c>
      <c r="K18" s="27">
        <f ca="1">COUNTIFS($Q$246:$Q$438,"GA",$S$246:$S$438,"Z",$X$246:$X$438,"Penting")</f>
        <v>10</v>
      </c>
      <c r="L18" s="27">
        <f ca="1">COUNTIFS($Q$246:$Q$438,"GA",$S$246:$S$438,"X",$X$246:$X$438,"Penting")</f>
        <v>0</v>
      </c>
      <c r="M18" s="27">
        <f ca="1">COUNTIFS($Q$246:$Q$438,"GA",$S$246:$S$438,"C",$X$246:$X$438,"Penting")</f>
        <v>0</v>
      </c>
      <c r="N18" s="27">
        <f ca="1">SUM(I18:M18)</f>
        <v>43</v>
      </c>
      <c r="O18" s="26">
        <f ca="1">COUNTIFS($Q$246:$Q$438,"GA",$S$246:$S$438,"O",$X$246:$X$438,"Biasa")</f>
        <v>34</v>
      </c>
      <c r="P18" s="26">
        <f ca="1">COUNTIFS($Q$246:$Q$438,"GA",$S$246:$S$438,"Y",$X$246:$X$438,"Biasa")</f>
        <v>0</v>
      </c>
      <c r="Q18" s="26">
        <f ca="1">COUNTIFS($Q$246:$Q$438,"GA",$S$246:$S$438,"Z",$X$246:$X$438,"Biasa")</f>
        <v>19</v>
      </c>
      <c r="R18" s="26">
        <f ca="1">COUNTIFS($Q$246:$Q$438,"GA",$S$246:$S$438,"X",$X$246:$X$438,"Biasa")</f>
        <v>0</v>
      </c>
      <c r="S18" s="26">
        <f ca="1">COUNTIFS($Q$246:$Q$438,"GA",$S$246:$S$438,"C",$X$246:$X$438,"Biasa")</f>
        <v>0</v>
      </c>
      <c r="T18" s="26">
        <f ca="1">SUM(O18:S18)</f>
        <v>53</v>
      </c>
      <c r="U18" s="26">
        <f t="shared" ref="U18:Y29" ca="1" si="1">I18+O18</f>
        <v>67</v>
      </c>
      <c r="V18" s="26">
        <f t="shared" ca="1" si="1"/>
        <v>0</v>
      </c>
      <c r="W18" s="28">
        <f t="shared" ca="1" si="1"/>
        <v>29</v>
      </c>
      <c r="X18" s="26">
        <f t="shared" ca="1" si="1"/>
        <v>0</v>
      </c>
      <c r="Y18" s="28">
        <f t="shared" ca="1" si="1"/>
        <v>0</v>
      </c>
      <c r="Z18" s="29"/>
      <c r="AA18" s="30"/>
      <c r="AB18" s="30"/>
      <c r="AC18" s="30"/>
      <c r="AF18" s="2"/>
      <c r="AG18" s="2"/>
      <c r="AQ18" s="31">
        <v>44378</v>
      </c>
      <c r="AR18" s="25">
        <v>211</v>
      </c>
      <c r="AS18" s="25">
        <v>5</v>
      </c>
      <c r="AT18" s="25">
        <f t="shared" ref="AT18:AT29" si="2">AR18+AS18</f>
        <v>216</v>
      </c>
      <c r="CC18" s="32"/>
      <c r="CD18" s="32"/>
      <c r="CE18" s="32"/>
      <c r="CF18" s="25">
        <v>0</v>
      </c>
      <c r="CH18" s="32"/>
      <c r="CI18" s="32"/>
      <c r="CJ18" s="32"/>
      <c r="CK18" s="25">
        <v>0</v>
      </c>
      <c r="CM18" s="32"/>
      <c r="CN18" s="32"/>
      <c r="CO18" s="32"/>
      <c r="CP18" s="25">
        <v>0</v>
      </c>
      <c r="CR18" s="32"/>
      <c r="CS18" s="32"/>
      <c r="CT18" s="32"/>
      <c r="CU18" s="25">
        <v>0</v>
      </c>
    </row>
    <row r="19" spans="3:99" ht="25.5" customHeight="1" x14ac:dyDescent="0.25">
      <c r="C19" s="25">
        <v>2</v>
      </c>
      <c r="D19" s="165"/>
      <c r="E19" s="25" t="s">
        <v>29</v>
      </c>
      <c r="F19" s="26">
        <f>COUNTIFS($Q$134:$Q$438,"SHE",$X$134:$X$438,"Penting")</f>
        <v>3</v>
      </c>
      <c r="G19" s="26">
        <f>COUNTIFS($Q$134:$Q$438,"SHE",$X$134:$X$438,"Biasa")</f>
        <v>0</v>
      </c>
      <c r="H19" s="26">
        <f t="shared" si="0"/>
        <v>3</v>
      </c>
      <c r="I19" s="26">
        <f ca="1">COUNTIFS($Q$246:$Q$438,"SHE",$S$246:$S$438,"O",$X$246:$X$438,"Penting")</f>
        <v>3</v>
      </c>
      <c r="J19" s="26">
        <f ca="1">COUNTIFS($Q$246:$Q$438,"SHE",$S$246:$S$438,"Y",$X$246:$X$438,"Penting")</f>
        <v>0</v>
      </c>
      <c r="K19" s="26">
        <f ca="1">COUNTIFS($Q$246:$Q$438,"SHE",$S$246:$S$438,"Z",$X$246:$X$438,"Penting")</f>
        <v>0</v>
      </c>
      <c r="L19" s="26">
        <f ca="1">COUNTIFS($Q$246:$Q$438,"SHE",$S$246:$S$438,"X",$X$246:$X$438,"Penting")</f>
        <v>0</v>
      </c>
      <c r="M19" s="27">
        <f ca="1">COUNTIFS($Q$246:$Q$438,"SHE",$S$246:$S$438,"C",$X$246:$X$438,"Penting")</f>
        <v>0</v>
      </c>
      <c r="N19" s="27">
        <f t="shared" ref="N19:N29" ca="1" si="3">SUM(I19:M19)</f>
        <v>3</v>
      </c>
      <c r="O19" s="26">
        <f ca="1">COUNTIFS($Q$246:$Q$438,"SHE",$S$246:$S$438,"O",$X$246:$X$438,"Biasa")</f>
        <v>0</v>
      </c>
      <c r="P19" s="26">
        <f ca="1">COUNTIFS($Q$246:$Q$438,"SHE",$S$246:$S$438,"Y",$X$246:$X$438,"Biasa")</f>
        <v>0</v>
      </c>
      <c r="Q19" s="26">
        <f ca="1">COUNTIFS($Q$246:$Q$438,"SHE",$S$246:$S$438,"Z",$X$246:$X$438,"Biasa")</f>
        <v>0</v>
      </c>
      <c r="R19" s="26">
        <f ca="1">COUNTIFS($Q$246:$Q$438,"SHE",$S$246:$S$438,"X",$X$246:$X$438,"Biasa")</f>
        <v>0</v>
      </c>
      <c r="S19" s="26">
        <f ca="1">COUNTIFS($Q$246:$Q$438,"SHE",$S$246:$S$438,"C",$X$246:$X$438,"Biasa")</f>
        <v>0</v>
      </c>
      <c r="T19" s="26">
        <f t="shared" ref="T19:T29" ca="1" si="4">SUM(O19:S19)</f>
        <v>0</v>
      </c>
      <c r="U19" s="26">
        <f t="shared" ca="1" si="1"/>
        <v>3</v>
      </c>
      <c r="V19" s="26">
        <f t="shared" ca="1" si="1"/>
        <v>0</v>
      </c>
      <c r="W19" s="28">
        <f t="shared" ca="1" si="1"/>
        <v>0</v>
      </c>
      <c r="X19" s="26">
        <f t="shared" ca="1" si="1"/>
        <v>0</v>
      </c>
      <c r="Y19" s="28">
        <f t="shared" ca="1" si="1"/>
        <v>0</v>
      </c>
      <c r="Z19" s="29"/>
      <c r="AA19" s="30"/>
      <c r="AB19" s="30"/>
      <c r="AC19" s="30"/>
      <c r="AF19" s="2"/>
      <c r="AG19" s="2"/>
      <c r="AQ19" s="31">
        <v>44409</v>
      </c>
      <c r="AR19" s="25">
        <v>210</v>
      </c>
      <c r="AS19" s="25">
        <v>4</v>
      </c>
      <c r="AT19" s="25">
        <f t="shared" si="2"/>
        <v>214</v>
      </c>
      <c r="CC19" s="33" t="s">
        <v>30</v>
      </c>
      <c r="CD19" s="34">
        <f ca="1">COUNTIFS($Q$246:$Q$438,"IT",$S$246:$S$438,"Y",$X$246:$X$438,"Penting")</f>
        <v>0</v>
      </c>
      <c r="CE19" s="34">
        <f t="shared" ref="CE19:CE29" ca="1" si="5">CD19+CE18</f>
        <v>0</v>
      </c>
      <c r="CF19" s="35" t="e">
        <f ca="1">CE19/$CE$29</f>
        <v>#DIV/0!</v>
      </c>
      <c r="CG19" s="36"/>
      <c r="CH19" s="33" t="s">
        <v>31</v>
      </c>
      <c r="CI19" s="37">
        <f>COUNTIFS($AI$246:$AI$438,"V",$X$246:$X$438,"Penting",$S$246:$S$438,"Y")</f>
        <v>0</v>
      </c>
      <c r="CJ19" s="34">
        <f t="shared" ref="CJ19:CJ24" si="6">CI19+CJ18</f>
        <v>0</v>
      </c>
      <c r="CK19" s="35" t="e">
        <f t="shared" ref="CK19:CK24" si="7">CJ19/$CJ$24</f>
        <v>#DIV/0!</v>
      </c>
      <c r="CM19" s="33" t="s">
        <v>32</v>
      </c>
      <c r="CN19" s="34">
        <f ca="1">COUNTIFS($Q$246:$Q$438,"MPC",$S$246:$S$438,"X",$X$246:$X$438,"Penting")</f>
        <v>4</v>
      </c>
      <c r="CO19" s="34">
        <f t="shared" ref="CO19:CO29" ca="1" si="8">CN19+CO18</f>
        <v>4</v>
      </c>
      <c r="CP19" s="35">
        <f t="shared" ref="CP19:CP29" ca="1" si="9">CO19/$CO$29</f>
        <v>1</v>
      </c>
      <c r="CR19" s="33" t="s">
        <v>33</v>
      </c>
      <c r="CS19" s="37">
        <f>COUNTIFS($AI$246:$AI$438,"V",$X$246:$X$438,"Penting",$S$246:$S$438,"X")</f>
        <v>4</v>
      </c>
      <c r="CT19" s="34">
        <f t="shared" ref="CT19:CT24" si="10">CS19+CT18</f>
        <v>4</v>
      </c>
      <c r="CU19" s="35">
        <f t="shared" ref="CU19:CU24" si="11">CT19/$CT$24</f>
        <v>1</v>
      </c>
    </row>
    <row r="20" spans="3:99" ht="25.5" customHeight="1" x14ac:dyDescent="0.25">
      <c r="C20" s="25">
        <v>3</v>
      </c>
      <c r="D20" s="165"/>
      <c r="E20" s="25" t="s">
        <v>34</v>
      </c>
      <c r="F20" s="26">
        <f>COUNTIFS($Q$134:$Q$438,"HR",$X$134:$X$438,"Penting")</f>
        <v>2</v>
      </c>
      <c r="G20" s="26">
        <f>COUNTIFS($Q$134:$Q$438,"HR",$X$134:$X$438,"Biasa")</f>
        <v>9</v>
      </c>
      <c r="H20" s="26">
        <f t="shared" si="0"/>
        <v>11</v>
      </c>
      <c r="I20" s="26">
        <f ca="1">COUNTIFS($Q$246:$Q$438,"HR",$S$246:$S$438,"O",$X$246:$X$438,"Penting")</f>
        <v>1</v>
      </c>
      <c r="J20" s="26">
        <f ca="1">COUNTIFS($Q$246:$Q$438,"HR",$S$246:$S$438,"Y",$X$246:$X$438,"Penting")</f>
        <v>0</v>
      </c>
      <c r="K20" s="26">
        <f ca="1">COUNTIFS($Q$246:$Q$438,"HR",$S$246:$S$438,"Z",$X$246:$X$438,"Penting")</f>
        <v>1</v>
      </c>
      <c r="L20" s="26">
        <f ca="1">COUNTIFS($Q$246:$Q$438,"HR",$S$246:$S$438,"X",$X$246:$X$438,"Penting")</f>
        <v>0</v>
      </c>
      <c r="M20" s="27">
        <f ca="1">COUNTIFS($Q$246:$Q$438,"HR",$S$246:$S$438,"C",$X$246:$X$438,"Penting")</f>
        <v>0</v>
      </c>
      <c r="N20" s="27">
        <f t="shared" ca="1" si="3"/>
        <v>2</v>
      </c>
      <c r="O20" s="26">
        <f ca="1">COUNTIFS($Q$246:$Q$438,"HR",$S$246:$S$438,"O",$X$246:$X$438,"Biasa")</f>
        <v>7</v>
      </c>
      <c r="P20" s="26">
        <f ca="1">COUNTIFS($Q$246:$Q$438,"HR",$S$246:$S$438,"Y",$X$246:$X$438,"Biasa")</f>
        <v>0</v>
      </c>
      <c r="Q20" s="26">
        <f ca="1">COUNTIFS($Q$246:$Q$438,"HR",$S$246:$S$438,"Z",$X$246:$X$438,"Biasa")</f>
        <v>2</v>
      </c>
      <c r="R20" s="26">
        <f ca="1">COUNTIFS($Q$246:$Q$438,"HR",$S$246:$S$438,"X",$X$246:$X$438,"Biasa")</f>
        <v>0</v>
      </c>
      <c r="S20" s="26">
        <f ca="1">COUNTIFS($Q$246:$Q$438,"HR",$S$246:$S$438,"C",$X$246:$X$438,"Biasa")</f>
        <v>0</v>
      </c>
      <c r="T20" s="26">
        <f t="shared" ca="1" si="4"/>
        <v>9</v>
      </c>
      <c r="U20" s="26">
        <f t="shared" ca="1" si="1"/>
        <v>8</v>
      </c>
      <c r="V20" s="26">
        <f t="shared" ca="1" si="1"/>
        <v>0</v>
      </c>
      <c r="W20" s="28">
        <f t="shared" ca="1" si="1"/>
        <v>3</v>
      </c>
      <c r="X20" s="26">
        <f t="shared" ca="1" si="1"/>
        <v>0</v>
      </c>
      <c r="Y20" s="28">
        <f t="shared" ca="1" si="1"/>
        <v>0</v>
      </c>
      <c r="Z20" s="29"/>
      <c r="AA20" s="30"/>
      <c r="AB20" s="30"/>
      <c r="AC20" s="30"/>
      <c r="AF20" s="2"/>
      <c r="AG20" s="2"/>
      <c r="AQ20" s="31">
        <v>44440</v>
      </c>
      <c r="AR20" s="26">
        <v>207</v>
      </c>
      <c r="AS20" s="26">
        <v>5</v>
      </c>
      <c r="AT20" s="25">
        <f t="shared" si="2"/>
        <v>212</v>
      </c>
      <c r="CC20" s="33" t="s">
        <v>35</v>
      </c>
      <c r="CD20" s="34">
        <f ca="1">COUNTIFS($Q$246:$Q$438,"PPC",$S$246:$S$438,"Y",$X$246:$X$438,"Penting")</f>
        <v>0</v>
      </c>
      <c r="CE20" s="34">
        <f t="shared" ca="1" si="5"/>
        <v>0</v>
      </c>
      <c r="CF20" s="35" t="e">
        <f t="shared" ref="CF20:CF29" ca="1" si="12">CE20/$CE$29</f>
        <v>#DIV/0!</v>
      </c>
      <c r="CG20" s="36"/>
      <c r="CH20" s="33" t="s">
        <v>33</v>
      </c>
      <c r="CI20" s="37">
        <f>COUNTIFS($AL$246:$AL$438,"V",$X$246:$X$438,"Penting",$S$246:$S$438,"Y")</f>
        <v>0</v>
      </c>
      <c r="CJ20" s="34">
        <f t="shared" si="6"/>
        <v>0</v>
      </c>
      <c r="CK20" s="35" t="e">
        <f t="shared" si="7"/>
        <v>#DIV/0!</v>
      </c>
      <c r="CM20" s="33" t="s">
        <v>36</v>
      </c>
      <c r="CN20" s="34">
        <f ca="1">COUNTIFS($Q$246:$Q$438,"LD",$S$246:$S$438,"X",$X$246:$X$438,"Penting")</f>
        <v>0</v>
      </c>
      <c r="CO20" s="34">
        <f t="shared" ca="1" si="8"/>
        <v>4</v>
      </c>
      <c r="CP20" s="35">
        <f t="shared" ca="1" si="9"/>
        <v>1</v>
      </c>
      <c r="CR20" s="33" t="s">
        <v>37</v>
      </c>
      <c r="CS20" s="37">
        <f>COUNTIFS($AK$246:$AK$438,"V",$X$246:$X$438,"Penting",$S$246:$S$438,"X")</f>
        <v>0</v>
      </c>
      <c r="CT20" s="34">
        <f t="shared" si="10"/>
        <v>4</v>
      </c>
      <c r="CU20" s="35">
        <f t="shared" si="11"/>
        <v>1</v>
      </c>
    </row>
    <row r="21" spans="3:99" ht="25.5" customHeight="1" x14ac:dyDescent="0.25">
      <c r="C21" s="25">
        <v>4</v>
      </c>
      <c r="D21" s="166"/>
      <c r="E21" s="25" t="s">
        <v>38</v>
      </c>
      <c r="F21" s="26">
        <f>COUNTIFS($Q$134:$Q$438,"IT",$X$134:$X$438,"Penting")</f>
        <v>9</v>
      </c>
      <c r="G21" s="26">
        <f>COUNTIFS($Q$134:$Q$438,"IT",$X$134:$X$438,"Biasa")</f>
        <v>1</v>
      </c>
      <c r="H21" s="26">
        <f t="shared" si="0"/>
        <v>10</v>
      </c>
      <c r="I21" s="26">
        <f ca="1">COUNTIFS($Q$246:$Q$438,"IT",$S$246:$S$438,"O",$X$246:$X$438,"Penting")</f>
        <v>7</v>
      </c>
      <c r="J21" s="26">
        <f ca="1">COUNTIFS($Q$246:$Q$438,"IT",$S$246:$S$438,"Y",$X$246:$X$438,"Penting")</f>
        <v>0</v>
      </c>
      <c r="K21" s="26">
        <f ca="1">COUNTIFS($Q$246:$Q$438,"IT",$S$246:$S$438,"Z",$X$246:$X$438,"Penting")</f>
        <v>2</v>
      </c>
      <c r="L21" s="26">
        <f ca="1">COUNTIFS($Q$246:$Q$438,"IT",$S$246:$S$438,"X",$X$246:$X$438,"Penting")</f>
        <v>0</v>
      </c>
      <c r="M21" s="27">
        <f ca="1">COUNTIFS($Q$246:$Q$438,"IT",$S$246:$S$438,"C",$X$246:$X$438,"Penting")</f>
        <v>0</v>
      </c>
      <c r="N21" s="27">
        <f t="shared" ca="1" si="3"/>
        <v>9</v>
      </c>
      <c r="O21" s="26">
        <f ca="1">COUNTIFS($Q$246:$Q$438,"IT",$S$246:$S$438,"O",$X$246:$X$438,"Biasa")</f>
        <v>1</v>
      </c>
      <c r="P21" s="26">
        <f ca="1">COUNTIFS($Q$246:$Q$438,"IT",$S$246:$S$438,"Y",$X$246:$X$438,"Biasa")</f>
        <v>0</v>
      </c>
      <c r="Q21" s="26">
        <f ca="1">COUNTIFS($Q$246:$Q$438,"IT",$S$246:$S$438,"Z",$X$246:$X$438,"Biasa")</f>
        <v>0</v>
      </c>
      <c r="R21" s="26">
        <f ca="1">COUNTIFS($Q$246:$Q$438,"IT",$S$246:$S$438,"X",$X$246:$X$438,"Biasa")</f>
        <v>0</v>
      </c>
      <c r="S21" s="26">
        <f ca="1">COUNTIFS($Q$246:$Q$438,"IT",$S$246:$S$438,"C",$X$246:$X$438,"Biasa")</f>
        <v>0</v>
      </c>
      <c r="T21" s="26">
        <f t="shared" ca="1" si="4"/>
        <v>1</v>
      </c>
      <c r="U21" s="26">
        <f t="shared" ca="1" si="1"/>
        <v>8</v>
      </c>
      <c r="V21" s="26">
        <f t="shared" ca="1" si="1"/>
        <v>0</v>
      </c>
      <c r="W21" s="28">
        <f t="shared" ca="1" si="1"/>
        <v>2</v>
      </c>
      <c r="X21" s="26">
        <f t="shared" ca="1" si="1"/>
        <v>0</v>
      </c>
      <c r="Y21" s="28">
        <f t="shared" ca="1" si="1"/>
        <v>0</v>
      </c>
      <c r="Z21" s="29"/>
      <c r="AA21" s="30"/>
      <c r="AB21" s="30"/>
      <c r="AC21" s="30"/>
      <c r="AF21" s="2"/>
      <c r="AG21" s="2"/>
      <c r="AQ21" s="31">
        <v>44470</v>
      </c>
      <c r="AR21" s="26">
        <v>209</v>
      </c>
      <c r="AS21" s="26">
        <v>4</v>
      </c>
      <c r="AT21" s="25">
        <f t="shared" si="2"/>
        <v>213</v>
      </c>
      <c r="CC21" s="33" t="s">
        <v>29</v>
      </c>
      <c r="CD21" s="34">
        <f ca="1">COUNTIFS($Q$246:$Q$438,"FA",$S$246:$S$438,"Y",$X$246:$X$438,"Penting")</f>
        <v>0</v>
      </c>
      <c r="CE21" s="34">
        <f t="shared" ca="1" si="5"/>
        <v>0</v>
      </c>
      <c r="CF21" s="35" t="e">
        <f t="shared" ca="1" si="12"/>
        <v>#DIV/0!</v>
      </c>
      <c r="CG21" s="36"/>
      <c r="CH21" s="33" t="s">
        <v>37</v>
      </c>
      <c r="CI21" s="37">
        <f>COUNTIFS($AK$246:$AK$438,"V",$X$246:$X$438,"Penting",$S$246:$S$438,"Y")</f>
        <v>0</v>
      </c>
      <c r="CJ21" s="34">
        <f t="shared" si="6"/>
        <v>0</v>
      </c>
      <c r="CK21" s="35" t="e">
        <f t="shared" si="7"/>
        <v>#DIV/0!</v>
      </c>
      <c r="CM21" s="33" t="s">
        <v>39</v>
      </c>
      <c r="CN21" s="34">
        <f ca="1">COUNTIFS($Q$246:$Q$438,"PPC",$S$246:$S$438,"X",$X$246:$X$438,"Penting")</f>
        <v>0</v>
      </c>
      <c r="CO21" s="34">
        <f t="shared" ca="1" si="8"/>
        <v>4</v>
      </c>
      <c r="CP21" s="35">
        <f t="shared" ca="1" si="9"/>
        <v>1</v>
      </c>
      <c r="CR21" s="33" t="s">
        <v>31</v>
      </c>
      <c r="CS21" s="37">
        <f>COUNTIFS($AL$246:$AL$438,"V",$X$246:$X$438,"Penting",$S$246:$S$438,"X")</f>
        <v>0</v>
      </c>
      <c r="CT21" s="34">
        <f t="shared" si="10"/>
        <v>4</v>
      </c>
      <c r="CU21" s="35">
        <f t="shared" si="11"/>
        <v>1</v>
      </c>
    </row>
    <row r="22" spans="3:99" ht="25.5" customHeight="1" x14ac:dyDescent="0.25">
      <c r="C22" s="25">
        <v>5</v>
      </c>
      <c r="D22" s="164" t="s">
        <v>40</v>
      </c>
      <c r="E22" s="25" t="s">
        <v>30</v>
      </c>
      <c r="F22" s="26">
        <f>COUNTIFS($Q$134:$Q$438,"EXIM",$X$134:$X$438,"Penting")</f>
        <v>17</v>
      </c>
      <c r="G22" s="26">
        <f>COUNTIFS($Q$134:$Q$438,"EXIM",$X$134:$X$438,"Biasa")</f>
        <v>0</v>
      </c>
      <c r="H22" s="26">
        <f t="shared" si="0"/>
        <v>17</v>
      </c>
      <c r="I22" s="26">
        <f ca="1">COUNTIFS($Q$246:$Q$438,"EXIM",$S$246:$S$438,"O",$X$246:$X$438,"Penting")</f>
        <v>16</v>
      </c>
      <c r="J22" s="26">
        <f ca="1">COUNTIFS($Q$246:$Q$438,"EXIM",$S$246:$S$438,"Y",$X$246:$X$438,"Penting")</f>
        <v>0</v>
      </c>
      <c r="K22" s="26">
        <f ca="1">COUNTIFS($Q$246:$Q$438,"EXIM",$S$246:$S$438,"Z",$X$246:$X$438,"Penting")</f>
        <v>1</v>
      </c>
      <c r="L22" s="26">
        <f ca="1">COUNTIFS($Q$246:$Q$438,"EXIM",$S$246:$S$438,"X",$X$246:$X$438,"Penting")</f>
        <v>0</v>
      </c>
      <c r="M22" s="27">
        <f ca="1">COUNTIFS($Q$246:$Q$438,"EXIM",$S$246:$S$438,"C",$X$246:$X$438,"Penting")</f>
        <v>0</v>
      </c>
      <c r="N22" s="27">
        <f t="shared" ca="1" si="3"/>
        <v>17</v>
      </c>
      <c r="O22" s="26">
        <f ca="1">COUNTIFS($Q$246:$Q$438,"EXIM",$S$246:$S$438,"O",$X$246:$X$438,"Biasa")</f>
        <v>0</v>
      </c>
      <c r="P22" s="26">
        <f ca="1">COUNTIFS($Q$246:$Q$438,"EXIM",$S$246:$S$438,"Y",$X$246:$X$438,"Biasa")</f>
        <v>0</v>
      </c>
      <c r="Q22" s="26">
        <f ca="1">COUNTIFS($Q$246:$Q$438,"EXIM",$S$246:$S$438,"Z",$X$246:$X$438,"Biasa")</f>
        <v>0</v>
      </c>
      <c r="R22" s="26">
        <f ca="1">COUNTIFS($Q$246:$Q$438,"EXIM",$S$246:$S$438,"X",$X$246:$X$438,"Biasa")</f>
        <v>0</v>
      </c>
      <c r="S22" s="26">
        <f ca="1">COUNTIFS($Q$246:$Q$438,"EXIM",$S$246:$S$438,"C",$X$246:$X$438,"Biasa")</f>
        <v>0</v>
      </c>
      <c r="T22" s="26">
        <f t="shared" ca="1" si="4"/>
        <v>0</v>
      </c>
      <c r="U22" s="26">
        <f t="shared" ca="1" si="1"/>
        <v>16</v>
      </c>
      <c r="V22" s="26">
        <f t="shared" ca="1" si="1"/>
        <v>0</v>
      </c>
      <c r="W22" s="28">
        <f t="shared" ca="1" si="1"/>
        <v>1</v>
      </c>
      <c r="X22" s="26">
        <f t="shared" ca="1" si="1"/>
        <v>0</v>
      </c>
      <c r="Y22" s="28">
        <f t="shared" ca="1" si="1"/>
        <v>0</v>
      </c>
      <c r="Z22" s="29"/>
      <c r="AA22" s="30"/>
      <c r="AB22" s="30"/>
      <c r="AC22" s="30"/>
      <c r="AF22" s="2"/>
      <c r="AG22" s="2"/>
      <c r="AQ22" s="31">
        <v>44501</v>
      </c>
      <c r="AR22" s="26">
        <v>215</v>
      </c>
      <c r="AS22" s="26">
        <v>4</v>
      </c>
      <c r="AT22" s="25">
        <f t="shared" si="2"/>
        <v>219</v>
      </c>
      <c r="CC22" s="33" t="s">
        <v>28</v>
      </c>
      <c r="CD22" s="34">
        <f ca="1">COUNTIFS($Q$246:$Q$438,"EXIM",$S$246:$S$438,"Y",$X$246:$X$438,"Penting")</f>
        <v>0</v>
      </c>
      <c r="CE22" s="34">
        <f t="shared" ca="1" si="5"/>
        <v>0</v>
      </c>
      <c r="CF22" s="35" t="e">
        <f t="shared" ca="1" si="12"/>
        <v>#DIV/0!</v>
      </c>
      <c r="CG22" s="36"/>
      <c r="CH22" s="33" t="s">
        <v>41</v>
      </c>
      <c r="CI22" s="37">
        <f>COUNTIFS($AJ$246:$AJ$438,"V",$X$246:$X$438,"Penting",$S$246:$S$438,"Y")</f>
        <v>0</v>
      </c>
      <c r="CJ22" s="34">
        <f t="shared" si="6"/>
        <v>0</v>
      </c>
      <c r="CK22" s="35" t="e">
        <f t="shared" si="7"/>
        <v>#DIV/0!</v>
      </c>
      <c r="CM22" s="33" t="s">
        <v>42</v>
      </c>
      <c r="CN22" s="34">
        <f>COUNTIFS($Q$246:$Q$438,"MTP",$S$246:$S$438,"X",$X$246:$X$438,"Penting")</f>
        <v>0</v>
      </c>
      <c r="CO22" s="34">
        <f t="shared" ca="1" si="8"/>
        <v>4</v>
      </c>
      <c r="CP22" s="35">
        <f t="shared" ca="1" si="9"/>
        <v>1</v>
      </c>
      <c r="CR22" s="33" t="s">
        <v>41</v>
      </c>
      <c r="CS22" s="37">
        <f>COUNTIFS($AJ$246:$AJ$438,"V",$X$246:$X$438,"Penting",$S$246:$S$438,"X")</f>
        <v>0</v>
      </c>
      <c r="CT22" s="34">
        <f t="shared" si="10"/>
        <v>4</v>
      </c>
      <c r="CU22" s="35">
        <f t="shared" si="11"/>
        <v>1</v>
      </c>
    </row>
    <row r="23" spans="3:99" ht="25.5" customHeight="1" x14ac:dyDescent="0.25">
      <c r="C23" s="25">
        <v>6</v>
      </c>
      <c r="D23" s="165"/>
      <c r="E23" s="25" t="s">
        <v>39</v>
      </c>
      <c r="F23" s="26">
        <f>COUNTIFS($Q$134:$Q$438,"PPC",$X$134:$X$438,"Penting")</f>
        <v>8</v>
      </c>
      <c r="G23" s="26">
        <f>COUNTIFS($Q$134:$Q$438,"PPC",$X$134:$X$438,"Biasa")</f>
        <v>0</v>
      </c>
      <c r="H23" s="26">
        <f t="shared" si="0"/>
        <v>8</v>
      </c>
      <c r="I23" s="26">
        <f ca="1">COUNTIFS($Q$246:$Q$438,"PPC",$S$246:$S$438,"O",$X$246:$X$438,"Penting")</f>
        <v>8</v>
      </c>
      <c r="J23" s="26">
        <f ca="1">COUNTIFS($Q$246:$Q$438,"PPC",$S$246:$S$438,"Y",$X$246:$X$438,"Penting")</f>
        <v>0</v>
      </c>
      <c r="K23" s="26">
        <f ca="1">COUNTIFS($Q$246:$Q$438,"PPC",$S$246:$S$438,"Z",$X$246:$X$438,"Penting")</f>
        <v>0</v>
      </c>
      <c r="L23" s="26">
        <f ca="1">COUNTIFS($Q$246:$Q$438,"PPC",$S$246:$S$438,"X",$X$246:$X$438,"Penting")</f>
        <v>0</v>
      </c>
      <c r="M23" s="27">
        <f ca="1">COUNTIFS($Q$246:$Q$438,"PPC",$S$246:$S$438,"C",$X$246:$X$438,"Penting")</f>
        <v>0</v>
      </c>
      <c r="N23" s="27">
        <f t="shared" ca="1" si="3"/>
        <v>8</v>
      </c>
      <c r="O23" s="26">
        <f ca="1">COUNTIFS($Q$246:$Q$438,"PPC",$S$246:$S$438,"O",$X$246:$X$438,"Biasa")</f>
        <v>0</v>
      </c>
      <c r="P23" s="26">
        <f ca="1">COUNTIFS($Q$246:$Q$438,"PPC",$S$246:$S$438,"Y",$X$246:$X$438,"Biasa")</f>
        <v>0</v>
      </c>
      <c r="Q23" s="26">
        <f ca="1">COUNTIFS($Q$246:$Q$438,"PPC",$S$246:$S$438,"Z",$X$246:$X$438,"Biasa")</f>
        <v>0</v>
      </c>
      <c r="R23" s="26">
        <f ca="1">COUNTIFS($Q$246:$Q$438,"PPC",$S$246:$S$438,"X",$X$246:$X$438,"Biasa")</f>
        <v>0</v>
      </c>
      <c r="S23" s="26">
        <f ca="1">COUNTIFS($Q$246:$Q$438,"PPC",$S$246:$S$438,"C",$X$246:$X$438,"Biasa")</f>
        <v>0</v>
      </c>
      <c r="T23" s="26">
        <f t="shared" ca="1" si="4"/>
        <v>0</v>
      </c>
      <c r="U23" s="26">
        <f t="shared" ca="1" si="1"/>
        <v>8</v>
      </c>
      <c r="V23" s="26">
        <f t="shared" ca="1" si="1"/>
        <v>0</v>
      </c>
      <c r="W23" s="28">
        <f t="shared" ca="1" si="1"/>
        <v>0</v>
      </c>
      <c r="X23" s="26">
        <f t="shared" ca="1" si="1"/>
        <v>0</v>
      </c>
      <c r="Y23" s="28">
        <f t="shared" ca="1" si="1"/>
        <v>0</v>
      </c>
      <c r="Z23" s="29"/>
      <c r="AA23" s="30"/>
      <c r="AB23" s="30"/>
      <c r="AC23" s="30"/>
      <c r="AF23" s="2"/>
      <c r="AG23" s="2"/>
      <c r="AQ23" s="31">
        <v>44531</v>
      </c>
      <c r="AR23" s="26">
        <v>216</v>
      </c>
      <c r="AS23" s="26">
        <v>4</v>
      </c>
      <c r="AT23" s="25">
        <f t="shared" si="2"/>
        <v>220</v>
      </c>
      <c r="CC23" s="33" t="s">
        <v>39</v>
      </c>
      <c r="CD23" s="34">
        <f>COUNTIFS($Q$246:$Q$438,"QA",$S$246:$S$438,"Y",$X$246:$X$438,"Penting")</f>
        <v>0</v>
      </c>
      <c r="CE23" s="34">
        <f t="shared" ca="1" si="5"/>
        <v>0</v>
      </c>
      <c r="CF23" s="35" t="e">
        <f t="shared" ca="1" si="12"/>
        <v>#DIV/0!</v>
      </c>
      <c r="CG23" s="36"/>
      <c r="CH23" s="33" t="s">
        <v>43</v>
      </c>
      <c r="CI23" s="26">
        <f>COUNTIFS($AM$246:$AM$438,"V",$X$246:$X$438,"Penting",$S$246:$S$438,"Y")</f>
        <v>0</v>
      </c>
      <c r="CJ23" s="34">
        <f t="shared" si="6"/>
        <v>0</v>
      </c>
      <c r="CK23" s="35" t="e">
        <f t="shared" si="7"/>
        <v>#DIV/0!</v>
      </c>
      <c r="CM23" s="33" t="s">
        <v>30</v>
      </c>
      <c r="CN23" s="34">
        <f ca="1">COUNTIFS($Q$246:$Q$438,"EXIM",$S$246:$S$438,"X",$X$246:$X$438,"Penting")</f>
        <v>0</v>
      </c>
      <c r="CO23" s="34">
        <f t="shared" ca="1" si="8"/>
        <v>4</v>
      </c>
      <c r="CP23" s="35">
        <f t="shared" ca="1" si="9"/>
        <v>1</v>
      </c>
      <c r="CR23" s="33" t="s">
        <v>43</v>
      </c>
      <c r="CS23" s="26">
        <f>COUNTIFS($AM$246:$AM$438,"V",$X$246:$X$438,"Penting",$S$246:$S$438,"X")</f>
        <v>0</v>
      </c>
      <c r="CT23" s="34">
        <f t="shared" si="10"/>
        <v>4</v>
      </c>
      <c r="CU23" s="35">
        <f t="shared" si="11"/>
        <v>1</v>
      </c>
    </row>
    <row r="24" spans="3:99" ht="25.5" customHeight="1" x14ac:dyDescent="0.25">
      <c r="C24" s="25">
        <v>7</v>
      </c>
      <c r="D24" s="165"/>
      <c r="E24" s="25" t="s">
        <v>36</v>
      </c>
      <c r="F24" s="26">
        <f>COUNTIFS($Q$134:$Q$438,"LD",$X$134:$X$438,"Penting")</f>
        <v>15</v>
      </c>
      <c r="G24" s="26">
        <f>COUNTIFS($Q$134:$Q$438,"LD",$X$134:$X$438,"Biasa")</f>
        <v>8</v>
      </c>
      <c r="H24" s="26">
        <f t="shared" si="0"/>
        <v>23</v>
      </c>
      <c r="I24" s="26">
        <f ca="1">COUNTIFS($Q$246:$Q$438,"LD",$S$246:$S$438,"O",$X$246:$X$438,"Penting")</f>
        <v>1</v>
      </c>
      <c r="J24" s="26">
        <f ca="1">COUNTIFS($Q$246:$Q$438,"LD",$S$246:$S$438,"Y",$X$246:$X$438,"Penting")</f>
        <v>0</v>
      </c>
      <c r="K24" s="26">
        <f ca="1">COUNTIFS($Q$246:$Q$438,"LD",$S$246:$S$438,"Z",$X$246:$X$438,"Penting")</f>
        <v>3</v>
      </c>
      <c r="L24" s="26">
        <f ca="1">COUNTIFS($Q$246:$Q$438,"LD",$S$246:$S$438,"X",$X$246:$X$438,"Penting")</f>
        <v>0</v>
      </c>
      <c r="M24" s="27">
        <f ca="1">COUNTIFS($Q$246:$Q$438,"LD",$S$246:$S$438,"C",$X$246:$X$438,"Penting")</f>
        <v>0</v>
      </c>
      <c r="N24" s="27">
        <f t="shared" ca="1" si="3"/>
        <v>4</v>
      </c>
      <c r="O24" s="26">
        <f ca="1">COUNTIFS($Q$246:$Q$438,"LD",$S$246:$S$438,"O",$X$246:$X$438,"Biasa")</f>
        <v>2</v>
      </c>
      <c r="P24" s="26">
        <f ca="1">COUNTIFS($Q$246:$Q$438,"LD",$S$246:$S$438,"Y",$X$246:$X$438,"Biasa")</f>
        <v>0</v>
      </c>
      <c r="Q24" s="26">
        <f ca="1">COUNTIFS($Q$246:$Q$438,"LD",$S$246:$S$438,"Z",$X$246:$X$438,"Biasa")</f>
        <v>2</v>
      </c>
      <c r="R24" s="26">
        <f ca="1">COUNTIFS($Q$246:$Q$438,"LD",$S$246:$S$438,"X",$X$246:$X$438,"Biasa")</f>
        <v>0</v>
      </c>
      <c r="S24" s="26">
        <f ca="1">COUNTIFS($Q$246:$Q$438,"LD",$S$246:$S$438,"C",$X$246:$X$438,"Biasa")</f>
        <v>0</v>
      </c>
      <c r="T24" s="26">
        <f t="shared" ca="1" si="4"/>
        <v>4</v>
      </c>
      <c r="U24" s="26">
        <f t="shared" ca="1" si="1"/>
        <v>3</v>
      </c>
      <c r="V24" s="26">
        <f t="shared" ca="1" si="1"/>
        <v>0</v>
      </c>
      <c r="W24" s="28">
        <f t="shared" ca="1" si="1"/>
        <v>5</v>
      </c>
      <c r="X24" s="26">
        <f t="shared" ca="1" si="1"/>
        <v>0</v>
      </c>
      <c r="Y24" s="28">
        <f t="shared" ca="1" si="1"/>
        <v>0</v>
      </c>
      <c r="Z24" s="29"/>
      <c r="AA24" s="30"/>
      <c r="AB24" s="30"/>
      <c r="AC24" s="30"/>
      <c r="AF24" s="2"/>
      <c r="AG24" s="2"/>
      <c r="AQ24" s="31">
        <v>44562</v>
      </c>
      <c r="AR24" s="26">
        <v>221</v>
      </c>
      <c r="AS24" s="26">
        <v>4</v>
      </c>
      <c r="AT24" s="25">
        <f t="shared" si="2"/>
        <v>225</v>
      </c>
      <c r="CC24" s="33" t="s">
        <v>42</v>
      </c>
      <c r="CD24" s="34">
        <f ca="1">COUNTIFS($Q$246:$Q$438,"SHE",$S$246:$S$438,"Y",$X$246:$X$438,"Penting")</f>
        <v>0</v>
      </c>
      <c r="CE24" s="34">
        <f t="shared" ca="1" si="5"/>
        <v>0</v>
      </c>
      <c r="CF24" s="35" t="e">
        <f t="shared" ca="1" si="12"/>
        <v>#DIV/0!</v>
      </c>
      <c r="CG24" s="36"/>
      <c r="CH24" s="33" t="s">
        <v>44</v>
      </c>
      <c r="CI24" s="37">
        <f>COUNTIFS($AH$246:$AH$438,"V",$X$246:$X$438,"Penting",$S$246:$S$438,"Y")</f>
        <v>0</v>
      </c>
      <c r="CJ24" s="34">
        <f t="shared" si="6"/>
        <v>0</v>
      </c>
      <c r="CK24" s="35" t="e">
        <f t="shared" si="7"/>
        <v>#DIV/0!</v>
      </c>
      <c r="CM24" s="33" t="s">
        <v>29</v>
      </c>
      <c r="CN24" s="34">
        <f ca="1">COUNTIFS($Q$246:$Q$438,"SHE",$S$246:$S$438,"X",$X$246:$X$438,"Penting")</f>
        <v>0</v>
      </c>
      <c r="CO24" s="34">
        <f t="shared" ca="1" si="8"/>
        <v>4</v>
      </c>
      <c r="CP24" s="35">
        <f t="shared" ca="1" si="9"/>
        <v>1</v>
      </c>
      <c r="CR24" s="33" t="s">
        <v>44</v>
      </c>
      <c r="CS24" s="37">
        <f>COUNTIFS($AH$246:$AH$438,"V",$X$246:$X$438,"Penting",$S$246:$S$438,"X")</f>
        <v>0</v>
      </c>
      <c r="CT24" s="34">
        <f t="shared" si="10"/>
        <v>4</v>
      </c>
      <c r="CU24" s="35">
        <f t="shared" si="11"/>
        <v>1</v>
      </c>
    </row>
    <row r="25" spans="3:99" ht="25.5" customHeight="1" x14ac:dyDescent="0.25">
      <c r="C25" s="25">
        <v>8</v>
      </c>
      <c r="D25" s="165"/>
      <c r="E25" s="25" t="s">
        <v>32</v>
      </c>
      <c r="F25" s="26">
        <f>COUNTIFS($Q$134:$Q$438,"MPC",$X$134:$X$438,"Penting")</f>
        <v>27</v>
      </c>
      <c r="G25" s="26">
        <f>COUNTIFS($Q$134:$Q$438,"MPC",$X$134:$X$438,"Biasa")</f>
        <v>0</v>
      </c>
      <c r="H25" s="26">
        <f t="shared" si="0"/>
        <v>27</v>
      </c>
      <c r="I25" s="26">
        <f ca="1">COUNTIFS($Q$246:$Q$438,"MPC",$S$246:$S$438,"O",$X$246:$X$438,"Penting")</f>
        <v>14</v>
      </c>
      <c r="J25" s="26">
        <f ca="1">COUNTIFS($Q$246:$Q$438,"MPC",$S$246:$S$438,"Y",$X$246:$X$438,"Penting")</f>
        <v>0</v>
      </c>
      <c r="K25" s="26">
        <f ca="1">COUNTIFS($Q$246:$Q$438,"MPC",$S$246:$S$438,"Z",$X$246:$X$438,"Penting")</f>
        <v>9</v>
      </c>
      <c r="L25" s="26">
        <f ca="1">COUNTIFS($Q$246:$Q$438,"MPC",$S$246:$S$438,"X",$X$246:$X$438,"Penting")</f>
        <v>4</v>
      </c>
      <c r="M25" s="27">
        <f ca="1">COUNTIFS($Q$246:$Q$438,"MPC",$S$246:$S$438,"C",$X$246:$X$438,"Penting")</f>
        <v>0</v>
      </c>
      <c r="N25" s="27">
        <f t="shared" ca="1" si="3"/>
        <v>27</v>
      </c>
      <c r="O25" s="26">
        <f ca="1">COUNTIFS($Q$246:$Q$438,"MPC",$S$246:$S$438,"O",$X$246:$X$438,"Biasa")</f>
        <v>0</v>
      </c>
      <c r="P25" s="26">
        <f ca="1">COUNTIFS($Q$246:$Q$438,"MPC",$S$246:$S$438,"Y",$X$246:$X$438,"Biasa")</f>
        <v>0</v>
      </c>
      <c r="Q25" s="26">
        <f ca="1">COUNTIFS($Q$246:$Q$438,"MPC",$S$246:$S$438,"Z",$X$246:$X$438,"Biasa")</f>
        <v>0</v>
      </c>
      <c r="R25" s="26">
        <f ca="1">COUNTIFS($Q$246:$Q$438,"MPC",$S$246:$S$438,"X",$X$246:$X$438,"Biasa")</f>
        <v>0</v>
      </c>
      <c r="S25" s="26">
        <f ca="1">COUNTIFS($Q$246:$Q$438,"MPC",$S$246:$S$438,"C",$X$246:$X$438,"Biasa")</f>
        <v>0</v>
      </c>
      <c r="T25" s="26">
        <f t="shared" ca="1" si="4"/>
        <v>0</v>
      </c>
      <c r="U25" s="26">
        <f t="shared" ca="1" si="1"/>
        <v>14</v>
      </c>
      <c r="V25" s="26">
        <f t="shared" ca="1" si="1"/>
        <v>0</v>
      </c>
      <c r="W25" s="28">
        <f t="shared" ca="1" si="1"/>
        <v>9</v>
      </c>
      <c r="X25" s="26">
        <f t="shared" ca="1" si="1"/>
        <v>4</v>
      </c>
      <c r="Y25" s="28">
        <f t="shared" ca="1" si="1"/>
        <v>0</v>
      </c>
      <c r="Z25" s="29"/>
      <c r="AA25" s="30"/>
      <c r="AB25" s="30"/>
      <c r="AC25" s="30"/>
      <c r="AF25" s="2"/>
      <c r="AG25" s="2"/>
      <c r="AQ25" s="31">
        <v>44593</v>
      </c>
      <c r="AR25" s="26">
        <v>223</v>
      </c>
      <c r="AS25" s="26">
        <v>4</v>
      </c>
      <c r="AT25" s="25">
        <f t="shared" si="2"/>
        <v>227</v>
      </c>
      <c r="CC25" s="33" t="s">
        <v>36</v>
      </c>
      <c r="CD25" s="34">
        <f ca="1">COUNTIFS($Q$246:$Q$438,"GA",$S$246:$S$438,"Y",$X$246:$X$438,"Penting")</f>
        <v>0</v>
      </c>
      <c r="CE25" s="34">
        <f t="shared" ca="1" si="5"/>
        <v>0</v>
      </c>
      <c r="CF25" s="35" t="e">
        <f t="shared" ca="1" si="12"/>
        <v>#DIV/0!</v>
      </c>
      <c r="CG25" s="36"/>
      <c r="CH25" s="4"/>
      <c r="CI25" s="38"/>
      <c r="CJ25" s="38"/>
      <c r="CK25" s="39"/>
      <c r="CM25" s="33" t="s">
        <v>35</v>
      </c>
      <c r="CN25" s="34">
        <f>COUNTIFS($Q$246:$Q$438,"QA",$S$246:$S$438,"X",$X$246:$X$438,"Penting")</f>
        <v>0</v>
      </c>
      <c r="CO25" s="34">
        <f t="shared" ca="1" si="8"/>
        <v>4</v>
      </c>
      <c r="CP25" s="35">
        <f t="shared" ca="1" si="9"/>
        <v>1</v>
      </c>
    </row>
    <row r="26" spans="3:99" ht="25.5" customHeight="1" x14ac:dyDescent="0.25">
      <c r="C26" s="25">
        <v>9</v>
      </c>
      <c r="D26" s="166"/>
      <c r="E26" s="25" t="s">
        <v>45</v>
      </c>
      <c r="F26" s="26">
        <f>COUNTIFS($Q$134:$Q$438,"WHS",$X$134:$X$438,"Penting")</f>
        <v>0</v>
      </c>
      <c r="G26" s="26">
        <f>COUNTIFS($Q$134:$Q$438,"WHS",$X$134:$X$438,"Biasa")</f>
        <v>0</v>
      </c>
      <c r="H26" s="26">
        <f t="shared" si="0"/>
        <v>0</v>
      </c>
      <c r="I26" s="26">
        <f>COUNTIFS($Q$246:$Q$438,"WHS",$S$246:$S$438,"O",$X$246:$X$438,"Penting")</f>
        <v>0</v>
      </c>
      <c r="J26" s="26">
        <f>COUNTIFS($Q$246:$Q$438,"WHS",$S$246:$S$438,"Y",$X$246:$X$438,"Penting")</f>
        <v>0</v>
      </c>
      <c r="K26" s="26">
        <f>COUNTIFS($Q$246:$Q$438,"WHS",$S$246:$S$438,"Z",$X$246:$X$438,"Penting")</f>
        <v>0</v>
      </c>
      <c r="L26" s="26">
        <f>COUNTIFS($Q$246:$Q$438,"WHS",$S$246:$S$438,"X",$X$246:$X$438,"Penting")</f>
        <v>0</v>
      </c>
      <c r="M26" s="27">
        <f>COUNTIFS($Q$246:$Q$438,"WHS",$S$246:$S$438,"C",$X$246:$X$438,"Penting")</f>
        <v>0</v>
      </c>
      <c r="N26" s="27">
        <f t="shared" si="3"/>
        <v>0</v>
      </c>
      <c r="O26" s="26">
        <f>COUNTIFS($Q$246:$Q$438,"WHS",$S$246:$S$438,"O",$X$246:$X$438,"Biasa")</f>
        <v>0</v>
      </c>
      <c r="P26" s="26">
        <f>COUNTIFS($Q$246:$Q$438,"WHS",$S$246:$S$438,"Y",$X$246:$X$438,"Biasa")</f>
        <v>0</v>
      </c>
      <c r="Q26" s="26">
        <f>COUNTIFS($Q$246:$Q$438,"WHS",$S$246:$S$438,"Z",$X$246:$X$438,"Biasa")</f>
        <v>0</v>
      </c>
      <c r="R26" s="26">
        <f>COUNTIFS($Q$246:$Q$438,"WHS",$S$246:$S$438,"X",$X$246:$X$438,"Biasa")</f>
        <v>0</v>
      </c>
      <c r="S26" s="26">
        <f>COUNTIFS($Q$246:$Q$438,"WHS",$S$246:$S$438,"C",$X$246:$X$438,"Biasa")</f>
        <v>0</v>
      </c>
      <c r="T26" s="26">
        <f t="shared" si="4"/>
        <v>0</v>
      </c>
      <c r="U26" s="26">
        <f t="shared" si="1"/>
        <v>0</v>
      </c>
      <c r="V26" s="26">
        <f t="shared" si="1"/>
        <v>0</v>
      </c>
      <c r="W26" s="28">
        <f t="shared" si="1"/>
        <v>0</v>
      </c>
      <c r="X26" s="26">
        <f t="shared" si="1"/>
        <v>0</v>
      </c>
      <c r="Y26" s="28">
        <f t="shared" si="1"/>
        <v>0</v>
      </c>
      <c r="Z26" s="29"/>
      <c r="AA26" s="30"/>
      <c r="AB26" s="30"/>
      <c r="AC26" s="30"/>
      <c r="AF26" s="2"/>
      <c r="AG26" s="2"/>
      <c r="AQ26" s="31">
        <v>44621</v>
      </c>
      <c r="AR26" s="26">
        <v>225</v>
      </c>
      <c r="AS26" s="26">
        <v>4</v>
      </c>
      <c r="AT26" s="25">
        <f t="shared" si="2"/>
        <v>229</v>
      </c>
      <c r="CC26" s="33" t="s">
        <v>32</v>
      </c>
      <c r="CD26" s="34">
        <f>COUNTIFS($Q$246:$Q$438,"MTP",$S$246:$S$438,"Y",$X$246:$X$438,"Penting")</f>
        <v>0</v>
      </c>
      <c r="CE26" s="34">
        <f t="shared" ca="1" si="5"/>
        <v>0</v>
      </c>
      <c r="CF26" s="35" t="e">
        <f t="shared" ca="1" si="12"/>
        <v>#DIV/0!</v>
      </c>
      <c r="CG26" s="36"/>
      <c r="CH26" s="4"/>
      <c r="CI26" s="38"/>
      <c r="CJ26" s="38"/>
      <c r="CK26" s="39"/>
      <c r="CM26" s="33" t="s">
        <v>28</v>
      </c>
      <c r="CN26" s="34">
        <f ca="1">COUNTIFS($Q$246:$Q$438,"GA",$S$246:$S$438,"X",$X$246:$X$438,"Penting")</f>
        <v>0</v>
      </c>
      <c r="CO26" s="34">
        <f t="shared" ca="1" si="8"/>
        <v>4</v>
      </c>
      <c r="CP26" s="35">
        <f t="shared" ca="1" si="9"/>
        <v>1</v>
      </c>
    </row>
    <row r="27" spans="3:99" ht="25.5" customHeight="1" x14ac:dyDescent="0.25">
      <c r="C27" s="25">
        <v>10</v>
      </c>
      <c r="D27" s="25" t="s">
        <v>46</v>
      </c>
      <c r="E27" s="25" t="s">
        <v>42</v>
      </c>
      <c r="F27" s="26">
        <f>COUNTIFS($Q$134:$Q$438,"MTP",$X$134:$X$438,"Penting")</f>
        <v>12</v>
      </c>
      <c r="G27" s="26">
        <f>COUNTIFS($Q$134:$Q$438,"MTP",$X$134:$X$438,"Biasa")</f>
        <v>29</v>
      </c>
      <c r="H27" s="26">
        <f t="shared" si="0"/>
        <v>41</v>
      </c>
      <c r="I27" s="26">
        <f>COUNTIFS($Q$246:$Q$438,"MTP",$S$246:$S$438,"O",$X$246:$X$438,"Penting")</f>
        <v>0</v>
      </c>
      <c r="J27" s="26">
        <f>COUNTIFS($Q$246:$Q$438,"MTP",$S$246:$S$438,"Y",$X$246:$X$438,"Penting")</f>
        <v>0</v>
      </c>
      <c r="K27" s="26">
        <f>COUNTIFS($Q$246:$Q$438,"MTP",$S$246:$S$438,"Z",$X$246:$X$438,"Penting")</f>
        <v>2</v>
      </c>
      <c r="L27" s="26">
        <f>COUNTIFS($Q$246:$Q$438,"MTP",$S$246:$S$438,"X",$X$246:$X$438,"Penting")</f>
        <v>0</v>
      </c>
      <c r="M27" s="27">
        <f>COUNTIFS($Q$246:$Q$438,"MTP",$S$246:$S$438,"C",$X$246:$X$438,"Penting")</f>
        <v>0</v>
      </c>
      <c r="N27" s="27">
        <f t="shared" si="3"/>
        <v>2</v>
      </c>
      <c r="O27" s="26">
        <f>COUNTIFS($Q$246:$Q$438,"MTP",$S$246:$S$438,"O",$X$246:$X$438,"Biasa")</f>
        <v>0</v>
      </c>
      <c r="P27" s="26">
        <f>COUNTIFS($Q$246:$Q$438,"MTP",$S$246:$S$438,"Y",$X$246:$X$438,"Biasa")</f>
        <v>0</v>
      </c>
      <c r="Q27" s="26">
        <f>COUNTIFS($Q$246:$Q$438,"MTP",$S$246:$S$438,"Z",$X$246:$X$438,"Biasa")</f>
        <v>3</v>
      </c>
      <c r="R27" s="26">
        <f>COUNTIFS($Q$246:$Q$438,"MTP",$S$246:$S$438,"X",$X$246:$X$438,"Biasa")</f>
        <v>0</v>
      </c>
      <c r="S27" s="26">
        <f>COUNTIFS($Q$246:$Q$438,"MTP",$S$246:$S$438,"C",$X$246:$X$438,"Biasa")</f>
        <v>0</v>
      </c>
      <c r="T27" s="26">
        <f t="shared" si="4"/>
        <v>3</v>
      </c>
      <c r="U27" s="26">
        <f t="shared" si="1"/>
        <v>0</v>
      </c>
      <c r="V27" s="26">
        <f t="shared" si="1"/>
        <v>0</v>
      </c>
      <c r="W27" s="28">
        <f t="shared" si="1"/>
        <v>5</v>
      </c>
      <c r="X27" s="26">
        <f t="shared" si="1"/>
        <v>0</v>
      </c>
      <c r="Y27" s="28">
        <f t="shared" si="1"/>
        <v>0</v>
      </c>
      <c r="Z27" s="29"/>
      <c r="AA27" s="30"/>
      <c r="AB27" s="30"/>
      <c r="AC27" s="30"/>
      <c r="AF27" s="2"/>
      <c r="AG27" s="2"/>
      <c r="AQ27" s="31">
        <v>44652</v>
      </c>
      <c r="AR27" s="26">
        <v>229</v>
      </c>
      <c r="AS27" s="26">
        <v>4</v>
      </c>
      <c r="AT27" s="25">
        <f t="shared" si="2"/>
        <v>233</v>
      </c>
      <c r="CC27" s="33" t="s">
        <v>38</v>
      </c>
      <c r="CD27" s="34">
        <f ca="1">COUNTIFS($Q$246:$Q$438,"LD",$S$246:$S$438,"Y",$X$246:$X$438,"Penting")</f>
        <v>0</v>
      </c>
      <c r="CE27" s="34">
        <f t="shared" ca="1" si="5"/>
        <v>0</v>
      </c>
      <c r="CF27" s="35" t="e">
        <f t="shared" ca="1" si="12"/>
        <v>#DIV/0!</v>
      </c>
      <c r="CG27" s="36"/>
      <c r="CH27" s="4"/>
      <c r="CI27" s="38"/>
      <c r="CJ27" s="38"/>
      <c r="CK27" s="39"/>
      <c r="CM27" s="33" t="s">
        <v>38</v>
      </c>
      <c r="CN27" s="34">
        <f ca="1">COUNTIFS($Q$246:$Q$438,"IT",$S$246:$S$438,"X",$X$246:$X$438,"Penting")</f>
        <v>0</v>
      </c>
      <c r="CO27" s="34">
        <f t="shared" ca="1" si="8"/>
        <v>4</v>
      </c>
      <c r="CP27" s="35">
        <f t="shared" ca="1" si="9"/>
        <v>1</v>
      </c>
    </row>
    <row r="28" spans="3:99" ht="25.5" customHeight="1" x14ac:dyDescent="0.25">
      <c r="C28" s="25">
        <v>11</v>
      </c>
      <c r="D28" s="25" t="s">
        <v>47</v>
      </c>
      <c r="E28" s="25" t="s">
        <v>47</v>
      </c>
      <c r="F28" s="26">
        <f>COUNTIFS($Q$134:$Q$438,"FA",$X$134:$X$438,"Penting")</f>
        <v>6</v>
      </c>
      <c r="G28" s="26">
        <f>COUNTIFS($Q$134:$Q$438,"FA",$X$134:$X$438,"Biasa")</f>
        <v>2</v>
      </c>
      <c r="H28" s="26">
        <f t="shared" si="0"/>
        <v>8</v>
      </c>
      <c r="I28" s="26">
        <f ca="1">COUNTIFS($Q$246:$Q$438,"FA",$S$246:$S$438,"O",$X$246:$X$438,"Penting")</f>
        <v>6</v>
      </c>
      <c r="J28" s="26">
        <f ca="1">COUNTIFS($Q$246:$Q$438,"FA",$S$246:$S$438,"Y",$X$246:$X$438,"Penting")</f>
        <v>0</v>
      </c>
      <c r="K28" s="26">
        <f ca="1">COUNTIFS($Q$246:$Q$438,"FA",$S$246:$S$438,"Z",$X$246:$X$438,"Penting")</f>
        <v>0</v>
      </c>
      <c r="L28" s="26">
        <f ca="1">COUNTIFS($Q$246:$Q$438,"FA",$S$246:$S$438,"X",$X$246:$X$438,"Penting")</f>
        <v>0</v>
      </c>
      <c r="M28" s="27">
        <f ca="1">COUNTIFS($Q$246:$Q$438,"FA",$S$246:$S$438,"C",$X$246:$X$438,"Penting")</f>
        <v>0</v>
      </c>
      <c r="N28" s="27">
        <f t="shared" ca="1" si="3"/>
        <v>6</v>
      </c>
      <c r="O28" s="26">
        <f ca="1">COUNTIFS($Q$246:$Q$438,"FA",$S$246:$S$438,"O",$X$246:$X$438,"Biasa")</f>
        <v>2</v>
      </c>
      <c r="P28" s="26">
        <f ca="1">COUNTIFS($Q$246:$Q$438,"FA",$S$246:$S$438,"Y",$X$246:$X$438,"Biasa")</f>
        <v>0</v>
      </c>
      <c r="Q28" s="26">
        <f ca="1">COUNTIFS($Q$246:$Q$438,"FA",$S$246:$S$438,"Z",$X$246:$X$438,"Biasa")</f>
        <v>0</v>
      </c>
      <c r="R28" s="26">
        <f ca="1">COUNTIFS($Q$246:$Q$438,"FA",$S$246:$S$438,"X",$X$246:$X$438,"Biasa")</f>
        <v>0</v>
      </c>
      <c r="S28" s="26">
        <f ca="1">COUNTIFS($Q$246:$Q$438,"FA",$S$246:$S$438,"C",$X$246:$X$438,"Biasa")</f>
        <v>0</v>
      </c>
      <c r="T28" s="26">
        <f t="shared" ca="1" si="4"/>
        <v>2</v>
      </c>
      <c r="U28" s="26">
        <f t="shared" ca="1" si="1"/>
        <v>8</v>
      </c>
      <c r="V28" s="26">
        <f t="shared" ca="1" si="1"/>
        <v>0</v>
      </c>
      <c r="W28" s="28">
        <f t="shared" ca="1" si="1"/>
        <v>0</v>
      </c>
      <c r="X28" s="26">
        <f t="shared" ca="1" si="1"/>
        <v>0</v>
      </c>
      <c r="Y28" s="28">
        <f t="shared" ca="1" si="1"/>
        <v>0</v>
      </c>
      <c r="Z28" s="29"/>
      <c r="AA28" s="30"/>
      <c r="AB28" s="30"/>
      <c r="AC28" s="30"/>
      <c r="AF28" s="2"/>
      <c r="AG28" s="2"/>
      <c r="AQ28" s="31">
        <v>44682</v>
      </c>
      <c r="AR28" s="26"/>
      <c r="AS28" s="26"/>
      <c r="AT28" s="25">
        <f t="shared" si="2"/>
        <v>0</v>
      </c>
      <c r="CC28" s="33" t="s">
        <v>47</v>
      </c>
      <c r="CD28" s="34">
        <f ca="1">COUNTIFS($Q$246:$Q$438,"MPC",$S$246:$S$438,"Y",$X$246:$X$438,"Penting")</f>
        <v>0</v>
      </c>
      <c r="CE28" s="34">
        <f t="shared" ca="1" si="5"/>
        <v>0</v>
      </c>
      <c r="CF28" s="35" t="e">
        <f t="shared" ca="1" si="12"/>
        <v>#DIV/0!</v>
      </c>
      <c r="CG28" s="36"/>
      <c r="CH28" s="4"/>
      <c r="CI28" s="38"/>
      <c r="CJ28" s="38"/>
      <c r="CK28" s="39"/>
      <c r="CM28" s="33" t="s">
        <v>34</v>
      </c>
      <c r="CN28" s="34">
        <f ca="1">COUNTIFS($Q$246:$Q$438,"HR",$S$246:$S$438,"X",$X$246:$X$438,"Penting")</f>
        <v>0</v>
      </c>
      <c r="CO28" s="34">
        <f t="shared" ca="1" si="8"/>
        <v>4</v>
      </c>
      <c r="CP28" s="35">
        <f t="shared" ca="1" si="9"/>
        <v>1</v>
      </c>
    </row>
    <row r="29" spans="3:99" ht="25.5" customHeight="1" x14ac:dyDescent="0.25">
      <c r="C29" s="25">
        <v>12</v>
      </c>
      <c r="D29" s="25" t="s">
        <v>35</v>
      </c>
      <c r="E29" s="25" t="s">
        <v>35</v>
      </c>
      <c r="F29" s="26">
        <f>COUNTIFS($Q$134:$Q$438,"QA",$X$134:$X$438,"Penting")</f>
        <v>3</v>
      </c>
      <c r="G29" s="26">
        <f>COUNTIFS($Q$134:$Q$438,"QA",$X$134:$X$438,"Biasa")</f>
        <v>1</v>
      </c>
      <c r="H29" s="26">
        <f t="shared" si="0"/>
        <v>4</v>
      </c>
      <c r="I29" s="26">
        <f>COUNTIFS($Q$246:$Q$438,"QA",$S$246:$S$438,"O",$X$246:$X$438,"Penting")</f>
        <v>0</v>
      </c>
      <c r="J29" s="26">
        <f>COUNTIFS($Q$246:$Q$438,"QA",$S$246:$S$438,"Y",$X$246:$X$438,"Penting")</f>
        <v>0</v>
      </c>
      <c r="K29" s="26">
        <f>COUNTIFS($Q$246:$Q$438,"QA",$S$246:$S$438,"Z",$X$246:$X$438,"Penting")</f>
        <v>0</v>
      </c>
      <c r="L29" s="26">
        <f>COUNTIFS($Q$246:$Q$438,"QA",$S$246:$S$438,"X",$X$246:$X$438,"Penting")</f>
        <v>0</v>
      </c>
      <c r="M29" s="27">
        <f>COUNTIFS($Q$246:$Q$438,"QA",$S$246:$S$438,"C",$X$246:$X$438,"Penting")</f>
        <v>0</v>
      </c>
      <c r="N29" s="27">
        <f t="shared" si="3"/>
        <v>0</v>
      </c>
      <c r="O29" s="26">
        <f>COUNTIFS($Q$246:$Q$438,"QA",$S$246:$S$438,"O",$X$246:$X$438,"Biasa")</f>
        <v>0</v>
      </c>
      <c r="P29" s="26">
        <f>COUNTIFS($Q$246:$Q$438,"QA",$S$246:$S$438,"Y",$X$246:$X$438,"Biasa")</f>
        <v>0</v>
      </c>
      <c r="Q29" s="26">
        <f>COUNTIFS($Q$246:$Q$438,"QA",$S$246:$S$438,"Z",$X$246:$X$438,"Biasa")</f>
        <v>0</v>
      </c>
      <c r="R29" s="26">
        <f>COUNTIFS($Q$246:$Q$438,"QA",$S$246:$S$438,"X",$X$246:$X$438,"Biasa")</f>
        <v>0</v>
      </c>
      <c r="S29" s="26">
        <f>COUNTIFS($Q$246:$Q$438,"QA",$S$246:$S$438,"C",$X$246:$X$438,"Biasa")</f>
        <v>0</v>
      </c>
      <c r="T29" s="26">
        <f t="shared" si="4"/>
        <v>0</v>
      </c>
      <c r="U29" s="40">
        <f t="shared" si="1"/>
        <v>0</v>
      </c>
      <c r="V29" s="40">
        <f t="shared" si="1"/>
        <v>0</v>
      </c>
      <c r="W29" s="28">
        <f t="shared" si="1"/>
        <v>0</v>
      </c>
      <c r="X29" s="26">
        <f t="shared" si="1"/>
        <v>0</v>
      </c>
      <c r="Y29" s="28">
        <f t="shared" si="1"/>
        <v>0</v>
      </c>
      <c r="Z29" s="29"/>
      <c r="AA29" s="30"/>
      <c r="AB29" s="30"/>
      <c r="AC29" s="30"/>
      <c r="AF29" s="2"/>
      <c r="AG29" s="2"/>
      <c r="AQ29" s="31">
        <v>44713</v>
      </c>
      <c r="AR29" s="25"/>
      <c r="AS29" s="25"/>
      <c r="AT29" s="25">
        <f t="shared" si="2"/>
        <v>0</v>
      </c>
      <c r="BA29" s="41"/>
      <c r="CC29" s="33" t="s">
        <v>34</v>
      </c>
      <c r="CD29" s="34">
        <f ca="1">COUNTIFS($Q$246:$Q$438,"HR",$S$246:$S$438,"Y",$X$246:$X$438,"Penting")</f>
        <v>0</v>
      </c>
      <c r="CE29" s="34">
        <f t="shared" ca="1" si="5"/>
        <v>0</v>
      </c>
      <c r="CF29" s="35" t="e">
        <f t="shared" ca="1" si="12"/>
        <v>#DIV/0!</v>
      </c>
      <c r="CG29" s="36"/>
      <c r="CH29" s="4"/>
      <c r="CI29" s="38"/>
      <c r="CJ29" s="38"/>
      <c r="CK29" s="39"/>
      <c r="CM29" s="33" t="s">
        <v>47</v>
      </c>
      <c r="CN29" s="34">
        <f ca="1">COUNTIFS($Q$246:$Q$438,"FA",$S$246:$S$438,"X",$X$246:$X$438,"Penting")</f>
        <v>0</v>
      </c>
      <c r="CO29" s="34">
        <f t="shared" ca="1" si="8"/>
        <v>4</v>
      </c>
      <c r="CP29" s="35">
        <f t="shared" ca="1" si="9"/>
        <v>1</v>
      </c>
    </row>
    <row r="30" spans="3:99" ht="25.5" customHeight="1" x14ac:dyDescent="0.25">
      <c r="C30" s="167" t="s">
        <v>24</v>
      </c>
      <c r="D30" s="168"/>
      <c r="E30" s="169"/>
      <c r="F30" s="42">
        <f>SUM(F18:F29)</f>
        <v>146</v>
      </c>
      <c r="G30" s="43">
        <f>SUM(G18:G29)</f>
        <v>159</v>
      </c>
      <c r="H30" s="147">
        <f>SUM(F30:G30)</f>
        <v>305</v>
      </c>
      <c r="I30" s="44">
        <f ca="1">SUM(I18:I29)</f>
        <v>89</v>
      </c>
      <c r="J30" s="45">
        <f ca="1">SUM(J18:J29)</f>
        <v>0</v>
      </c>
      <c r="K30" s="19">
        <f ca="1">SUM(K18:K29)</f>
        <v>28</v>
      </c>
      <c r="L30" s="46">
        <f ca="1">SUM(L18:L29)</f>
        <v>4</v>
      </c>
      <c r="M30" s="47">
        <f ca="1">SUM(M18:M29)</f>
        <v>0</v>
      </c>
      <c r="N30" s="148">
        <f ca="1">SUM(I30:M30)</f>
        <v>121</v>
      </c>
      <c r="O30" s="44">
        <f ca="1">SUM(O18:O29)</f>
        <v>46</v>
      </c>
      <c r="P30" s="45">
        <f ca="1">SUM(P18:P29)</f>
        <v>0</v>
      </c>
      <c r="Q30" s="19">
        <f ca="1">SUM(Q18:Q29)</f>
        <v>26</v>
      </c>
      <c r="R30" s="46">
        <f ca="1">SUM(R18:R29)</f>
        <v>0</v>
      </c>
      <c r="S30" s="47">
        <f ca="1">SUM(S18:S29)</f>
        <v>0</v>
      </c>
      <c r="T30" s="48">
        <f ca="1">SUM(O30:S30)</f>
        <v>72</v>
      </c>
      <c r="U30" s="44">
        <f ca="1">SUM(U18:U29)</f>
        <v>135</v>
      </c>
      <c r="V30" s="45">
        <f ca="1">SUM(V18:V29)</f>
        <v>0</v>
      </c>
      <c r="W30" s="49">
        <f ca="1">SUM(W18:W29)</f>
        <v>54</v>
      </c>
      <c r="X30" s="46">
        <f ca="1">SUM(X18:X29)</f>
        <v>4</v>
      </c>
      <c r="Y30" s="47">
        <f ca="1">SUM(Y18:Y29)</f>
        <v>0</v>
      </c>
      <c r="Z30" s="50"/>
      <c r="AA30" s="51"/>
      <c r="AB30" s="51"/>
      <c r="AC30" s="51"/>
      <c r="AF30" s="2"/>
      <c r="AG30" s="2"/>
    </row>
    <row r="31" spans="3:99" ht="33" customHeight="1" x14ac:dyDescent="0.25">
      <c r="C31" s="170"/>
      <c r="D31" s="171"/>
      <c r="E31" s="172"/>
      <c r="F31" s="196">
        <f>SUM(F30:G30)</f>
        <v>305</v>
      </c>
      <c r="G31" s="197"/>
      <c r="I31" s="198">
        <f ca="1">SUM(I30:M30)</f>
        <v>121</v>
      </c>
      <c r="J31" s="198"/>
      <c r="K31" s="198"/>
      <c r="L31" s="198"/>
      <c r="M31" s="198"/>
      <c r="N31" s="2"/>
      <c r="O31" s="199">
        <f ca="1">SUM(O30:S30)</f>
        <v>72</v>
      </c>
      <c r="P31" s="199"/>
      <c r="Q31" s="199"/>
      <c r="R31" s="199"/>
      <c r="S31" s="199"/>
      <c r="T31" s="52"/>
      <c r="U31" s="200">
        <f ca="1">SUM(U30:W30)</f>
        <v>189</v>
      </c>
      <c r="V31" s="200"/>
      <c r="W31" s="200"/>
      <c r="X31" s="201">
        <f ca="1">SUM(X30:Y30)</f>
        <v>4</v>
      </c>
      <c r="Y31" s="201"/>
      <c r="Z31" s="53"/>
      <c r="AA31" s="54"/>
      <c r="AB31" s="54"/>
      <c r="AC31" s="54"/>
      <c r="AF31" s="2"/>
      <c r="AG31" s="2"/>
    </row>
    <row r="32" spans="3:99" ht="43.5" customHeight="1" x14ac:dyDescent="0.25">
      <c r="D32" s="2"/>
      <c r="J32" s="55"/>
      <c r="L32" s="55"/>
      <c r="N32" s="55"/>
      <c r="O32" s="55"/>
      <c r="P32" s="55"/>
      <c r="R32" s="56"/>
      <c r="U32" s="193">
        <f ca="1">SUM(U30:Y30)</f>
        <v>193</v>
      </c>
      <c r="V32" s="193"/>
      <c r="W32" s="193"/>
      <c r="X32" s="193"/>
      <c r="Y32" s="193"/>
      <c r="Z32" s="54"/>
      <c r="AA32" s="54"/>
      <c r="AB32" s="54"/>
      <c r="AC32" s="54"/>
    </row>
    <row r="33" spans="3:99" ht="42.75" customHeight="1" x14ac:dyDescent="0.4">
      <c r="D33" s="2"/>
      <c r="J33" s="55"/>
      <c r="L33" s="57"/>
      <c r="N33" s="55"/>
      <c r="O33" s="55"/>
      <c r="P33" s="55"/>
      <c r="R33" s="58"/>
      <c r="T33" s="59" t="s">
        <v>48</v>
      </c>
      <c r="U33" s="194">
        <f ca="1">(U30+V30)/U30</f>
        <v>1</v>
      </c>
      <c r="V33" s="194"/>
      <c r="W33" s="194"/>
      <c r="X33" s="194"/>
      <c r="Y33" s="194"/>
      <c r="Z33" s="60"/>
      <c r="AA33" s="60"/>
      <c r="AB33" s="60"/>
      <c r="AC33" s="60"/>
      <c r="AE33" s="61"/>
      <c r="CC33" s="16" t="s">
        <v>49</v>
      </c>
    </row>
    <row r="34" spans="3:99" ht="25.5" customHeight="1" x14ac:dyDescent="0.25">
      <c r="G34" s="1"/>
      <c r="H34" s="1"/>
      <c r="I34" s="4"/>
      <c r="J34" s="4"/>
      <c r="K34" s="38"/>
      <c r="L34" s="38"/>
      <c r="M34" s="38"/>
      <c r="Y34" s="1"/>
      <c r="Z34" s="1"/>
      <c r="AA34" s="1"/>
      <c r="AB34" s="1"/>
      <c r="AC34" s="1"/>
      <c r="BW34" s="4"/>
      <c r="BX34" s="4"/>
    </row>
    <row r="35" spans="3:99" ht="25.5" customHeight="1" x14ac:dyDescent="0.25">
      <c r="G35" s="1"/>
      <c r="H35" s="1"/>
      <c r="I35" s="4"/>
      <c r="J35" s="4"/>
      <c r="K35" s="38"/>
      <c r="L35" s="38"/>
      <c r="M35" s="38"/>
      <c r="O35" s="62"/>
      <c r="Y35" s="1"/>
      <c r="Z35" s="1"/>
      <c r="AA35" s="1"/>
      <c r="AB35" s="1"/>
      <c r="AC35" s="1"/>
      <c r="AD35" s="1"/>
      <c r="AE35" s="1"/>
      <c r="BW35" s="4"/>
      <c r="BX35" s="4"/>
      <c r="CC35" s="195" t="s">
        <v>19</v>
      </c>
      <c r="CD35" s="195"/>
      <c r="CE35" s="195"/>
      <c r="CF35" s="195"/>
      <c r="CH35" s="195" t="s">
        <v>19</v>
      </c>
      <c r="CI35" s="195"/>
      <c r="CJ35" s="195"/>
      <c r="CK35" s="195"/>
      <c r="CM35" s="195" t="s">
        <v>16</v>
      </c>
      <c r="CN35" s="195"/>
      <c r="CO35" s="195"/>
      <c r="CP35" s="195"/>
      <c r="CR35" s="195" t="s">
        <v>16</v>
      </c>
      <c r="CS35" s="195"/>
      <c r="CT35" s="195"/>
      <c r="CU35" s="195"/>
    </row>
    <row r="36" spans="3:99" ht="50.25" customHeight="1" x14ac:dyDescent="0.25">
      <c r="C36" s="184" t="s">
        <v>1</v>
      </c>
      <c r="D36" s="184" t="s">
        <v>2</v>
      </c>
      <c r="E36" s="184" t="s">
        <v>3</v>
      </c>
      <c r="F36" s="190" t="s">
        <v>50</v>
      </c>
      <c r="G36" s="191"/>
      <c r="H36" s="191"/>
      <c r="I36" s="191"/>
      <c r="J36" s="191"/>
      <c r="K36" s="191"/>
      <c r="L36" s="192"/>
      <c r="M36" s="190" t="s">
        <v>51</v>
      </c>
      <c r="N36" s="191"/>
      <c r="O36" s="191"/>
      <c r="P36" s="191"/>
      <c r="Q36" s="191"/>
      <c r="R36" s="191"/>
      <c r="S36" s="192"/>
      <c r="T36" s="187" t="s">
        <v>52</v>
      </c>
      <c r="U36" s="188"/>
      <c r="V36" s="188"/>
      <c r="W36" s="188"/>
      <c r="X36" s="188"/>
      <c r="Y36" s="188"/>
      <c r="Z36" s="189"/>
      <c r="AA36" s="187" t="s">
        <v>53</v>
      </c>
      <c r="AB36" s="188"/>
      <c r="AC36" s="188"/>
      <c r="AD36" s="188"/>
      <c r="AE36" s="188"/>
      <c r="AF36" s="188"/>
      <c r="AG36" s="189"/>
      <c r="AV36" s="187" t="s">
        <v>52</v>
      </c>
      <c r="AW36" s="188"/>
      <c r="AX36" s="188"/>
      <c r="AY36" s="188"/>
      <c r="AZ36" s="188"/>
      <c r="BA36" s="188"/>
      <c r="BB36" s="189"/>
      <c r="BC36" s="1" t="s">
        <v>7</v>
      </c>
      <c r="BD36" s="1" t="s">
        <v>8</v>
      </c>
      <c r="BW36" s="4"/>
      <c r="BX36" s="4"/>
      <c r="CC36" s="23" t="s">
        <v>23</v>
      </c>
      <c r="CD36" s="23" t="s">
        <v>24</v>
      </c>
      <c r="CE36" s="23" t="s">
        <v>25</v>
      </c>
      <c r="CF36" s="23" t="s">
        <v>26</v>
      </c>
      <c r="CG36" s="24"/>
      <c r="CH36" s="23" t="s">
        <v>23</v>
      </c>
      <c r="CI36" s="23" t="s">
        <v>24</v>
      </c>
      <c r="CJ36" s="23" t="s">
        <v>25</v>
      </c>
      <c r="CK36" s="23" t="s">
        <v>26</v>
      </c>
      <c r="CM36" s="23" t="s">
        <v>23</v>
      </c>
      <c r="CN36" s="23" t="s">
        <v>24</v>
      </c>
      <c r="CO36" s="23" t="s">
        <v>25</v>
      </c>
      <c r="CP36" s="23" t="s">
        <v>26</v>
      </c>
      <c r="CR36" s="23" t="s">
        <v>23</v>
      </c>
      <c r="CS36" s="23" t="s">
        <v>24</v>
      </c>
      <c r="CT36" s="23" t="s">
        <v>25</v>
      </c>
      <c r="CU36" s="23" t="s">
        <v>26</v>
      </c>
    </row>
    <row r="37" spans="3:99" ht="50.25" customHeight="1" x14ac:dyDescent="0.25">
      <c r="C37" s="185"/>
      <c r="D37" s="185"/>
      <c r="E37" s="185"/>
      <c r="F37" s="179" t="s">
        <v>44</v>
      </c>
      <c r="G37" s="181" t="s">
        <v>54</v>
      </c>
      <c r="H37" s="182"/>
      <c r="I37" s="182"/>
      <c r="J37" s="182"/>
      <c r="K37" s="183"/>
      <c r="L37" s="179" t="s">
        <v>10</v>
      </c>
      <c r="M37" s="179" t="s">
        <v>44</v>
      </c>
      <c r="N37" s="181" t="s">
        <v>54</v>
      </c>
      <c r="O37" s="182"/>
      <c r="P37" s="182"/>
      <c r="Q37" s="182"/>
      <c r="R37" s="183"/>
      <c r="S37" s="179" t="s">
        <v>10</v>
      </c>
      <c r="T37" s="179" t="s">
        <v>44</v>
      </c>
      <c r="U37" s="181" t="s">
        <v>54</v>
      </c>
      <c r="V37" s="182"/>
      <c r="W37" s="182"/>
      <c r="X37" s="182"/>
      <c r="Y37" s="183"/>
      <c r="Z37" s="145" t="s">
        <v>10</v>
      </c>
      <c r="AA37" s="179" t="s">
        <v>44</v>
      </c>
      <c r="AB37" s="181" t="s">
        <v>54</v>
      </c>
      <c r="AC37" s="182"/>
      <c r="AD37" s="182"/>
      <c r="AE37" s="182"/>
      <c r="AF37" s="183"/>
      <c r="AG37" s="179" t="s">
        <v>10</v>
      </c>
      <c r="AU37" s="179" t="s">
        <v>55</v>
      </c>
      <c r="AV37" s="179" t="s">
        <v>56</v>
      </c>
      <c r="AW37" s="181" t="s">
        <v>54</v>
      </c>
      <c r="AX37" s="182"/>
      <c r="AY37" s="182"/>
      <c r="AZ37" s="182"/>
      <c r="BA37" s="183"/>
      <c r="BB37" s="179" t="s">
        <v>10</v>
      </c>
      <c r="BD37" s="1" t="s">
        <v>14</v>
      </c>
      <c r="BE37" s="1" t="s">
        <v>16</v>
      </c>
      <c r="BW37" s="4"/>
      <c r="BX37" s="4"/>
      <c r="CC37" s="32"/>
      <c r="CD37" s="32"/>
      <c r="CE37" s="32"/>
      <c r="CF37" s="25">
        <v>0</v>
      </c>
      <c r="CH37" s="32"/>
      <c r="CI37" s="32"/>
      <c r="CJ37" s="32"/>
      <c r="CK37" s="25">
        <v>0</v>
      </c>
      <c r="CM37" s="32"/>
      <c r="CN37" s="32"/>
      <c r="CO37" s="32"/>
      <c r="CP37" s="25">
        <v>0</v>
      </c>
      <c r="CR37" s="32"/>
      <c r="CS37" s="32"/>
      <c r="CT37" s="32"/>
      <c r="CU37" s="25">
        <v>0</v>
      </c>
    </row>
    <row r="38" spans="3:99" ht="50.25" customHeight="1" x14ac:dyDescent="0.25">
      <c r="C38" s="186"/>
      <c r="D38" s="186"/>
      <c r="E38" s="186"/>
      <c r="F38" s="180"/>
      <c r="G38" s="22" t="s">
        <v>33</v>
      </c>
      <c r="H38" s="22" t="s">
        <v>41</v>
      </c>
      <c r="I38" s="22" t="s">
        <v>37</v>
      </c>
      <c r="J38" s="22" t="s">
        <v>31</v>
      </c>
      <c r="K38" s="22" t="s">
        <v>57</v>
      </c>
      <c r="L38" s="180"/>
      <c r="M38" s="180"/>
      <c r="N38" s="22" t="s">
        <v>33</v>
      </c>
      <c r="O38" s="22" t="s">
        <v>41</v>
      </c>
      <c r="P38" s="22" t="s">
        <v>37</v>
      </c>
      <c r="Q38" s="22" t="s">
        <v>31</v>
      </c>
      <c r="R38" s="22" t="s">
        <v>57</v>
      </c>
      <c r="S38" s="180"/>
      <c r="T38" s="180"/>
      <c r="U38" s="22" t="s">
        <v>33</v>
      </c>
      <c r="V38" s="22" t="s">
        <v>41</v>
      </c>
      <c r="W38" s="22" t="s">
        <v>37</v>
      </c>
      <c r="X38" s="22" t="s">
        <v>31</v>
      </c>
      <c r="Y38" s="22" t="s">
        <v>57</v>
      </c>
      <c r="Z38" s="146"/>
      <c r="AA38" s="180"/>
      <c r="AB38" s="22" t="s">
        <v>33</v>
      </c>
      <c r="AC38" s="22" t="s">
        <v>41</v>
      </c>
      <c r="AD38" s="22" t="s">
        <v>37</v>
      </c>
      <c r="AE38" s="22" t="s">
        <v>31</v>
      </c>
      <c r="AF38" s="22" t="s">
        <v>57</v>
      </c>
      <c r="AG38" s="180"/>
      <c r="AU38" s="180"/>
      <c r="AV38" s="180"/>
      <c r="AW38" s="22" t="s">
        <v>33</v>
      </c>
      <c r="AX38" s="22" t="s">
        <v>41</v>
      </c>
      <c r="AY38" s="22" t="s">
        <v>37</v>
      </c>
      <c r="AZ38" s="22" t="s">
        <v>31</v>
      </c>
      <c r="BA38" s="22" t="s">
        <v>57</v>
      </c>
      <c r="BB38" s="180"/>
      <c r="BW38" s="4"/>
      <c r="BX38" s="4"/>
      <c r="CC38" s="33" t="s">
        <v>34</v>
      </c>
      <c r="CD38" s="34">
        <f ca="1">COUNTIFS($Q$246:$Q$438,"GA",$S$246:$S$438,"Y",$X$246:$X$438,"Biasa")</f>
        <v>0</v>
      </c>
      <c r="CE38" s="34">
        <f t="shared" ref="CE38:CE48" ca="1" si="13">CE37+CD38</f>
        <v>0</v>
      </c>
      <c r="CF38" s="35" t="e">
        <f t="shared" ref="CF38:CF48" ca="1" si="14">CE38/$CE$48</f>
        <v>#DIV/0!</v>
      </c>
      <c r="CG38" s="36"/>
      <c r="CH38" s="33" t="s">
        <v>33</v>
      </c>
      <c r="CI38" s="37">
        <f>COUNTIFS($AI$246:$AI$438,"V",$X$246:$X$438,"Biasa",$S$246:$S$438,"Y")</f>
        <v>0</v>
      </c>
      <c r="CJ38" s="34">
        <f t="shared" ref="CJ38:CJ43" si="15">CI38+CJ37</f>
        <v>0</v>
      </c>
      <c r="CK38" s="35" t="e">
        <f t="shared" ref="CK38:CK43" si="16">CJ38/$CJ$43</f>
        <v>#DIV/0!</v>
      </c>
      <c r="CM38" s="33" t="s">
        <v>42</v>
      </c>
      <c r="CN38" s="34">
        <f>COUNTIFS($Q$246:$Q$438,"MTP",$S$246:$S$438,"X",$X$246:$X$438,"Biasa")</f>
        <v>0</v>
      </c>
      <c r="CO38" s="34">
        <f t="shared" ref="CO38:CO48" si="17">CN38+CO37</f>
        <v>0</v>
      </c>
      <c r="CP38" s="35" t="e">
        <f t="shared" ref="CP38:CP48" ca="1" si="18">CO38/$CO$48</f>
        <v>#DIV/0!</v>
      </c>
      <c r="CR38" s="33" t="s">
        <v>33</v>
      </c>
      <c r="CS38" s="37">
        <f>COUNTIFS($AI$246:$AI$438,"V",$X$246:$X$438,"Biasa",$S$246:$S$438,"X")</f>
        <v>0</v>
      </c>
      <c r="CT38" s="34">
        <f t="shared" ref="CT38:CT43" si="19">CS38+CT37</f>
        <v>0</v>
      </c>
      <c r="CU38" s="35" t="e">
        <f t="shared" ref="CU38:CU43" si="20">CT38/$CT$43</f>
        <v>#DIV/0!</v>
      </c>
    </row>
    <row r="39" spans="3:99" ht="25.5" customHeight="1" x14ac:dyDescent="0.25">
      <c r="C39" s="25">
        <v>1</v>
      </c>
      <c r="D39" s="164" t="s">
        <v>27</v>
      </c>
      <c r="E39" s="25" t="s">
        <v>28</v>
      </c>
      <c r="F39" s="26">
        <f>COUNTIFS($Q$246:$Q$438,"GA",$AH$246:$AH$438,"V",$X$246:$X$438,"Penting",$S$246:$S$438,"Y")</f>
        <v>0</v>
      </c>
      <c r="G39" s="37">
        <f>COUNTIFS($Q$246:$Q$438,"GA",$AI$246:$AI$438,"V",$X$246:$X$438,"Penting",$S$246:$S$438,"Y")</f>
        <v>0</v>
      </c>
      <c r="H39" s="37">
        <f>COUNTIFS($Q$246:$Q$438,"GA",$AJ$246:$AJ$438,"V",$X$246:$X$438,"Penting",$S$246:$S$438,"Y")</f>
        <v>0</v>
      </c>
      <c r="I39" s="37">
        <f>COUNTIFS($Q$246:$Q$438,"GA",$AK$246:$AK$438,"V",$X$246:$X$438,"Penting",$S$246:$S$438,"Y")</f>
        <v>0</v>
      </c>
      <c r="J39" s="37">
        <f>COUNTIFS($Q$246:$Q$438,"GA",$AL$246:$AL$438,"V",$X$246:$X$438,"Penting",$S$246:$S$438,"Y")</f>
        <v>0</v>
      </c>
      <c r="K39" s="37">
        <f>COUNTIFS($Q$246:$Q$438,"GA",$AM$246:$AM$438,"V",$X$246:$X$438,"Penting",$S$246:$S$438,"Y")</f>
        <v>0</v>
      </c>
      <c r="L39" s="26">
        <f t="shared" ref="L39:L51" si="21">SUM(F39:K39)</f>
        <v>0</v>
      </c>
      <c r="M39" s="26">
        <f>COUNTIFS($Q$246:$Q$438,"GA",$AH$246:$AH$438,"V",$X$246:$X$438,"Penting",$S$246:$S$438,"X")</f>
        <v>0</v>
      </c>
      <c r="N39" s="37">
        <f>COUNTIFS($Q$246:$Q$438,"GA",$AI$246:$AI$438,"V",$X$246:$X$438,"Penting",$S$246:$S$438,"X")</f>
        <v>0</v>
      </c>
      <c r="O39" s="37">
        <f>COUNTIFS($Q$246:$Q$438,"GA",$AJ$246:$AJ$438,"V",$X$246:$X$438,"Penting",$S$246:$S$438,"X")</f>
        <v>0</v>
      </c>
      <c r="P39" s="37">
        <f>COUNTIFS($Q$246:$Q$438,"GA",$AK$246:$AK$438,"V",$X$246:$X$438,"Penting",$S$246:$S$438,"X")</f>
        <v>0</v>
      </c>
      <c r="Q39" s="37">
        <f>COUNTIFS($Q$246:$Q$438,"GA",$AL$246:$AL$438,"V",$X$246:$X$438,"Penting",$S$246:$S$438,"X")</f>
        <v>0</v>
      </c>
      <c r="R39" s="37">
        <f>COUNTIFS($Q$246:$Q$438,"GA",$AM$246:$AM$438,"V",$X$246:$X$438,"Penting",$S$246:$S$438,"X")</f>
        <v>0</v>
      </c>
      <c r="S39" s="26">
        <f t="shared" ref="S39:S51" si="22">SUM(M39:R39)</f>
        <v>0</v>
      </c>
      <c r="T39" s="26">
        <f>COUNTIFS($Q$246:$Q$438,"GA",$AH$246:$AH$438,"V",$X$246:$X$438,"Biasa",$S$246:$S$438,"Y")</f>
        <v>0</v>
      </c>
      <c r="U39" s="37">
        <f>COUNTIFS($Q$246:$Q$438,"GA",$AI$246:$AI$438,"V",$X$246:$X$438,"Biasa",$S$246:$S$438,"Y")</f>
        <v>0</v>
      </c>
      <c r="V39" s="37">
        <f>COUNTIFS($Q$246:$Q$438,"GA",$AJ$246:$AJ$438,"V",$X$246:$X$438,"Biasa",$S$246:$S$438,"Y")</f>
        <v>0</v>
      </c>
      <c r="W39" s="37">
        <f>COUNTIFS($Q$246:$Q$438,"GA",$AK$246:$AK$438,"V",$X$246:$X$438,"Biasa",$S$246:$S$438,"Y")</f>
        <v>0</v>
      </c>
      <c r="X39" s="37">
        <f>COUNTIFS($Q$246:$Q$438,"GA",$AL$246:$AL$438,"V",$X$246:$X$438,"Biasa",$S$246:$S$438,"Y")</f>
        <v>0</v>
      </c>
      <c r="Y39" s="37">
        <f>COUNTIFS($Q$246:$Q$438,"GA",$AM$246:$AM$438,"V",$X$246:$X$438,"Biasa",$S$246:$S$438,"Y")</f>
        <v>0</v>
      </c>
      <c r="Z39" s="26">
        <f t="shared" ref="Z39:Z51" si="23">SUM(T39:Y39)</f>
        <v>0</v>
      </c>
      <c r="AA39" s="26">
        <f>COUNTIFS($Q$246:$Q$438,"GA",$AH$246:$AH$438,"V",$X$246:$X$438,"Biasa",$S$246:$S$438,"X")</f>
        <v>0</v>
      </c>
      <c r="AB39" s="26">
        <f>COUNTIFS($Q$246:$Q$438,"GA",$AI$246:$AI$438,"V",$X$246:$X$438,"Biasa",$S$246:$S$438,"X")</f>
        <v>0</v>
      </c>
      <c r="AC39" s="26">
        <f>COUNTIFS($Q$246:$Q$438,"GA",$AJ$246:$AJ$438,"V",$X$246:$X$438,"Biasa",$S$246:$S$438,"X")</f>
        <v>0</v>
      </c>
      <c r="AD39" s="26">
        <f>COUNTIFS($Q$246:$Q$438,"GA",$AK$246:$AK$438,"V",$X$246:$X$438,"Biasa",$S$246:$S$438,"X")</f>
        <v>0</v>
      </c>
      <c r="AE39" s="26">
        <f>COUNTIFS($Q$246:$Q$438,"GA",$AL$246:$AL$438,"V",$X$246:$X$438,"Biasa",$S$246:$S$438,"X")</f>
        <v>0</v>
      </c>
      <c r="AF39" s="26">
        <f>COUNTIFS($Q$246:$Q$438,"GA",$AM$246:$AM$438,"V",$X$246:$X$438,"Biasa",$S$246:$S$438,"X")</f>
        <v>0</v>
      </c>
      <c r="AG39" s="26">
        <f t="shared" ref="AG39:AG51" si="24">SUM(AA39:AF39)</f>
        <v>0</v>
      </c>
      <c r="AT39" s="25" t="s">
        <v>28</v>
      </c>
      <c r="AU39" s="26">
        <f ca="1">U18</f>
        <v>67</v>
      </c>
      <c r="AV39" s="26">
        <f t="shared" ref="AV39:AV51" si="25">AG39+Z39+S39+L39</f>
        <v>0</v>
      </c>
      <c r="AW39" s="37">
        <f t="shared" ref="AW39:BA51" si="26">AB39+U39+N39+G39</f>
        <v>0</v>
      </c>
      <c r="AX39" s="37">
        <f t="shared" si="26"/>
        <v>0</v>
      </c>
      <c r="AY39" s="37">
        <f t="shared" si="26"/>
        <v>0</v>
      </c>
      <c r="AZ39" s="37">
        <f t="shared" si="26"/>
        <v>0</v>
      </c>
      <c r="BA39" s="37">
        <f t="shared" si="26"/>
        <v>0</v>
      </c>
      <c r="BB39" s="26">
        <f t="shared" ref="BB39:BB51" ca="1" si="27">SUM(AU39:AV39)</f>
        <v>67</v>
      </c>
      <c r="BD39" s="1">
        <f t="shared" ref="BD39:BE50" si="28">AV39+AZ39</f>
        <v>0</v>
      </c>
      <c r="BE39" s="1">
        <f t="shared" si="28"/>
        <v>0</v>
      </c>
      <c r="CC39" s="33" t="s">
        <v>28</v>
      </c>
      <c r="CD39" s="34">
        <f>COUNTIFS($Q$246:$Q$438,"MTP",$S$246:$S$438,"Y",$X$246:$X$438,"Biasa")</f>
        <v>0</v>
      </c>
      <c r="CE39" s="34">
        <f t="shared" ca="1" si="13"/>
        <v>0</v>
      </c>
      <c r="CF39" s="35" t="e">
        <f t="shared" ca="1" si="14"/>
        <v>#DIV/0!</v>
      </c>
      <c r="CG39" s="36"/>
      <c r="CH39" s="33" t="s">
        <v>37</v>
      </c>
      <c r="CI39" s="37">
        <f>COUNTIFS($AK$246:$AK$438,"V",$X$246:$X$438,"Biasa",$S$246:$S$438,"Y")</f>
        <v>0</v>
      </c>
      <c r="CJ39" s="34">
        <f t="shared" si="15"/>
        <v>0</v>
      </c>
      <c r="CK39" s="35" t="e">
        <f t="shared" si="16"/>
        <v>#DIV/0!</v>
      </c>
      <c r="CM39" s="33" t="s">
        <v>35</v>
      </c>
      <c r="CN39" s="34">
        <f>COUNTIFS($Q$246:$Q$438,"QA",$S$246:$S$438,"X",$X$246:$X$438,"Biasa")</f>
        <v>0</v>
      </c>
      <c r="CO39" s="34">
        <f t="shared" si="17"/>
        <v>0</v>
      </c>
      <c r="CP39" s="35" t="e">
        <f t="shared" ca="1" si="18"/>
        <v>#DIV/0!</v>
      </c>
      <c r="CR39" s="33" t="s">
        <v>37</v>
      </c>
      <c r="CS39" s="37">
        <f>COUNTIFS($AK$246:$AK$438,"V",$X$246:$X$438,"Biasa",$S$246:$S$438,"X")</f>
        <v>0</v>
      </c>
      <c r="CT39" s="34">
        <f t="shared" si="19"/>
        <v>0</v>
      </c>
      <c r="CU39" s="35" t="e">
        <f t="shared" si="20"/>
        <v>#DIV/0!</v>
      </c>
    </row>
    <row r="40" spans="3:99" ht="25.5" customHeight="1" x14ac:dyDescent="0.25">
      <c r="C40" s="25">
        <v>2</v>
      </c>
      <c r="D40" s="165"/>
      <c r="E40" s="25" t="s">
        <v>29</v>
      </c>
      <c r="F40" s="26">
        <f>COUNTIFS($Q$246:$Q$438,"SHE",$AH$246:$AH$438,"V",$X$246:$X$438,"Penting",$S$246:$S$438,"Y")</f>
        <v>0</v>
      </c>
      <c r="G40" s="37">
        <f>COUNTIFS($Q$246:$Q$438,"SHE",$AI$246:$AI$438,"V",$X$246:$X$438,"Penting",$S$246:$S$438,"Y")</f>
        <v>0</v>
      </c>
      <c r="H40" s="37">
        <f>COUNTIFS($Q$246:$Q$438,"SHE",$AJ$246:$AJ$438,"V",$X$246:$X$438,"Penting",$S$246:$S$438,"Y")</f>
        <v>0</v>
      </c>
      <c r="I40" s="37">
        <f>COUNTIFS($Q$246:$Q$438,"SHE",$AK$246:$AK$438,"V",$X$246:$X$438,"Penting",$S$246:$S$438,"Y")</f>
        <v>0</v>
      </c>
      <c r="J40" s="37">
        <f>COUNTIFS($Q$246:$Q$438,"SHE",$AL$246:$AL$438,"V",$X$246:$X$438,"Penting",$S$246:$S$438,"Y")</f>
        <v>0</v>
      </c>
      <c r="K40" s="37">
        <f>COUNTIFS($Q$246:$Q$438,"SHE",$AM$246:$AM$438,"V",$X$246:$X$438,"Penting",$S$246:$S$438,"Y")</f>
        <v>0</v>
      </c>
      <c r="L40" s="26">
        <f t="shared" si="21"/>
        <v>0</v>
      </c>
      <c r="M40" s="26">
        <f>COUNTIFS($Q$246:$Q$438,"SHE",$AH$246:$AH$438,"V",$X$246:$X$438,"Penting",$S$246:$S$438,"X")</f>
        <v>0</v>
      </c>
      <c r="N40" s="37">
        <f>COUNTIFS($Q$246:$Q$438,"SHE",$AI$246:$AI$438,"V",$X$246:$X$438,"Penting",$S$246:$S$438,"X")</f>
        <v>0</v>
      </c>
      <c r="O40" s="37">
        <f>COUNTIFS($Q$246:$Q$438,"SHE",$AJ$246:$AJ$438,"V",$X$246:$X$438,"Penting",$S$246:$S$438,"X")</f>
        <v>0</v>
      </c>
      <c r="P40" s="37">
        <f>COUNTIFS($Q$246:$Q$438,"SHE",$AK$246:$AK$438,"V",$X$246:$X$438,"Penting",$S$246:$S$438,"X")</f>
        <v>0</v>
      </c>
      <c r="Q40" s="37">
        <f>COUNTIFS($Q$246:$Q$438,"SHE",$AL$246:$AL$438,"V",$X$246:$X$438,"Penting",$S$246:$S$438,"X")</f>
        <v>0</v>
      </c>
      <c r="R40" s="37">
        <f>COUNTIFS($Q$246:$Q$438,"SHE",$AM$246:$AM$438,"V",$X$246:$X$438,"Penting",$S$246:$S$438,"X")</f>
        <v>0</v>
      </c>
      <c r="S40" s="26">
        <f t="shared" si="22"/>
        <v>0</v>
      </c>
      <c r="T40" s="26">
        <f>COUNTIFS($Q$246:$Q$438,"SHE",$AH$246:$AH$438,"V",$X$246:$X$438,"Biasa",$S$246:$S$438,"Y")</f>
        <v>0</v>
      </c>
      <c r="U40" s="37">
        <f>COUNTIFS($Q$246:$Q$438,"SHE",$AI$246:$AI$438,"V",$X$246:$X$438,"Biasa",$S$246:$S$438,"Y")</f>
        <v>0</v>
      </c>
      <c r="V40" s="37">
        <f>COUNTIFS($Q$246:$Q$438,"SHE",$AJ$246:$AJ$438,"V",$X$246:$X$438,"Biasa",$S$246:$S$438,"Y")</f>
        <v>0</v>
      </c>
      <c r="W40" s="37">
        <f>COUNTIFS($Q$246:$Q$438,"SHE",$AK$246:$AK$438,"V",$X$246:$X$438,"Biasa",$S$246:$S$438,"Y")</f>
        <v>0</v>
      </c>
      <c r="X40" s="37">
        <f>COUNTIFS($Q$246:$Q$438,"SHE",$AL$246:$AL$438,"V",$X$246:$X$438,"Biasa",$S$246:$S$438,"Y")</f>
        <v>0</v>
      </c>
      <c r="Y40" s="37">
        <f>COUNTIFS($Q$246:$Q$438,"SHE",$AM$246:$AM$438,"V",$X$246:$X$438,"Biasa",$S$246:$S$438,"Y")</f>
        <v>0</v>
      </c>
      <c r="Z40" s="26">
        <f t="shared" si="23"/>
        <v>0</v>
      </c>
      <c r="AA40" s="26">
        <f>COUNTIFS($Q$246:$Q$438,"SHE",$AH$246:$AH$438,"V",$X$246:$X$438,"Biasa",$S$246:$S$438,"X")</f>
        <v>0</v>
      </c>
      <c r="AB40" s="26">
        <f>COUNTIFS($Q$246:$Q$438,"SHE",$AI$246:$AI$438,"V",$X$246:$X$438,"Biasa",$S$246:$S$438,"X")</f>
        <v>0</v>
      </c>
      <c r="AC40" s="26">
        <f>COUNTIFS($Q$246:$Q$438,"SHE",$AJ$246:$AJ$438,"V",$X$246:$X$438,"Biasa",$S$246:$S$438,"X")</f>
        <v>0</v>
      </c>
      <c r="AD40" s="26">
        <f>COUNTIFS($Q$246:$Q$438,"SHE",$AK$246:$AK$438,"V",$X$246:$X$438,"Biasa",$S$246:$S$438,"X")</f>
        <v>0</v>
      </c>
      <c r="AE40" s="26">
        <f>COUNTIFS($Q$246:$Q$438,"SHE",$AL$246:$AL$438,"V",$X$246:$X$438,"Biasa",$S$246:$S$438,"X")</f>
        <v>0</v>
      </c>
      <c r="AF40" s="26">
        <f>COUNTIFS($Q$246:$Q$438,"SHE",$AM$246:$AM$438,"V",$X$246:$X$438,"Biasa",$S$246:$S$438,"X")</f>
        <v>0</v>
      </c>
      <c r="AG40" s="26">
        <f t="shared" si="24"/>
        <v>0</v>
      </c>
      <c r="AT40" s="25" t="s">
        <v>29</v>
      </c>
      <c r="AU40" s="26">
        <f t="shared" ref="AU40:AU50" ca="1" si="29">U19</f>
        <v>3</v>
      </c>
      <c r="AV40" s="26">
        <f t="shared" si="25"/>
        <v>0</v>
      </c>
      <c r="AW40" s="37">
        <f t="shared" si="26"/>
        <v>0</v>
      </c>
      <c r="AX40" s="37">
        <f t="shared" si="26"/>
        <v>0</v>
      </c>
      <c r="AY40" s="37">
        <f t="shared" si="26"/>
        <v>0</v>
      </c>
      <c r="AZ40" s="37">
        <f t="shared" si="26"/>
        <v>0</v>
      </c>
      <c r="BA40" s="37">
        <f t="shared" si="26"/>
        <v>0</v>
      </c>
      <c r="BB40" s="26">
        <f t="shared" ca="1" si="27"/>
        <v>3</v>
      </c>
      <c r="BD40" s="1">
        <f t="shared" si="28"/>
        <v>0</v>
      </c>
      <c r="BE40" s="1">
        <f t="shared" si="28"/>
        <v>0</v>
      </c>
      <c r="CC40" s="33" t="s">
        <v>42</v>
      </c>
      <c r="CD40" s="34">
        <f ca="1">COUNTIFS($Q$246:$Q$438,"HR",$S$246:$S$438,"Y",$X$246:$X$438,"Biasa")</f>
        <v>0</v>
      </c>
      <c r="CE40" s="34">
        <f t="shared" ca="1" si="13"/>
        <v>0</v>
      </c>
      <c r="CF40" s="35" t="e">
        <f t="shared" ca="1" si="14"/>
        <v>#DIV/0!</v>
      </c>
      <c r="CG40" s="36"/>
      <c r="CH40" s="33" t="s">
        <v>41</v>
      </c>
      <c r="CI40" s="37">
        <f>COUNTIFS($AJ$246:$AJ$438,"V",$X$246:$X$438,"Biasa",$S$246:$S$438,"Y")</f>
        <v>0</v>
      </c>
      <c r="CJ40" s="34">
        <f t="shared" si="15"/>
        <v>0</v>
      </c>
      <c r="CK40" s="35" t="e">
        <f t="shared" si="16"/>
        <v>#DIV/0!</v>
      </c>
      <c r="CM40" s="33" t="s">
        <v>28</v>
      </c>
      <c r="CN40" s="34">
        <f ca="1">COUNTIFS($Q$246:$Q$438,"GA",$S$246:$S$438,"X",$X$246:$X$438,"Biasa")</f>
        <v>0</v>
      </c>
      <c r="CO40" s="34">
        <f t="shared" ca="1" si="17"/>
        <v>0</v>
      </c>
      <c r="CP40" s="35" t="e">
        <f t="shared" ca="1" si="18"/>
        <v>#DIV/0!</v>
      </c>
      <c r="CR40" s="33" t="s">
        <v>41</v>
      </c>
      <c r="CS40" s="26">
        <f>COUNTIFS($AJ$246:$AJ$438,"V",$X$246:$X$438,"Biasa",$S$246:$S$438,"X")</f>
        <v>0</v>
      </c>
      <c r="CT40" s="34">
        <f t="shared" si="19"/>
        <v>0</v>
      </c>
      <c r="CU40" s="35" t="e">
        <f t="shared" si="20"/>
        <v>#DIV/0!</v>
      </c>
    </row>
    <row r="41" spans="3:99" ht="25.5" customHeight="1" x14ac:dyDescent="0.25">
      <c r="C41" s="25">
        <v>3</v>
      </c>
      <c r="D41" s="165"/>
      <c r="E41" s="25" t="s">
        <v>34</v>
      </c>
      <c r="F41" s="26">
        <f>COUNTIFS($Q$246:$Q$438,"HR",$AH$246:$AH$438,"V",$X$246:$X$438,"Penting",$S$246:$S$438,"Y")</f>
        <v>0</v>
      </c>
      <c r="G41" s="37">
        <f>COUNTIFS($Q$246:$Q$438,"HR",$AI$246:$AI$438,"V",$X$246:$X$438,"Penting",$S$246:$S$438,"Y")</f>
        <v>0</v>
      </c>
      <c r="H41" s="37">
        <f>COUNTIFS($Q$246:$Q$438,"HR",$AJ$246:$AJ$438,"V",$X$246:$X$438,"Penting",$S$246:$S$438,"Y")</f>
        <v>0</v>
      </c>
      <c r="I41" s="37">
        <f>COUNTIFS($Q$246:$Q$438,"HR",$AK$246:$AK$438,"V",$X$246:$X$438,"Penting",$S$246:$S$438,"Y")</f>
        <v>0</v>
      </c>
      <c r="J41" s="37">
        <f>COUNTIFS($Q$246:$Q$438,"HR",$AL$246:$AL$438,"V",$X$246:$X$438,"Penting",$S$246:$S$438,"Y")</f>
        <v>0</v>
      </c>
      <c r="K41" s="37">
        <f>COUNTIFS($Q$246:$Q$438,"HR",$AM$246:$AM$438,"V",$X$246:$X$438,"Penting",$S$246:$S$438,"Y")</f>
        <v>0</v>
      </c>
      <c r="L41" s="26">
        <f t="shared" si="21"/>
        <v>0</v>
      </c>
      <c r="M41" s="26">
        <f>COUNTIFS($Q$246:$Q$438,"HR",$AH$246:$AH$438,"V",$X$246:$X$438,"Penting",$S$246:$S$438,"X")</f>
        <v>0</v>
      </c>
      <c r="N41" s="37">
        <f>COUNTIFS($Q$246:$Q$438,"HR",$AI$246:$AI$438,"V",$X$246:$X$438,"Penting",$S$246:$S$438,"X")</f>
        <v>0</v>
      </c>
      <c r="O41" s="37">
        <f>COUNTIFS($Q$246:$Q$438,"HR",$AJ$246:$AJ$438,"V",$X$246:$X$438,"Penting",$S$246:$S$438,"X")</f>
        <v>0</v>
      </c>
      <c r="P41" s="37">
        <f>COUNTIFS($Q$246:$Q$438,"HR",$AK$246:$AK$438,"V",$X$246:$X$438,"Penting",$S$246:$S$438,"X")</f>
        <v>0</v>
      </c>
      <c r="Q41" s="37">
        <f>COUNTIFS($Q$246:$Q$438,"HR",$AL$246:$AL$438,"V",$X$246:$X$438,"Penting",$S$246:$S$438,"X")</f>
        <v>0</v>
      </c>
      <c r="R41" s="37">
        <f>COUNTIFS($Q$246:$Q$438,"HR",$AM$246:$AM$438,"V",$X$246:$X$438,"Penting",$S$246:$S$438,"X")</f>
        <v>0</v>
      </c>
      <c r="S41" s="26">
        <f t="shared" si="22"/>
        <v>0</v>
      </c>
      <c r="T41" s="26">
        <f>COUNTIFS($Q$246:$Q$438,"HR",$AH$246:$AH$438,"V",$X$246:$X$438,"Biasa",$S$246:$S$438,"Y")</f>
        <v>0</v>
      </c>
      <c r="U41" s="37">
        <f>COUNTIFS($Q$246:$Q$438,"HR",$AI$246:$AI$438,"V",$X$246:$X$438,"Biasa",$S$246:$S$438,"Y")</f>
        <v>0</v>
      </c>
      <c r="V41" s="37">
        <f>COUNTIFS($Q$246:$Q$438,"HR",$AJ$246:$AJ$438,"V",$X$246:$X$438,"Biasa",$S$246:$S$438,"Y")</f>
        <v>0</v>
      </c>
      <c r="W41" s="37">
        <f>COUNTIFS($Q$246:$Q$438,"HR",$AK$246:$AK$438,"V",$X$246:$X$438,"Biasa",$S$246:$S$438,"Y")</f>
        <v>0</v>
      </c>
      <c r="X41" s="37">
        <f>COUNTIFS($Q$246:$Q$438,"HR",$AL$246:$AL$438,"V",$X$246:$X$438,"Biasa",$S$246:$S$438,"Y")</f>
        <v>0</v>
      </c>
      <c r="Y41" s="37">
        <f>COUNTIFS($Q$246:$Q$438,"HR",$AM$246:$AM$438,"V",$X$246:$X$438,"Biasa",$S$246:$S$438,"Y")</f>
        <v>0</v>
      </c>
      <c r="Z41" s="26">
        <f t="shared" si="23"/>
        <v>0</v>
      </c>
      <c r="AA41" s="26">
        <f>COUNTIFS($Q$246:$Q$438,"HR",$AH$246:$AH$438,"V",$X$246:$X$438,"Biasa",$S$246:$S$438,"X")</f>
        <v>0</v>
      </c>
      <c r="AB41" s="26">
        <f>COUNTIFS($Q$246:$Q$438,"HR",$AI$246:$AI$438,"V",$X$246:$X$438,"Biasa",$S$246:$S$438,"X")</f>
        <v>0</v>
      </c>
      <c r="AC41" s="26">
        <f>COUNTIFS($Q$246:$Q$438,"HR",$AJ$246:$AJ$438,"V",$X$246:$X$438,"Biasa",$S$246:$S$438,"X")</f>
        <v>0</v>
      </c>
      <c r="AD41" s="26">
        <f>COUNTIFS($Q$246:$Q$438,"HR",$AK$246:$AK$438,"V",$X$246:$X$438,"Biasa",$S$246:$S$438,"X")</f>
        <v>0</v>
      </c>
      <c r="AE41" s="26">
        <f>COUNTIFS($Q$246:$Q$438,"HR",$AL$246:$AL$438,"V",$X$246:$X$438,"Biasa",$S$246:$S$438,"X")</f>
        <v>0</v>
      </c>
      <c r="AF41" s="26">
        <f>COUNTIFS($Q$246:$Q$438,"HR",$AM$246:$AM$438,"V",$X$246:$X$438,"Biasa",$S$246:$S$438,"X")</f>
        <v>0</v>
      </c>
      <c r="AG41" s="26">
        <f t="shared" si="24"/>
        <v>0</v>
      </c>
      <c r="AT41" s="25" t="s">
        <v>34</v>
      </c>
      <c r="AU41" s="26">
        <f t="shared" ca="1" si="29"/>
        <v>8</v>
      </c>
      <c r="AV41" s="26">
        <f t="shared" si="25"/>
        <v>0</v>
      </c>
      <c r="AW41" s="37">
        <f t="shared" si="26"/>
        <v>0</v>
      </c>
      <c r="AX41" s="37">
        <f t="shared" si="26"/>
        <v>0</v>
      </c>
      <c r="AY41" s="37">
        <f t="shared" si="26"/>
        <v>0</v>
      </c>
      <c r="AZ41" s="37">
        <f t="shared" si="26"/>
        <v>0</v>
      </c>
      <c r="BA41" s="37">
        <f t="shared" si="26"/>
        <v>0</v>
      </c>
      <c r="BB41" s="26">
        <f t="shared" ca="1" si="27"/>
        <v>8</v>
      </c>
      <c r="BD41" s="1">
        <f t="shared" si="28"/>
        <v>0</v>
      </c>
      <c r="BE41" s="1">
        <f t="shared" si="28"/>
        <v>0</v>
      </c>
      <c r="CC41" s="33" t="s">
        <v>35</v>
      </c>
      <c r="CD41" s="34">
        <f>COUNTIFS($Q$246:$Q$438,"QA",$S$246:$S$438,"Y",$X$246:$X$438,"Biasa")</f>
        <v>0</v>
      </c>
      <c r="CE41" s="34">
        <f t="shared" ca="1" si="13"/>
        <v>0</v>
      </c>
      <c r="CF41" s="35" t="e">
        <f t="shared" ca="1" si="14"/>
        <v>#DIV/0!</v>
      </c>
      <c r="CG41" s="36"/>
      <c r="CH41" s="33" t="s">
        <v>31</v>
      </c>
      <c r="CI41" s="26">
        <f>COUNTIFS($AL$246:$AL$438,"V",$X$246:$X$438,"Biasa",$S$246:$S$438,"Y")</f>
        <v>0</v>
      </c>
      <c r="CJ41" s="34">
        <f t="shared" si="15"/>
        <v>0</v>
      </c>
      <c r="CK41" s="35" t="e">
        <f t="shared" si="16"/>
        <v>#DIV/0!</v>
      </c>
      <c r="CM41" s="33" t="s">
        <v>38</v>
      </c>
      <c r="CN41" s="34">
        <f ca="1">COUNTIFS($Q$246:$Q$438,"IT",$S$246:$S$438,"X",$X$246:$X$438,"Biasa")</f>
        <v>0</v>
      </c>
      <c r="CO41" s="34">
        <f t="shared" ca="1" si="17"/>
        <v>0</v>
      </c>
      <c r="CP41" s="35" t="e">
        <f t="shared" ca="1" si="18"/>
        <v>#DIV/0!</v>
      </c>
      <c r="CR41" s="33" t="s">
        <v>43</v>
      </c>
      <c r="CS41" s="37">
        <f>COUNTIFS($AM$246:$AM$438,"V",$X$246:$X$438,"Biasa",$S$246:$S$438,"X")</f>
        <v>0</v>
      </c>
      <c r="CT41" s="34">
        <f t="shared" si="19"/>
        <v>0</v>
      </c>
      <c r="CU41" s="35" t="e">
        <f t="shared" si="20"/>
        <v>#DIV/0!</v>
      </c>
    </row>
    <row r="42" spans="3:99" ht="25.5" customHeight="1" x14ac:dyDescent="0.25">
      <c r="C42" s="25">
        <v>4</v>
      </c>
      <c r="D42" s="166"/>
      <c r="E42" s="25" t="s">
        <v>38</v>
      </c>
      <c r="F42" s="26">
        <f>COUNTIFS($Q$246:$Q$438,"IT",$AH$246:$AH$438,"V",$X$246:$X$438,"Penting",$S$246:$S$438,"Y")</f>
        <v>0</v>
      </c>
      <c r="G42" s="37">
        <f>COUNTIFS($Q$246:$Q$438,"IT",$AI$246:$AI$438,"V",$X$246:$X$438,"Penting",$S$246:$S$438,"Y")</f>
        <v>0</v>
      </c>
      <c r="H42" s="37">
        <f>COUNTIFS($Q$246:$Q$438,"IT",$AJ$246:$AJ$438,"V",$X$246:$X$438,"Penting",$S$246:$S$438,"Y")</f>
        <v>0</v>
      </c>
      <c r="I42" s="37">
        <f>COUNTIFS($Q$246:$Q$438,"IT",$AK$246:$AK$438,"V",$X$246:$X$438,"Penting",$S$246:$S$438,"Y")</f>
        <v>0</v>
      </c>
      <c r="J42" s="37">
        <f>COUNTIFS($Q$246:$Q$438,"IT",$AL$246:$AL$438,"V",$X$246:$X$438,"Penting",$S$246:$S$438,"Y")</f>
        <v>0</v>
      </c>
      <c r="K42" s="37">
        <f>COUNTIFS($Q$246:$Q$438,"IT",$AM$246:$AM$438,"V",$X$246:$X$438,"Penting",$S$246:$S$438,"Y")</f>
        <v>0</v>
      </c>
      <c r="L42" s="26">
        <f t="shared" si="21"/>
        <v>0</v>
      </c>
      <c r="M42" s="26">
        <f>COUNTIFS($Q$246:$Q$438,"IT",$AH$246:$AH$438,"V",$X$246:$X$438,"Penting",$S$246:$S$438,"X")</f>
        <v>0</v>
      </c>
      <c r="N42" s="37">
        <f>COUNTIFS($Q$246:$Q$438,"IT",$AI$246:$AI$438,"V",$X$246:$X$438,"Penting",$S$246:$S$438,"X")</f>
        <v>0</v>
      </c>
      <c r="O42" s="37">
        <f>COUNTIFS($Q$246:$Q$438,"IT",$AJ$246:$AJ$438,"V",$X$246:$X$438,"Penting",$S$246:$S$438,"X")</f>
        <v>0</v>
      </c>
      <c r="P42" s="37">
        <f>COUNTIFS($Q$246:$Q$438,"IT",$AK$246:$AK$438,"V",$X$246:$X$438,"Penting",$S$246:$S$438,"X")</f>
        <v>0</v>
      </c>
      <c r="Q42" s="37">
        <f>COUNTIFS($Q$246:$Q$438,"IT",$AL$246:$AL$438,"V",$X$246:$X$438,"Penting",$S$246:$S$438,"X")</f>
        <v>0</v>
      </c>
      <c r="R42" s="37">
        <f>COUNTIFS($Q$246:$Q$438,"IT",$AM$246:$AM$438,"V",$X$246:$X$438,"Penting",$S$246:$S$438,"X")</f>
        <v>0</v>
      </c>
      <c r="S42" s="26">
        <f t="shared" si="22"/>
        <v>0</v>
      </c>
      <c r="T42" s="26">
        <f>COUNTIFS($Q$246:$Q$438,"IT",$AH$246:$AH$438,"V",$X$246:$X$438,"Biasa",$S$246:$S$438,"Y")</f>
        <v>0</v>
      </c>
      <c r="U42" s="37">
        <f>COUNTIFS($Q$246:$Q$438,"IT",$AI$246:$AI$438,"V",$X$246:$X$438,"Biasa",$S$246:$S$438,"Y")</f>
        <v>0</v>
      </c>
      <c r="V42" s="37">
        <f>COUNTIFS($Q$246:$Q$438,"IT",$AJ$246:$AJ$438,"V",$X$246:$X$438,"Biasa",$S$246:$S$438,"Y")</f>
        <v>0</v>
      </c>
      <c r="W42" s="37">
        <f>COUNTIFS($Q$246:$Q$438,"IT",$AK$246:$AK$438,"V",$X$246:$X$438,"Biasa",$S$246:$S$438,"Y")</f>
        <v>0</v>
      </c>
      <c r="X42" s="37">
        <f>COUNTIFS($Q$246:$Q$438,"IT",$AL$246:$AL$438,"V",$X$246:$X$438,"Biasa",$S$246:$S$438,"Y")</f>
        <v>0</v>
      </c>
      <c r="Y42" s="37">
        <f>COUNTIFS($Q$246:$Q$438,"IT",$AM$246:$AM$438,"V",$X$246:$X$438,"Biasa",$S$246:$S$438,"Y")</f>
        <v>0</v>
      </c>
      <c r="Z42" s="26">
        <f t="shared" si="23"/>
        <v>0</v>
      </c>
      <c r="AA42" s="26">
        <f>COUNTIFS($Q$246:$Q$438,"IT",$AH$246:$AH$438,"V",$X$246:$X$438,"Biasa",$S$246:$S$438,"X")</f>
        <v>0</v>
      </c>
      <c r="AB42" s="26">
        <f>COUNTIFS($Q$246:$Q$438,"IT",$AI$246:$AI$438,"V",$X$246:$X$438,"Biasa",$S$246:$S$438,"X")</f>
        <v>0</v>
      </c>
      <c r="AC42" s="26">
        <f>COUNTIFS($Q$246:$Q$438,"IT",$AJ$246:$AJ$438,"V",$X$246:$X$438,"Biasa",$S$246:$S$438,"X")</f>
        <v>0</v>
      </c>
      <c r="AD42" s="26">
        <f>COUNTIFS($Q$246:$Q$438,"IT",$AK$246:$AK$438,"V",$X$246:$X$438,"Biasa",$S$246:$S$438,"X")</f>
        <v>0</v>
      </c>
      <c r="AE42" s="26">
        <f>COUNTIFS($Q$246:$Q$438,"IT",$AL$246:$AL$438,"V",$X$246:$X$438,"Biasa",$S$246:$S$438,"X")</f>
        <v>0</v>
      </c>
      <c r="AF42" s="26">
        <f>COUNTIFS($Q$246:$Q$438,"IT",$AM$246:$AM$438,"V",$X$246:$X$438,"Biasa",$S$246:$S$438,"X")</f>
        <v>0</v>
      </c>
      <c r="AG42" s="26">
        <f t="shared" si="24"/>
        <v>0</v>
      </c>
      <c r="AT42" s="25" t="s">
        <v>38</v>
      </c>
      <c r="AU42" s="26">
        <f t="shared" ca="1" si="29"/>
        <v>8</v>
      </c>
      <c r="AV42" s="26">
        <f t="shared" si="25"/>
        <v>0</v>
      </c>
      <c r="AW42" s="37">
        <f t="shared" si="26"/>
        <v>0</v>
      </c>
      <c r="AX42" s="37">
        <f t="shared" si="26"/>
        <v>0</v>
      </c>
      <c r="AY42" s="37">
        <f t="shared" si="26"/>
        <v>0</v>
      </c>
      <c r="AZ42" s="37">
        <f t="shared" si="26"/>
        <v>0</v>
      </c>
      <c r="BA42" s="37">
        <f t="shared" si="26"/>
        <v>0</v>
      </c>
      <c r="BB42" s="26">
        <f t="shared" ca="1" si="27"/>
        <v>8</v>
      </c>
      <c r="BD42" s="1">
        <f t="shared" si="28"/>
        <v>0</v>
      </c>
      <c r="BE42" s="1">
        <f t="shared" si="28"/>
        <v>0</v>
      </c>
      <c r="CC42" s="33" t="s">
        <v>36</v>
      </c>
      <c r="CD42" s="34">
        <f ca="1">COUNTIFS($Q$246:$Q$438,"LD",$S$246:$S$438,"Y",$X$246:$X$438,"Biasa")</f>
        <v>0</v>
      </c>
      <c r="CE42" s="34">
        <f t="shared" ca="1" si="13"/>
        <v>0</v>
      </c>
      <c r="CF42" s="35" t="e">
        <f t="shared" ca="1" si="14"/>
        <v>#DIV/0!</v>
      </c>
      <c r="CG42" s="36"/>
      <c r="CH42" s="33" t="s">
        <v>44</v>
      </c>
      <c r="CI42" s="37">
        <f>COUNTIFS($AH$246:$AH$438,"V",$X$246:$X$438,"Biasa",$S$246:$S$438,"Y")</f>
        <v>0</v>
      </c>
      <c r="CJ42" s="34">
        <f t="shared" si="15"/>
        <v>0</v>
      </c>
      <c r="CK42" s="35" t="e">
        <f t="shared" si="16"/>
        <v>#DIV/0!</v>
      </c>
      <c r="CM42" s="33" t="s">
        <v>36</v>
      </c>
      <c r="CN42" s="34">
        <f ca="1">COUNTIFS($Q$246:$Q$438,"LD",$S$246:$S$438,"X",$X$246:$X$438,"Biasa")</f>
        <v>0</v>
      </c>
      <c r="CO42" s="34">
        <f t="shared" ca="1" si="17"/>
        <v>0</v>
      </c>
      <c r="CP42" s="35" t="e">
        <f t="shared" ca="1" si="18"/>
        <v>#DIV/0!</v>
      </c>
      <c r="CR42" s="33" t="s">
        <v>31</v>
      </c>
      <c r="CS42" s="37">
        <f>COUNTIFS($AL$246:$AL$438,"V",$X$246:$X$438,"Biasa",$S$246:$S$438,"X")</f>
        <v>0</v>
      </c>
      <c r="CT42" s="34">
        <f t="shared" si="19"/>
        <v>0</v>
      </c>
      <c r="CU42" s="35" t="e">
        <f t="shared" si="20"/>
        <v>#DIV/0!</v>
      </c>
    </row>
    <row r="43" spans="3:99" ht="25.5" customHeight="1" x14ac:dyDescent="0.25">
      <c r="C43" s="25">
        <v>5</v>
      </c>
      <c r="D43" s="164" t="s">
        <v>40</v>
      </c>
      <c r="E43" s="25" t="s">
        <v>30</v>
      </c>
      <c r="F43" s="26">
        <f>COUNTIFS($Q$246:$Q$438,"EXIM",$AH$246:$AH$438,"V",$X$246:$X$438,"Penting",$S$246:$S$438,"Y")</f>
        <v>0</v>
      </c>
      <c r="G43" s="37">
        <f>COUNTIFS($Q$246:$Q$438,"EXIM",$AI$246:$AI$438,"V",$X$246:$X$438,"Penting",$S$246:$S$438,"Y")</f>
        <v>0</v>
      </c>
      <c r="H43" s="37">
        <f>COUNTIFS($Q$246:$Q$438,"EXIM",$AJ$246:$AJ$438,"V",$X$246:$X$438,"Penting",$S$246:$S$438,"Y")</f>
        <v>0</v>
      </c>
      <c r="I43" s="37">
        <f>COUNTIFS($Q$246:$Q$438,"EXIM",$AK$246:$AK$438,"V",$X$246:$X$438,"Penting",$S$246:$S$438,"Y")</f>
        <v>0</v>
      </c>
      <c r="J43" s="37">
        <f>COUNTIFS($Q$246:$Q$438,"EXIM",$AL$246:$AL$438,"V",$X$246:$X$438,"Penting",$S$246:$S$438,"Y")</f>
        <v>0</v>
      </c>
      <c r="K43" s="37">
        <f>COUNTIFS($Q$246:$Q$438,"EXIM",$AM$246:$AM$438,"V",$X$246:$X$438,"Penting",$S$246:$S$438,"Y")</f>
        <v>0</v>
      </c>
      <c r="L43" s="26">
        <f t="shared" si="21"/>
        <v>0</v>
      </c>
      <c r="M43" s="26">
        <f>COUNTIFS($Q$246:$Q$438,"EXIM",$AH$246:$AH$438,"V",$X$246:$X$438,"Penting",$S$246:$S$438,"X")</f>
        <v>0</v>
      </c>
      <c r="N43" s="37">
        <f>COUNTIFS($Q$246:$Q$438,"EXIM",$AI$246:$AI$438,"V",$X$246:$X$438,"Penting",$S$246:$S$438,"X")</f>
        <v>0</v>
      </c>
      <c r="O43" s="37">
        <f>COUNTIFS($Q$246:$Q$438,"EXIM",$AJ$246:$AJ$438,"V",$X$246:$X$438,"Penting",$S$246:$S$438,"X")</f>
        <v>0</v>
      </c>
      <c r="P43" s="37">
        <f>COUNTIFS($Q$246:$Q$438,"EXIM",$AK$246:$AK$438,"V",$X$246:$X$438,"Penting",$S$246:$S$438,"X")</f>
        <v>0</v>
      </c>
      <c r="Q43" s="37">
        <f>COUNTIFS($Q$246:$Q$438,"EXIM",$AL$246:$AL$438,"V",$X$246:$X$438,"Penting",$S$246:$S$438,"X")</f>
        <v>0</v>
      </c>
      <c r="R43" s="37">
        <f>COUNTIFS($Q$246:$Q$438,"EXIM",$AM$246:$AM$438,"V",$X$246:$X$438,"Penting",$S$246:$S$438,"X")</f>
        <v>0</v>
      </c>
      <c r="S43" s="26">
        <f t="shared" si="22"/>
        <v>0</v>
      </c>
      <c r="T43" s="26">
        <f>COUNTIFS($Q$246:$Q$438,"EXIM",$AH$246:$AH$438,"V",$X$246:$X$438,"Biasa",$S$246:$S$438,"Y")</f>
        <v>0</v>
      </c>
      <c r="U43" s="37">
        <f>COUNTIFS($Q$246:$Q$438,"EXIM",$AI$246:$AI$438,"V",$X$246:$X$438,"Biasa",$S$246:$S$438,"Y")</f>
        <v>0</v>
      </c>
      <c r="V43" s="37">
        <f>COUNTIFS($Q$246:$Q$438,"EXIM",$AJ$246:$AJ$438,"V",$X$246:$X$438,"Biasa",$S$246:$S$438,"Y")</f>
        <v>0</v>
      </c>
      <c r="W43" s="37">
        <f>COUNTIFS($Q$246:$Q$438,"EXIM",$AK$246:$AK$438,"V",$X$246:$X$438,"Biasa",$S$246:$S$438,"Y")</f>
        <v>0</v>
      </c>
      <c r="X43" s="37">
        <f>COUNTIFS($Q$246:$Q$438,"EXIM",$AL$246:$AL$438,"V",$X$246:$X$438,"Biasa",$S$246:$S$438,"Y")</f>
        <v>0</v>
      </c>
      <c r="Y43" s="37">
        <f>COUNTIFS($Q$246:$Q$438,"EXIM",$AM$246:$AM$438,"V",$X$246:$X$438,"Biasa",$S$246:$S$438,"Y")</f>
        <v>0</v>
      </c>
      <c r="Z43" s="26">
        <f t="shared" si="23"/>
        <v>0</v>
      </c>
      <c r="AA43" s="26">
        <f>COUNTIFS($Q$246:$Q$438,"EXIM",$AH$246:$AH$438,"V",$X$246:$X$438,"Biasa",$S$246:$S$438,"X")</f>
        <v>0</v>
      </c>
      <c r="AB43" s="26">
        <f>COUNTIFS($Q$246:$Q$438,"EXIM",$AI$246:$AI$438,"V",$X$246:$X$438,"Biasa",$S$246:$S$438,"X")</f>
        <v>0</v>
      </c>
      <c r="AC43" s="26">
        <f>COUNTIFS($Q$246:$Q$438,"EXIM",$AJ$246:$AJ$438,"V",$X$246:$X$438,"Biasa",$S$246:$S$438,"X")</f>
        <v>0</v>
      </c>
      <c r="AD43" s="26">
        <f>COUNTIFS($Q$246:$Q$438,"EXIM",$AK$246:$AK$438,"V",$X$246:$X$438,"Biasa",$S$246:$S$438,"X")</f>
        <v>0</v>
      </c>
      <c r="AE43" s="26">
        <f>COUNTIFS($Q$246:$Q$438,"EXIM",$AL$246:$AL$438,"V",$X$246:$X$438,"Biasa",$S$246:$S$438,"X")</f>
        <v>0</v>
      </c>
      <c r="AF43" s="26">
        <f>COUNTIFS($Q$246:$Q$438,"EXIM",$AM$246:$AM$438,"V",$X$246:$X$438,"Biasa",$S$246:$S$438,"X")</f>
        <v>0</v>
      </c>
      <c r="AG43" s="26">
        <f t="shared" si="24"/>
        <v>0</v>
      </c>
      <c r="AT43" s="25" t="s">
        <v>30</v>
      </c>
      <c r="AU43" s="26">
        <f t="shared" ca="1" si="29"/>
        <v>16</v>
      </c>
      <c r="AV43" s="26">
        <f t="shared" si="25"/>
        <v>0</v>
      </c>
      <c r="AW43" s="37">
        <f t="shared" si="26"/>
        <v>0</v>
      </c>
      <c r="AX43" s="37">
        <f t="shared" si="26"/>
        <v>0</v>
      </c>
      <c r="AY43" s="37">
        <f t="shared" si="26"/>
        <v>0</v>
      </c>
      <c r="AZ43" s="37">
        <f t="shared" si="26"/>
        <v>0</v>
      </c>
      <c r="BA43" s="37">
        <f t="shared" si="26"/>
        <v>0</v>
      </c>
      <c r="BB43" s="26">
        <f t="shared" ca="1" si="27"/>
        <v>16</v>
      </c>
      <c r="BD43" s="1">
        <f t="shared" si="28"/>
        <v>0</v>
      </c>
      <c r="BE43" s="1">
        <f t="shared" si="28"/>
        <v>0</v>
      </c>
      <c r="CC43" s="33" t="s">
        <v>38</v>
      </c>
      <c r="CD43" s="34">
        <f ca="1">COUNTIFS($Q$246:$Q$438,"IT",$S$246:$S$438,"Y",$X$246:$X$438,"Biasa")</f>
        <v>0</v>
      </c>
      <c r="CE43" s="34">
        <f t="shared" ca="1" si="13"/>
        <v>0</v>
      </c>
      <c r="CF43" s="35" t="e">
        <f t="shared" ca="1" si="14"/>
        <v>#DIV/0!</v>
      </c>
      <c r="CG43" s="36"/>
      <c r="CH43" s="33" t="s">
        <v>43</v>
      </c>
      <c r="CI43" s="37">
        <f>COUNTIFS($AM$246:$AM$438,"V",$X$246:$X$438,"Biasa",$S$246:$S$438,"Y")</f>
        <v>0</v>
      </c>
      <c r="CJ43" s="34">
        <f t="shared" si="15"/>
        <v>0</v>
      </c>
      <c r="CK43" s="35" t="e">
        <f t="shared" si="16"/>
        <v>#DIV/0!</v>
      </c>
      <c r="CM43" s="33" t="s">
        <v>32</v>
      </c>
      <c r="CN43" s="34">
        <f ca="1">COUNTIFS($Q$246:$Q$438,"MPC",$S$246:$S$438,"X",$X$246:$X$438,"Biasa")</f>
        <v>0</v>
      </c>
      <c r="CO43" s="34">
        <f t="shared" ca="1" si="17"/>
        <v>0</v>
      </c>
      <c r="CP43" s="35" t="e">
        <f t="shared" ca="1" si="18"/>
        <v>#DIV/0!</v>
      </c>
      <c r="CR43" s="33" t="s">
        <v>44</v>
      </c>
      <c r="CS43" s="37">
        <f>COUNTIFS($AH$246:$AH$438,"V",$X$246:$X$438,"Biasa",$S$246:$S$438,"X")</f>
        <v>0</v>
      </c>
      <c r="CT43" s="34">
        <f t="shared" si="19"/>
        <v>0</v>
      </c>
      <c r="CU43" s="35" t="e">
        <f t="shared" si="20"/>
        <v>#DIV/0!</v>
      </c>
    </row>
    <row r="44" spans="3:99" ht="25.5" customHeight="1" x14ac:dyDescent="0.25">
      <c r="C44" s="25">
        <v>6</v>
      </c>
      <c r="D44" s="165"/>
      <c r="E44" s="25" t="s">
        <v>39</v>
      </c>
      <c r="F44" s="26">
        <f>COUNTIFS($Q$246:$Q$438,"PPC",$AH$246:$AH$438,"V",$X$246:$X$438,"Penting",$S$246:$S$438,"Y")</f>
        <v>0</v>
      </c>
      <c r="G44" s="37">
        <f>COUNTIFS($Q$246:$Q$438,"PPC",$AI$246:$AI$438,"V",$X$246:$X$438,"Penting",$S$246:$S$438,"Y")</f>
        <v>0</v>
      </c>
      <c r="H44" s="37">
        <f>COUNTIFS($Q$246:$Q$438,"PPC",$AJ$246:$AJ$438,"V",$X$246:$X$438,"Penting",$S$246:$S$438,"Y")</f>
        <v>0</v>
      </c>
      <c r="I44" s="37">
        <f>COUNTIFS($Q$246:$Q$438,"PPC",$AK$246:$AK$438,"V",$X$246:$X$438,"Penting",$S$246:$S$438,"Y")</f>
        <v>0</v>
      </c>
      <c r="J44" s="37">
        <f>COUNTIFS($Q$246:$Q$438,"PPC",$AL$246:$AL$438,"V",$X$246:$X$438,"Penting",$S$246:$S$438,"Y")</f>
        <v>0</v>
      </c>
      <c r="K44" s="37">
        <f>COUNTIFS($Q$246:$Q$438,"PPC",$AM$246:$AM$438,"V",$X$246:$X$438,"Penting",$S$246:$S$438,"Y")</f>
        <v>0</v>
      </c>
      <c r="L44" s="26">
        <f t="shared" si="21"/>
        <v>0</v>
      </c>
      <c r="M44" s="26">
        <f>COUNTIFS($Q$246:$Q$438,"PPC",$AH$246:$AH$438,"V",$X$246:$X$438,"Penting",$S$246:$S$438,"X")</f>
        <v>0</v>
      </c>
      <c r="N44" s="37">
        <f>COUNTIFS($Q$246:$Q$438,"PPC",$AI$246:$AI$438,"V",$X$246:$X$438,"Penting",$S$246:$S$438,"X")</f>
        <v>0</v>
      </c>
      <c r="O44" s="37">
        <f>COUNTIFS($Q$246:$Q$438,"PPC",$AJ$246:$AJ$438,"V",$X$246:$X$438,"Penting",$S$246:$S$438,"X")</f>
        <v>0</v>
      </c>
      <c r="P44" s="37">
        <f>COUNTIFS($Q$246:$Q$438,"PPC",$AK$246:$AK$438,"V",$X$246:$X$438,"Penting",$S$246:$S$438,"X")</f>
        <v>0</v>
      </c>
      <c r="Q44" s="37">
        <f>COUNTIFS($Q$246:$Q$438,"PPC",$AL$246:$AL$438,"V",$X$246:$X$438,"Penting",$S$246:$S$438,"X")</f>
        <v>0</v>
      </c>
      <c r="R44" s="37">
        <f>COUNTIFS($Q$246:$Q$438,"PPC",$AM$246:$AM$438,"V",$X$246:$X$438,"Penting",$S$246:$S$438,"X")</f>
        <v>0</v>
      </c>
      <c r="S44" s="26">
        <f t="shared" si="22"/>
        <v>0</v>
      </c>
      <c r="T44" s="26">
        <f>COUNTIFS($Q$246:$Q$438,"PPC",$AH$246:$AH$438,"V",$X$246:$X$438,"Biasa",$S$246:$S$438,"Y")</f>
        <v>0</v>
      </c>
      <c r="U44" s="37">
        <f>COUNTIFS($Q$246:$Q$438,"PPC",$AI$246:$AI$438,"V",$X$246:$X$438,"Biasa",$S$246:$S$438,"Y")</f>
        <v>0</v>
      </c>
      <c r="V44" s="37">
        <f>COUNTIFS($Q$246:$Q$438,"PPC",$AJ$246:$AJ$438,"V",$X$246:$X$438,"Biasa",$S$246:$S$438,"Y")</f>
        <v>0</v>
      </c>
      <c r="W44" s="37">
        <f>COUNTIFS($Q$246:$Q$438,"PPC",$AK$246:$AK$438,"V",$X$246:$X$438,"Biasa",$S$246:$S$438,"Y")</f>
        <v>0</v>
      </c>
      <c r="X44" s="37">
        <f>COUNTIFS($Q$246:$Q$438,"PPC",$AL$246:$AL$438,"V",$X$246:$X$438,"Biasa",$S$246:$S$438,"Y")</f>
        <v>0</v>
      </c>
      <c r="Y44" s="37">
        <f>COUNTIFS($Q$246:$Q$438,"PPC",$AM$246:$AM$438,"V",$X$246:$X$438,"Biasa",$S$246:$S$438,"Y")</f>
        <v>0</v>
      </c>
      <c r="Z44" s="26">
        <f t="shared" si="23"/>
        <v>0</v>
      </c>
      <c r="AA44" s="26">
        <f>COUNTIFS($Q$246:$Q$438,"PPC",$AH$246:$AH$438,"V",$X$246:$X$438,"Biasa",$S$246:$S$438,"X")</f>
        <v>0</v>
      </c>
      <c r="AB44" s="26">
        <f>COUNTIFS($Q$246:$Q$438,"PPC",$AI$246:$AI$438,"V",$X$246:$X$438,"Biasa",$S$246:$S$438,"X")</f>
        <v>0</v>
      </c>
      <c r="AC44" s="26">
        <f>COUNTIFS($Q$246:$Q$438,"PPC",$AJ$246:$AJ$438,"V",$X$246:$X$438,"Biasa",$S$246:$S$438,"X")</f>
        <v>0</v>
      </c>
      <c r="AD44" s="26">
        <f>COUNTIFS($Q$246:$Q$438,"PPC",$AK$246:$AK$438,"V",$X$246:$X$438,"Biasa",$S$246:$S$438,"X")</f>
        <v>0</v>
      </c>
      <c r="AE44" s="26">
        <f>COUNTIFS($Q$246:$Q$438,"PPC",$AL$246:$AL$438,"V",$X$246:$X$438,"Biasa",$S$246:$S$438,"X")</f>
        <v>0</v>
      </c>
      <c r="AF44" s="26">
        <f>COUNTIFS($Q$246:$Q$438,"PPC",$AM$246:$AM$438,"V",$X$246:$X$438,"Biasa",$S$246:$S$438,"X")</f>
        <v>0</v>
      </c>
      <c r="AG44" s="26">
        <f t="shared" si="24"/>
        <v>0</v>
      </c>
      <c r="AT44" s="25" t="s">
        <v>39</v>
      </c>
      <c r="AU44" s="26">
        <f t="shared" ca="1" si="29"/>
        <v>8</v>
      </c>
      <c r="AV44" s="26">
        <f t="shared" si="25"/>
        <v>0</v>
      </c>
      <c r="AW44" s="37">
        <f t="shared" si="26"/>
        <v>0</v>
      </c>
      <c r="AX44" s="37">
        <f t="shared" si="26"/>
        <v>0</v>
      </c>
      <c r="AY44" s="37">
        <f t="shared" si="26"/>
        <v>0</v>
      </c>
      <c r="AZ44" s="37">
        <f t="shared" si="26"/>
        <v>0</v>
      </c>
      <c r="BA44" s="37">
        <f t="shared" si="26"/>
        <v>0</v>
      </c>
      <c r="BB44" s="26">
        <f t="shared" ca="1" si="27"/>
        <v>8</v>
      </c>
      <c r="BD44" s="1">
        <f t="shared" si="28"/>
        <v>0</v>
      </c>
      <c r="BE44" s="1">
        <f t="shared" si="28"/>
        <v>0</v>
      </c>
      <c r="CC44" s="33" t="s">
        <v>29</v>
      </c>
      <c r="CD44" s="34">
        <f ca="1">COUNTIFS($Q$246:$Q$438,"SHE",$S$246:$S$438,"Y",$X$246:$X$438,"Biasa")</f>
        <v>0</v>
      </c>
      <c r="CE44" s="34">
        <f t="shared" ca="1" si="13"/>
        <v>0</v>
      </c>
      <c r="CF44" s="35" t="e">
        <f t="shared" ca="1" si="14"/>
        <v>#DIV/0!</v>
      </c>
      <c r="CG44" s="36"/>
      <c r="CM44" s="33" t="s">
        <v>30</v>
      </c>
      <c r="CN44" s="34">
        <f ca="1">COUNTIFS($Q$246:$Q$438,"EXIM",$S$246:$S$438,"X",$X$246:$X$438,"Biasa")</f>
        <v>0</v>
      </c>
      <c r="CO44" s="34">
        <f t="shared" ca="1" si="17"/>
        <v>0</v>
      </c>
      <c r="CP44" s="35" t="e">
        <f t="shared" ca="1" si="18"/>
        <v>#DIV/0!</v>
      </c>
    </row>
    <row r="45" spans="3:99" ht="25.5" customHeight="1" x14ac:dyDescent="0.25">
      <c r="C45" s="25">
        <v>7</v>
      </c>
      <c r="D45" s="165"/>
      <c r="E45" s="25" t="s">
        <v>36</v>
      </c>
      <c r="F45" s="26">
        <f>COUNTIFS($Q$246:$Q$438,"LD",$AH$246:$AH$438,"V",$X$246:$X$438,"Penting",$S$246:$S$438,"Y")</f>
        <v>0</v>
      </c>
      <c r="G45" s="37">
        <f>COUNTIFS($Q$246:$Q$438,"LD",$AI$246:$AI$438,"V",$X$246:$X$438,"Penting",$S$246:$S$438,"Y")</f>
        <v>0</v>
      </c>
      <c r="H45" s="37">
        <f>COUNTIFS($Q$246:$Q$438,"LD",$AJ$246:$AJ$438,"V",$X$246:$X$438,"Penting",$S$246:$S$438,"Y")</f>
        <v>0</v>
      </c>
      <c r="I45" s="37">
        <f>COUNTIFS($Q$246:$Q$438,"LD",$AK$246:$AK$438,"V",$X$246:$X$438,"Penting",$S$246:$S$438,"Y")</f>
        <v>0</v>
      </c>
      <c r="J45" s="37">
        <f>COUNTIFS($Q$246:$Q$438,"LD",$AL$246:$AL$438,"V",$X$246:$X$438,"Penting",$S$246:$S$438,"Y")</f>
        <v>0</v>
      </c>
      <c r="K45" s="37">
        <f>COUNTIFS($Q$246:$Q$438,"LD",$AM$246:$AM$438,"V",$X$246:$X$438,"Penting",$S$246:$S$438,"Y")</f>
        <v>0</v>
      </c>
      <c r="L45" s="26">
        <f t="shared" si="21"/>
        <v>0</v>
      </c>
      <c r="M45" s="26">
        <f>COUNTIFS($Q$246:$Q$438,"LD",$AH$246:$AH$438,"V",$X$246:$X$438,"Penting",$S$246:$S$438,"X")</f>
        <v>0</v>
      </c>
      <c r="N45" s="37">
        <f>COUNTIFS($Q$246:$Q$438,"LD",$AI$246:$AI$438,"V",$X$246:$X$438,"Penting",$S$246:$S$438,"X")</f>
        <v>0</v>
      </c>
      <c r="O45" s="37">
        <f>COUNTIFS($Q$246:$Q$438,"LD",$AJ$246:$AJ$438,"V",$X$246:$X$438,"Penting",$S$246:$S$438,"X")</f>
        <v>0</v>
      </c>
      <c r="P45" s="37">
        <f>COUNTIFS($Q$246:$Q$438,"LD",$AK$246:$AK$438,"V",$X$246:$X$438,"Penting",$S$246:$S$438,"X")</f>
        <v>0</v>
      </c>
      <c r="Q45" s="37">
        <f>COUNTIFS($Q$246:$Q$438,"LD",$AL$246:$AL$438,"V",$X$246:$X$438,"Penting",$S$246:$S$438,"X")</f>
        <v>0</v>
      </c>
      <c r="R45" s="37">
        <f>COUNTIFS($Q$246:$Q$438,"LD",$AM$246:$AM$438,"V",$X$246:$X$438,"Penting",$S$246:$S$438,"X")</f>
        <v>0</v>
      </c>
      <c r="S45" s="26">
        <f t="shared" si="22"/>
        <v>0</v>
      </c>
      <c r="T45" s="26">
        <f>COUNTIFS($Q$246:$Q$438,"LD",$AH$246:$AH$438,"V",$X$246:$X$438,"Biasa",$S$246:$S$438,"Y")</f>
        <v>0</v>
      </c>
      <c r="U45" s="37">
        <f>COUNTIFS($Q$246:$Q$438,"LD",$AI$246:$AI$438,"V",$X$246:$X$438,"Biasa",$S$246:$S$438,"Y")</f>
        <v>0</v>
      </c>
      <c r="V45" s="37">
        <f>COUNTIFS($Q$246:$Q$438,"LD",$AJ$246:$AJ$438,"V",$X$246:$X$438,"Biasa",$S$246:$S$438,"Y")</f>
        <v>0</v>
      </c>
      <c r="W45" s="37">
        <f>COUNTIFS($Q$246:$Q$438,"LD",$AK$246:$AK$438,"V",$X$246:$X$438,"Biasa",$S$246:$S$438,"Y")</f>
        <v>0</v>
      </c>
      <c r="X45" s="37">
        <f>COUNTIFS($Q$246:$Q$438,"LD",$AL$246:$AL$438,"V",$X$246:$X$438,"Biasa",$S$246:$S$438,"Y")</f>
        <v>0</v>
      </c>
      <c r="Y45" s="37">
        <f>COUNTIFS($Q$246:$Q$438,"LD",$AM$246:$AM$438,"V",$X$246:$X$438,"Biasa",$S$246:$S$438,"Y")</f>
        <v>0</v>
      </c>
      <c r="Z45" s="26">
        <f t="shared" si="23"/>
        <v>0</v>
      </c>
      <c r="AA45" s="26">
        <f>COUNTIFS($Q$246:$Q$438,"LD",$AH$246:$AH$438,"V",$X$246:$X$438,"Biasa",$S$246:$S$438,"X")</f>
        <v>0</v>
      </c>
      <c r="AB45" s="26">
        <f>COUNTIFS($Q$246:$Q$438,"LD",$AI$246:$AI$438,"V",$X$246:$X$438,"Biasa",$S$246:$S$438,"X")</f>
        <v>0</v>
      </c>
      <c r="AC45" s="26">
        <f>COUNTIFS($Q$246:$Q$438,"LD",$AJ$246:$AJ$438,"V",$X$246:$X$438,"Biasa",$S$246:$S$438,"X")</f>
        <v>0</v>
      </c>
      <c r="AD45" s="26">
        <f>COUNTIFS($Q$246:$Q$438,"LD",$AK$246:$AK$438,"V",$X$246:$X$438,"Biasa",$S$246:$S$438,"X")</f>
        <v>0</v>
      </c>
      <c r="AE45" s="26">
        <f>COUNTIFS($Q$246:$Q$438,"LD",$AL$246:$AL$438,"V",$X$246:$X$438,"Biasa",$S$246:$S$438,"X")</f>
        <v>0</v>
      </c>
      <c r="AF45" s="26">
        <f>COUNTIFS($Q$246:$Q$438,"LD",$AM$246:$AM$438,"V",$X$246:$X$438,"Biasa",$S$246:$S$438,"X")</f>
        <v>0</v>
      </c>
      <c r="AG45" s="26">
        <f t="shared" si="24"/>
        <v>0</v>
      </c>
      <c r="AT45" s="25" t="s">
        <v>36</v>
      </c>
      <c r="AU45" s="26">
        <f t="shared" ca="1" si="29"/>
        <v>3</v>
      </c>
      <c r="AV45" s="26">
        <f t="shared" si="25"/>
        <v>0</v>
      </c>
      <c r="AW45" s="37">
        <f t="shared" si="26"/>
        <v>0</v>
      </c>
      <c r="AX45" s="37">
        <f t="shared" si="26"/>
        <v>0</v>
      </c>
      <c r="AY45" s="37">
        <f t="shared" si="26"/>
        <v>0</v>
      </c>
      <c r="AZ45" s="37">
        <f t="shared" si="26"/>
        <v>0</v>
      </c>
      <c r="BA45" s="37">
        <f t="shared" si="26"/>
        <v>0</v>
      </c>
      <c r="BB45" s="26">
        <f t="shared" ca="1" si="27"/>
        <v>3</v>
      </c>
      <c r="BD45" s="1">
        <f t="shared" si="28"/>
        <v>0</v>
      </c>
      <c r="BE45" s="1">
        <f t="shared" si="28"/>
        <v>0</v>
      </c>
      <c r="CC45" s="33" t="s">
        <v>47</v>
      </c>
      <c r="CD45" s="34">
        <f ca="1">COUNTIFS($Q$246:$Q$438,"FA",$S$246:$S$438,"Y",$X$246:$X$438,"Biasa")</f>
        <v>0</v>
      </c>
      <c r="CE45" s="34">
        <f t="shared" ca="1" si="13"/>
        <v>0</v>
      </c>
      <c r="CF45" s="35" t="e">
        <f t="shared" ca="1" si="14"/>
        <v>#DIV/0!</v>
      </c>
      <c r="CG45" s="36"/>
      <c r="CM45" s="33" t="s">
        <v>39</v>
      </c>
      <c r="CN45" s="34">
        <f ca="1">COUNTIFS($Q$246:$Q$438,"PPC",$S$246:$S$438,"X",$X$246:$X$438,"Biasa")</f>
        <v>0</v>
      </c>
      <c r="CO45" s="34">
        <f t="shared" ca="1" si="17"/>
        <v>0</v>
      </c>
      <c r="CP45" s="35" t="e">
        <f t="shared" ca="1" si="18"/>
        <v>#DIV/0!</v>
      </c>
    </row>
    <row r="46" spans="3:99" ht="25.5" customHeight="1" x14ac:dyDescent="0.25">
      <c r="C46" s="25">
        <v>8</v>
      </c>
      <c r="D46" s="165"/>
      <c r="E46" s="25" t="s">
        <v>32</v>
      </c>
      <c r="F46" s="26">
        <f>COUNTIFS($Q$246:$Q$438,"MPC",$AH$246:$AH$438,"V",$X$246:$X$438,"Penting",$S$246:$S$438,"Y")</f>
        <v>0</v>
      </c>
      <c r="G46" s="37">
        <f>COUNTIFS($Q$246:$Q$438,"MPC",$AI$246:$AI$438,"V",$X$246:$X$438,"Penting",$S$246:$S$438,"Y")</f>
        <v>0</v>
      </c>
      <c r="H46" s="37">
        <f>COUNTIFS($Q$246:$Q$438,"MPC",$AJ$246:$AJ$438,"V",$X$246:$X$438,"Penting",$S$246:$S$438,"Y")</f>
        <v>0</v>
      </c>
      <c r="I46" s="37">
        <f>COUNTIFS($Q$246:$Q$438,"MPC",$AK$246:$AK$438,"V",$X$246:$X$438,"Penting",$S$246:$S$438,"Y")</f>
        <v>0</v>
      </c>
      <c r="J46" s="37">
        <f>COUNTIFS($Q$246:$Q$438,"MPC",$AL$246:$AL$438,"V",$X$246:$X$438,"Penting",$S$246:$S$438,"Y")</f>
        <v>0</v>
      </c>
      <c r="K46" s="37">
        <f>COUNTIFS($Q$246:$Q$438,"MPC",$AM$246:$AM$438,"V",$X$246:$X$438,"Penting",$S$246:$S$438,"Y")</f>
        <v>0</v>
      </c>
      <c r="L46" s="26">
        <f t="shared" si="21"/>
        <v>0</v>
      </c>
      <c r="M46" s="26">
        <f>COUNTIFS($Q$246:$Q$438,"MPC",$AH$246:$AH$438,"V",$X$246:$X$438,"Penting",$S$246:$S$438,"X")</f>
        <v>0</v>
      </c>
      <c r="N46" s="37">
        <f>COUNTIFS($Q$246:$Q$438,"MPC",$AI$246:$AI$438,"V",$X$246:$X$438,"Penting",$S$246:$S$438,"X")</f>
        <v>4</v>
      </c>
      <c r="O46" s="37">
        <f>COUNTIFS($Q$246:$Q$438,"MPC",$AJ$246:$AJ$438,"V",$X$246:$X$438,"Penting",$S$246:$S$438,"X")</f>
        <v>0</v>
      </c>
      <c r="P46" s="37">
        <f>COUNTIFS($Q$246:$Q$438,"MPC",$AK$246:$AK$438,"V",$X$246:$X$438,"Penting",$S$246:$S$438,"X")</f>
        <v>0</v>
      </c>
      <c r="Q46" s="37">
        <f>COUNTIFS($Q$246:$Q$438,"MPC",$AL$246:$AL$438,"V",$X$246:$X$438,"Penting",$S$246:$S$438,"X")</f>
        <v>0</v>
      </c>
      <c r="R46" s="37">
        <f>COUNTIFS($Q$246:$Q$438,"MPC",$AM$246:$AM$438,"V",$X$246:$X$438,"Penting",$S$246:$S$438,"X")</f>
        <v>0</v>
      </c>
      <c r="S46" s="26">
        <f t="shared" si="22"/>
        <v>4</v>
      </c>
      <c r="T46" s="26">
        <f>COUNTIFS($Q$246:$Q$438,"MPC",$AH$246:$AH$438,"V",$X$246:$X$438,"Biasa",$S$246:$S$438,"Y")</f>
        <v>0</v>
      </c>
      <c r="U46" s="37">
        <f>COUNTIFS($Q$246:$Q$438,"MPC",$AI$246:$AI$438,"V",$X$246:$X$438,"Biasa",$S$246:$S$438,"Y")</f>
        <v>0</v>
      </c>
      <c r="V46" s="37">
        <f>COUNTIFS($Q$246:$Q$438,"MPC",$AJ$246:$AJ$438,"V",$X$246:$X$438,"Biasa",$S$246:$S$438,"Y")</f>
        <v>0</v>
      </c>
      <c r="W46" s="37">
        <f>COUNTIFS($Q$246:$Q$438,"MPC",$AK$246:$AK$438,"V",$X$246:$X$438,"Biasa",$S$246:$S$438,"Y")</f>
        <v>0</v>
      </c>
      <c r="X46" s="37">
        <f>COUNTIFS($Q$246:$Q$438,"MPC",$AL$246:$AL$438,"V",$X$246:$X$438,"Biasa",$S$246:$S$438,"Y")</f>
        <v>0</v>
      </c>
      <c r="Y46" s="37">
        <f>COUNTIFS($Q$246:$Q$438,"MPC",$AM$246:$AM$438,"V",$X$246:$X$438,"Biasa",$S$246:$S$438,"Y")</f>
        <v>0</v>
      </c>
      <c r="Z46" s="26">
        <f t="shared" si="23"/>
        <v>0</v>
      </c>
      <c r="AA46" s="26">
        <f>COUNTIFS($Q$246:$Q$438,"MPC",$AH$246:$AH$438,"V",$X$246:$X$438,"Biasa",$S$246:$S$438,"X")</f>
        <v>0</v>
      </c>
      <c r="AB46" s="26">
        <f>COUNTIFS($Q$246:$Q$438,"MPC",$AI$246:$AI$438,"V",$X$246:$X$438,"Biasa",$S$246:$S$438,"X")</f>
        <v>0</v>
      </c>
      <c r="AC46" s="26">
        <f>COUNTIFS($Q$246:$Q$438,"MPC",$AJ$246:$AJ$438,"V",$X$246:$X$438,"Biasa",$S$246:$S$438,"X")</f>
        <v>0</v>
      </c>
      <c r="AD46" s="26">
        <f>COUNTIFS($Q$246:$Q$438,"MPC",$AK$246:$AK$438,"V",$X$246:$X$438,"Biasa",$S$246:$S$438,"X")</f>
        <v>0</v>
      </c>
      <c r="AE46" s="26">
        <f>COUNTIFS($Q$246:$Q$438,"MPC",$AL$246:$AL$438,"V",$X$246:$X$438,"Biasa",$S$246:$S$438,"X")</f>
        <v>0</v>
      </c>
      <c r="AF46" s="26">
        <f>COUNTIFS($Q$246:$Q$438,"MPC",$AM$246:$AM$438,"V",$X$246:$X$438,"Biasa",$S$246:$S$438,"X")</f>
        <v>0</v>
      </c>
      <c r="AG46" s="26">
        <f t="shared" si="24"/>
        <v>0</v>
      </c>
      <c r="AT46" s="25" t="s">
        <v>32</v>
      </c>
      <c r="AU46" s="26">
        <f t="shared" ca="1" si="29"/>
        <v>14</v>
      </c>
      <c r="AV46" s="26">
        <f t="shared" si="25"/>
        <v>4</v>
      </c>
      <c r="AW46" s="37">
        <f t="shared" si="26"/>
        <v>4</v>
      </c>
      <c r="AX46" s="37">
        <f t="shared" si="26"/>
        <v>0</v>
      </c>
      <c r="AY46" s="37">
        <f t="shared" si="26"/>
        <v>0</v>
      </c>
      <c r="AZ46" s="37">
        <f t="shared" si="26"/>
        <v>0</v>
      </c>
      <c r="BA46" s="37">
        <f t="shared" si="26"/>
        <v>0</v>
      </c>
      <c r="BB46" s="26">
        <f t="shared" ca="1" si="27"/>
        <v>18</v>
      </c>
      <c r="BD46" s="1">
        <f t="shared" si="28"/>
        <v>4</v>
      </c>
      <c r="BE46" s="1">
        <f t="shared" si="28"/>
        <v>4</v>
      </c>
      <c r="CC46" s="33" t="s">
        <v>30</v>
      </c>
      <c r="CD46" s="34">
        <f ca="1">COUNTIFS($Q$246:$Q$438,"EXIM",$S$246:$S$438,"Y",$X$246:$X$438,"Biasa")</f>
        <v>0</v>
      </c>
      <c r="CE46" s="34">
        <f t="shared" ca="1" si="13"/>
        <v>0</v>
      </c>
      <c r="CF46" s="35" t="e">
        <f t="shared" ca="1" si="14"/>
        <v>#DIV/0!</v>
      </c>
      <c r="CG46" s="36"/>
      <c r="CM46" s="33" t="s">
        <v>29</v>
      </c>
      <c r="CN46" s="34">
        <f ca="1">COUNTIFS($Q$246:$Q$438,"SHE",$S$246:$S$438,"X",$X$246:$X$438,"Biasa")</f>
        <v>0</v>
      </c>
      <c r="CO46" s="34">
        <f t="shared" ca="1" si="17"/>
        <v>0</v>
      </c>
      <c r="CP46" s="35" t="e">
        <f t="shared" ca="1" si="18"/>
        <v>#DIV/0!</v>
      </c>
    </row>
    <row r="47" spans="3:99" ht="25.5" customHeight="1" x14ac:dyDescent="0.25">
      <c r="C47" s="25">
        <v>9</v>
      </c>
      <c r="D47" s="166"/>
      <c r="E47" s="25" t="s">
        <v>45</v>
      </c>
      <c r="F47" s="26">
        <f>COUNTIFS($Q$246:$Q$438,"WHS",$AH$246:$AH$438,"V",$X$246:$X$438,"Penting",$S$246:$S$438,"Y")</f>
        <v>0</v>
      </c>
      <c r="G47" s="37">
        <f>COUNTIFS($Q$246:$Q$438,"WHS",$AI$246:$AI$438,"V",$X$246:$X$438,"Penting",$S$246:$S$438,"Y")</f>
        <v>0</v>
      </c>
      <c r="H47" s="37">
        <f>COUNTIFS($Q$246:$Q$438,"WHS",$AJ$246:$AJ$438,"V",$X$246:$X$438,"Penting",$S$246:$S$438,"Y")</f>
        <v>0</v>
      </c>
      <c r="I47" s="37">
        <f>COUNTIFS($Q$246:$Q$438,"WHS",$AK$246:$AK$438,"V",$X$246:$X$438,"Penting",$S$246:$S$438,"Y")</f>
        <v>0</v>
      </c>
      <c r="J47" s="37">
        <f>COUNTIFS($Q$246:$Q$438,"WHS",$AL$246:$AL$438,"V",$X$246:$X$438,"Penting",$S$246:$S$438,"Y")</f>
        <v>0</v>
      </c>
      <c r="K47" s="37">
        <f>COUNTIFS($Q$246:$Q$438,"WHS",$AM$246:$AM$438,"V",$X$246:$X$438,"Penting",$S$246:$S$438,"Y")</f>
        <v>0</v>
      </c>
      <c r="L47" s="26">
        <f t="shared" si="21"/>
        <v>0</v>
      </c>
      <c r="M47" s="26">
        <f>COUNTIFS($Q$246:$Q$438,"WHS",$AH$246:$AH$438,"V",$X$246:$X$438,"Penting",$S$246:$S$438,"X")</f>
        <v>0</v>
      </c>
      <c r="N47" s="37">
        <f>COUNTIFS($Q$246:$Q$438,"WHS",$AI$246:$AI$438,"V",$X$246:$X$438,"Penting",$S$246:$S$438,"X")</f>
        <v>0</v>
      </c>
      <c r="O47" s="37">
        <f>COUNTIFS($Q$246:$Q$438,"WHS",$AJ$246:$AJ$438,"V",$X$246:$X$438,"Penting",$S$246:$S$438,"X")</f>
        <v>0</v>
      </c>
      <c r="P47" s="37">
        <f>COUNTIFS($Q$246:$Q$438,"WHS",$AK$246:$AK$438,"V",$X$246:$X$438,"Penting",$S$246:$S$438,"X")</f>
        <v>0</v>
      </c>
      <c r="Q47" s="37">
        <f>COUNTIFS($Q$246:$Q$438,"WHS",$AL$246:$AL$438,"V",$X$246:$X$438,"Penting",$S$246:$S$438,"X")</f>
        <v>0</v>
      </c>
      <c r="R47" s="37">
        <f>COUNTIFS($Q$246:$Q$438,"WHS",$AM$246:$AM$438,"V",$X$246:$X$438,"Penting",$S$246:$S$438,"X")</f>
        <v>0</v>
      </c>
      <c r="S47" s="26">
        <f t="shared" si="22"/>
        <v>0</v>
      </c>
      <c r="T47" s="26">
        <f>COUNTIFS($Q$246:$Q$438,"WHS",$AH$246:$AH$438,"V",$X$246:$X$438,"Biasa",$S$246:$S$438,"Y")</f>
        <v>0</v>
      </c>
      <c r="U47" s="37">
        <f>COUNTIFS($Q$246:$Q$438,"WHS",$AI$246:$AI$438,"V",$X$246:$X$438,"Biasa",$S$246:$S$438,"Y")</f>
        <v>0</v>
      </c>
      <c r="V47" s="37">
        <f>COUNTIFS($Q$246:$Q$438,"WHS",$AJ$246:$AJ$438,"V",$X$246:$X$438,"Biasa",$S$246:$S$438,"Y")</f>
        <v>0</v>
      </c>
      <c r="W47" s="37">
        <f>COUNTIFS($Q$246:$Q$438,"WHS",$AK$246:$AK$438,"V",$X$246:$X$438,"Biasa",$S$246:$S$438,"Y")</f>
        <v>0</v>
      </c>
      <c r="X47" s="37">
        <f>COUNTIFS($Q$246:$Q$438,"WHS",$AL$246:$AL$438,"V",$X$246:$X$438,"Biasa",$S$246:$S$438,"Y")</f>
        <v>0</v>
      </c>
      <c r="Y47" s="37">
        <f>COUNTIFS($Q$246:$Q$438,"WHS",$AM$246:$AM$438,"V",$X$246:$X$438,"Biasa",$S$246:$S$438,"Y")</f>
        <v>0</v>
      </c>
      <c r="Z47" s="26">
        <f t="shared" si="23"/>
        <v>0</v>
      </c>
      <c r="AA47" s="26">
        <f>COUNTIFS($Q$246:$Q$438,"WHS",$AH$246:$AH$438,"V",$X$246:$X$438,"Biasa",$S$246:$S$438,"X")</f>
        <v>0</v>
      </c>
      <c r="AB47" s="26">
        <f>COUNTIFS($Q$246:$Q$438,"WHS",$AI$246:$AI$438,"V",$X$246:$X$438,"Biasa",$S$246:$S$438,"X")</f>
        <v>0</v>
      </c>
      <c r="AC47" s="26">
        <f>COUNTIFS($Q$246:$Q$438,"WHS",$AJ$246:$AJ$438,"V",$X$246:$X$438,"Biasa",$S$246:$S$438,"X")</f>
        <v>0</v>
      </c>
      <c r="AD47" s="26">
        <f>COUNTIFS($Q$246:$Q$438,"WHS",$AK$246:$AK$438,"V",$X$246:$X$438,"Biasa",$S$246:$S$438,"X")</f>
        <v>0</v>
      </c>
      <c r="AE47" s="26">
        <f>COUNTIFS($Q$246:$Q$438,"WHS",$AL$246:$AL$438,"V",$X$246:$X$438,"Biasa",$S$246:$S$438,"X")</f>
        <v>0</v>
      </c>
      <c r="AF47" s="26">
        <f>COUNTIFS($Q$246:$Q$438,"WHS",$AM$246:$AM$438,"V",$X$246:$X$438,"Biasa",$S$246:$S$438,"X")</f>
        <v>0</v>
      </c>
      <c r="AG47" s="26">
        <f t="shared" si="24"/>
        <v>0</v>
      </c>
      <c r="AT47" s="25" t="s">
        <v>45</v>
      </c>
      <c r="AU47" s="26">
        <f t="shared" si="29"/>
        <v>0</v>
      </c>
      <c r="AV47" s="26">
        <f t="shared" si="25"/>
        <v>0</v>
      </c>
      <c r="AW47" s="37">
        <f t="shared" si="26"/>
        <v>0</v>
      </c>
      <c r="AX47" s="37">
        <f t="shared" si="26"/>
        <v>0</v>
      </c>
      <c r="AY47" s="37">
        <f t="shared" si="26"/>
        <v>0</v>
      </c>
      <c r="AZ47" s="37">
        <f t="shared" si="26"/>
        <v>0</v>
      </c>
      <c r="BA47" s="37">
        <f t="shared" si="26"/>
        <v>0</v>
      </c>
      <c r="BB47" s="26">
        <f t="shared" si="27"/>
        <v>0</v>
      </c>
      <c r="BD47" s="1">
        <f t="shared" si="28"/>
        <v>0</v>
      </c>
      <c r="BE47" s="1">
        <f t="shared" si="28"/>
        <v>0</v>
      </c>
      <c r="CC47" s="33" t="s">
        <v>39</v>
      </c>
      <c r="CD47" s="34">
        <f>COUNTIFS($Q$246:$Q$438,"PPC\",$S$246:$S$438,"Y",$X$246:$X$438,"Biasa")</f>
        <v>0</v>
      </c>
      <c r="CE47" s="34">
        <f t="shared" ca="1" si="13"/>
        <v>0</v>
      </c>
      <c r="CF47" s="35" t="e">
        <f t="shared" ca="1" si="14"/>
        <v>#DIV/0!</v>
      </c>
      <c r="CG47" s="36"/>
      <c r="CM47" s="33" t="s">
        <v>34</v>
      </c>
      <c r="CN47" s="34">
        <f ca="1">COUNTIFS($Q$246:$Q$438,"HR",$S$246:$S$438,"X",$X$246:$X$438,"Biasa")</f>
        <v>0</v>
      </c>
      <c r="CO47" s="34">
        <f t="shared" ca="1" si="17"/>
        <v>0</v>
      </c>
      <c r="CP47" s="35" t="e">
        <f t="shared" ca="1" si="18"/>
        <v>#DIV/0!</v>
      </c>
    </row>
    <row r="48" spans="3:99" ht="25.5" customHeight="1" x14ac:dyDescent="0.25">
      <c r="C48" s="25">
        <v>10</v>
      </c>
      <c r="D48" s="25" t="s">
        <v>46</v>
      </c>
      <c r="E48" s="25" t="s">
        <v>42</v>
      </c>
      <c r="F48" s="26">
        <f>COUNTIFS($Q$246:$Q$438,"MTP",$AH$246:$AH$438,"V",$X$246:$X$438,"Penting",$S$246:$S$438,"Y")</f>
        <v>0</v>
      </c>
      <c r="G48" s="37">
        <f>COUNTIFS($Q$246:$Q$438,"MTP",$AI$246:$AI$438,"V",$X$246:$X$438,"Penting",$S$246:$S$438,"Y")</f>
        <v>0</v>
      </c>
      <c r="H48" s="37">
        <f>COUNTIFS($Q$246:$Q$438,"MTP",$AJ$246:$AJ$438,"V",$X$246:$X$438,"Penting",$S$246:$S$438,"Y")</f>
        <v>0</v>
      </c>
      <c r="I48" s="37">
        <f>COUNTIFS($Q$246:$Q$438,"MTP",$AK$246:$AK$438,"V",$X$246:$X$438,"Penting",$S$246:$S$438,"Y")</f>
        <v>0</v>
      </c>
      <c r="J48" s="37">
        <f>COUNTIFS($Q$246:$Q$438,"MTP",$AL$246:$AL$438,"V",$X$246:$X$438,"Penting",$S$246:$S$438,"Y")</f>
        <v>0</v>
      </c>
      <c r="K48" s="37">
        <f>COUNTIFS($Q$246:$Q$438,"MTP",$AM$246:$AM$438,"V",$X$246:$X$438,"Penting",$S$246:$S$438,"Y")</f>
        <v>0</v>
      </c>
      <c r="L48" s="26">
        <f t="shared" si="21"/>
        <v>0</v>
      </c>
      <c r="M48" s="26">
        <f>COUNTIFS($Q$246:$Q$438,"MTP",$AH$246:$AH$438,"V",$X$246:$X$438,"Penting",$S$246:$S$438,"X")</f>
        <v>0</v>
      </c>
      <c r="N48" s="37">
        <f>COUNTIFS($Q$246:$Q$438,"MTP",$AI$246:$AI$438,"V",$X$246:$X$438,"Penting",$S$246:$S$438,"X")</f>
        <v>0</v>
      </c>
      <c r="O48" s="37">
        <f>COUNTIFS($Q$246:$Q$438,"MTP",$AJ$246:$AJ$438,"V",$X$246:$X$438,"Penting",$S$246:$S$438,"X")</f>
        <v>0</v>
      </c>
      <c r="P48" s="37">
        <f>COUNTIFS($Q$246:$Q$438,"MTP",$AK$246:$AK$438,"V",$X$246:$X$438,"Penting",$S$246:$S$438,"X")</f>
        <v>0</v>
      </c>
      <c r="Q48" s="37">
        <f>COUNTIFS($Q$246:$Q$438,"MTP",$AL$246:$AL$438,"V",$X$246:$X$438,"Penting",$S$246:$S$438,"X")</f>
        <v>0</v>
      </c>
      <c r="R48" s="37">
        <f>COUNTIFS($Q$246:$Q$438,"MTP",$AM$246:$AM$438,"V",$X$246:$X$438,"Penting",$S$246:$S$438,"X")</f>
        <v>0</v>
      </c>
      <c r="S48" s="26">
        <f t="shared" si="22"/>
        <v>0</v>
      </c>
      <c r="T48" s="26">
        <f>COUNTIFS($Q$246:$Q$438,"MTP",$AH$246:$AH$438,"V",$X$246:$X$438,"Biasa",$S$246:$S$438,"Y")</f>
        <v>0</v>
      </c>
      <c r="U48" s="37">
        <f>COUNTIFS($Q$246:$Q$438,"MTP",$AI$246:$AI$438,"V",$X$246:$X$438,"Biasa",$S$246:$S$438,"Y")</f>
        <v>0</v>
      </c>
      <c r="V48" s="37">
        <f>COUNTIFS($Q$246:$Q$438,"MTP",$AJ$246:$AJ$438,"V",$X$246:$X$438,"Biasa",$S$246:$S$438,"Y")</f>
        <v>0</v>
      </c>
      <c r="W48" s="37">
        <f>COUNTIFS($Q$246:$Q$438,"MTP",$AK$246:$AK$438,"V",$X$246:$X$438,"Biasa",$S$246:$S$438,"Y")</f>
        <v>0</v>
      </c>
      <c r="X48" s="37">
        <f>COUNTIFS($Q$246:$Q$438,"MTP",$AL$246:$AL$438,"V",$X$246:$X$438,"Biasa",$S$246:$S$438,"Y")</f>
        <v>0</v>
      </c>
      <c r="Y48" s="37">
        <f>COUNTIFS($Q$246:$Q$438,"MTP",$AM$246:$AM$438,"V",$X$246:$X$438,"Biasa",$S$246:$S$438,"Y")</f>
        <v>0</v>
      </c>
      <c r="Z48" s="26">
        <f t="shared" si="23"/>
        <v>0</v>
      </c>
      <c r="AA48" s="26">
        <f>COUNTIFS($Q$246:$Q$438,"MTP",$AH$246:$AH$438,"V",$X$246:$X$438,"Biasa",$S$246:$S$438,"X")</f>
        <v>0</v>
      </c>
      <c r="AB48" s="26">
        <f>COUNTIFS($Q$246:$Q$438,"MTP",$AI$246:$AI$438,"V",$X$246:$X$438,"Biasa",$S$246:$S$438,"X")</f>
        <v>0</v>
      </c>
      <c r="AC48" s="26">
        <f>COUNTIFS($Q$246:$Q$438,"MTP",$AJ$246:$AJ$438,"V",$X$246:$X$438,"Biasa",$S$246:$S$438,"X")</f>
        <v>0</v>
      </c>
      <c r="AD48" s="26">
        <f>COUNTIFS($Q$246:$Q$438,"MTP",$AK$246:$AK$438,"V",$X$246:$X$438,"Biasa",$S$246:$S$438,"X")</f>
        <v>0</v>
      </c>
      <c r="AE48" s="26">
        <f>COUNTIFS($Q$246:$Q$438,"MTP",$AL$246:$AL$438,"V",$X$246:$X$438,"Biasa",$S$246:$S$438,"X")</f>
        <v>0</v>
      </c>
      <c r="AF48" s="26">
        <f>COUNTIFS($Q$246:$Q$438,"MTP",$AM$246:$AM$438,"V",$X$246:$X$438,"Biasa",$S$246:$S$438,"X")</f>
        <v>0</v>
      </c>
      <c r="AG48" s="26">
        <f t="shared" si="24"/>
        <v>0</v>
      </c>
      <c r="AT48" s="25" t="s">
        <v>42</v>
      </c>
      <c r="AU48" s="26">
        <f t="shared" si="29"/>
        <v>0</v>
      </c>
      <c r="AV48" s="26">
        <f t="shared" si="25"/>
        <v>0</v>
      </c>
      <c r="AW48" s="37">
        <f t="shared" si="26"/>
        <v>0</v>
      </c>
      <c r="AX48" s="37">
        <f t="shared" si="26"/>
        <v>0</v>
      </c>
      <c r="AY48" s="37">
        <f t="shared" si="26"/>
        <v>0</v>
      </c>
      <c r="AZ48" s="37">
        <f t="shared" si="26"/>
        <v>0</v>
      </c>
      <c r="BA48" s="37">
        <f t="shared" si="26"/>
        <v>0</v>
      </c>
      <c r="BB48" s="26">
        <f t="shared" si="27"/>
        <v>0</v>
      </c>
      <c r="BD48" s="1">
        <f t="shared" si="28"/>
        <v>0</v>
      </c>
      <c r="BE48" s="1">
        <f t="shared" si="28"/>
        <v>0</v>
      </c>
      <c r="CC48" s="63" t="s">
        <v>32</v>
      </c>
      <c r="CD48" s="34">
        <f ca="1">COUNTIFS($Q$246:$Q$438,"MPC",$S$246:$S$438,"Y",$X$246:$X$438,"Biasa")</f>
        <v>0</v>
      </c>
      <c r="CE48" s="64">
        <f t="shared" ca="1" si="13"/>
        <v>0</v>
      </c>
      <c r="CF48" s="65" t="e">
        <f t="shared" ca="1" si="14"/>
        <v>#DIV/0!</v>
      </c>
      <c r="CG48" s="36"/>
      <c r="CM48" s="63" t="s">
        <v>47</v>
      </c>
      <c r="CN48" s="34">
        <f ca="1">COUNTIFS($Q$246:$Q$438,"FA",$S$246:$S$438,"X",$X$246:$X$438,"Biasa")</f>
        <v>0</v>
      </c>
      <c r="CO48" s="64">
        <f t="shared" ca="1" si="17"/>
        <v>0</v>
      </c>
      <c r="CP48" s="65" t="e">
        <f t="shared" ca="1" si="18"/>
        <v>#DIV/0!</v>
      </c>
    </row>
    <row r="49" spans="3:189" ht="25.5" customHeight="1" x14ac:dyDescent="0.25">
      <c r="C49" s="25">
        <v>11</v>
      </c>
      <c r="D49" s="25" t="s">
        <v>47</v>
      </c>
      <c r="E49" s="25" t="s">
        <v>47</v>
      </c>
      <c r="F49" s="26">
        <f>COUNTIFS($Q$246:$Q$438,"FA",$AH$246:$AH$438,"V",$X$246:$X$438,"Penting",$S$246:$S$438,"Y")</f>
        <v>0</v>
      </c>
      <c r="G49" s="37">
        <f>COUNTIFS($Q$246:$Q$438,"FA",$AI$246:$AI$438,"V",$X$246:$X$438,"Penting",$S$246:$S$438,"Y")</f>
        <v>0</v>
      </c>
      <c r="H49" s="37">
        <f>COUNTIFS($Q$246:$Q$438,"FA",$AJ$246:$AJ$438,"V",$X$246:$X$438,"Penting",$S$246:$S$438,"Y")</f>
        <v>0</v>
      </c>
      <c r="I49" s="37">
        <f>COUNTIFS($Q$246:$Q$438,"FA",$AK$246:$AK$438,"V",$X$246:$X$438,"Penting",$S$246:$S$438,"Y")</f>
        <v>0</v>
      </c>
      <c r="J49" s="37">
        <f>COUNTIFS($Q$246:$Q$438,"FA",$AL$246:$AL$438,"V",$X$246:$X$438,"Penting",$S$246:$S$438,"Y")</f>
        <v>0</v>
      </c>
      <c r="K49" s="37">
        <f>COUNTIFS($Q$246:$Q$438,"FA",$AM$246:$AM$438,"V",$X$246:$X$438,"Penting",$S$246:$S$438,"Y")</f>
        <v>0</v>
      </c>
      <c r="L49" s="26">
        <f t="shared" si="21"/>
        <v>0</v>
      </c>
      <c r="M49" s="26">
        <f>COUNTIFS($Q$246:$Q$438,"FA",$AH$246:$AH$438,"V",$X$246:$X$438,"Penting",$S$246:$S$438,"X")</f>
        <v>0</v>
      </c>
      <c r="N49" s="37">
        <f>COUNTIFS($Q$246:$Q$438,"FA",$AI$246:$AI$438,"V",$X$246:$X$438,"Penting",$S$246:$S$438,"X")</f>
        <v>0</v>
      </c>
      <c r="O49" s="37">
        <f>COUNTIFS($Q$246:$Q$438,"FA",$AJ$246:$AJ$438,"V",$X$246:$X$438,"Penting",$S$246:$S$438,"X")</f>
        <v>0</v>
      </c>
      <c r="P49" s="37">
        <f>COUNTIFS($Q$246:$Q$438,"FA",$AK$246:$AK$438,"V",$X$246:$X$438,"Penting",$S$246:$S$438,"X")</f>
        <v>0</v>
      </c>
      <c r="Q49" s="37">
        <f>COUNTIFS($Q$246:$Q$438,"FA",$AL$246:$AL$438,"V",$X$246:$X$438,"Penting",$S$246:$S$438,"X")</f>
        <v>0</v>
      </c>
      <c r="R49" s="37">
        <f>COUNTIFS($Q$246:$Q$438,"FA",$AM$246:$AM$438,"V",$X$246:$X$438,"Penting",$S$246:$S$438,"X")</f>
        <v>0</v>
      </c>
      <c r="S49" s="26">
        <f t="shared" si="22"/>
        <v>0</v>
      </c>
      <c r="T49" s="26">
        <f>COUNTIFS($Q$246:$Q$438,"FA",$AH$246:$AH$438,"V",$X$246:$X$438,"Biasa",$S$246:$S$438,"Y")</f>
        <v>0</v>
      </c>
      <c r="U49" s="37">
        <f>COUNTIFS($Q$246:$Q$438,"FA",$AI$246:$AI$438,"V",$X$246:$X$438,"Biasa",$S$246:$S$438,"Y")</f>
        <v>0</v>
      </c>
      <c r="V49" s="37">
        <f>COUNTIFS($Q$246:$Q$438,"FA",$AJ$246:$AJ$438,"V",$X$246:$X$438,"Biasa",$S$246:$S$438,"Y")</f>
        <v>0</v>
      </c>
      <c r="W49" s="37">
        <f>COUNTIFS($Q$246:$Q$438,"FA",$AK$246:$AK$438,"V",$X$246:$X$438,"Biasa",$S$246:$S$438,"Y")</f>
        <v>0</v>
      </c>
      <c r="X49" s="37">
        <f>COUNTIFS($Q$246:$Q$438,"FA",$AL$246:$AL$438,"V",$X$246:$X$438,"Biasa",$S$246:$S$438,"Y")</f>
        <v>0</v>
      </c>
      <c r="Y49" s="37">
        <f>COUNTIFS($Q$246:$Q$438,"FA",$AM$246:$AM$438,"V",$X$246:$X$438,"Biasa",$S$246:$S$438,"Y")</f>
        <v>0</v>
      </c>
      <c r="Z49" s="26">
        <f t="shared" si="23"/>
        <v>0</v>
      </c>
      <c r="AA49" s="26">
        <f>COUNTIFS($Q$246:$Q$438,"FA",$AH$246:$AH$438,"V",$X$246:$X$438,"Biasa",$S$246:$S$438,"X")</f>
        <v>0</v>
      </c>
      <c r="AB49" s="26">
        <f>COUNTIFS($Q$246:$Q$438,"FA",$AI$246:$AI$438,"V",$X$246:$X$438,"Biasa",$S$246:$S$438,"X")</f>
        <v>0</v>
      </c>
      <c r="AC49" s="26">
        <f>COUNTIFS($Q$246:$Q$438,"FA",$AJ$246:$AJ$438,"V",$X$246:$X$438,"Biasa",$S$246:$S$438,"X")</f>
        <v>0</v>
      </c>
      <c r="AD49" s="26">
        <f>COUNTIFS($Q$246:$Q$438,"FA",$AK$246:$AK$438,"V",$X$246:$X$438,"Biasa",$S$246:$S$438,"X")</f>
        <v>0</v>
      </c>
      <c r="AE49" s="26">
        <f>COUNTIFS($Q$246:$Q$438,"FA",$AL$246:$AL$438,"V",$X$246:$X$438,"Biasa",$S$246:$S$438,"X")</f>
        <v>0</v>
      </c>
      <c r="AF49" s="26">
        <f>COUNTIFS($Q$246:$Q$438,"FA",$AM$246:$AM$438,"V",$X$246:$X$438,"Biasa",$S$246:$S$438,"X")</f>
        <v>0</v>
      </c>
      <c r="AG49" s="26">
        <f t="shared" si="24"/>
        <v>0</v>
      </c>
      <c r="AT49" s="25" t="s">
        <v>47</v>
      </c>
      <c r="AU49" s="26">
        <f t="shared" ca="1" si="29"/>
        <v>8</v>
      </c>
      <c r="AV49" s="26">
        <f t="shared" si="25"/>
        <v>0</v>
      </c>
      <c r="AW49" s="37">
        <f t="shared" si="26"/>
        <v>0</v>
      </c>
      <c r="AX49" s="37">
        <f t="shared" si="26"/>
        <v>0</v>
      </c>
      <c r="AY49" s="37">
        <f t="shared" si="26"/>
        <v>0</v>
      </c>
      <c r="AZ49" s="37">
        <f t="shared" si="26"/>
        <v>0</v>
      </c>
      <c r="BA49" s="37">
        <f t="shared" si="26"/>
        <v>0</v>
      </c>
      <c r="BB49" s="26">
        <f t="shared" ca="1" si="27"/>
        <v>8</v>
      </c>
      <c r="BD49" s="1">
        <f t="shared" si="28"/>
        <v>0</v>
      </c>
      <c r="BE49" s="1">
        <f t="shared" si="28"/>
        <v>0</v>
      </c>
      <c r="BW49" s="66"/>
      <c r="BX49" s="66"/>
      <c r="CC49" s="67"/>
      <c r="CD49" s="67"/>
      <c r="CE49" s="67"/>
      <c r="CF49" s="67"/>
      <c r="CM49" s="67"/>
      <c r="CN49" s="67"/>
      <c r="CO49" s="67"/>
      <c r="CP49" s="67"/>
    </row>
    <row r="50" spans="3:189" ht="25.5" customHeight="1" x14ac:dyDescent="0.25">
      <c r="C50" s="25">
        <v>12</v>
      </c>
      <c r="D50" s="25" t="s">
        <v>35</v>
      </c>
      <c r="E50" s="25" t="s">
        <v>35</v>
      </c>
      <c r="F50" s="26">
        <f>COUNTIFS($Q$246:$Q$438,"QA",$AH$246:$AH$438,"V",$X$246:$X$438,"Penting",$S$246:$S$438,"Y")</f>
        <v>0</v>
      </c>
      <c r="G50" s="37">
        <f>COUNTIFS($Q$246:$Q$438,"QA",$AI$246:$AI$438,"V",$X$246:$X$438,"Penting",$S$246:$S$438,"Y")</f>
        <v>0</v>
      </c>
      <c r="H50" s="37">
        <f>COUNTIFS($Q$246:$Q$438,"QA",$AJ$246:$AJ$438,"V",$X$246:$X$438,"Penting",$S$246:$S$438,"Y")</f>
        <v>0</v>
      </c>
      <c r="I50" s="37">
        <f>COUNTIFS($Q$246:$Q$438,"QA",$AK$246:$AK$438,"V",$X$246:$X$438,"Penting",$S$246:$S$438,"Y")</f>
        <v>0</v>
      </c>
      <c r="J50" s="37">
        <f>COUNTIFS($Q$246:$Q$438,"QA",$AL$246:$AL$438,"V",$X$246:$X$438,"Penting",$S$246:$S$438,"Y")</f>
        <v>0</v>
      </c>
      <c r="K50" s="37">
        <f>COUNTIFS($Q$246:$Q$438,"QA",$AM$246:$AM$438,"V",$X$246:$X$438,"Penting",$S$246:$S$438,"Y")</f>
        <v>0</v>
      </c>
      <c r="L50" s="26">
        <f t="shared" si="21"/>
        <v>0</v>
      </c>
      <c r="M50" s="26">
        <f>COUNTIFS($Q$246:$Q$438,"QA",$AH$246:$AH$438,"V",$X$246:$X$438,"Penting",$S$246:$S$438,"X")</f>
        <v>0</v>
      </c>
      <c r="N50" s="37">
        <f>COUNTIFS($Q$246:$Q$438,"QA",$AI$246:$AI$438,"V",$X$246:$X$438,"Penting",$S$246:$S$438,"X")</f>
        <v>0</v>
      </c>
      <c r="O50" s="37">
        <f>COUNTIFS($Q$246:$Q$438,"QA",$AJ$246:$AJ$438,"V",$X$246:$X$438,"Penting",$S$246:$S$438,"X")</f>
        <v>0</v>
      </c>
      <c r="P50" s="37">
        <f>COUNTIFS($Q$246:$Q$438,"QA",$AK$246:$AK$438,"V",$X$246:$X$438,"Penting",$S$246:$S$438,"X")</f>
        <v>0</v>
      </c>
      <c r="Q50" s="37">
        <f>COUNTIFS($Q$246:$Q$438,"QA",$AL$246:$AL$438,"V",$X$246:$X$438,"Penting",$S$246:$S$438,"X")</f>
        <v>0</v>
      </c>
      <c r="R50" s="37">
        <f>COUNTIFS($Q$246:$Q$438,"QA",$AM$246:$AM$438,"V",$X$246:$X$438,"Penting",$S$246:$S$438,"X")</f>
        <v>0</v>
      </c>
      <c r="S50" s="26">
        <f t="shared" si="22"/>
        <v>0</v>
      </c>
      <c r="T50" s="26">
        <f>COUNTIFS($Q$246:$Q$438,"QA",$AH$246:$AH$438,"V",$X$246:$X$438,"Biasa",$S$246:$S$438,"Y")</f>
        <v>0</v>
      </c>
      <c r="U50" s="37">
        <f>COUNTIFS($Q$246:$Q$438,"QA",$AI$246:$AI$438,"V",$X$246:$X$438,"Biasa",$S$246:$S$438,"Y")</f>
        <v>0</v>
      </c>
      <c r="V50" s="37">
        <f>COUNTIFS($Q$246:$Q$438,"QA",$AJ$246:$AJ$438,"V",$X$246:$X$438,"Biasa",$S$246:$S$438,"Y")</f>
        <v>0</v>
      </c>
      <c r="W50" s="37">
        <f>COUNTIFS($Q$246:$Q$438,"QA",$AK$246:$AK$438,"V",$X$246:$X$438,"Biasa",$S$246:$S$438,"Y")</f>
        <v>0</v>
      </c>
      <c r="X50" s="37">
        <f>COUNTIFS($Q$246:$Q$438,"QA",$AL$246:$AL$438,"V",$X$246:$X$438,"Biasa",$S$246:$S$438,"Y")</f>
        <v>0</v>
      </c>
      <c r="Y50" s="37">
        <f>COUNTIFS($Q$246:$Q$438,"QA",$AM$246:$AM$438,"V",$X$246:$X$438,"Biasa",$S$246:$S$438,"Y")</f>
        <v>0</v>
      </c>
      <c r="Z50" s="26">
        <f t="shared" si="23"/>
        <v>0</v>
      </c>
      <c r="AA50" s="26">
        <f>COUNTIFS($Q$246:$Q$438,"QA",$AH$246:$AH$438,"V",$X$246:$X$438,"Biasa",$S$246:$S$438,"X")</f>
        <v>0</v>
      </c>
      <c r="AB50" s="26">
        <f>COUNTIFS($Q$246:$Q$438,"QA",$AI$246:$AI$438,"V",$X$246:$X$438,"Biasa",$S$246:$S$438,"X")</f>
        <v>0</v>
      </c>
      <c r="AC50" s="26">
        <f>COUNTIFS($Q$246:$Q$438,"QA",$AJ$246:$AJ$438,"V",$X$246:$X$438,"Biasa",$S$246:$S$438,"X")</f>
        <v>0</v>
      </c>
      <c r="AD50" s="26">
        <f>COUNTIFS($Q$246:$Q$438,"QA",$AK$246:$AK$438,"V",$X$246:$X$438,"Biasa",$S$246:$S$438,"X")</f>
        <v>0</v>
      </c>
      <c r="AE50" s="26">
        <f>COUNTIFS($Q$246:$Q$438,"QA",$AL$246:$AL$438,"V",$X$246:$X$438,"Biasa",$S$246:$S$438,"X")</f>
        <v>0</v>
      </c>
      <c r="AF50" s="26">
        <f>COUNTIFS($Q$246:$Q$438,"QA",$AM$246:$AM$438,"V",$X$246:$X$438,"Biasa",$S$246:$S$438,"X")</f>
        <v>0</v>
      </c>
      <c r="AG50" s="26">
        <f t="shared" si="24"/>
        <v>0</v>
      </c>
      <c r="AT50" s="25" t="s">
        <v>35</v>
      </c>
      <c r="AU50" s="26">
        <f t="shared" si="29"/>
        <v>0</v>
      </c>
      <c r="AV50" s="26">
        <f t="shared" si="25"/>
        <v>0</v>
      </c>
      <c r="AW50" s="37">
        <f t="shared" si="26"/>
        <v>0</v>
      </c>
      <c r="AX50" s="37">
        <f t="shared" si="26"/>
        <v>0</v>
      </c>
      <c r="AY50" s="37">
        <f t="shared" si="26"/>
        <v>0</v>
      </c>
      <c r="AZ50" s="37">
        <f t="shared" si="26"/>
        <v>0</v>
      </c>
      <c r="BA50" s="37">
        <f t="shared" si="26"/>
        <v>0</v>
      </c>
      <c r="BB50" s="26">
        <f t="shared" si="27"/>
        <v>0</v>
      </c>
      <c r="BD50" s="1">
        <f t="shared" si="28"/>
        <v>0</v>
      </c>
      <c r="BE50" s="1">
        <f t="shared" si="28"/>
        <v>0</v>
      </c>
      <c r="BW50" s="66"/>
      <c r="BX50" s="66"/>
      <c r="CC50" s="68"/>
      <c r="CD50" s="68"/>
      <c r="CE50" s="68"/>
      <c r="CF50" s="68"/>
      <c r="CM50" s="68"/>
      <c r="CN50" s="68"/>
      <c r="CO50" s="68"/>
      <c r="CP50" s="68"/>
    </row>
    <row r="51" spans="3:189" ht="25.5" customHeight="1" x14ac:dyDescent="0.25">
      <c r="C51" s="167" t="s">
        <v>24</v>
      </c>
      <c r="D51" s="168"/>
      <c r="E51" s="169"/>
      <c r="F51" s="69">
        <f t="shared" ref="F51:K51" si="30">SUM(F39:F50)</f>
        <v>0</v>
      </c>
      <c r="G51" s="70">
        <f t="shared" si="30"/>
        <v>0</v>
      </c>
      <c r="H51" s="70">
        <f t="shared" si="30"/>
        <v>0</v>
      </c>
      <c r="I51" s="70">
        <f t="shared" si="30"/>
        <v>0</v>
      </c>
      <c r="J51" s="70">
        <f t="shared" si="30"/>
        <v>0</v>
      </c>
      <c r="K51" s="70">
        <f t="shared" si="30"/>
        <v>0</v>
      </c>
      <c r="L51" s="147">
        <f t="shared" si="21"/>
        <v>0</v>
      </c>
      <c r="M51" s="69">
        <f t="shared" ref="M51:R51" si="31">SUM(M39:M50)</f>
        <v>0</v>
      </c>
      <c r="N51" s="70">
        <f t="shared" si="31"/>
        <v>4</v>
      </c>
      <c r="O51" s="70">
        <f t="shared" si="31"/>
        <v>0</v>
      </c>
      <c r="P51" s="70">
        <f t="shared" si="31"/>
        <v>0</v>
      </c>
      <c r="Q51" s="70">
        <f t="shared" si="31"/>
        <v>0</v>
      </c>
      <c r="R51" s="70">
        <f t="shared" si="31"/>
        <v>0</v>
      </c>
      <c r="S51" s="147">
        <f t="shared" si="22"/>
        <v>4</v>
      </c>
      <c r="T51" s="69">
        <f t="shared" ref="T51:Y51" si="32">SUM(T39:T50)</f>
        <v>0</v>
      </c>
      <c r="U51" s="70">
        <f t="shared" si="32"/>
        <v>0</v>
      </c>
      <c r="V51" s="70">
        <f t="shared" si="32"/>
        <v>0</v>
      </c>
      <c r="W51" s="70">
        <f t="shared" si="32"/>
        <v>0</v>
      </c>
      <c r="X51" s="70">
        <f t="shared" si="32"/>
        <v>0</v>
      </c>
      <c r="Y51" s="70">
        <f t="shared" si="32"/>
        <v>0</v>
      </c>
      <c r="Z51" s="147">
        <f t="shared" si="23"/>
        <v>0</v>
      </c>
      <c r="AA51" s="69">
        <f t="shared" ref="AA51:AF51" si="33">SUM(AA39:AA50)</f>
        <v>0</v>
      </c>
      <c r="AB51" s="69">
        <f t="shared" si="33"/>
        <v>0</v>
      </c>
      <c r="AC51" s="69">
        <f t="shared" si="33"/>
        <v>0</v>
      </c>
      <c r="AD51" s="69">
        <f t="shared" si="33"/>
        <v>0</v>
      </c>
      <c r="AE51" s="69">
        <f t="shared" si="33"/>
        <v>0</v>
      </c>
      <c r="AF51" s="69">
        <f t="shared" si="33"/>
        <v>0</v>
      </c>
      <c r="AG51" s="147">
        <f t="shared" si="24"/>
        <v>0</v>
      </c>
      <c r="AU51" s="26">
        <f ca="1">SUM(AU39:AU50)</f>
        <v>135</v>
      </c>
      <c r="AV51" s="26">
        <f t="shared" si="25"/>
        <v>4</v>
      </c>
      <c r="AW51" s="37">
        <f t="shared" si="26"/>
        <v>4</v>
      </c>
      <c r="AX51" s="37">
        <f t="shared" si="26"/>
        <v>0</v>
      </c>
      <c r="AY51" s="37">
        <f t="shared" si="26"/>
        <v>0</v>
      </c>
      <c r="AZ51" s="37">
        <f t="shared" si="26"/>
        <v>0</v>
      </c>
      <c r="BA51" s="37">
        <f t="shared" si="26"/>
        <v>0</v>
      </c>
      <c r="BB51" s="147">
        <f t="shared" ca="1" si="27"/>
        <v>139</v>
      </c>
      <c r="BD51" s="1">
        <f>SUM(BD39:BD50)</f>
        <v>4</v>
      </c>
      <c r="BE51" s="1">
        <f>SUM(BE39:BE50)</f>
        <v>4</v>
      </c>
      <c r="BW51" s="66"/>
      <c r="BX51" s="66"/>
      <c r="CC51" s="68"/>
      <c r="CD51" s="68"/>
      <c r="CE51" s="68"/>
      <c r="CF51" s="68"/>
      <c r="CM51" s="68"/>
      <c r="CN51" s="68"/>
      <c r="CO51" s="68"/>
      <c r="CP51" s="68"/>
    </row>
    <row r="52" spans="3:189" ht="25.5" customHeight="1" x14ac:dyDescent="0.25">
      <c r="C52" s="170"/>
      <c r="D52" s="171"/>
      <c r="E52" s="172"/>
      <c r="F52" s="173">
        <f>F51+G51+H51+I51+J51+K51</f>
        <v>0</v>
      </c>
      <c r="G52" s="174"/>
      <c r="H52" s="174"/>
      <c r="I52" s="174"/>
      <c r="J52" s="174"/>
      <c r="K52" s="175"/>
      <c r="L52" s="1"/>
      <c r="M52" s="176">
        <f>M51+N51+O51+P51+Q51+R51</f>
        <v>4</v>
      </c>
      <c r="N52" s="177"/>
      <c r="O52" s="177"/>
      <c r="P52" s="177"/>
      <c r="Q52" s="177"/>
      <c r="R52" s="178"/>
      <c r="S52" s="1"/>
      <c r="T52" s="173">
        <f>T51+U51+V51+W51+X51+Y51</f>
        <v>0</v>
      </c>
      <c r="U52" s="174"/>
      <c r="V52" s="174"/>
      <c r="W52" s="174"/>
      <c r="X52" s="174"/>
      <c r="Y52" s="175"/>
      <c r="Z52" s="1"/>
      <c r="AA52" s="176">
        <f>AA51+AB51+AC51+AD51+AE51+AF51</f>
        <v>0</v>
      </c>
      <c r="AB52" s="177"/>
      <c r="AC52" s="177"/>
      <c r="AD52" s="177"/>
      <c r="AE52" s="177"/>
      <c r="AF52" s="177"/>
      <c r="AG52" s="178"/>
      <c r="AW52" s="71">
        <f>AW51+AX51+AY51+AZ51+BA51</f>
        <v>4</v>
      </c>
      <c r="AX52" s="72"/>
      <c r="AY52" s="72"/>
      <c r="AZ52" s="72"/>
      <c r="BA52" s="73"/>
      <c r="BD52" s="1">
        <f>SUM(BD51:BE51)</f>
        <v>8</v>
      </c>
      <c r="BW52" s="66"/>
      <c r="BX52" s="66"/>
      <c r="CM52" s="68"/>
      <c r="CN52" s="68"/>
      <c r="CO52" s="68"/>
      <c r="CP52" s="68"/>
    </row>
    <row r="53" spans="3:189" ht="25.5" customHeight="1" x14ac:dyDescent="0.25">
      <c r="G53" s="1"/>
      <c r="H53" s="1"/>
      <c r="I53" s="4"/>
      <c r="J53" s="4"/>
      <c r="K53" s="38"/>
      <c r="L53" s="38"/>
      <c r="M53" s="38"/>
      <c r="O53" s="62"/>
      <c r="Y53" s="1"/>
      <c r="Z53" s="1"/>
      <c r="AA53" s="1"/>
      <c r="AB53" s="1"/>
      <c r="AC53" s="1"/>
      <c r="AD53" s="1"/>
      <c r="AE53" s="1"/>
      <c r="BC53" s="1">
        <f ca="1">SUM(AU51:BE51)</f>
        <v>290</v>
      </c>
      <c r="BW53" s="66"/>
      <c r="BX53" s="66"/>
      <c r="CM53" s="68"/>
      <c r="CN53" s="68"/>
      <c r="CO53" s="68"/>
      <c r="CP53" s="68"/>
    </row>
    <row r="54" spans="3:189" ht="25.5" customHeight="1" x14ac:dyDescent="0.25">
      <c r="G54" s="1"/>
      <c r="H54" s="1"/>
      <c r="I54" s="4"/>
      <c r="J54" s="4"/>
      <c r="K54" s="38"/>
      <c r="L54" s="38"/>
      <c r="M54" s="38"/>
      <c r="O54" s="62"/>
      <c r="Y54" s="1"/>
      <c r="Z54" s="1"/>
      <c r="AA54" s="1"/>
      <c r="AB54" s="1"/>
      <c r="AC54" s="1"/>
      <c r="AD54" s="1"/>
      <c r="AE54" s="1"/>
      <c r="BC54" s="1">
        <f ca="1">AU51/BC53</f>
        <v>0.46551724137931033</v>
      </c>
      <c r="BW54" s="66"/>
      <c r="BX54" s="66"/>
      <c r="CC54" s="74"/>
      <c r="CD54" s="163">
        <v>43466</v>
      </c>
      <c r="CE54" s="163"/>
      <c r="CF54" s="163"/>
      <c r="CG54" s="163">
        <v>43497</v>
      </c>
      <c r="CH54" s="163"/>
      <c r="CI54" s="163"/>
      <c r="CJ54" s="163">
        <v>43525</v>
      </c>
      <c r="CK54" s="163"/>
      <c r="CL54" s="163"/>
      <c r="CM54" s="163">
        <v>43556</v>
      </c>
      <c r="CN54" s="163"/>
      <c r="CO54" s="163"/>
      <c r="CP54" s="163">
        <v>43586</v>
      </c>
      <c r="CQ54" s="163"/>
      <c r="CR54" s="163"/>
      <c r="CS54" s="163">
        <v>43617</v>
      </c>
      <c r="CT54" s="163"/>
      <c r="CU54" s="163"/>
      <c r="CV54" s="163">
        <v>43647</v>
      </c>
      <c r="CW54" s="163"/>
      <c r="CX54" s="163"/>
      <c r="CY54" s="163">
        <v>43678</v>
      </c>
      <c r="CZ54" s="163"/>
      <c r="DA54" s="163"/>
      <c r="DB54" s="163">
        <v>43709</v>
      </c>
      <c r="DC54" s="163"/>
      <c r="DD54" s="163"/>
      <c r="DE54" s="163">
        <v>43739</v>
      </c>
      <c r="DF54" s="163"/>
      <c r="DG54" s="163"/>
      <c r="DH54" s="163">
        <v>43770</v>
      </c>
      <c r="DI54" s="163"/>
      <c r="DJ54" s="163"/>
      <c r="DK54" s="163">
        <v>43800</v>
      </c>
      <c r="DL54" s="163"/>
      <c r="DM54" s="163"/>
      <c r="DN54" s="163">
        <v>43831</v>
      </c>
      <c r="DO54" s="163"/>
      <c r="DP54" s="163"/>
      <c r="DQ54" s="163">
        <v>43862</v>
      </c>
      <c r="DR54" s="163"/>
      <c r="DS54" s="163"/>
      <c r="DT54" s="163">
        <v>43891</v>
      </c>
      <c r="DU54" s="163"/>
      <c r="DV54" s="163"/>
      <c r="DW54" s="163">
        <v>43922</v>
      </c>
      <c r="DX54" s="163"/>
      <c r="DY54" s="163"/>
      <c r="DZ54" s="163">
        <v>43952</v>
      </c>
      <c r="EA54" s="163"/>
      <c r="EB54" s="163"/>
      <c r="EC54" s="163">
        <v>43983</v>
      </c>
      <c r="ED54" s="163"/>
      <c r="EE54" s="163"/>
      <c r="EF54" s="163">
        <v>44013</v>
      </c>
      <c r="EG54" s="163"/>
      <c r="EH54" s="163"/>
      <c r="EI54" s="163">
        <v>44044</v>
      </c>
      <c r="EJ54" s="163"/>
      <c r="EK54" s="163"/>
      <c r="EL54" s="163">
        <v>44075</v>
      </c>
      <c r="EM54" s="163"/>
      <c r="EN54" s="163"/>
      <c r="EO54" s="163">
        <v>44105</v>
      </c>
      <c r="EP54" s="163"/>
      <c r="EQ54" s="163"/>
      <c r="ER54" s="163">
        <v>44136</v>
      </c>
      <c r="ES54" s="163"/>
      <c r="ET54" s="163"/>
      <c r="EU54" s="163">
        <v>44166</v>
      </c>
      <c r="EV54" s="163"/>
      <c r="EW54" s="163"/>
      <c r="EX54" s="163">
        <v>44197</v>
      </c>
      <c r="EY54" s="163"/>
      <c r="EZ54" s="163"/>
      <c r="FA54" s="163">
        <v>44228</v>
      </c>
      <c r="FB54" s="163"/>
      <c r="FC54" s="163"/>
      <c r="FD54" s="163">
        <v>44256</v>
      </c>
      <c r="FE54" s="163"/>
      <c r="FF54" s="163"/>
      <c r="FG54" s="163">
        <v>44287</v>
      </c>
      <c r="FH54" s="163"/>
      <c r="FI54" s="163"/>
      <c r="FJ54" s="163">
        <v>44317</v>
      </c>
      <c r="FK54" s="163"/>
      <c r="FL54" s="163"/>
      <c r="FM54" s="163">
        <v>44348</v>
      </c>
      <c r="FN54" s="163"/>
      <c r="FO54" s="163"/>
      <c r="FP54" s="163">
        <v>44378</v>
      </c>
      <c r="FQ54" s="163"/>
      <c r="FR54" s="163"/>
      <c r="FS54" s="163">
        <v>44409</v>
      </c>
      <c r="FT54" s="163"/>
      <c r="FU54" s="163"/>
      <c r="FV54" s="163">
        <v>44440</v>
      </c>
      <c r="FW54" s="163"/>
      <c r="FX54" s="163"/>
      <c r="FY54" s="163">
        <v>44470</v>
      </c>
      <c r="FZ54" s="163"/>
      <c r="GA54" s="163"/>
      <c r="GB54" s="163">
        <v>44501</v>
      </c>
      <c r="GC54" s="163"/>
      <c r="GD54" s="163"/>
      <c r="GE54" s="163">
        <v>44531</v>
      </c>
      <c r="GF54" s="163"/>
      <c r="GG54" s="163"/>
    </row>
    <row r="55" spans="3:189" ht="25.5" customHeight="1" x14ac:dyDescent="0.25">
      <c r="G55" s="1"/>
      <c r="H55" s="1"/>
      <c r="I55" s="4"/>
      <c r="J55" s="4"/>
      <c r="K55" s="38"/>
      <c r="L55" s="38"/>
      <c r="M55" s="38"/>
      <c r="O55" s="62"/>
      <c r="Y55" s="1"/>
      <c r="Z55" s="1"/>
      <c r="AA55" s="1"/>
      <c r="AB55" s="1"/>
      <c r="AC55" s="1"/>
      <c r="AD55" s="1"/>
      <c r="AE55" s="1"/>
      <c r="BW55" s="66"/>
      <c r="BX55" s="66"/>
      <c r="CC55" s="74"/>
      <c r="CD55" s="75" t="s">
        <v>58</v>
      </c>
      <c r="CE55" s="75" t="s">
        <v>59</v>
      </c>
      <c r="CF55" s="75" t="s">
        <v>17</v>
      </c>
      <c r="CG55" s="75" t="s">
        <v>58</v>
      </c>
      <c r="CH55" s="75" t="s">
        <v>59</v>
      </c>
      <c r="CI55" s="75" t="s">
        <v>17</v>
      </c>
      <c r="CJ55" s="75" t="s">
        <v>58</v>
      </c>
      <c r="CK55" s="75" t="s">
        <v>59</v>
      </c>
      <c r="CL55" s="75" t="s">
        <v>17</v>
      </c>
      <c r="CM55" s="75" t="s">
        <v>58</v>
      </c>
      <c r="CN55" s="75" t="s">
        <v>59</v>
      </c>
      <c r="CO55" s="75" t="s">
        <v>17</v>
      </c>
      <c r="CP55" s="75" t="s">
        <v>58</v>
      </c>
      <c r="CQ55" s="75" t="s">
        <v>59</v>
      </c>
      <c r="CR55" s="75" t="s">
        <v>17</v>
      </c>
      <c r="CS55" s="75" t="s">
        <v>58</v>
      </c>
      <c r="CT55" s="75" t="s">
        <v>59</v>
      </c>
      <c r="CU55" s="75" t="s">
        <v>17</v>
      </c>
      <c r="CV55" s="75" t="s">
        <v>58</v>
      </c>
      <c r="CW55" s="75" t="s">
        <v>59</v>
      </c>
      <c r="CX55" s="75" t="s">
        <v>17</v>
      </c>
      <c r="CY55" s="75" t="s">
        <v>58</v>
      </c>
      <c r="CZ55" s="75" t="s">
        <v>59</v>
      </c>
      <c r="DA55" s="75" t="s">
        <v>17</v>
      </c>
      <c r="DB55" s="75" t="s">
        <v>58</v>
      </c>
      <c r="DC55" s="75" t="s">
        <v>59</v>
      </c>
      <c r="DD55" s="75" t="s">
        <v>17</v>
      </c>
      <c r="DE55" s="75" t="s">
        <v>58</v>
      </c>
      <c r="DF55" s="75" t="s">
        <v>59</v>
      </c>
      <c r="DG55" s="75" t="s">
        <v>17</v>
      </c>
      <c r="DH55" s="75" t="s">
        <v>58</v>
      </c>
      <c r="DI55" s="75" t="s">
        <v>59</v>
      </c>
      <c r="DJ55" s="75" t="s">
        <v>17</v>
      </c>
      <c r="DK55" s="75" t="s">
        <v>58</v>
      </c>
      <c r="DL55" s="75" t="s">
        <v>59</v>
      </c>
      <c r="DM55" s="75" t="s">
        <v>17</v>
      </c>
      <c r="DN55" s="75" t="s">
        <v>58</v>
      </c>
      <c r="DO55" s="75" t="s">
        <v>59</v>
      </c>
      <c r="DP55" s="75" t="s">
        <v>17</v>
      </c>
      <c r="DQ55" s="75" t="s">
        <v>58</v>
      </c>
      <c r="DR55" s="75" t="s">
        <v>59</v>
      </c>
      <c r="DS55" s="75" t="s">
        <v>17</v>
      </c>
      <c r="DT55" s="75" t="s">
        <v>58</v>
      </c>
      <c r="DU55" s="75" t="s">
        <v>59</v>
      </c>
      <c r="DV55" s="75" t="s">
        <v>17</v>
      </c>
      <c r="DW55" s="75" t="s">
        <v>58</v>
      </c>
      <c r="DX55" s="75" t="s">
        <v>59</v>
      </c>
      <c r="DY55" s="75" t="s">
        <v>17</v>
      </c>
      <c r="DZ55" s="75" t="s">
        <v>58</v>
      </c>
      <c r="EA55" s="75" t="s">
        <v>59</v>
      </c>
      <c r="EB55" s="75" t="s">
        <v>17</v>
      </c>
      <c r="EC55" s="75" t="s">
        <v>58</v>
      </c>
      <c r="ED55" s="75" t="s">
        <v>59</v>
      </c>
      <c r="EE55" s="75" t="s">
        <v>17</v>
      </c>
      <c r="EF55" s="75" t="s">
        <v>58</v>
      </c>
      <c r="EG55" s="75" t="s">
        <v>59</v>
      </c>
      <c r="EH55" s="75" t="s">
        <v>17</v>
      </c>
      <c r="EI55" s="75" t="s">
        <v>58</v>
      </c>
      <c r="EJ55" s="75" t="s">
        <v>59</v>
      </c>
      <c r="EK55" s="75" t="s">
        <v>17</v>
      </c>
      <c r="EL55" s="75" t="s">
        <v>58</v>
      </c>
      <c r="EM55" s="75" t="s">
        <v>59</v>
      </c>
      <c r="EN55" s="75" t="s">
        <v>17</v>
      </c>
      <c r="EO55" s="75" t="s">
        <v>58</v>
      </c>
      <c r="EP55" s="75" t="s">
        <v>59</v>
      </c>
      <c r="EQ55" s="75" t="s">
        <v>17</v>
      </c>
      <c r="ER55" s="75" t="s">
        <v>58</v>
      </c>
      <c r="ES55" s="75" t="s">
        <v>59</v>
      </c>
      <c r="ET55" s="75" t="s">
        <v>17</v>
      </c>
      <c r="EU55" s="75" t="s">
        <v>58</v>
      </c>
      <c r="EV55" s="75" t="s">
        <v>59</v>
      </c>
      <c r="EW55" s="75" t="s">
        <v>17</v>
      </c>
      <c r="EX55" s="75" t="s">
        <v>58</v>
      </c>
      <c r="EY55" s="75" t="s">
        <v>59</v>
      </c>
      <c r="EZ55" s="75" t="s">
        <v>17</v>
      </c>
      <c r="FA55" s="75" t="s">
        <v>58</v>
      </c>
      <c r="FB55" s="75" t="s">
        <v>59</v>
      </c>
      <c r="FC55" s="75" t="s">
        <v>17</v>
      </c>
      <c r="FD55" s="75" t="s">
        <v>58</v>
      </c>
      <c r="FE55" s="75" t="s">
        <v>59</v>
      </c>
      <c r="FF55" s="75" t="s">
        <v>17</v>
      </c>
      <c r="FG55" s="75" t="s">
        <v>58</v>
      </c>
      <c r="FH55" s="75" t="s">
        <v>59</v>
      </c>
      <c r="FI55" s="75" t="s">
        <v>17</v>
      </c>
      <c r="FJ55" s="75" t="s">
        <v>58</v>
      </c>
      <c r="FK55" s="75" t="s">
        <v>59</v>
      </c>
      <c r="FL55" s="75" t="s">
        <v>17</v>
      </c>
      <c r="FM55" s="75" t="s">
        <v>58</v>
      </c>
      <c r="FN55" s="75" t="s">
        <v>59</v>
      </c>
      <c r="FO55" s="75" t="s">
        <v>17</v>
      </c>
      <c r="FP55" s="75" t="s">
        <v>58</v>
      </c>
      <c r="FQ55" s="75" t="s">
        <v>59</v>
      </c>
      <c r="FR55" s="75" t="s">
        <v>17</v>
      </c>
      <c r="FS55" s="75" t="s">
        <v>58</v>
      </c>
      <c r="FT55" s="75" t="s">
        <v>59</v>
      </c>
      <c r="FU55" s="75" t="s">
        <v>17</v>
      </c>
      <c r="FV55" s="75" t="s">
        <v>58</v>
      </c>
      <c r="FW55" s="75" t="s">
        <v>59</v>
      </c>
      <c r="FX55" s="75" t="s">
        <v>17</v>
      </c>
      <c r="FY55" s="75" t="s">
        <v>58</v>
      </c>
      <c r="FZ55" s="75" t="s">
        <v>59</v>
      </c>
      <c r="GA55" s="75" t="s">
        <v>17</v>
      </c>
      <c r="GB55" s="75" t="s">
        <v>58</v>
      </c>
      <c r="GC55" s="75" t="s">
        <v>59</v>
      </c>
      <c r="GD55" s="75" t="s">
        <v>17</v>
      </c>
      <c r="GE55" s="75" t="s">
        <v>58</v>
      </c>
      <c r="GF55" s="75" t="s">
        <v>59</v>
      </c>
      <c r="GG55" s="75" t="s">
        <v>17</v>
      </c>
    </row>
    <row r="56" spans="3:189" ht="25.5" customHeight="1" x14ac:dyDescent="0.4">
      <c r="G56" s="1"/>
      <c r="H56" s="1"/>
      <c r="I56" s="4"/>
      <c r="J56" s="4"/>
      <c r="K56" s="38"/>
      <c r="L56" s="38"/>
      <c r="M56" s="38"/>
      <c r="O56" s="62"/>
      <c r="P56" s="76"/>
      <c r="Q56" s="1"/>
      <c r="R56" s="1"/>
      <c r="S56" s="77"/>
      <c r="T56" s="77"/>
      <c r="U56" s="77"/>
      <c r="V56" s="77"/>
      <c r="W56" s="77"/>
      <c r="X56" s="77"/>
      <c r="Y56" s="1"/>
      <c r="Z56" s="1"/>
      <c r="AA56" s="1"/>
      <c r="AB56" s="1"/>
      <c r="AC56" s="1"/>
      <c r="AD56" s="1"/>
      <c r="AE56" s="1"/>
      <c r="CB56" s="78"/>
      <c r="CC56" s="79" t="s">
        <v>28</v>
      </c>
      <c r="CD56" s="80">
        <v>42</v>
      </c>
      <c r="CE56" s="80">
        <v>3</v>
      </c>
      <c r="CF56" s="80">
        <v>0</v>
      </c>
      <c r="CG56" s="80">
        <v>42</v>
      </c>
      <c r="CH56" s="80">
        <v>3</v>
      </c>
      <c r="CI56" s="80">
        <v>0</v>
      </c>
      <c r="CJ56" s="80">
        <v>37</v>
      </c>
      <c r="CK56" s="80">
        <v>3</v>
      </c>
      <c r="CL56" s="80">
        <v>5</v>
      </c>
      <c r="CM56" s="80">
        <v>27</v>
      </c>
      <c r="CN56" s="80">
        <v>6</v>
      </c>
      <c r="CO56" s="80">
        <v>12</v>
      </c>
      <c r="CP56" s="80">
        <v>24</v>
      </c>
      <c r="CQ56" s="80">
        <v>8</v>
      </c>
      <c r="CR56" s="80">
        <v>13</v>
      </c>
      <c r="CS56" s="80">
        <v>12</v>
      </c>
      <c r="CT56" s="80">
        <v>20</v>
      </c>
      <c r="CU56" s="80">
        <v>13</v>
      </c>
      <c r="CV56" s="80">
        <v>10</v>
      </c>
      <c r="CW56" s="80">
        <v>22</v>
      </c>
      <c r="CX56" s="80">
        <v>13</v>
      </c>
      <c r="CY56" s="26">
        <v>7</v>
      </c>
      <c r="CZ56" s="80">
        <v>25</v>
      </c>
      <c r="DA56" s="80">
        <v>13</v>
      </c>
      <c r="DB56" s="80">
        <v>7</v>
      </c>
      <c r="DC56" s="80">
        <v>25</v>
      </c>
      <c r="DD56" s="80">
        <v>13</v>
      </c>
      <c r="DE56" s="79">
        <v>3</v>
      </c>
      <c r="DF56" s="80">
        <v>29</v>
      </c>
      <c r="DG56" s="80">
        <v>13</v>
      </c>
      <c r="DH56" s="79">
        <v>2</v>
      </c>
      <c r="DI56" s="80">
        <v>30</v>
      </c>
      <c r="DJ56" s="80">
        <v>13</v>
      </c>
      <c r="DK56" s="80">
        <v>0</v>
      </c>
      <c r="DL56" s="80">
        <v>30</v>
      </c>
      <c r="DM56" s="80">
        <v>15</v>
      </c>
      <c r="DN56" s="80">
        <v>0</v>
      </c>
      <c r="DO56" s="80">
        <v>30</v>
      </c>
      <c r="DP56" s="80">
        <v>15</v>
      </c>
      <c r="DQ56" s="80">
        <v>0</v>
      </c>
      <c r="DR56" s="80">
        <v>30</v>
      </c>
      <c r="DS56" s="80">
        <v>15</v>
      </c>
      <c r="DT56" s="79">
        <v>0</v>
      </c>
      <c r="DU56" s="80">
        <v>30</v>
      </c>
      <c r="DV56" s="80">
        <v>15</v>
      </c>
      <c r="DW56" s="80">
        <v>0</v>
      </c>
      <c r="DX56" s="80">
        <v>30</v>
      </c>
      <c r="DY56" s="80">
        <v>15</v>
      </c>
      <c r="DZ56" s="80">
        <v>0</v>
      </c>
      <c r="EA56" s="80">
        <v>30</v>
      </c>
      <c r="EB56" s="80">
        <v>15</v>
      </c>
      <c r="EC56" s="80">
        <v>0</v>
      </c>
      <c r="ED56" s="80">
        <v>30</v>
      </c>
      <c r="EE56" s="80">
        <v>15</v>
      </c>
      <c r="EF56" s="80">
        <v>0</v>
      </c>
      <c r="EG56" s="80">
        <v>30</v>
      </c>
      <c r="EH56" s="80">
        <v>15</v>
      </c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>
        <v>0</v>
      </c>
      <c r="EY56" s="80">
        <v>30</v>
      </c>
      <c r="EZ56" s="80">
        <v>15</v>
      </c>
      <c r="FA56" s="80">
        <v>0</v>
      </c>
      <c r="FB56" s="80">
        <v>30</v>
      </c>
      <c r="FC56" s="80">
        <v>15</v>
      </c>
      <c r="FD56" s="80"/>
      <c r="FE56" s="80"/>
      <c r="FF56" s="80"/>
      <c r="FG56" s="80"/>
      <c r="FH56" s="80"/>
      <c r="FI56" s="80"/>
      <c r="FJ56" s="80"/>
      <c r="FK56" s="80"/>
      <c r="FL56" s="80"/>
      <c r="FM56" s="80"/>
      <c r="FN56" s="80"/>
      <c r="FO56" s="80"/>
      <c r="FP56" s="80"/>
      <c r="FQ56" s="80"/>
      <c r="FR56" s="80"/>
      <c r="FS56" s="26"/>
      <c r="FT56" s="80"/>
      <c r="FU56" s="80"/>
      <c r="FV56" s="80"/>
      <c r="FW56" s="80"/>
      <c r="FX56" s="80"/>
      <c r="FY56" s="79"/>
      <c r="FZ56" s="80"/>
      <c r="GA56" s="80"/>
      <c r="GB56" s="79"/>
      <c r="GC56" s="80"/>
      <c r="GD56" s="80"/>
      <c r="GE56" s="80"/>
      <c r="GF56" s="80"/>
      <c r="GG56" s="80"/>
    </row>
    <row r="57" spans="3:189" ht="25.5" customHeight="1" x14ac:dyDescent="0.4">
      <c r="G57" s="1"/>
      <c r="H57" s="1"/>
      <c r="I57" s="4"/>
      <c r="J57" s="4"/>
      <c r="K57" s="38"/>
      <c r="L57" s="38"/>
      <c r="M57" s="38"/>
      <c r="O57" s="62"/>
      <c r="P57" s="1"/>
      <c r="Q57" s="1"/>
      <c r="R57" s="1"/>
      <c r="S57" s="77"/>
      <c r="T57" s="77"/>
      <c r="U57" s="77"/>
      <c r="V57" s="77"/>
      <c r="W57" s="77"/>
      <c r="X57" s="77"/>
      <c r="Y57" s="1"/>
      <c r="Z57" s="1"/>
      <c r="AA57" s="1"/>
      <c r="AB57" s="1"/>
      <c r="AC57" s="1"/>
      <c r="AD57" s="1"/>
      <c r="AE57" s="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CC57" s="79" t="s">
        <v>29</v>
      </c>
      <c r="CD57" s="80">
        <v>2</v>
      </c>
      <c r="CE57" s="80">
        <v>1</v>
      </c>
      <c r="CF57" s="80">
        <v>0</v>
      </c>
      <c r="CG57" s="80">
        <v>2</v>
      </c>
      <c r="CH57" s="80">
        <v>1</v>
      </c>
      <c r="CI57" s="80">
        <v>0</v>
      </c>
      <c r="CJ57" s="80">
        <v>2</v>
      </c>
      <c r="CK57" s="80">
        <v>1</v>
      </c>
      <c r="CL57" s="80">
        <v>0</v>
      </c>
      <c r="CM57" s="80">
        <v>2</v>
      </c>
      <c r="CN57" s="80">
        <v>1</v>
      </c>
      <c r="CO57" s="80">
        <v>0</v>
      </c>
      <c r="CP57" s="80">
        <v>2</v>
      </c>
      <c r="CQ57" s="80">
        <v>1</v>
      </c>
      <c r="CR57" s="80">
        <v>0</v>
      </c>
      <c r="CS57" s="80">
        <v>2</v>
      </c>
      <c r="CT57" s="80">
        <v>1</v>
      </c>
      <c r="CU57" s="80">
        <v>0</v>
      </c>
      <c r="CV57" s="80">
        <v>2</v>
      </c>
      <c r="CW57" s="80">
        <v>1</v>
      </c>
      <c r="CX57" s="80">
        <v>0</v>
      </c>
      <c r="CY57" s="26">
        <v>2</v>
      </c>
      <c r="CZ57" s="80">
        <v>1</v>
      </c>
      <c r="DA57" s="80">
        <v>0</v>
      </c>
      <c r="DB57" s="80">
        <v>2</v>
      </c>
      <c r="DC57" s="80">
        <v>1</v>
      </c>
      <c r="DD57" s="80">
        <v>0</v>
      </c>
      <c r="DE57" s="79">
        <v>2</v>
      </c>
      <c r="DF57" s="80">
        <v>1</v>
      </c>
      <c r="DG57" s="80">
        <v>0</v>
      </c>
      <c r="DH57" s="79">
        <v>1</v>
      </c>
      <c r="DI57" s="80">
        <v>2</v>
      </c>
      <c r="DJ57" s="80">
        <v>0</v>
      </c>
      <c r="DK57" s="80">
        <v>1</v>
      </c>
      <c r="DL57" s="80">
        <v>2</v>
      </c>
      <c r="DM57" s="80">
        <v>0</v>
      </c>
      <c r="DN57" s="80">
        <v>0</v>
      </c>
      <c r="DO57" s="80">
        <v>3</v>
      </c>
      <c r="DP57" s="80">
        <v>0</v>
      </c>
      <c r="DQ57" s="80">
        <v>0</v>
      </c>
      <c r="DR57" s="80">
        <v>3</v>
      </c>
      <c r="DS57" s="80">
        <v>0</v>
      </c>
      <c r="DT57" s="79">
        <v>0</v>
      </c>
      <c r="DU57" s="80">
        <v>3</v>
      </c>
      <c r="DV57" s="80">
        <v>0</v>
      </c>
      <c r="DW57" s="80">
        <v>0</v>
      </c>
      <c r="DX57" s="80">
        <v>3</v>
      </c>
      <c r="DY57" s="80">
        <v>0</v>
      </c>
      <c r="DZ57" s="80">
        <v>0</v>
      </c>
      <c r="EA57" s="80">
        <v>3</v>
      </c>
      <c r="EB57" s="80">
        <v>0</v>
      </c>
      <c r="EC57" s="80">
        <v>0</v>
      </c>
      <c r="ED57" s="80">
        <v>3</v>
      </c>
      <c r="EE57" s="80">
        <v>0</v>
      </c>
      <c r="EF57" s="80">
        <v>0</v>
      </c>
      <c r="EG57" s="80">
        <v>3</v>
      </c>
      <c r="EH57" s="80">
        <v>0</v>
      </c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>
        <v>0</v>
      </c>
      <c r="EY57" s="80">
        <v>3</v>
      </c>
      <c r="EZ57" s="80">
        <v>0</v>
      </c>
      <c r="FA57" s="80">
        <v>0</v>
      </c>
      <c r="FB57" s="80">
        <v>3</v>
      </c>
      <c r="FC57" s="80">
        <v>0</v>
      </c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26"/>
      <c r="FT57" s="80"/>
      <c r="FU57" s="80"/>
      <c r="FV57" s="80"/>
      <c r="FW57" s="80"/>
      <c r="FX57" s="80"/>
      <c r="FY57" s="79"/>
      <c r="FZ57" s="80"/>
      <c r="GA57" s="80"/>
      <c r="GB57" s="79"/>
      <c r="GC57" s="80"/>
      <c r="GD57" s="80"/>
      <c r="GE57" s="80"/>
      <c r="GF57" s="80"/>
      <c r="GG57" s="80"/>
    </row>
    <row r="58" spans="3:189" ht="25.5" customHeight="1" x14ac:dyDescent="0.4">
      <c r="G58" s="1"/>
      <c r="H58" s="1"/>
      <c r="I58" s="4"/>
      <c r="J58" s="4"/>
      <c r="K58" s="38"/>
      <c r="L58" s="38"/>
      <c r="M58" s="38"/>
      <c r="O58" s="62"/>
      <c r="P58" s="1"/>
      <c r="Q58" s="1"/>
      <c r="R58" s="1"/>
      <c r="S58" s="77"/>
      <c r="T58" s="77"/>
      <c r="U58" s="77"/>
      <c r="V58" s="77"/>
      <c r="W58" s="77"/>
      <c r="X58" s="77"/>
      <c r="Y58" s="1"/>
      <c r="Z58" s="1"/>
      <c r="AA58" s="1"/>
      <c r="AB58" s="1"/>
      <c r="AC58" s="1"/>
      <c r="AD58" s="1"/>
      <c r="AE58" s="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CC58" s="79" t="s">
        <v>34</v>
      </c>
      <c r="CD58" s="80">
        <v>0</v>
      </c>
      <c r="CE58" s="80">
        <v>0</v>
      </c>
      <c r="CF58" s="80">
        <v>0</v>
      </c>
      <c r="CG58" s="80">
        <v>0</v>
      </c>
      <c r="CH58" s="80">
        <v>0</v>
      </c>
      <c r="CI58" s="80">
        <v>0</v>
      </c>
      <c r="CJ58" s="80">
        <v>0</v>
      </c>
      <c r="CK58" s="80">
        <v>0</v>
      </c>
      <c r="CL58" s="80">
        <v>0</v>
      </c>
      <c r="CM58" s="80">
        <v>0</v>
      </c>
      <c r="CN58" s="80">
        <v>0</v>
      </c>
      <c r="CO58" s="80">
        <v>0</v>
      </c>
      <c r="CP58" s="80">
        <v>0</v>
      </c>
      <c r="CQ58" s="80">
        <v>0</v>
      </c>
      <c r="CR58" s="80">
        <v>0</v>
      </c>
      <c r="CS58" s="80">
        <v>0</v>
      </c>
      <c r="CT58" s="80">
        <v>0</v>
      </c>
      <c r="CU58" s="80">
        <v>0</v>
      </c>
      <c r="CV58" s="80">
        <v>0</v>
      </c>
      <c r="CW58" s="80">
        <v>0</v>
      </c>
      <c r="CX58" s="80">
        <v>0</v>
      </c>
      <c r="CY58" s="26">
        <v>0</v>
      </c>
      <c r="CZ58" s="80">
        <v>0</v>
      </c>
      <c r="DA58" s="80">
        <v>0</v>
      </c>
      <c r="DB58" s="80">
        <v>0</v>
      </c>
      <c r="DC58" s="80">
        <v>0</v>
      </c>
      <c r="DD58" s="80">
        <v>0</v>
      </c>
      <c r="DE58" s="79">
        <v>0</v>
      </c>
      <c r="DF58" s="80">
        <v>0</v>
      </c>
      <c r="DG58" s="80">
        <v>0</v>
      </c>
      <c r="DH58" s="79">
        <v>0</v>
      </c>
      <c r="DI58" s="80">
        <v>0</v>
      </c>
      <c r="DJ58" s="80">
        <v>0</v>
      </c>
      <c r="DK58" s="80">
        <v>0</v>
      </c>
      <c r="DL58" s="80">
        <v>0</v>
      </c>
      <c r="DM58" s="80">
        <v>0</v>
      </c>
      <c r="DN58" s="80">
        <v>0</v>
      </c>
      <c r="DO58" s="80">
        <v>0</v>
      </c>
      <c r="DP58" s="80">
        <v>0</v>
      </c>
      <c r="DQ58" s="80">
        <v>0</v>
      </c>
      <c r="DR58" s="80">
        <v>0</v>
      </c>
      <c r="DS58" s="80">
        <v>0</v>
      </c>
      <c r="DT58" s="79">
        <v>0</v>
      </c>
      <c r="DU58" s="80">
        <v>0</v>
      </c>
      <c r="DV58" s="80">
        <v>0</v>
      </c>
      <c r="DW58" s="80">
        <v>0</v>
      </c>
      <c r="DX58" s="80">
        <v>0</v>
      </c>
      <c r="DY58" s="80">
        <v>0</v>
      </c>
      <c r="DZ58" s="80">
        <v>0</v>
      </c>
      <c r="EA58" s="80">
        <v>0</v>
      </c>
      <c r="EB58" s="80">
        <v>0</v>
      </c>
      <c r="EC58" s="80">
        <v>0</v>
      </c>
      <c r="ED58" s="80">
        <v>0</v>
      </c>
      <c r="EE58" s="80">
        <v>0</v>
      </c>
      <c r="EF58" s="80">
        <v>0</v>
      </c>
      <c r="EG58" s="80">
        <v>0</v>
      </c>
      <c r="EH58" s="80">
        <v>0</v>
      </c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>
        <v>0</v>
      </c>
      <c r="EY58" s="80">
        <v>0</v>
      </c>
      <c r="EZ58" s="80">
        <v>0</v>
      </c>
      <c r="FA58" s="80">
        <v>0</v>
      </c>
      <c r="FB58" s="80">
        <v>0</v>
      </c>
      <c r="FC58" s="80">
        <v>0</v>
      </c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26"/>
      <c r="FT58" s="80"/>
      <c r="FU58" s="80"/>
      <c r="FV58" s="80"/>
      <c r="FW58" s="80"/>
      <c r="FX58" s="80"/>
      <c r="FY58" s="79"/>
      <c r="FZ58" s="80"/>
      <c r="GA58" s="80"/>
      <c r="GB58" s="79"/>
      <c r="GC58" s="80"/>
      <c r="GD58" s="80"/>
      <c r="GE58" s="80"/>
      <c r="GF58" s="80"/>
      <c r="GG58" s="80"/>
    </row>
    <row r="59" spans="3:189" ht="25.5" customHeight="1" x14ac:dyDescent="0.4">
      <c r="G59" s="1"/>
      <c r="H59" s="1"/>
      <c r="I59" s="4"/>
      <c r="J59" s="4"/>
      <c r="K59" s="38"/>
      <c r="L59" s="38"/>
      <c r="M59" s="38"/>
      <c r="O59" s="62"/>
      <c r="P59" s="1"/>
      <c r="Q59" s="1"/>
      <c r="R59" s="1"/>
      <c r="S59" s="38"/>
      <c r="T59" s="38"/>
      <c r="U59" s="38"/>
      <c r="V59" s="38"/>
      <c r="W59" s="38"/>
      <c r="X59" s="38"/>
      <c r="Y59" s="1"/>
      <c r="Z59" s="1"/>
      <c r="AA59" s="1"/>
      <c r="AB59" s="1"/>
      <c r="AC59" s="1"/>
      <c r="AD59" s="1"/>
      <c r="AE59" s="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CC59" s="79" t="s">
        <v>38</v>
      </c>
      <c r="CD59" s="80">
        <v>0</v>
      </c>
      <c r="CE59" s="80">
        <v>0</v>
      </c>
      <c r="CF59" s="80">
        <v>0</v>
      </c>
      <c r="CG59" s="80">
        <v>1</v>
      </c>
      <c r="CH59" s="80">
        <v>0</v>
      </c>
      <c r="CI59" s="80">
        <v>0</v>
      </c>
      <c r="CJ59" s="80">
        <v>1</v>
      </c>
      <c r="CK59" s="80">
        <v>0</v>
      </c>
      <c r="CL59" s="80">
        <v>0</v>
      </c>
      <c r="CM59" s="80">
        <v>1</v>
      </c>
      <c r="CN59" s="80">
        <v>0</v>
      </c>
      <c r="CO59" s="80">
        <v>0</v>
      </c>
      <c r="CP59" s="80">
        <v>1</v>
      </c>
      <c r="CQ59" s="80">
        <v>0</v>
      </c>
      <c r="CR59" s="80">
        <v>0</v>
      </c>
      <c r="CS59" s="80">
        <v>1</v>
      </c>
      <c r="CT59" s="80">
        <v>0</v>
      </c>
      <c r="CU59" s="80">
        <v>0</v>
      </c>
      <c r="CV59" s="80">
        <v>1</v>
      </c>
      <c r="CW59" s="80">
        <v>0</v>
      </c>
      <c r="CX59" s="80">
        <v>0</v>
      </c>
      <c r="CY59" s="26">
        <v>1</v>
      </c>
      <c r="CZ59" s="80">
        <v>0</v>
      </c>
      <c r="DA59" s="80">
        <v>0</v>
      </c>
      <c r="DB59" s="80">
        <v>0</v>
      </c>
      <c r="DC59" s="80">
        <v>1</v>
      </c>
      <c r="DD59" s="80">
        <v>0</v>
      </c>
      <c r="DE59" s="79">
        <v>0</v>
      </c>
      <c r="DF59" s="80">
        <v>1</v>
      </c>
      <c r="DG59" s="80">
        <v>0</v>
      </c>
      <c r="DH59" s="79">
        <v>0</v>
      </c>
      <c r="DI59" s="80">
        <v>1</v>
      </c>
      <c r="DJ59" s="80">
        <v>0</v>
      </c>
      <c r="DK59" s="80">
        <v>0</v>
      </c>
      <c r="DL59" s="80">
        <v>1</v>
      </c>
      <c r="DM59" s="80">
        <v>0</v>
      </c>
      <c r="DN59" s="80">
        <v>0</v>
      </c>
      <c r="DO59" s="80">
        <v>1</v>
      </c>
      <c r="DP59" s="80">
        <v>0</v>
      </c>
      <c r="DQ59" s="80">
        <v>0</v>
      </c>
      <c r="DR59" s="80">
        <v>1</v>
      </c>
      <c r="DS59" s="80">
        <v>0</v>
      </c>
      <c r="DT59" s="79">
        <v>0</v>
      </c>
      <c r="DU59" s="80">
        <v>1</v>
      </c>
      <c r="DV59" s="80">
        <v>0</v>
      </c>
      <c r="DW59" s="80">
        <v>0</v>
      </c>
      <c r="DX59" s="80">
        <v>1</v>
      </c>
      <c r="DY59" s="80">
        <v>0</v>
      </c>
      <c r="DZ59" s="80">
        <v>0</v>
      </c>
      <c r="EA59" s="80">
        <v>1</v>
      </c>
      <c r="EB59" s="80">
        <v>0</v>
      </c>
      <c r="EC59" s="80">
        <v>0</v>
      </c>
      <c r="ED59" s="80">
        <v>1</v>
      </c>
      <c r="EE59" s="80">
        <v>0</v>
      </c>
      <c r="EF59" s="80">
        <v>0</v>
      </c>
      <c r="EG59" s="80">
        <v>1</v>
      </c>
      <c r="EH59" s="80">
        <v>0</v>
      </c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>
        <v>0</v>
      </c>
      <c r="EY59" s="80">
        <v>1</v>
      </c>
      <c r="EZ59" s="80">
        <v>0</v>
      </c>
      <c r="FA59" s="80">
        <v>0</v>
      </c>
      <c r="FB59" s="80">
        <v>1</v>
      </c>
      <c r="FC59" s="80">
        <v>0</v>
      </c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26"/>
      <c r="FT59" s="80"/>
      <c r="FU59" s="80"/>
      <c r="FV59" s="80"/>
      <c r="FW59" s="80"/>
      <c r="FX59" s="80"/>
      <c r="FY59" s="79"/>
      <c r="FZ59" s="80"/>
      <c r="GA59" s="80"/>
      <c r="GB59" s="79"/>
      <c r="GC59" s="80"/>
      <c r="GD59" s="80"/>
      <c r="GE59" s="80"/>
      <c r="GF59" s="80"/>
      <c r="GG59" s="80"/>
    </row>
    <row r="60" spans="3:189" ht="25.5" customHeight="1" x14ac:dyDescent="0.4">
      <c r="G60" s="1"/>
      <c r="H60" s="1"/>
      <c r="I60" s="4"/>
      <c r="J60" s="4"/>
      <c r="K60" s="38"/>
      <c r="L60" s="38"/>
      <c r="M60" s="38"/>
      <c r="O60" s="62"/>
      <c r="P60" s="1"/>
      <c r="Q60" s="1"/>
      <c r="R60" s="1"/>
      <c r="S60" s="38"/>
      <c r="T60" s="38"/>
      <c r="U60" s="38"/>
      <c r="V60" s="38"/>
      <c r="W60" s="38"/>
      <c r="X60" s="38"/>
      <c r="Y60" s="1"/>
      <c r="Z60" s="1"/>
      <c r="AA60" s="1"/>
      <c r="AB60" s="1"/>
      <c r="AC60" s="1"/>
      <c r="AD60" s="1"/>
      <c r="AE60" s="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CC60" s="79" t="s">
        <v>30</v>
      </c>
      <c r="CD60" s="80">
        <v>2</v>
      </c>
      <c r="CE60" s="80">
        <v>0</v>
      </c>
      <c r="CF60" s="80">
        <v>0</v>
      </c>
      <c r="CG60" s="80">
        <v>3</v>
      </c>
      <c r="CH60" s="80">
        <v>0</v>
      </c>
      <c r="CI60" s="80">
        <v>0</v>
      </c>
      <c r="CJ60" s="80">
        <v>3</v>
      </c>
      <c r="CK60" s="80">
        <v>0</v>
      </c>
      <c r="CL60" s="80">
        <v>0</v>
      </c>
      <c r="CM60" s="80">
        <v>3</v>
      </c>
      <c r="CN60" s="80">
        <v>1</v>
      </c>
      <c r="CO60" s="80">
        <v>0</v>
      </c>
      <c r="CP60" s="80">
        <v>6</v>
      </c>
      <c r="CQ60" s="80">
        <v>3</v>
      </c>
      <c r="CR60" s="80">
        <v>0</v>
      </c>
      <c r="CS60" s="80">
        <v>6</v>
      </c>
      <c r="CT60" s="80">
        <v>3</v>
      </c>
      <c r="CU60" s="80">
        <v>0</v>
      </c>
      <c r="CV60" s="80">
        <v>6</v>
      </c>
      <c r="CW60" s="80">
        <v>3</v>
      </c>
      <c r="CX60" s="80">
        <v>0</v>
      </c>
      <c r="CY60" s="26">
        <v>6</v>
      </c>
      <c r="CZ60" s="80">
        <v>3</v>
      </c>
      <c r="DA60" s="80">
        <v>0</v>
      </c>
      <c r="DB60" s="80">
        <v>6</v>
      </c>
      <c r="DC60" s="80">
        <v>3</v>
      </c>
      <c r="DD60" s="80">
        <v>0</v>
      </c>
      <c r="DE60" s="79">
        <v>6</v>
      </c>
      <c r="DF60" s="80">
        <v>3</v>
      </c>
      <c r="DG60" s="80">
        <v>0</v>
      </c>
      <c r="DH60" s="79">
        <v>3</v>
      </c>
      <c r="DI60" s="80">
        <v>6</v>
      </c>
      <c r="DJ60" s="80">
        <v>0</v>
      </c>
      <c r="DK60" s="80">
        <v>3</v>
      </c>
      <c r="DL60" s="80">
        <v>6</v>
      </c>
      <c r="DM60" s="80">
        <v>0</v>
      </c>
      <c r="DN60" s="80">
        <v>3</v>
      </c>
      <c r="DO60" s="80">
        <v>6</v>
      </c>
      <c r="DP60" s="80">
        <v>0</v>
      </c>
      <c r="DQ60" s="80">
        <v>2</v>
      </c>
      <c r="DR60" s="80">
        <v>7</v>
      </c>
      <c r="DS60" s="80">
        <v>0</v>
      </c>
      <c r="DT60" s="79">
        <v>0</v>
      </c>
      <c r="DU60" s="80">
        <v>7</v>
      </c>
      <c r="DV60" s="80">
        <v>2</v>
      </c>
      <c r="DW60" s="80">
        <v>0</v>
      </c>
      <c r="DX60" s="80">
        <v>8</v>
      </c>
      <c r="DY60" s="80">
        <v>1</v>
      </c>
      <c r="DZ60" s="80">
        <v>0</v>
      </c>
      <c r="EA60" s="80">
        <v>8</v>
      </c>
      <c r="EB60" s="80">
        <v>1</v>
      </c>
      <c r="EC60" s="80">
        <v>0</v>
      </c>
      <c r="ED60" s="80">
        <v>8</v>
      </c>
      <c r="EE60" s="80">
        <v>1</v>
      </c>
      <c r="EF60" s="80">
        <v>0</v>
      </c>
      <c r="EG60" s="80">
        <v>8</v>
      </c>
      <c r="EH60" s="80">
        <v>1</v>
      </c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>
        <v>0</v>
      </c>
      <c r="EY60" s="80">
        <v>8</v>
      </c>
      <c r="EZ60" s="80">
        <v>1</v>
      </c>
      <c r="FA60" s="80">
        <v>0</v>
      </c>
      <c r="FB60" s="80">
        <v>8</v>
      </c>
      <c r="FC60" s="80">
        <v>1</v>
      </c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26"/>
      <c r="FT60" s="80"/>
      <c r="FU60" s="80"/>
      <c r="FV60" s="80"/>
      <c r="FW60" s="80"/>
      <c r="FX60" s="80"/>
      <c r="FY60" s="79"/>
      <c r="FZ60" s="80"/>
      <c r="GA60" s="80"/>
      <c r="GB60" s="79"/>
      <c r="GC60" s="80"/>
      <c r="GD60" s="80"/>
      <c r="GE60" s="80"/>
      <c r="GF60" s="80"/>
      <c r="GG60" s="80"/>
    </row>
    <row r="61" spans="3:189" ht="25.5" customHeight="1" x14ac:dyDescent="0.4">
      <c r="G61" s="1"/>
      <c r="H61" s="1"/>
      <c r="I61" s="4"/>
      <c r="J61" s="4"/>
      <c r="K61" s="38"/>
      <c r="L61" s="38"/>
      <c r="M61" s="38"/>
      <c r="O61" s="62"/>
      <c r="P61" s="1"/>
      <c r="Q61" s="1"/>
      <c r="R61" s="1"/>
      <c r="S61" s="38"/>
      <c r="T61" s="38"/>
      <c r="U61" s="38"/>
      <c r="V61" s="38"/>
      <c r="W61" s="38"/>
      <c r="X61" s="38"/>
      <c r="Y61" s="1"/>
      <c r="Z61" s="1"/>
      <c r="AA61" s="1"/>
      <c r="AB61" s="1"/>
      <c r="AC61" s="1"/>
      <c r="AD61" s="1"/>
      <c r="AE61" s="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CC61" s="79" t="s">
        <v>39</v>
      </c>
      <c r="CD61" s="80">
        <v>3</v>
      </c>
      <c r="CE61" s="80">
        <v>1</v>
      </c>
      <c r="CF61" s="80">
        <v>0</v>
      </c>
      <c r="CG61" s="80">
        <v>2</v>
      </c>
      <c r="CH61" s="80">
        <v>2</v>
      </c>
      <c r="CI61" s="80">
        <v>0</v>
      </c>
      <c r="CJ61" s="80">
        <v>2</v>
      </c>
      <c r="CK61" s="80">
        <v>2</v>
      </c>
      <c r="CL61" s="80">
        <v>0</v>
      </c>
      <c r="CM61" s="80">
        <v>2</v>
      </c>
      <c r="CN61" s="80">
        <v>2</v>
      </c>
      <c r="CO61" s="80">
        <v>0</v>
      </c>
      <c r="CP61" s="80">
        <v>2</v>
      </c>
      <c r="CQ61" s="80">
        <v>2</v>
      </c>
      <c r="CR61" s="80">
        <v>0</v>
      </c>
      <c r="CS61" s="80">
        <v>2</v>
      </c>
      <c r="CT61" s="80">
        <v>2</v>
      </c>
      <c r="CU61" s="80">
        <v>0</v>
      </c>
      <c r="CV61" s="80">
        <v>2</v>
      </c>
      <c r="CW61" s="80">
        <v>2</v>
      </c>
      <c r="CX61" s="80">
        <v>0</v>
      </c>
      <c r="CY61" s="26">
        <v>2</v>
      </c>
      <c r="CZ61" s="80">
        <v>2</v>
      </c>
      <c r="DA61" s="80">
        <v>0</v>
      </c>
      <c r="DB61" s="80">
        <v>2</v>
      </c>
      <c r="DC61" s="80">
        <v>2</v>
      </c>
      <c r="DD61" s="80">
        <v>0</v>
      </c>
      <c r="DE61" s="79">
        <v>2</v>
      </c>
      <c r="DF61" s="80">
        <v>2</v>
      </c>
      <c r="DG61" s="80">
        <v>0</v>
      </c>
      <c r="DH61" s="79">
        <v>2</v>
      </c>
      <c r="DI61" s="80">
        <v>2</v>
      </c>
      <c r="DJ61" s="80">
        <v>0</v>
      </c>
      <c r="DK61" s="80">
        <v>2</v>
      </c>
      <c r="DL61" s="80">
        <v>2</v>
      </c>
      <c r="DM61" s="80">
        <v>0</v>
      </c>
      <c r="DN61" s="80">
        <v>2</v>
      </c>
      <c r="DO61" s="80">
        <v>2</v>
      </c>
      <c r="DP61" s="80">
        <v>0</v>
      </c>
      <c r="DQ61" s="80">
        <v>2</v>
      </c>
      <c r="DR61" s="80">
        <v>2</v>
      </c>
      <c r="DS61" s="80">
        <v>0</v>
      </c>
      <c r="DT61" s="79">
        <v>2</v>
      </c>
      <c r="DU61" s="80">
        <v>2</v>
      </c>
      <c r="DV61" s="80">
        <v>0</v>
      </c>
      <c r="DW61" s="80">
        <v>2</v>
      </c>
      <c r="DX61" s="80">
        <v>2</v>
      </c>
      <c r="DY61" s="80">
        <v>0</v>
      </c>
      <c r="DZ61" s="80">
        <v>2</v>
      </c>
      <c r="EA61" s="80">
        <v>2</v>
      </c>
      <c r="EB61" s="80">
        <v>0</v>
      </c>
      <c r="EC61" s="80">
        <v>2</v>
      </c>
      <c r="ED61" s="80">
        <v>2</v>
      </c>
      <c r="EE61" s="80">
        <v>0</v>
      </c>
      <c r="EF61" s="80">
        <v>2</v>
      </c>
      <c r="EG61" s="80">
        <v>2</v>
      </c>
      <c r="EH61" s="80">
        <v>0</v>
      </c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>
        <v>0</v>
      </c>
      <c r="EY61" s="80">
        <v>4</v>
      </c>
      <c r="EZ61" s="80">
        <v>0</v>
      </c>
      <c r="FA61" s="80">
        <v>0</v>
      </c>
      <c r="FB61" s="80">
        <v>4</v>
      </c>
      <c r="FC61" s="80">
        <v>0</v>
      </c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26"/>
      <c r="FT61" s="80"/>
      <c r="FU61" s="80"/>
      <c r="FV61" s="80"/>
      <c r="FW61" s="80"/>
      <c r="FX61" s="80"/>
      <c r="FY61" s="79"/>
      <c r="FZ61" s="80"/>
      <c r="GA61" s="80"/>
      <c r="GB61" s="79"/>
      <c r="GC61" s="80"/>
      <c r="GD61" s="80"/>
      <c r="GE61" s="80"/>
      <c r="GF61" s="80"/>
      <c r="GG61" s="80"/>
    </row>
    <row r="62" spans="3:189" ht="25.5" customHeight="1" x14ac:dyDescent="0.4">
      <c r="I62" s="4"/>
      <c r="J62" s="4"/>
      <c r="K62" s="38"/>
      <c r="L62" s="38"/>
      <c r="M62" s="38"/>
      <c r="O62" s="62"/>
      <c r="P62" s="1"/>
      <c r="Q62" s="1"/>
      <c r="R62" s="1"/>
      <c r="S62" s="38"/>
      <c r="T62" s="77"/>
      <c r="U62" s="77"/>
      <c r="V62" s="77"/>
      <c r="W62" s="77"/>
      <c r="X62" s="77"/>
      <c r="Y62" s="1"/>
      <c r="Z62" s="1"/>
      <c r="AA62" s="1"/>
      <c r="AB62" s="1"/>
      <c r="AC62" s="1"/>
      <c r="AD62" s="1"/>
      <c r="AE62" s="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CC62" s="79" t="s">
        <v>36</v>
      </c>
      <c r="CD62" s="80">
        <v>13</v>
      </c>
      <c r="CE62" s="80">
        <v>0</v>
      </c>
      <c r="CF62" s="80">
        <v>0</v>
      </c>
      <c r="CG62" s="80">
        <v>16</v>
      </c>
      <c r="CH62" s="80">
        <v>0</v>
      </c>
      <c r="CI62" s="80">
        <v>1</v>
      </c>
      <c r="CJ62" s="80">
        <v>15</v>
      </c>
      <c r="CK62" s="80">
        <v>1</v>
      </c>
      <c r="CL62" s="80">
        <v>1</v>
      </c>
      <c r="CM62" s="80">
        <v>15</v>
      </c>
      <c r="CN62" s="80">
        <v>1</v>
      </c>
      <c r="CO62" s="80">
        <v>1</v>
      </c>
      <c r="CP62" s="80">
        <v>10</v>
      </c>
      <c r="CQ62" s="80">
        <v>6</v>
      </c>
      <c r="CR62" s="80">
        <v>1</v>
      </c>
      <c r="CS62" s="80">
        <v>8</v>
      </c>
      <c r="CT62" s="80">
        <v>8</v>
      </c>
      <c r="CU62" s="80">
        <v>1</v>
      </c>
      <c r="CV62" s="80">
        <v>7</v>
      </c>
      <c r="CW62" s="80">
        <v>8</v>
      </c>
      <c r="CX62" s="80">
        <v>2</v>
      </c>
      <c r="CY62" s="26">
        <v>4</v>
      </c>
      <c r="CZ62" s="80">
        <v>11</v>
      </c>
      <c r="DA62" s="80">
        <v>2</v>
      </c>
      <c r="DB62" s="80">
        <v>3</v>
      </c>
      <c r="DC62" s="80">
        <v>12</v>
      </c>
      <c r="DD62" s="80">
        <v>2</v>
      </c>
      <c r="DE62" s="79">
        <v>0</v>
      </c>
      <c r="DF62" s="80">
        <v>15</v>
      </c>
      <c r="DG62" s="80">
        <v>2</v>
      </c>
      <c r="DH62" s="79">
        <v>0</v>
      </c>
      <c r="DI62" s="80">
        <v>15</v>
      </c>
      <c r="DJ62" s="80">
        <v>2</v>
      </c>
      <c r="DK62" s="80">
        <v>0</v>
      </c>
      <c r="DL62" s="80">
        <v>15</v>
      </c>
      <c r="DM62" s="80">
        <v>2</v>
      </c>
      <c r="DN62" s="80">
        <v>0</v>
      </c>
      <c r="DO62" s="80">
        <v>15</v>
      </c>
      <c r="DP62" s="80">
        <v>2</v>
      </c>
      <c r="DQ62" s="80">
        <v>0</v>
      </c>
      <c r="DR62" s="80">
        <v>15</v>
      </c>
      <c r="DS62" s="80">
        <v>2</v>
      </c>
      <c r="DT62" s="79">
        <v>0</v>
      </c>
      <c r="DU62" s="80">
        <v>15</v>
      </c>
      <c r="DV62" s="80">
        <v>2</v>
      </c>
      <c r="DW62" s="80">
        <v>0</v>
      </c>
      <c r="DX62" s="80">
        <v>15</v>
      </c>
      <c r="DY62" s="80">
        <v>2</v>
      </c>
      <c r="DZ62" s="80">
        <v>0</v>
      </c>
      <c r="EA62" s="80">
        <v>15</v>
      </c>
      <c r="EB62" s="80">
        <v>2</v>
      </c>
      <c r="EC62" s="80">
        <v>0</v>
      </c>
      <c r="ED62" s="80">
        <v>15</v>
      </c>
      <c r="EE62" s="80">
        <v>2</v>
      </c>
      <c r="EF62" s="80">
        <v>0</v>
      </c>
      <c r="EG62" s="80">
        <v>16</v>
      </c>
      <c r="EH62" s="80">
        <v>1</v>
      </c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>
        <v>0</v>
      </c>
      <c r="EY62" s="80">
        <v>16</v>
      </c>
      <c r="EZ62" s="80">
        <v>1</v>
      </c>
      <c r="FA62" s="80">
        <v>0</v>
      </c>
      <c r="FB62" s="80">
        <v>16</v>
      </c>
      <c r="FC62" s="80">
        <v>1</v>
      </c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26"/>
      <c r="FT62" s="80"/>
      <c r="FU62" s="80"/>
      <c r="FV62" s="80"/>
      <c r="FW62" s="80"/>
      <c r="FX62" s="80"/>
      <c r="FY62" s="79"/>
      <c r="FZ62" s="80"/>
      <c r="GA62" s="80"/>
      <c r="GB62" s="79"/>
      <c r="GC62" s="80"/>
      <c r="GD62" s="80"/>
      <c r="GE62" s="80"/>
      <c r="GF62" s="80"/>
      <c r="GG62" s="80"/>
    </row>
    <row r="63" spans="3:189" ht="25.5" customHeight="1" x14ac:dyDescent="0.4">
      <c r="I63" s="4"/>
      <c r="J63" s="4"/>
      <c r="K63" s="38"/>
      <c r="L63" s="38"/>
      <c r="M63" s="38"/>
      <c r="O63" s="6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CC63" s="79" t="s">
        <v>32</v>
      </c>
      <c r="CD63" s="80">
        <v>10</v>
      </c>
      <c r="CE63" s="80">
        <v>1</v>
      </c>
      <c r="CF63" s="80">
        <v>0</v>
      </c>
      <c r="CG63" s="80">
        <v>12</v>
      </c>
      <c r="CH63" s="80">
        <v>1</v>
      </c>
      <c r="CI63" s="80">
        <v>0</v>
      </c>
      <c r="CJ63" s="80">
        <v>12</v>
      </c>
      <c r="CK63" s="80">
        <v>1</v>
      </c>
      <c r="CL63" s="80">
        <v>0</v>
      </c>
      <c r="CM63" s="80">
        <v>12</v>
      </c>
      <c r="CN63" s="80">
        <v>1</v>
      </c>
      <c r="CO63" s="80">
        <v>0</v>
      </c>
      <c r="CP63" s="80">
        <v>12</v>
      </c>
      <c r="CQ63" s="80">
        <v>1</v>
      </c>
      <c r="CR63" s="80">
        <v>0</v>
      </c>
      <c r="CS63" s="80">
        <v>12</v>
      </c>
      <c r="CT63" s="80">
        <v>1</v>
      </c>
      <c r="CU63" s="80">
        <v>0</v>
      </c>
      <c r="CV63" s="80">
        <v>12</v>
      </c>
      <c r="CW63" s="80">
        <v>1</v>
      </c>
      <c r="CX63" s="80">
        <v>0</v>
      </c>
      <c r="CY63" s="26">
        <v>12</v>
      </c>
      <c r="CZ63" s="80">
        <v>1</v>
      </c>
      <c r="DA63" s="80">
        <v>0</v>
      </c>
      <c r="DB63" s="80">
        <v>12</v>
      </c>
      <c r="DC63" s="80">
        <v>1</v>
      </c>
      <c r="DD63" s="80">
        <v>0</v>
      </c>
      <c r="DE63" s="79">
        <v>12</v>
      </c>
      <c r="DF63" s="80">
        <v>1</v>
      </c>
      <c r="DG63" s="80">
        <v>0</v>
      </c>
      <c r="DH63" s="79">
        <v>12</v>
      </c>
      <c r="DI63" s="80">
        <v>1</v>
      </c>
      <c r="DJ63" s="80">
        <v>0</v>
      </c>
      <c r="DK63" s="80">
        <v>12</v>
      </c>
      <c r="DL63" s="80">
        <v>1</v>
      </c>
      <c r="DM63" s="80">
        <v>0</v>
      </c>
      <c r="DN63" s="80">
        <v>12</v>
      </c>
      <c r="DO63" s="80">
        <v>1</v>
      </c>
      <c r="DP63" s="80">
        <v>0</v>
      </c>
      <c r="DQ63" s="80">
        <v>11</v>
      </c>
      <c r="DR63" s="80">
        <v>2</v>
      </c>
      <c r="DS63" s="80">
        <v>0</v>
      </c>
      <c r="DT63" s="79">
        <v>9</v>
      </c>
      <c r="DU63" s="80">
        <v>2</v>
      </c>
      <c r="DV63" s="80">
        <v>2</v>
      </c>
      <c r="DW63" s="80">
        <v>7</v>
      </c>
      <c r="DX63" s="80">
        <v>4</v>
      </c>
      <c r="DY63" s="80">
        <v>2</v>
      </c>
      <c r="DZ63" s="80">
        <v>7</v>
      </c>
      <c r="EA63" s="80">
        <v>4</v>
      </c>
      <c r="EB63" s="80">
        <v>2</v>
      </c>
      <c r="EC63" s="80">
        <v>6</v>
      </c>
      <c r="ED63" s="80">
        <v>5</v>
      </c>
      <c r="EE63" s="80">
        <v>2</v>
      </c>
      <c r="EF63" s="80">
        <v>6</v>
      </c>
      <c r="EG63" s="80">
        <v>5</v>
      </c>
      <c r="EH63" s="80">
        <v>2</v>
      </c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>
        <v>5</v>
      </c>
      <c r="EY63" s="80">
        <v>6</v>
      </c>
      <c r="EZ63" s="80">
        <v>2</v>
      </c>
      <c r="FA63" s="80">
        <v>5</v>
      </c>
      <c r="FB63" s="80">
        <v>6</v>
      </c>
      <c r="FC63" s="80">
        <v>2</v>
      </c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26"/>
      <c r="FT63" s="80"/>
      <c r="FU63" s="80"/>
      <c r="FV63" s="80"/>
      <c r="FW63" s="80"/>
      <c r="FX63" s="80"/>
      <c r="FY63" s="79"/>
      <c r="FZ63" s="80"/>
      <c r="GA63" s="80"/>
      <c r="GB63" s="79"/>
      <c r="GC63" s="80"/>
      <c r="GD63" s="80"/>
      <c r="GE63" s="80"/>
      <c r="GF63" s="80"/>
      <c r="GG63" s="80"/>
    </row>
    <row r="64" spans="3:189" ht="25.5" customHeight="1" x14ac:dyDescent="0.4">
      <c r="N64" s="82"/>
      <c r="O64" s="82"/>
      <c r="P64" s="82"/>
      <c r="Q64" s="82"/>
      <c r="R64" s="82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CC64" s="79" t="s">
        <v>45</v>
      </c>
      <c r="CD64" s="80">
        <v>0</v>
      </c>
      <c r="CE64" s="80">
        <v>0</v>
      </c>
      <c r="CF64" s="80">
        <v>0</v>
      </c>
      <c r="CG64" s="80">
        <v>0</v>
      </c>
      <c r="CH64" s="80">
        <v>0</v>
      </c>
      <c r="CI64" s="80">
        <v>0</v>
      </c>
      <c r="CJ64" s="80">
        <v>0</v>
      </c>
      <c r="CK64" s="80">
        <v>0</v>
      </c>
      <c r="CL64" s="80">
        <v>0</v>
      </c>
      <c r="CM64" s="80">
        <v>0</v>
      </c>
      <c r="CN64" s="80">
        <v>0</v>
      </c>
      <c r="CO64" s="80">
        <v>0</v>
      </c>
      <c r="CP64" s="80">
        <v>0</v>
      </c>
      <c r="CQ64" s="80">
        <v>0</v>
      </c>
      <c r="CR64" s="80">
        <v>0</v>
      </c>
      <c r="CS64" s="80">
        <v>0</v>
      </c>
      <c r="CT64" s="80">
        <v>0</v>
      </c>
      <c r="CU64" s="80">
        <v>0</v>
      </c>
      <c r="CV64" s="80">
        <v>0</v>
      </c>
      <c r="CW64" s="80">
        <v>0</v>
      </c>
      <c r="CX64" s="80">
        <v>0</v>
      </c>
      <c r="CY64" s="26">
        <v>0</v>
      </c>
      <c r="CZ64" s="80">
        <v>0</v>
      </c>
      <c r="DA64" s="80">
        <v>0</v>
      </c>
      <c r="DB64" s="80">
        <v>0</v>
      </c>
      <c r="DC64" s="80">
        <v>0</v>
      </c>
      <c r="DD64" s="80">
        <v>0</v>
      </c>
      <c r="DE64" s="79">
        <v>0</v>
      </c>
      <c r="DF64" s="80">
        <v>0</v>
      </c>
      <c r="DG64" s="80">
        <v>0</v>
      </c>
      <c r="DH64" s="79">
        <v>0</v>
      </c>
      <c r="DI64" s="80">
        <v>0</v>
      </c>
      <c r="DJ64" s="80">
        <v>0</v>
      </c>
      <c r="DK64" s="80">
        <v>0</v>
      </c>
      <c r="DL64" s="80">
        <v>0</v>
      </c>
      <c r="DM64" s="80">
        <v>0</v>
      </c>
      <c r="DN64" s="80">
        <v>0</v>
      </c>
      <c r="DO64" s="80">
        <v>0</v>
      </c>
      <c r="DP64" s="80">
        <v>0</v>
      </c>
      <c r="DQ64" s="80">
        <v>0</v>
      </c>
      <c r="DR64" s="80">
        <v>0</v>
      </c>
      <c r="DS64" s="80">
        <v>0</v>
      </c>
      <c r="DT64" s="79">
        <v>0</v>
      </c>
      <c r="DU64" s="80">
        <v>0</v>
      </c>
      <c r="DV64" s="80">
        <v>0</v>
      </c>
      <c r="DW64" s="80">
        <v>0</v>
      </c>
      <c r="DX64" s="80">
        <v>0</v>
      </c>
      <c r="DY64" s="80">
        <v>0</v>
      </c>
      <c r="DZ64" s="80">
        <v>0</v>
      </c>
      <c r="EA64" s="80">
        <v>0</v>
      </c>
      <c r="EB64" s="80">
        <v>0</v>
      </c>
      <c r="EC64" s="80">
        <v>0</v>
      </c>
      <c r="ED64" s="80">
        <v>0</v>
      </c>
      <c r="EE64" s="80">
        <v>0</v>
      </c>
      <c r="EF64" s="80">
        <v>0</v>
      </c>
      <c r="EG64" s="80">
        <v>0</v>
      </c>
      <c r="EH64" s="80">
        <v>0</v>
      </c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>
        <v>0</v>
      </c>
      <c r="EY64" s="80">
        <v>0</v>
      </c>
      <c r="EZ64" s="80">
        <v>0</v>
      </c>
      <c r="FA64" s="80">
        <v>0</v>
      </c>
      <c r="FB64" s="80">
        <v>0</v>
      </c>
      <c r="FC64" s="80">
        <v>0</v>
      </c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26"/>
      <c r="FT64" s="80"/>
      <c r="FU64" s="80"/>
      <c r="FV64" s="80"/>
      <c r="FW64" s="80"/>
      <c r="FX64" s="80"/>
      <c r="FY64" s="79"/>
      <c r="FZ64" s="80"/>
      <c r="GA64" s="80"/>
      <c r="GB64" s="79"/>
      <c r="GC64" s="80"/>
      <c r="GD64" s="80"/>
      <c r="GE64" s="80"/>
      <c r="GF64" s="80"/>
      <c r="GG64" s="80"/>
    </row>
    <row r="65" spans="14:189" ht="25.5" customHeight="1" x14ac:dyDescent="0.4">
      <c r="N65" s="82"/>
      <c r="O65" s="82"/>
      <c r="P65" s="82"/>
      <c r="Q65" s="82"/>
      <c r="R65" s="82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CC65" s="79" t="s">
        <v>42</v>
      </c>
      <c r="CD65" s="80">
        <v>77</v>
      </c>
      <c r="CE65" s="80">
        <v>0</v>
      </c>
      <c r="CF65" s="80">
        <v>0</v>
      </c>
      <c r="CG65" s="80">
        <v>71</v>
      </c>
      <c r="CH65" s="80">
        <v>0</v>
      </c>
      <c r="CI65" s="80">
        <v>6</v>
      </c>
      <c r="CJ65" s="80">
        <v>39</v>
      </c>
      <c r="CK65" s="80">
        <v>0</v>
      </c>
      <c r="CL65" s="80">
        <v>38</v>
      </c>
      <c r="CM65" s="80">
        <v>39</v>
      </c>
      <c r="CN65" s="80">
        <v>0</v>
      </c>
      <c r="CO65" s="80">
        <v>38</v>
      </c>
      <c r="CP65" s="80">
        <v>48</v>
      </c>
      <c r="CQ65" s="80">
        <v>0</v>
      </c>
      <c r="CR65" s="80">
        <v>38</v>
      </c>
      <c r="CS65" s="80">
        <v>48</v>
      </c>
      <c r="CT65" s="80">
        <v>0</v>
      </c>
      <c r="CU65" s="80">
        <v>38</v>
      </c>
      <c r="CV65" s="80">
        <v>48</v>
      </c>
      <c r="CW65" s="80">
        <v>0</v>
      </c>
      <c r="CX65" s="80">
        <v>38</v>
      </c>
      <c r="CY65" s="26">
        <v>43</v>
      </c>
      <c r="CZ65" s="80">
        <v>3</v>
      </c>
      <c r="DA65" s="80">
        <v>40</v>
      </c>
      <c r="DB65" s="80">
        <v>43</v>
      </c>
      <c r="DC65" s="80">
        <v>3</v>
      </c>
      <c r="DD65" s="80">
        <v>40</v>
      </c>
      <c r="DE65" s="79">
        <v>41</v>
      </c>
      <c r="DF65" s="80">
        <v>5</v>
      </c>
      <c r="DG65" s="80">
        <v>40</v>
      </c>
      <c r="DH65" s="79">
        <v>37</v>
      </c>
      <c r="DI65" s="80">
        <v>9</v>
      </c>
      <c r="DJ65" s="80">
        <v>40</v>
      </c>
      <c r="DK65" s="80">
        <v>28</v>
      </c>
      <c r="DL65" s="80">
        <v>10</v>
      </c>
      <c r="DM65" s="80">
        <v>48</v>
      </c>
      <c r="DN65" s="80">
        <v>25</v>
      </c>
      <c r="DO65" s="80">
        <v>13</v>
      </c>
      <c r="DP65" s="80">
        <v>48</v>
      </c>
      <c r="DQ65" s="80">
        <v>17</v>
      </c>
      <c r="DR65" s="80">
        <v>19</v>
      </c>
      <c r="DS65" s="80">
        <v>50</v>
      </c>
      <c r="DT65" s="79">
        <v>13</v>
      </c>
      <c r="DU65" s="80">
        <v>23</v>
      </c>
      <c r="DV65" s="80">
        <v>50</v>
      </c>
      <c r="DW65" s="80">
        <v>9</v>
      </c>
      <c r="DX65" s="80">
        <v>27</v>
      </c>
      <c r="DY65" s="80">
        <v>50</v>
      </c>
      <c r="DZ65" s="80">
        <v>6</v>
      </c>
      <c r="EA65" s="80">
        <v>29</v>
      </c>
      <c r="EB65" s="80">
        <v>51</v>
      </c>
      <c r="EC65" s="80">
        <v>3</v>
      </c>
      <c r="ED65" s="80">
        <v>32</v>
      </c>
      <c r="EE65" s="80">
        <v>51</v>
      </c>
      <c r="EF65" s="80">
        <v>1</v>
      </c>
      <c r="EG65" s="80">
        <v>34</v>
      </c>
      <c r="EH65" s="80">
        <v>51</v>
      </c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>
        <v>0</v>
      </c>
      <c r="EY65" s="80">
        <v>35</v>
      </c>
      <c r="EZ65" s="80">
        <v>51</v>
      </c>
      <c r="FA65" s="80">
        <v>0</v>
      </c>
      <c r="FB65" s="80">
        <v>35</v>
      </c>
      <c r="FC65" s="80">
        <v>51</v>
      </c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26"/>
      <c r="FT65" s="80"/>
      <c r="FU65" s="80"/>
      <c r="FV65" s="80"/>
      <c r="FW65" s="80"/>
      <c r="FX65" s="80"/>
      <c r="FY65" s="79"/>
      <c r="FZ65" s="80"/>
      <c r="GA65" s="80"/>
      <c r="GB65" s="79"/>
      <c r="GC65" s="80"/>
      <c r="GD65" s="80"/>
      <c r="GE65" s="80"/>
      <c r="GF65" s="80"/>
      <c r="GG65" s="80"/>
    </row>
    <row r="66" spans="14:189" ht="25.5" customHeight="1" x14ac:dyDescent="0.4">
      <c r="N66" s="82"/>
      <c r="O66" s="82"/>
      <c r="P66" s="82"/>
      <c r="Q66" s="82"/>
      <c r="R66" s="82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CC66" s="79" t="s">
        <v>47</v>
      </c>
      <c r="CD66" s="80">
        <v>0</v>
      </c>
      <c r="CE66" s="80">
        <v>0</v>
      </c>
      <c r="CF66" s="80">
        <v>0</v>
      </c>
      <c r="CG66" s="80">
        <v>0</v>
      </c>
      <c r="CH66" s="80">
        <v>0</v>
      </c>
      <c r="CI66" s="80">
        <v>0</v>
      </c>
      <c r="CJ66" s="80">
        <v>0</v>
      </c>
      <c r="CK66" s="80">
        <v>0</v>
      </c>
      <c r="CL66" s="80">
        <v>0</v>
      </c>
      <c r="CM66" s="80">
        <v>0</v>
      </c>
      <c r="CN66" s="80">
        <v>0</v>
      </c>
      <c r="CO66" s="80">
        <v>0</v>
      </c>
      <c r="CP66" s="80">
        <v>0</v>
      </c>
      <c r="CQ66" s="80">
        <v>0</v>
      </c>
      <c r="CR66" s="80">
        <v>0</v>
      </c>
      <c r="CS66" s="80">
        <v>0</v>
      </c>
      <c r="CT66" s="80">
        <v>0</v>
      </c>
      <c r="CU66" s="80">
        <v>0</v>
      </c>
      <c r="CV66" s="80">
        <v>0</v>
      </c>
      <c r="CW66" s="80">
        <v>0</v>
      </c>
      <c r="CX66" s="80">
        <v>0</v>
      </c>
      <c r="CY66" s="26">
        <v>0</v>
      </c>
      <c r="CZ66" s="80">
        <v>0</v>
      </c>
      <c r="DA66" s="80">
        <v>0</v>
      </c>
      <c r="DB66" s="80">
        <v>0</v>
      </c>
      <c r="DC66" s="80">
        <v>0</v>
      </c>
      <c r="DD66" s="80">
        <v>0</v>
      </c>
      <c r="DE66" s="79">
        <v>0</v>
      </c>
      <c r="DF66" s="80">
        <v>0</v>
      </c>
      <c r="DG66" s="80">
        <v>0</v>
      </c>
      <c r="DH66" s="79">
        <v>0</v>
      </c>
      <c r="DI66" s="80">
        <v>0</v>
      </c>
      <c r="DJ66" s="80">
        <v>0</v>
      </c>
      <c r="DK66" s="80">
        <v>0</v>
      </c>
      <c r="DL66" s="80">
        <v>0</v>
      </c>
      <c r="DM66" s="80">
        <v>0</v>
      </c>
      <c r="DN66" s="80">
        <v>0</v>
      </c>
      <c r="DO66" s="80">
        <v>0</v>
      </c>
      <c r="DP66" s="80">
        <v>0</v>
      </c>
      <c r="DQ66" s="80">
        <v>0</v>
      </c>
      <c r="DR66" s="80">
        <v>0</v>
      </c>
      <c r="DS66" s="80">
        <v>0</v>
      </c>
      <c r="DT66" s="79">
        <v>0</v>
      </c>
      <c r="DU66" s="80">
        <v>0</v>
      </c>
      <c r="DV66" s="80">
        <v>0</v>
      </c>
      <c r="DW66" s="80">
        <v>0</v>
      </c>
      <c r="DX66" s="80">
        <v>0</v>
      </c>
      <c r="DY66" s="80">
        <v>0</v>
      </c>
      <c r="DZ66" s="80">
        <v>0</v>
      </c>
      <c r="EA66" s="80">
        <v>0</v>
      </c>
      <c r="EB66" s="80">
        <v>0</v>
      </c>
      <c r="EC66" s="80">
        <v>0</v>
      </c>
      <c r="ED66" s="80">
        <v>0</v>
      </c>
      <c r="EE66" s="80">
        <v>0</v>
      </c>
      <c r="EF66" s="80">
        <v>0</v>
      </c>
      <c r="EG66" s="80">
        <v>0</v>
      </c>
      <c r="EH66" s="80">
        <v>0</v>
      </c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>
        <v>0</v>
      </c>
      <c r="EY66" s="80">
        <v>0</v>
      </c>
      <c r="EZ66" s="80">
        <v>0</v>
      </c>
      <c r="FA66" s="80">
        <v>0</v>
      </c>
      <c r="FB66" s="80">
        <v>0</v>
      </c>
      <c r="FC66" s="80">
        <v>0</v>
      </c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26"/>
      <c r="FT66" s="80"/>
      <c r="FU66" s="80"/>
      <c r="FV66" s="80"/>
      <c r="FW66" s="80"/>
      <c r="FX66" s="80"/>
      <c r="FY66" s="79"/>
      <c r="FZ66" s="80"/>
      <c r="GA66" s="80"/>
      <c r="GB66" s="79"/>
      <c r="GC66" s="80"/>
      <c r="GD66" s="80"/>
      <c r="GE66" s="80"/>
      <c r="GF66" s="80"/>
      <c r="GG66" s="80"/>
    </row>
    <row r="67" spans="14:189" ht="25.5" customHeight="1" x14ac:dyDescent="0.4">
      <c r="N67" s="82"/>
      <c r="O67" s="82"/>
      <c r="P67" s="82"/>
      <c r="Q67" s="82"/>
      <c r="R67" s="82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CC67" s="79" t="s">
        <v>35</v>
      </c>
      <c r="CD67" s="80">
        <v>1</v>
      </c>
      <c r="CE67" s="80">
        <v>1</v>
      </c>
      <c r="CF67" s="80">
        <v>0</v>
      </c>
      <c r="CG67" s="80">
        <v>3</v>
      </c>
      <c r="CH67" s="80">
        <v>1</v>
      </c>
      <c r="CI67" s="80">
        <v>0</v>
      </c>
      <c r="CJ67" s="80">
        <v>3</v>
      </c>
      <c r="CK67" s="80">
        <v>1</v>
      </c>
      <c r="CL67" s="80">
        <v>0</v>
      </c>
      <c r="CM67" s="80">
        <v>3</v>
      </c>
      <c r="CN67" s="80">
        <v>1</v>
      </c>
      <c r="CO67" s="80">
        <v>0</v>
      </c>
      <c r="CP67" s="80">
        <v>3</v>
      </c>
      <c r="CQ67" s="80">
        <v>1</v>
      </c>
      <c r="CR67" s="80">
        <v>0</v>
      </c>
      <c r="CS67" s="80">
        <v>3</v>
      </c>
      <c r="CT67" s="80">
        <v>1</v>
      </c>
      <c r="CU67" s="80">
        <v>0</v>
      </c>
      <c r="CV67" s="80">
        <v>3</v>
      </c>
      <c r="CW67" s="80">
        <v>1</v>
      </c>
      <c r="CX67" s="80">
        <v>0</v>
      </c>
      <c r="CY67" s="26">
        <v>2</v>
      </c>
      <c r="CZ67" s="80">
        <v>2</v>
      </c>
      <c r="DA67" s="80">
        <v>0</v>
      </c>
      <c r="DB67" s="80">
        <v>1</v>
      </c>
      <c r="DC67" s="80">
        <v>3</v>
      </c>
      <c r="DD67" s="80">
        <v>0</v>
      </c>
      <c r="DE67" s="79">
        <v>1</v>
      </c>
      <c r="DF67" s="80">
        <v>3</v>
      </c>
      <c r="DG67" s="80">
        <v>0</v>
      </c>
      <c r="DH67" s="79">
        <v>1</v>
      </c>
      <c r="DI67" s="80">
        <v>3</v>
      </c>
      <c r="DJ67" s="80">
        <v>0</v>
      </c>
      <c r="DK67" s="80">
        <v>1</v>
      </c>
      <c r="DL67" s="80">
        <v>3</v>
      </c>
      <c r="DM67" s="80">
        <v>0</v>
      </c>
      <c r="DN67" s="80">
        <v>1</v>
      </c>
      <c r="DO67" s="80">
        <v>3</v>
      </c>
      <c r="DP67" s="80">
        <v>0</v>
      </c>
      <c r="DQ67" s="80">
        <v>1</v>
      </c>
      <c r="DR67" s="80">
        <v>3</v>
      </c>
      <c r="DS67" s="80">
        <v>0</v>
      </c>
      <c r="DT67" s="79">
        <v>1</v>
      </c>
      <c r="DU67" s="80">
        <v>3</v>
      </c>
      <c r="DV67" s="80">
        <v>0</v>
      </c>
      <c r="DW67" s="80">
        <v>0</v>
      </c>
      <c r="DX67" s="80">
        <v>4</v>
      </c>
      <c r="DY67" s="80">
        <v>0</v>
      </c>
      <c r="DZ67" s="80">
        <v>0</v>
      </c>
      <c r="EA67" s="80">
        <v>4</v>
      </c>
      <c r="EB67" s="80">
        <v>0</v>
      </c>
      <c r="EC67" s="80">
        <v>0</v>
      </c>
      <c r="ED67" s="80">
        <v>4</v>
      </c>
      <c r="EE67" s="80">
        <v>0</v>
      </c>
      <c r="EF67" s="80">
        <v>0</v>
      </c>
      <c r="EG67" s="80">
        <v>4</v>
      </c>
      <c r="EH67" s="80">
        <v>0</v>
      </c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>
        <v>0</v>
      </c>
      <c r="EY67" s="80">
        <v>4</v>
      </c>
      <c r="EZ67" s="80">
        <v>0</v>
      </c>
      <c r="FA67" s="80">
        <v>0</v>
      </c>
      <c r="FB67" s="80">
        <v>4</v>
      </c>
      <c r="FC67" s="80">
        <v>0</v>
      </c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26"/>
      <c r="FT67" s="80"/>
      <c r="FU67" s="80"/>
      <c r="FV67" s="80"/>
      <c r="FW67" s="80"/>
      <c r="FX67" s="80"/>
      <c r="FY67" s="79"/>
      <c r="FZ67" s="80"/>
      <c r="GA67" s="80"/>
      <c r="GB67" s="79"/>
      <c r="GC67" s="80"/>
      <c r="GD67" s="80"/>
      <c r="GE67" s="80"/>
      <c r="GF67" s="80"/>
      <c r="GG67" s="80"/>
    </row>
    <row r="68" spans="14:189" ht="25.5" customHeight="1" x14ac:dyDescent="0.4">
      <c r="N68" s="82"/>
      <c r="O68" s="82"/>
      <c r="P68" s="82"/>
      <c r="Q68" s="82"/>
      <c r="R68" s="82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CD68" s="80">
        <f>SUM(CD56:CD67)</f>
        <v>150</v>
      </c>
      <c r="CE68" s="80">
        <f t="shared" ref="CE68:EP68" si="34">SUM(CE56:CE67)</f>
        <v>7</v>
      </c>
      <c r="CF68" s="80">
        <f t="shared" si="34"/>
        <v>0</v>
      </c>
      <c r="CG68" s="80">
        <f t="shared" si="34"/>
        <v>152</v>
      </c>
      <c r="CH68" s="80">
        <f t="shared" si="34"/>
        <v>8</v>
      </c>
      <c r="CI68" s="80">
        <f t="shared" si="34"/>
        <v>7</v>
      </c>
      <c r="CJ68" s="80">
        <f t="shared" si="34"/>
        <v>114</v>
      </c>
      <c r="CK68" s="80">
        <f t="shared" si="34"/>
        <v>9</v>
      </c>
      <c r="CL68" s="80">
        <f t="shared" si="34"/>
        <v>44</v>
      </c>
      <c r="CM68" s="80">
        <f t="shared" si="34"/>
        <v>104</v>
      </c>
      <c r="CN68" s="80">
        <f t="shared" si="34"/>
        <v>13</v>
      </c>
      <c r="CO68" s="80">
        <f t="shared" si="34"/>
        <v>51</v>
      </c>
      <c r="CP68" s="80">
        <f t="shared" si="34"/>
        <v>108</v>
      </c>
      <c r="CQ68" s="80">
        <f t="shared" si="34"/>
        <v>22</v>
      </c>
      <c r="CR68" s="80">
        <f t="shared" si="34"/>
        <v>52</v>
      </c>
      <c r="CS68" s="80">
        <f t="shared" si="34"/>
        <v>94</v>
      </c>
      <c r="CT68" s="80">
        <f t="shared" si="34"/>
        <v>36</v>
      </c>
      <c r="CU68" s="80">
        <f t="shared" si="34"/>
        <v>52</v>
      </c>
      <c r="CV68" s="80">
        <f t="shared" si="34"/>
        <v>91</v>
      </c>
      <c r="CW68" s="80">
        <f t="shared" si="34"/>
        <v>38</v>
      </c>
      <c r="CX68" s="80">
        <f t="shared" si="34"/>
        <v>53</v>
      </c>
      <c r="CY68" s="80">
        <f t="shared" si="34"/>
        <v>79</v>
      </c>
      <c r="CZ68" s="80">
        <f t="shared" si="34"/>
        <v>48</v>
      </c>
      <c r="DA68" s="80">
        <f t="shared" si="34"/>
        <v>55</v>
      </c>
      <c r="DB68" s="80">
        <f t="shared" si="34"/>
        <v>76</v>
      </c>
      <c r="DC68" s="80">
        <f t="shared" si="34"/>
        <v>51</v>
      </c>
      <c r="DD68" s="80">
        <f t="shared" si="34"/>
        <v>55</v>
      </c>
      <c r="DE68" s="80">
        <f t="shared" si="34"/>
        <v>67</v>
      </c>
      <c r="DF68" s="80">
        <f t="shared" si="34"/>
        <v>60</v>
      </c>
      <c r="DG68" s="80">
        <f t="shared" si="34"/>
        <v>55</v>
      </c>
      <c r="DH68" s="80">
        <f t="shared" si="34"/>
        <v>58</v>
      </c>
      <c r="DI68" s="80">
        <f t="shared" si="34"/>
        <v>69</v>
      </c>
      <c r="DJ68" s="80">
        <f t="shared" si="34"/>
        <v>55</v>
      </c>
      <c r="DK68" s="80">
        <f t="shared" si="34"/>
        <v>47</v>
      </c>
      <c r="DL68" s="80">
        <f t="shared" si="34"/>
        <v>70</v>
      </c>
      <c r="DM68" s="80">
        <f t="shared" si="34"/>
        <v>65</v>
      </c>
      <c r="DN68" s="80">
        <f t="shared" si="34"/>
        <v>43</v>
      </c>
      <c r="DO68" s="80">
        <f t="shared" si="34"/>
        <v>74</v>
      </c>
      <c r="DP68" s="80">
        <f t="shared" si="34"/>
        <v>65</v>
      </c>
      <c r="DQ68" s="80">
        <f t="shared" si="34"/>
        <v>33</v>
      </c>
      <c r="DR68" s="80">
        <f t="shared" si="34"/>
        <v>82</v>
      </c>
      <c r="DS68" s="80">
        <f t="shared" si="34"/>
        <v>67</v>
      </c>
      <c r="DT68" s="80">
        <f t="shared" si="34"/>
        <v>25</v>
      </c>
      <c r="DU68" s="80">
        <f t="shared" si="34"/>
        <v>86</v>
      </c>
      <c r="DV68" s="80">
        <f t="shared" si="34"/>
        <v>71</v>
      </c>
      <c r="DW68" s="80">
        <f t="shared" si="34"/>
        <v>18</v>
      </c>
      <c r="DX68" s="80">
        <f t="shared" si="34"/>
        <v>94</v>
      </c>
      <c r="DY68" s="80">
        <f t="shared" si="34"/>
        <v>70</v>
      </c>
      <c r="DZ68" s="80">
        <f t="shared" si="34"/>
        <v>15</v>
      </c>
      <c r="EA68" s="80">
        <f t="shared" si="34"/>
        <v>96</v>
      </c>
      <c r="EB68" s="80">
        <f t="shared" si="34"/>
        <v>71</v>
      </c>
      <c r="EC68" s="80">
        <f t="shared" si="34"/>
        <v>11</v>
      </c>
      <c r="ED68" s="80">
        <f t="shared" si="34"/>
        <v>100</v>
      </c>
      <c r="EE68" s="80">
        <f t="shared" si="34"/>
        <v>71</v>
      </c>
      <c r="EF68" s="80">
        <f t="shared" si="34"/>
        <v>9</v>
      </c>
      <c r="EG68" s="80">
        <f t="shared" si="34"/>
        <v>103</v>
      </c>
      <c r="EH68" s="80">
        <f t="shared" si="34"/>
        <v>70</v>
      </c>
      <c r="EI68" s="80">
        <f t="shared" si="34"/>
        <v>0</v>
      </c>
      <c r="EJ68" s="80">
        <f t="shared" si="34"/>
        <v>0</v>
      </c>
      <c r="EK68" s="80">
        <f t="shared" si="34"/>
        <v>0</v>
      </c>
      <c r="EL68" s="80">
        <f t="shared" si="34"/>
        <v>0</v>
      </c>
      <c r="EM68" s="80">
        <f t="shared" si="34"/>
        <v>0</v>
      </c>
      <c r="EN68" s="80">
        <f t="shared" si="34"/>
        <v>0</v>
      </c>
      <c r="EO68" s="80">
        <f t="shared" si="34"/>
        <v>0</v>
      </c>
      <c r="EP68" s="80">
        <f t="shared" si="34"/>
        <v>0</v>
      </c>
      <c r="EQ68" s="80">
        <f t="shared" ref="EQ68:EW68" si="35">SUM(EQ56:EQ67)</f>
        <v>0</v>
      </c>
      <c r="ER68" s="80">
        <f t="shared" si="35"/>
        <v>0</v>
      </c>
      <c r="ES68" s="80">
        <f t="shared" si="35"/>
        <v>0</v>
      </c>
      <c r="ET68" s="80">
        <f t="shared" si="35"/>
        <v>0</v>
      </c>
      <c r="EU68" s="80">
        <f t="shared" si="35"/>
        <v>0</v>
      </c>
      <c r="EV68" s="80">
        <f t="shared" si="35"/>
        <v>0</v>
      </c>
      <c r="EW68" s="80">
        <f t="shared" si="35"/>
        <v>0</v>
      </c>
      <c r="EX68" s="80">
        <f>SUM(EX56:EX67)</f>
        <v>5</v>
      </c>
      <c r="EY68" s="80">
        <f t="shared" ref="EY68:GG68" si="36">SUM(EY56:EY67)</f>
        <v>107</v>
      </c>
      <c r="EZ68" s="80">
        <f t="shared" si="36"/>
        <v>70</v>
      </c>
      <c r="FA68" s="80">
        <f t="shared" si="36"/>
        <v>5</v>
      </c>
      <c r="FB68" s="80">
        <f t="shared" si="36"/>
        <v>107</v>
      </c>
      <c r="FC68" s="80">
        <f t="shared" si="36"/>
        <v>70</v>
      </c>
      <c r="FD68" s="80">
        <f t="shared" si="36"/>
        <v>0</v>
      </c>
      <c r="FE68" s="80">
        <f t="shared" si="36"/>
        <v>0</v>
      </c>
      <c r="FF68" s="80">
        <f t="shared" si="36"/>
        <v>0</v>
      </c>
      <c r="FG68" s="80">
        <f t="shared" si="36"/>
        <v>0</v>
      </c>
      <c r="FH68" s="80">
        <f t="shared" si="36"/>
        <v>0</v>
      </c>
      <c r="FI68" s="80">
        <f t="shared" si="36"/>
        <v>0</v>
      </c>
      <c r="FJ68" s="80">
        <f t="shared" si="36"/>
        <v>0</v>
      </c>
      <c r="FK68" s="80">
        <f t="shared" si="36"/>
        <v>0</v>
      </c>
      <c r="FL68" s="80">
        <f t="shared" si="36"/>
        <v>0</v>
      </c>
      <c r="FM68" s="80">
        <f t="shared" si="36"/>
        <v>0</v>
      </c>
      <c r="FN68" s="80">
        <f t="shared" si="36"/>
        <v>0</v>
      </c>
      <c r="FO68" s="80">
        <f t="shared" si="36"/>
        <v>0</v>
      </c>
      <c r="FP68" s="80">
        <f t="shared" si="36"/>
        <v>0</v>
      </c>
      <c r="FQ68" s="80">
        <f t="shared" si="36"/>
        <v>0</v>
      </c>
      <c r="FR68" s="80">
        <f t="shared" si="36"/>
        <v>0</v>
      </c>
      <c r="FS68" s="80">
        <f t="shared" si="36"/>
        <v>0</v>
      </c>
      <c r="FT68" s="80">
        <f t="shared" si="36"/>
        <v>0</v>
      </c>
      <c r="FU68" s="80">
        <f t="shared" si="36"/>
        <v>0</v>
      </c>
      <c r="FV68" s="80">
        <f t="shared" si="36"/>
        <v>0</v>
      </c>
      <c r="FW68" s="80">
        <f t="shared" si="36"/>
        <v>0</v>
      </c>
      <c r="FX68" s="80">
        <f t="shared" si="36"/>
        <v>0</v>
      </c>
      <c r="FY68" s="80">
        <f t="shared" si="36"/>
        <v>0</v>
      </c>
      <c r="FZ68" s="80">
        <f t="shared" si="36"/>
        <v>0</v>
      </c>
      <c r="GA68" s="80">
        <f t="shared" si="36"/>
        <v>0</v>
      </c>
      <c r="GB68" s="80">
        <f t="shared" si="36"/>
        <v>0</v>
      </c>
      <c r="GC68" s="80">
        <f t="shared" si="36"/>
        <v>0</v>
      </c>
      <c r="GD68" s="80">
        <f t="shared" si="36"/>
        <v>0</v>
      </c>
      <c r="GE68" s="80">
        <f t="shared" si="36"/>
        <v>0</v>
      </c>
      <c r="GF68" s="80">
        <f t="shared" si="36"/>
        <v>0</v>
      </c>
      <c r="GG68" s="80">
        <f t="shared" si="36"/>
        <v>0</v>
      </c>
    </row>
    <row r="69" spans="14:189" ht="25.5" customHeight="1" x14ac:dyDescent="0.4">
      <c r="N69" s="82"/>
      <c r="O69" s="82"/>
      <c r="P69" s="82"/>
      <c r="Q69" s="82"/>
      <c r="R69" s="82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</row>
    <row r="70" spans="14:189" ht="25.5" customHeight="1" x14ac:dyDescent="0.4">
      <c r="N70" s="82"/>
      <c r="O70" s="82"/>
      <c r="P70" s="82"/>
      <c r="Q70" s="82"/>
      <c r="R70" s="82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</row>
    <row r="71" spans="14:189" ht="25.5" customHeight="1" x14ac:dyDescent="0.45">
      <c r="N71" s="82"/>
      <c r="O71" s="82"/>
      <c r="P71" s="82"/>
      <c r="Q71" s="82"/>
      <c r="R71" s="82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CC71" s="83" t="s">
        <v>60</v>
      </c>
      <c r="CD71" s="83"/>
      <c r="CE71" s="83"/>
      <c r="CF71" s="83"/>
      <c r="CG71" s="83"/>
      <c r="CH71" s="83" t="s">
        <v>61</v>
      </c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DU71" s="83"/>
      <c r="DV71" s="83"/>
    </row>
    <row r="72" spans="14:189" ht="25.5" customHeight="1" x14ac:dyDescent="0.45">
      <c r="N72" s="82"/>
      <c r="O72" s="82"/>
      <c r="P72" s="82"/>
      <c r="Q72" s="82"/>
      <c r="R72" s="82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CC72" s="80" t="s">
        <v>20</v>
      </c>
      <c r="CD72" s="75" t="s">
        <v>59</v>
      </c>
      <c r="CE72" s="75" t="s">
        <v>58</v>
      </c>
      <c r="CF72" s="75" t="s">
        <v>17</v>
      </c>
      <c r="CH72" s="80" t="s">
        <v>23</v>
      </c>
      <c r="CI72" s="84">
        <v>43466</v>
      </c>
      <c r="CJ72" s="84">
        <v>43497</v>
      </c>
      <c r="CK72" s="84">
        <v>43525</v>
      </c>
      <c r="CL72" s="84">
        <v>43556</v>
      </c>
      <c r="CM72" s="84">
        <v>43586</v>
      </c>
      <c r="CN72" s="84">
        <v>43617</v>
      </c>
      <c r="CO72" s="84">
        <v>43647</v>
      </c>
      <c r="CP72" s="84">
        <v>43678</v>
      </c>
      <c r="CQ72" s="84">
        <v>43709</v>
      </c>
      <c r="CR72" s="84">
        <v>43739</v>
      </c>
      <c r="CS72" s="84">
        <v>43770</v>
      </c>
      <c r="CT72" s="84">
        <v>43800</v>
      </c>
      <c r="CU72" s="84">
        <v>43831</v>
      </c>
      <c r="CV72" s="84">
        <v>43862</v>
      </c>
      <c r="CW72" s="84">
        <v>43891</v>
      </c>
      <c r="CX72" s="84">
        <v>43922</v>
      </c>
      <c r="CY72" s="84">
        <v>43952</v>
      </c>
      <c r="CZ72" s="84">
        <v>43983</v>
      </c>
      <c r="DA72" s="84">
        <v>44013</v>
      </c>
      <c r="DB72" s="84">
        <v>44044</v>
      </c>
      <c r="DC72" s="84">
        <v>44075</v>
      </c>
      <c r="DD72" s="84">
        <v>44105</v>
      </c>
      <c r="DE72" s="84">
        <v>44136</v>
      </c>
      <c r="DF72" s="84">
        <v>44166</v>
      </c>
      <c r="DG72" s="84">
        <v>44197</v>
      </c>
      <c r="DH72" s="84">
        <v>44228</v>
      </c>
      <c r="DI72" s="84">
        <v>44256</v>
      </c>
      <c r="DJ72" s="84">
        <v>44287</v>
      </c>
      <c r="DK72" s="84">
        <v>44317</v>
      </c>
      <c r="DL72" s="84">
        <v>44348</v>
      </c>
      <c r="DM72" s="84">
        <v>44378</v>
      </c>
      <c r="DN72" s="84">
        <v>44409</v>
      </c>
      <c r="DO72" s="84">
        <v>44440</v>
      </c>
      <c r="DP72" s="84">
        <v>44470</v>
      </c>
      <c r="DQ72" s="84">
        <v>44501</v>
      </c>
      <c r="DR72" s="84">
        <v>44531</v>
      </c>
      <c r="DU72" s="83"/>
      <c r="DV72" s="83"/>
    </row>
    <row r="73" spans="14:189" ht="25.5" customHeight="1" x14ac:dyDescent="0.45">
      <c r="N73" s="82"/>
      <c r="O73" s="82"/>
      <c r="P73" s="82"/>
      <c r="Q73" s="82"/>
      <c r="R73" s="82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CC73" s="84">
        <v>43466</v>
      </c>
      <c r="CD73" s="80">
        <v>7</v>
      </c>
      <c r="CE73" s="80">
        <v>150</v>
      </c>
      <c r="CF73" s="80">
        <v>0</v>
      </c>
      <c r="CG73" s="83"/>
      <c r="CH73" s="79" t="s">
        <v>28</v>
      </c>
      <c r="CI73" s="80">
        <v>3</v>
      </c>
      <c r="CJ73" s="80">
        <v>3</v>
      </c>
      <c r="CK73" s="80">
        <v>3</v>
      </c>
      <c r="CL73" s="80">
        <v>6</v>
      </c>
      <c r="CM73" s="80">
        <v>8</v>
      </c>
      <c r="CN73" s="80">
        <v>20</v>
      </c>
      <c r="CO73" s="80">
        <v>22</v>
      </c>
      <c r="CP73" s="80">
        <v>25</v>
      </c>
      <c r="CQ73" s="80">
        <v>25</v>
      </c>
      <c r="CR73" s="80">
        <v>29</v>
      </c>
      <c r="CS73" s="80">
        <v>30</v>
      </c>
      <c r="CT73" s="80">
        <v>30</v>
      </c>
      <c r="CU73" s="80">
        <v>30</v>
      </c>
      <c r="CV73" s="80">
        <v>30</v>
      </c>
      <c r="CW73" s="80">
        <v>30</v>
      </c>
      <c r="CX73" s="80">
        <v>30</v>
      </c>
      <c r="CY73" s="80">
        <v>30</v>
      </c>
      <c r="CZ73" s="80">
        <v>30</v>
      </c>
      <c r="DA73" s="80">
        <v>30</v>
      </c>
      <c r="DB73" s="80"/>
      <c r="DC73" s="80"/>
      <c r="DD73" s="80"/>
      <c r="DE73" s="80"/>
      <c r="DF73" s="80"/>
      <c r="DG73" s="80">
        <v>30</v>
      </c>
      <c r="DH73" s="80">
        <v>30</v>
      </c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U73" s="83"/>
      <c r="DV73" s="83"/>
    </row>
    <row r="74" spans="14:189" ht="25.5" customHeight="1" x14ac:dyDescent="0.45">
      <c r="N74" s="82"/>
      <c r="O74" s="82"/>
      <c r="P74" s="82"/>
      <c r="Q74" s="82"/>
      <c r="R74" s="82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CC74" s="84">
        <v>43497</v>
      </c>
      <c r="CD74" s="80">
        <v>8</v>
      </c>
      <c r="CE74" s="80">
        <v>152</v>
      </c>
      <c r="CF74" s="80">
        <v>7</v>
      </c>
      <c r="CG74" s="83"/>
      <c r="CH74" s="79" t="s">
        <v>29</v>
      </c>
      <c r="CI74" s="80">
        <v>1</v>
      </c>
      <c r="CJ74" s="80">
        <v>1</v>
      </c>
      <c r="CK74" s="80">
        <v>1</v>
      </c>
      <c r="CL74" s="80">
        <v>1</v>
      </c>
      <c r="CM74" s="80">
        <v>1</v>
      </c>
      <c r="CN74" s="80">
        <v>1</v>
      </c>
      <c r="CO74" s="80">
        <v>1</v>
      </c>
      <c r="CP74" s="80">
        <v>1</v>
      </c>
      <c r="CQ74" s="80">
        <v>1</v>
      </c>
      <c r="CR74" s="80">
        <v>1</v>
      </c>
      <c r="CS74" s="80">
        <v>2</v>
      </c>
      <c r="CT74" s="80">
        <v>2</v>
      </c>
      <c r="CU74" s="80">
        <v>3</v>
      </c>
      <c r="CV74" s="80">
        <v>3</v>
      </c>
      <c r="CW74" s="80">
        <v>3</v>
      </c>
      <c r="CX74" s="80">
        <v>3</v>
      </c>
      <c r="CY74" s="80">
        <v>3</v>
      </c>
      <c r="CZ74" s="80">
        <v>3</v>
      </c>
      <c r="DA74" s="80">
        <v>3</v>
      </c>
      <c r="DB74" s="80"/>
      <c r="DC74" s="80"/>
      <c r="DD74" s="80"/>
      <c r="DE74" s="80"/>
      <c r="DF74" s="80"/>
      <c r="DG74" s="80">
        <v>3</v>
      </c>
      <c r="DH74" s="80">
        <v>3</v>
      </c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U74" s="83"/>
      <c r="DV74" s="83"/>
    </row>
    <row r="75" spans="14:189" ht="25.5" customHeight="1" x14ac:dyDescent="0.45">
      <c r="N75" s="82"/>
      <c r="O75" s="82"/>
      <c r="P75" s="82"/>
      <c r="Q75" s="82"/>
      <c r="R75" s="82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CC75" s="84">
        <v>43525</v>
      </c>
      <c r="CD75" s="80">
        <v>9</v>
      </c>
      <c r="CE75" s="80">
        <v>114</v>
      </c>
      <c r="CF75" s="80">
        <v>44</v>
      </c>
      <c r="CG75" s="83"/>
      <c r="CH75" s="79" t="s">
        <v>34</v>
      </c>
      <c r="CI75" s="80">
        <v>0</v>
      </c>
      <c r="CJ75" s="80">
        <v>0</v>
      </c>
      <c r="CK75" s="80">
        <v>0</v>
      </c>
      <c r="CL75" s="80">
        <v>0</v>
      </c>
      <c r="CM75" s="80">
        <v>0</v>
      </c>
      <c r="CN75" s="80">
        <v>0</v>
      </c>
      <c r="CO75" s="80">
        <v>0</v>
      </c>
      <c r="CP75" s="80">
        <v>0</v>
      </c>
      <c r="CQ75" s="80">
        <v>0</v>
      </c>
      <c r="CR75" s="80">
        <v>0</v>
      </c>
      <c r="CS75" s="80">
        <v>0</v>
      </c>
      <c r="CT75" s="80">
        <v>0</v>
      </c>
      <c r="CU75" s="80">
        <v>0</v>
      </c>
      <c r="CV75" s="80">
        <v>0</v>
      </c>
      <c r="CW75" s="80">
        <v>0</v>
      </c>
      <c r="CX75" s="80">
        <v>0</v>
      </c>
      <c r="CY75" s="80">
        <v>0</v>
      </c>
      <c r="CZ75" s="80">
        <v>0</v>
      </c>
      <c r="DA75" s="80">
        <v>0</v>
      </c>
      <c r="DB75" s="80"/>
      <c r="DC75" s="80"/>
      <c r="DD75" s="80"/>
      <c r="DE75" s="80"/>
      <c r="DF75" s="80"/>
      <c r="DG75" s="80">
        <v>0</v>
      </c>
      <c r="DH75" s="80">
        <v>0</v>
      </c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U75" s="83"/>
      <c r="DV75" s="83"/>
    </row>
    <row r="76" spans="14:189" ht="25.5" customHeight="1" x14ac:dyDescent="0.45">
      <c r="N76" s="82"/>
      <c r="O76" s="82"/>
      <c r="P76" s="82"/>
      <c r="Q76" s="82"/>
      <c r="R76" s="82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CC76" s="84">
        <v>43556</v>
      </c>
      <c r="CD76" s="80">
        <v>13</v>
      </c>
      <c r="CE76" s="80">
        <v>104</v>
      </c>
      <c r="CF76" s="80">
        <v>51</v>
      </c>
      <c r="CG76" s="83"/>
      <c r="CH76" s="79" t="s">
        <v>38</v>
      </c>
      <c r="CI76" s="80">
        <v>0</v>
      </c>
      <c r="CJ76" s="80">
        <v>0</v>
      </c>
      <c r="CK76" s="80">
        <v>0</v>
      </c>
      <c r="CL76" s="80">
        <v>0</v>
      </c>
      <c r="CM76" s="80">
        <v>0</v>
      </c>
      <c r="CN76" s="80">
        <v>0</v>
      </c>
      <c r="CO76" s="80">
        <v>0</v>
      </c>
      <c r="CP76" s="80">
        <v>0</v>
      </c>
      <c r="CQ76" s="80">
        <v>1</v>
      </c>
      <c r="CR76" s="80">
        <v>1</v>
      </c>
      <c r="CS76" s="80">
        <v>1</v>
      </c>
      <c r="CT76" s="80">
        <v>1</v>
      </c>
      <c r="CU76" s="80">
        <v>1</v>
      </c>
      <c r="CV76" s="80">
        <v>1</v>
      </c>
      <c r="CW76" s="80">
        <v>1</v>
      </c>
      <c r="CX76" s="80">
        <v>1</v>
      </c>
      <c r="CY76" s="80">
        <v>1</v>
      </c>
      <c r="CZ76" s="80">
        <v>1</v>
      </c>
      <c r="DA76" s="80">
        <v>1</v>
      </c>
      <c r="DB76" s="80"/>
      <c r="DC76" s="80"/>
      <c r="DD76" s="80"/>
      <c r="DE76" s="80"/>
      <c r="DF76" s="80"/>
      <c r="DG76" s="80">
        <v>1</v>
      </c>
      <c r="DH76" s="80">
        <v>1</v>
      </c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U76" s="83"/>
      <c r="DV76" s="83"/>
    </row>
    <row r="77" spans="14:189" ht="25.5" customHeight="1" x14ac:dyDescent="0.45">
      <c r="N77" s="82"/>
      <c r="O77" s="82"/>
      <c r="P77" s="82"/>
      <c r="Q77" s="82"/>
      <c r="R77" s="82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CC77" s="84">
        <v>43586</v>
      </c>
      <c r="CD77" s="80">
        <v>22</v>
      </c>
      <c r="CE77" s="80">
        <v>108</v>
      </c>
      <c r="CF77" s="80">
        <v>52</v>
      </c>
      <c r="CG77" s="83"/>
      <c r="CH77" s="79" t="s">
        <v>30</v>
      </c>
      <c r="CI77" s="80">
        <v>0</v>
      </c>
      <c r="CJ77" s="80">
        <v>0</v>
      </c>
      <c r="CK77" s="80">
        <v>0</v>
      </c>
      <c r="CL77" s="80">
        <v>1</v>
      </c>
      <c r="CM77" s="80">
        <v>3</v>
      </c>
      <c r="CN77" s="80">
        <v>3</v>
      </c>
      <c r="CO77" s="80">
        <v>3</v>
      </c>
      <c r="CP77" s="80">
        <v>3</v>
      </c>
      <c r="CQ77" s="80">
        <v>3</v>
      </c>
      <c r="CR77" s="80">
        <v>3</v>
      </c>
      <c r="CS77" s="80">
        <v>6</v>
      </c>
      <c r="CT77" s="80">
        <v>6</v>
      </c>
      <c r="CU77" s="80">
        <v>6</v>
      </c>
      <c r="CV77" s="80">
        <v>7</v>
      </c>
      <c r="CW77" s="80">
        <v>7</v>
      </c>
      <c r="CX77" s="80">
        <v>8</v>
      </c>
      <c r="CY77" s="80">
        <v>8</v>
      </c>
      <c r="CZ77" s="80">
        <v>8</v>
      </c>
      <c r="DA77" s="80">
        <v>8</v>
      </c>
      <c r="DB77" s="80"/>
      <c r="DC77" s="80"/>
      <c r="DD77" s="80"/>
      <c r="DE77" s="80"/>
      <c r="DF77" s="80"/>
      <c r="DG77" s="80">
        <v>8</v>
      </c>
      <c r="DH77" s="80">
        <v>8</v>
      </c>
      <c r="DI77" s="80"/>
      <c r="DJ77" s="80"/>
      <c r="DK77" s="80"/>
      <c r="DL77" s="80"/>
      <c r="DM77" s="80"/>
      <c r="DN77" s="80"/>
      <c r="DO77" s="80"/>
      <c r="DP77" s="80"/>
      <c r="DQ77" s="80"/>
      <c r="DR77" s="80"/>
      <c r="DU77" s="83"/>
      <c r="DV77" s="83"/>
    </row>
    <row r="78" spans="14:189" ht="25.5" customHeight="1" x14ac:dyDescent="0.45">
      <c r="N78" s="82"/>
      <c r="O78" s="82"/>
      <c r="P78" s="82"/>
      <c r="Q78" s="82"/>
      <c r="R78" s="82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CC78" s="84">
        <v>43617</v>
      </c>
      <c r="CD78" s="80">
        <v>36</v>
      </c>
      <c r="CE78" s="80">
        <v>94</v>
      </c>
      <c r="CF78" s="80">
        <v>52</v>
      </c>
      <c r="CG78" s="83"/>
      <c r="CH78" s="79" t="s">
        <v>39</v>
      </c>
      <c r="CI78" s="80">
        <v>1</v>
      </c>
      <c r="CJ78" s="80">
        <v>2</v>
      </c>
      <c r="CK78" s="80">
        <v>2</v>
      </c>
      <c r="CL78" s="80">
        <v>2</v>
      </c>
      <c r="CM78" s="80">
        <v>2</v>
      </c>
      <c r="CN78" s="80">
        <v>2</v>
      </c>
      <c r="CO78" s="80">
        <v>2</v>
      </c>
      <c r="CP78" s="80">
        <v>2</v>
      </c>
      <c r="CQ78" s="80">
        <v>2</v>
      </c>
      <c r="CR78" s="80">
        <v>2</v>
      </c>
      <c r="CS78" s="80">
        <v>2</v>
      </c>
      <c r="CT78" s="80">
        <v>2</v>
      </c>
      <c r="CU78" s="80">
        <v>2</v>
      </c>
      <c r="CV78" s="80">
        <v>2</v>
      </c>
      <c r="CW78" s="80">
        <v>2</v>
      </c>
      <c r="CX78" s="80">
        <v>2</v>
      </c>
      <c r="CY78" s="80">
        <v>2</v>
      </c>
      <c r="CZ78" s="80">
        <v>2</v>
      </c>
      <c r="DA78" s="80">
        <v>2</v>
      </c>
      <c r="DB78" s="80"/>
      <c r="DC78" s="80"/>
      <c r="DD78" s="80"/>
      <c r="DE78" s="80"/>
      <c r="DF78" s="80"/>
      <c r="DG78" s="80">
        <v>4</v>
      </c>
      <c r="DH78" s="80">
        <v>4</v>
      </c>
      <c r="DI78" s="80"/>
      <c r="DJ78" s="80"/>
      <c r="DK78" s="80"/>
      <c r="DL78" s="80"/>
      <c r="DM78" s="80"/>
      <c r="DN78" s="80"/>
      <c r="DO78" s="80"/>
      <c r="DP78" s="80"/>
      <c r="DQ78" s="80"/>
      <c r="DR78" s="80"/>
      <c r="DU78" s="83"/>
      <c r="DV78" s="83"/>
    </row>
    <row r="79" spans="14:189" ht="25.5" customHeight="1" x14ac:dyDescent="0.45">
      <c r="N79" s="82"/>
      <c r="O79" s="82"/>
      <c r="P79" s="82"/>
      <c r="Q79" s="82"/>
      <c r="R79" s="82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CC79" s="84">
        <v>43647</v>
      </c>
      <c r="CD79" s="80">
        <v>38</v>
      </c>
      <c r="CE79" s="80">
        <v>91</v>
      </c>
      <c r="CF79" s="80">
        <v>53</v>
      </c>
      <c r="CG79" s="83"/>
      <c r="CH79" s="79" t="s">
        <v>36</v>
      </c>
      <c r="CI79" s="80">
        <v>0</v>
      </c>
      <c r="CJ79" s="80">
        <v>0</v>
      </c>
      <c r="CK79" s="80">
        <v>1</v>
      </c>
      <c r="CL79" s="80">
        <v>1</v>
      </c>
      <c r="CM79" s="80">
        <v>6</v>
      </c>
      <c r="CN79" s="80">
        <v>8</v>
      </c>
      <c r="CO79" s="80">
        <v>8</v>
      </c>
      <c r="CP79" s="80">
        <v>11</v>
      </c>
      <c r="CQ79" s="80">
        <v>12</v>
      </c>
      <c r="CR79" s="80">
        <v>15</v>
      </c>
      <c r="CS79" s="80">
        <v>15</v>
      </c>
      <c r="CT79" s="80">
        <v>15</v>
      </c>
      <c r="CU79" s="80">
        <v>15</v>
      </c>
      <c r="CV79" s="80">
        <v>15</v>
      </c>
      <c r="CW79" s="80">
        <v>15</v>
      </c>
      <c r="CX79" s="80">
        <v>15</v>
      </c>
      <c r="CY79" s="80">
        <v>15</v>
      </c>
      <c r="CZ79" s="80">
        <v>15</v>
      </c>
      <c r="DA79" s="80">
        <v>16</v>
      </c>
      <c r="DB79" s="80"/>
      <c r="DC79" s="80"/>
      <c r="DD79" s="80"/>
      <c r="DE79" s="80"/>
      <c r="DF79" s="80"/>
      <c r="DG79" s="80">
        <v>16</v>
      </c>
      <c r="DH79" s="80">
        <v>16</v>
      </c>
      <c r="DI79" s="80"/>
      <c r="DJ79" s="80"/>
      <c r="DK79" s="80"/>
      <c r="DL79" s="80"/>
      <c r="DM79" s="80"/>
      <c r="DN79" s="80"/>
      <c r="DO79" s="80"/>
      <c r="DP79" s="80"/>
      <c r="DQ79" s="80"/>
      <c r="DR79" s="80"/>
      <c r="DU79" s="83"/>
      <c r="DV79" s="83"/>
    </row>
    <row r="80" spans="14:189" ht="25.5" customHeight="1" x14ac:dyDescent="0.45">
      <c r="N80" s="82"/>
      <c r="O80" s="82"/>
      <c r="P80" s="82"/>
      <c r="Q80" s="82"/>
      <c r="R80" s="82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CC80" s="84">
        <v>43678</v>
      </c>
      <c r="CD80" s="80">
        <v>48</v>
      </c>
      <c r="CE80" s="80">
        <v>79</v>
      </c>
      <c r="CF80" s="80">
        <v>55</v>
      </c>
      <c r="CG80" s="83"/>
      <c r="CH80" s="79" t="s">
        <v>32</v>
      </c>
      <c r="CI80" s="80">
        <v>1</v>
      </c>
      <c r="CJ80" s="80">
        <v>1</v>
      </c>
      <c r="CK80" s="80">
        <v>1</v>
      </c>
      <c r="CL80" s="80">
        <v>1</v>
      </c>
      <c r="CM80" s="80">
        <v>1</v>
      </c>
      <c r="CN80" s="80">
        <v>1</v>
      </c>
      <c r="CO80" s="80">
        <v>1</v>
      </c>
      <c r="CP80" s="80">
        <v>1</v>
      </c>
      <c r="CQ80" s="80">
        <v>1</v>
      </c>
      <c r="CR80" s="80">
        <v>1</v>
      </c>
      <c r="CS80" s="80">
        <v>1</v>
      </c>
      <c r="CT80" s="80">
        <v>1</v>
      </c>
      <c r="CU80" s="80">
        <v>1</v>
      </c>
      <c r="CV80" s="80">
        <v>2</v>
      </c>
      <c r="CW80" s="80">
        <v>2</v>
      </c>
      <c r="CX80" s="80">
        <v>4</v>
      </c>
      <c r="CY80" s="80">
        <v>4</v>
      </c>
      <c r="CZ80" s="80">
        <v>5</v>
      </c>
      <c r="DA80" s="80">
        <v>5</v>
      </c>
      <c r="DB80" s="80"/>
      <c r="DC80" s="80"/>
      <c r="DD80" s="80"/>
      <c r="DE80" s="80"/>
      <c r="DF80" s="80"/>
      <c r="DG80" s="80">
        <v>6</v>
      </c>
      <c r="DH80" s="80">
        <v>6</v>
      </c>
      <c r="DI80" s="80"/>
      <c r="DJ80" s="80"/>
      <c r="DK80" s="80"/>
      <c r="DL80" s="80"/>
      <c r="DM80" s="80"/>
      <c r="DN80" s="80"/>
      <c r="DO80" s="80"/>
      <c r="DP80" s="80"/>
      <c r="DQ80" s="80"/>
      <c r="DR80" s="80"/>
      <c r="DU80" s="83"/>
      <c r="DV80" s="83"/>
    </row>
    <row r="81" spans="14:126" ht="25.5" customHeight="1" x14ac:dyDescent="0.45">
      <c r="N81" s="82"/>
      <c r="O81" s="82"/>
      <c r="P81" s="82"/>
      <c r="Q81" s="82"/>
      <c r="R81" s="82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CC81" s="84">
        <v>43709</v>
      </c>
      <c r="CD81" s="80">
        <v>51</v>
      </c>
      <c r="CE81" s="80">
        <v>76</v>
      </c>
      <c r="CF81" s="80">
        <v>55</v>
      </c>
      <c r="CG81" s="83"/>
      <c r="CH81" s="79" t="s">
        <v>45</v>
      </c>
      <c r="CI81" s="80">
        <v>0</v>
      </c>
      <c r="CJ81" s="80">
        <v>0</v>
      </c>
      <c r="CK81" s="80">
        <v>0</v>
      </c>
      <c r="CL81" s="80">
        <v>0</v>
      </c>
      <c r="CM81" s="80">
        <v>0</v>
      </c>
      <c r="CN81" s="80">
        <v>0</v>
      </c>
      <c r="CO81" s="80">
        <v>0</v>
      </c>
      <c r="CP81" s="80">
        <v>0</v>
      </c>
      <c r="CQ81" s="80">
        <v>0</v>
      </c>
      <c r="CR81" s="80">
        <v>0</v>
      </c>
      <c r="CS81" s="80">
        <v>0</v>
      </c>
      <c r="CT81" s="80">
        <v>0</v>
      </c>
      <c r="CU81" s="80">
        <v>0</v>
      </c>
      <c r="CV81" s="80">
        <v>0</v>
      </c>
      <c r="CW81" s="80">
        <v>0</v>
      </c>
      <c r="CX81" s="80">
        <v>0</v>
      </c>
      <c r="CY81" s="80">
        <v>0</v>
      </c>
      <c r="CZ81" s="80">
        <v>0</v>
      </c>
      <c r="DA81" s="80">
        <v>0</v>
      </c>
      <c r="DB81" s="80"/>
      <c r="DC81" s="80"/>
      <c r="DD81" s="80"/>
      <c r="DE81" s="80"/>
      <c r="DF81" s="80"/>
      <c r="DG81" s="80">
        <v>0</v>
      </c>
      <c r="DH81" s="80">
        <v>0</v>
      </c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U81" s="83"/>
      <c r="DV81" s="83"/>
    </row>
    <row r="82" spans="14:126" ht="25.5" customHeight="1" x14ac:dyDescent="0.45">
      <c r="N82" s="82"/>
      <c r="O82" s="82"/>
      <c r="P82" s="82"/>
      <c r="Q82" s="82"/>
      <c r="R82" s="82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CC82" s="84">
        <v>43739</v>
      </c>
      <c r="CD82" s="80">
        <v>60</v>
      </c>
      <c r="CE82" s="80">
        <v>67</v>
      </c>
      <c r="CF82" s="80">
        <v>55</v>
      </c>
      <c r="CG82" s="83"/>
      <c r="CH82" s="79" t="s">
        <v>42</v>
      </c>
      <c r="CI82" s="80">
        <v>0</v>
      </c>
      <c r="CJ82" s="80">
        <v>0</v>
      </c>
      <c r="CK82" s="80">
        <v>0</v>
      </c>
      <c r="CL82" s="80">
        <v>0</v>
      </c>
      <c r="CM82" s="80">
        <v>0</v>
      </c>
      <c r="CN82" s="80">
        <v>0</v>
      </c>
      <c r="CO82" s="80">
        <v>0</v>
      </c>
      <c r="CP82" s="80">
        <v>3</v>
      </c>
      <c r="CQ82" s="80">
        <v>3</v>
      </c>
      <c r="CR82" s="80">
        <v>5</v>
      </c>
      <c r="CS82" s="80">
        <v>9</v>
      </c>
      <c r="CT82" s="80">
        <v>10</v>
      </c>
      <c r="CU82" s="80">
        <v>13</v>
      </c>
      <c r="CV82" s="80">
        <v>19</v>
      </c>
      <c r="CW82" s="80">
        <v>23</v>
      </c>
      <c r="CX82" s="80">
        <v>27</v>
      </c>
      <c r="CY82" s="80">
        <v>29</v>
      </c>
      <c r="CZ82" s="80">
        <v>32</v>
      </c>
      <c r="DA82" s="80">
        <v>34</v>
      </c>
      <c r="DB82" s="80"/>
      <c r="DC82" s="80"/>
      <c r="DD82" s="80"/>
      <c r="DE82" s="80"/>
      <c r="DF82" s="80"/>
      <c r="DG82" s="80">
        <v>35</v>
      </c>
      <c r="DH82" s="80">
        <v>35</v>
      </c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U82" s="83"/>
      <c r="DV82" s="83"/>
    </row>
    <row r="83" spans="14:126" ht="25.5" customHeight="1" x14ac:dyDescent="0.45">
      <c r="N83" s="82"/>
      <c r="O83" s="82"/>
      <c r="P83" s="82"/>
      <c r="Q83" s="82"/>
      <c r="R83" s="82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CC83" s="84">
        <v>43770</v>
      </c>
      <c r="CD83" s="80">
        <v>69</v>
      </c>
      <c r="CE83" s="80">
        <v>58</v>
      </c>
      <c r="CF83" s="80">
        <v>55</v>
      </c>
      <c r="CG83" s="83"/>
      <c r="CH83" s="79" t="s">
        <v>47</v>
      </c>
      <c r="CI83" s="80">
        <v>0</v>
      </c>
      <c r="CJ83" s="80">
        <v>0</v>
      </c>
      <c r="CK83" s="80">
        <v>0</v>
      </c>
      <c r="CL83" s="80">
        <v>0</v>
      </c>
      <c r="CM83" s="80">
        <v>0</v>
      </c>
      <c r="CN83" s="80">
        <v>0</v>
      </c>
      <c r="CO83" s="80">
        <v>0</v>
      </c>
      <c r="CP83" s="80">
        <v>0</v>
      </c>
      <c r="CQ83" s="80">
        <v>0</v>
      </c>
      <c r="CR83" s="80">
        <v>0</v>
      </c>
      <c r="CS83" s="80">
        <v>0</v>
      </c>
      <c r="CT83" s="80">
        <v>0</v>
      </c>
      <c r="CU83" s="80">
        <v>0</v>
      </c>
      <c r="CV83" s="80">
        <v>0</v>
      </c>
      <c r="CW83" s="80">
        <v>0</v>
      </c>
      <c r="CX83" s="80">
        <v>0</v>
      </c>
      <c r="CY83" s="80">
        <v>0</v>
      </c>
      <c r="CZ83" s="80">
        <v>0</v>
      </c>
      <c r="DA83" s="80">
        <v>0</v>
      </c>
      <c r="DB83" s="80"/>
      <c r="DC83" s="80"/>
      <c r="DD83" s="80"/>
      <c r="DE83" s="80"/>
      <c r="DF83" s="80"/>
      <c r="DG83" s="80">
        <v>0</v>
      </c>
      <c r="DH83" s="80">
        <v>0</v>
      </c>
      <c r="DI83" s="80"/>
      <c r="DJ83" s="80"/>
      <c r="DK83" s="80"/>
      <c r="DL83" s="80"/>
      <c r="DM83" s="80"/>
      <c r="DN83" s="80"/>
      <c r="DO83" s="80"/>
      <c r="DP83" s="80"/>
      <c r="DQ83" s="80"/>
      <c r="DR83" s="80"/>
    </row>
    <row r="84" spans="14:126" ht="25.5" customHeight="1" x14ac:dyDescent="0.45">
      <c r="N84" s="82"/>
      <c r="O84" s="82"/>
      <c r="P84" s="82"/>
      <c r="Q84" s="82"/>
      <c r="R84" s="82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CC84" s="84">
        <v>43800</v>
      </c>
      <c r="CD84" s="80">
        <v>70</v>
      </c>
      <c r="CE84" s="80">
        <v>47</v>
      </c>
      <c r="CF84" s="80">
        <v>65</v>
      </c>
      <c r="CG84" s="83"/>
      <c r="CH84" s="79" t="s">
        <v>35</v>
      </c>
      <c r="CI84" s="80">
        <v>1</v>
      </c>
      <c r="CJ84" s="80">
        <v>1</v>
      </c>
      <c r="CK84" s="80">
        <v>1</v>
      </c>
      <c r="CL84" s="80">
        <v>1</v>
      </c>
      <c r="CM84" s="80">
        <v>1</v>
      </c>
      <c r="CN84" s="80">
        <v>1</v>
      </c>
      <c r="CO84" s="80">
        <v>1</v>
      </c>
      <c r="CP84" s="80">
        <v>2</v>
      </c>
      <c r="CQ84" s="80">
        <v>3</v>
      </c>
      <c r="CR84" s="80">
        <v>3</v>
      </c>
      <c r="CS84" s="80">
        <v>3</v>
      </c>
      <c r="CT84" s="80">
        <v>3</v>
      </c>
      <c r="CU84" s="80">
        <v>3</v>
      </c>
      <c r="CV84" s="80">
        <v>3</v>
      </c>
      <c r="CW84" s="80">
        <v>3</v>
      </c>
      <c r="CX84" s="80">
        <v>4</v>
      </c>
      <c r="CY84" s="80">
        <v>4</v>
      </c>
      <c r="CZ84" s="80">
        <v>4</v>
      </c>
      <c r="DA84" s="80">
        <v>4</v>
      </c>
      <c r="DB84" s="80"/>
      <c r="DC84" s="80"/>
      <c r="DD84" s="80"/>
      <c r="DE84" s="80"/>
      <c r="DF84" s="80"/>
      <c r="DG84" s="80">
        <v>4</v>
      </c>
      <c r="DH84" s="80">
        <v>4</v>
      </c>
      <c r="DI84" s="80"/>
      <c r="DJ84" s="80"/>
      <c r="DK84" s="80"/>
      <c r="DL84" s="80"/>
      <c r="DM84" s="80"/>
      <c r="DN84" s="80"/>
      <c r="DO84" s="80"/>
      <c r="DP84" s="80"/>
      <c r="DQ84" s="80"/>
      <c r="DR84" s="80"/>
    </row>
    <row r="85" spans="14:126" ht="25.5" customHeight="1" x14ac:dyDescent="0.45">
      <c r="N85" s="82"/>
      <c r="O85" s="82"/>
      <c r="P85" s="82"/>
      <c r="Q85" s="82"/>
      <c r="R85" s="82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CC85" s="84">
        <v>43831</v>
      </c>
      <c r="CD85" s="80">
        <v>74</v>
      </c>
      <c r="CE85" s="80">
        <v>43</v>
      </c>
      <c r="CF85" s="80">
        <v>65</v>
      </c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</row>
    <row r="86" spans="14:126" ht="25.5" customHeight="1" x14ac:dyDescent="0.45">
      <c r="N86" s="82"/>
      <c r="O86" s="82"/>
      <c r="P86" s="82"/>
      <c r="Q86" s="82"/>
      <c r="R86" s="82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CC86" s="84">
        <v>43862</v>
      </c>
      <c r="CD86" s="80">
        <v>82</v>
      </c>
      <c r="CE86" s="80">
        <v>33</v>
      </c>
      <c r="CF86" s="80">
        <v>67</v>
      </c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</row>
    <row r="87" spans="14:126" ht="25.5" customHeight="1" x14ac:dyDescent="0.45">
      <c r="N87" s="82"/>
      <c r="O87" s="82"/>
      <c r="P87" s="82"/>
      <c r="Q87" s="82"/>
      <c r="R87" s="82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CC87" s="84">
        <v>43891</v>
      </c>
      <c r="CD87" s="80">
        <v>86</v>
      </c>
      <c r="CE87" s="80">
        <v>25</v>
      </c>
      <c r="CF87" s="80">
        <v>71</v>
      </c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</row>
    <row r="88" spans="14:126" ht="25.5" customHeight="1" x14ac:dyDescent="0.45">
      <c r="N88" s="82"/>
      <c r="O88" s="82"/>
      <c r="P88" s="82"/>
      <c r="Q88" s="82"/>
      <c r="R88" s="82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CC88" s="84">
        <v>43922</v>
      </c>
      <c r="CD88" s="80">
        <v>94</v>
      </c>
      <c r="CE88" s="80">
        <v>18</v>
      </c>
      <c r="CF88" s="80">
        <v>70</v>
      </c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</row>
    <row r="89" spans="14:126" ht="25.5" customHeight="1" x14ac:dyDescent="0.45">
      <c r="N89" s="82"/>
      <c r="O89" s="82"/>
      <c r="P89" s="82"/>
      <c r="Q89" s="82"/>
      <c r="R89" s="82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CC89" s="84">
        <v>43952</v>
      </c>
      <c r="CD89" s="80">
        <v>96</v>
      </c>
      <c r="CE89" s="80">
        <v>15</v>
      </c>
      <c r="CF89" s="80">
        <v>71</v>
      </c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</row>
    <row r="90" spans="14:126" ht="25.5" customHeight="1" x14ac:dyDescent="0.45">
      <c r="N90" s="82"/>
      <c r="O90" s="82"/>
      <c r="P90" s="82"/>
      <c r="Q90" s="82"/>
      <c r="R90" s="82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CC90" s="84">
        <v>43983</v>
      </c>
      <c r="CD90" s="80">
        <v>100</v>
      </c>
      <c r="CE90" s="80">
        <v>11</v>
      </c>
      <c r="CF90" s="80">
        <v>71</v>
      </c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</row>
    <row r="91" spans="14:126" ht="25.5" customHeight="1" x14ac:dyDescent="0.45">
      <c r="N91" s="82"/>
      <c r="O91" s="82"/>
      <c r="P91" s="82"/>
      <c r="Q91" s="82"/>
      <c r="R91" s="82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CC91" s="84">
        <v>44013</v>
      </c>
      <c r="CD91" s="80">
        <v>103</v>
      </c>
      <c r="CE91" s="80">
        <v>9</v>
      </c>
      <c r="CF91" s="80">
        <v>70</v>
      </c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</row>
    <row r="92" spans="14:126" ht="25.5" customHeight="1" x14ac:dyDescent="0.45">
      <c r="N92" s="82"/>
      <c r="O92" s="82"/>
      <c r="P92" s="82"/>
      <c r="Q92" s="82"/>
      <c r="R92" s="82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CC92" s="84">
        <v>44044</v>
      </c>
      <c r="CD92" s="80"/>
      <c r="CE92" s="80"/>
      <c r="CF92" s="80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</row>
    <row r="93" spans="14:126" ht="25.5" customHeight="1" x14ac:dyDescent="0.45">
      <c r="N93" s="82"/>
      <c r="O93" s="82"/>
      <c r="P93" s="82"/>
      <c r="Q93" s="82"/>
      <c r="R93" s="82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CC93" s="84">
        <v>44075</v>
      </c>
      <c r="CD93" s="80"/>
      <c r="CE93" s="80"/>
      <c r="CF93" s="80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</row>
    <row r="94" spans="14:126" ht="25.5" customHeight="1" x14ac:dyDescent="0.45">
      <c r="N94" s="82"/>
      <c r="O94" s="82"/>
      <c r="P94" s="82"/>
      <c r="Q94" s="82"/>
      <c r="R94" s="82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CC94" s="84">
        <v>44105</v>
      </c>
      <c r="CD94" s="80"/>
      <c r="CE94" s="80"/>
      <c r="CF94" s="80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</row>
    <row r="95" spans="14:126" ht="25.5" customHeight="1" x14ac:dyDescent="0.45">
      <c r="N95" s="82"/>
      <c r="O95" s="82"/>
      <c r="P95" s="82"/>
      <c r="Q95" s="82"/>
      <c r="R95" s="82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CC95" s="84">
        <v>44136</v>
      </c>
      <c r="CD95" s="80"/>
      <c r="CE95" s="80"/>
      <c r="CF95" s="80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</row>
    <row r="96" spans="14:126" ht="25.5" customHeight="1" x14ac:dyDescent="0.45">
      <c r="N96" s="82"/>
      <c r="O96" s="82"/>
      <c r="P96" s="82"/>
      <c r="Q96" s="82"/>
      <c r="R96" s="82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CC96" s="84">
        <v>44166</v>
      </c>
      <c r="CD96" s="80"/>
      <c r="CE96" s="80"/>
      <c r="CF96" s="80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</row>
    <row r="97" spans="14:97" ht="25.5" customHeight="1" x14ac:dyDescent="0.45">
      <c r="N97" s="82"/>
      <c r="O97" s="82"/>
      <c r="P97" s="82"/>
      <c r="Q97" s="82"/>
      <c r="R97" s="82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CC97" s="84">
        <v>44197</v>
      </c>
      <c r="CD97" s="80">
        <v>107</v>
      </c>
      <c r="CE97" s="80">
        <v>5</v>
      </c>
      <c r="CF97" s="80">
        <v>70</v>
      </c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</row>
    <row r="98" spans="14:97" ht="25.5" customHeight="1" x14ac:dyDescent="0.45">
      <c r="N98" s="82"/>
      <c r="O98" s="82"/>
      <c r="P98" s="82"/>
      <c r="Q98" s="82"/>
      <c r="R98" s="82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CC98" s="84">
        <v>44228</v>
      </c>
      <c r="CD98" s="80">
        <v>107</v>
      </c>
      <c r="CE98" s="80">
        <v>5</v>
      </c>
      <c r="CF98" s="80">
        <v>70</v>
      </c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</row>
    <row r="99" spans="14:97" ht="25.5" customHeight="1" x14ac:dyDescent="0.45">
      <c r="N99" s="82"/>
      <c r="O99" s="82"/>
      <c r="P99" s="82"/>
      <c r="Q99" s="82"/>
      <c r="R99" s="82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CC99" s="84">
        <v>44256</v>
      </c>
      <c r="CD99" s="80"/>
      <c r="CE99" s="80"/>
      <c r="CF99" s="80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</row>
    <row r="100" spans="14:97" ht="25.5" customHeight="1" x14ac:dyDescent="0.45">
      <c r="N100" s="82"/>
      <c r="O100" s="82"/>
      <c r="P100" s="82"/>
      <c r="Q100" s="82"/>
      <c r="R100" s="82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CC100" s="84">
        <v>44287</v>
      </c>
      <c r="CD100" s="80"/>
      <c r="CE100" s="80"/>
      <c r="CF100" s="80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</row>
    <row r="101" spans="14:97" ht="25.5" customHeight="1" x14ac:dyDescent="0.45">
      <c r="N101" s="82"/>
      <c r="O101" s="82"/>
      <c r="P101" s="82"/>
      <c r="Q101" s="82"/>
      <c r="R101" s="82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CC101" s="84">
        <v>44317</v>
      </c>
      <c r="CD101" s="80"/>
      <c r="CE101" s="80"/>
      <c r="CF101" s="80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</row>
    <row r="102" spans="14:97" ht="25.5" customHeight="1" x14ac:dyDescent="0.45">
      <c r="N102" s="82"/>
      <c r="O102" s="82"/>
      <c r="P102" s="82"/>
      <c r="Q102" s="82"/>
      <c r="R102" s="82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CC102" s="84">
        <v>44348</v>
      </c>
      <c r="CD102" s="80"/>
      <c r="CE102" s="80"/>
      <c r="CF102" s="80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</row>
    <row r="103" spans="14:97" ht="25.5" customHeight="1" x14ac:dyDescent="0.45">
      <c r="N103" s="82"/>
      <c r="O103" s="82"/>
      <c r="P103" s="82"/>
      <c r="Q103" s="82"/>
      <c r="R103" s="82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CC103" s="84">
        <v>44378</v>
      </c>
      <c r="CD103" s="80"/>
      <c r="CE103" s="80"/>
      <c r="CF103" s="80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</row>
    <row r="104" spans="14:97" ht="25.5" customHeight="1" x14ac:dyDescent="0.45">
      <c r="N104" s="82"/>
      <c r="O104" s="82"/>
      <c r="P104" s="82"/>
      <c r="Q104" s="82"/>
      <c r="R104" s="82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CC104" s="84">
        <v>44409</v>
      </c>
      <c r="CD104" s="80"/>
      <c r="CE104" s="80"/>
      <c r="CF104" s="80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</row>
    <row r="105" spans="14:97" ht="25.5" customHeight="1" x14ac:dyDescent="0.45">
      <c r="N105" s="82"/>
      <c r="O105" s="82"/>
      <c r="P105" s="82"/>
      <c r="Q105" s="82"/>
      <c r="R105" s="82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CC105" s="84">
        <v>44440</v>
      </c>
      <c r="CD105" s="80"/>
      <c r="CE105" s="80"/>
      <c r="CF105" s="80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</row>
    <row r="106" spans="14:97" ht="25.5" customHeight="1" x14ac:dyDescent="0.45">
      <c r="N106" s="82"/>
      <c r="O106" s="82"/>
      <c r="P106" s="82"/>
      <c r="Q106" s="82"/>
      <c r="R106" s="82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CC106" s="84">
        <v>44470</v>
      </c>
      <c r="CD106" s="80"/>
      <c r="CE106" s="80"/>
      <c r="CF106" s="80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</row>
    <row r="107" spans="14:97" ht="25.5" customHeight="1" x14ac:dyDescent="0.45">
      <c r="N107" s="82"/>
      <c r="O107" s="82"/>
      <c r="P107" s="82"/>
      <c r="Q107" s="82"/>
      <c r="R107" s="82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CC107" s="84">
        <v>44501</v>
      </c>
      <c r="CD107" s="80"/>
      <c r="CE107" s="80"/>
      <c r="CF107" s="80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</row>
    <row r="108" spans="14:97" ht="25.5" customHeight="1" x14ac:dyDescent="0.45">
      <c r="N108" s="82"/>
      <c r="O108" s="82"/>
      <c r="P108" s="82"/>
      <c r="Q108" s="82"/>
      <c r="R108" s="82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CC108" s="84">
        <v>44531</v>
      </c>
      <c r="CD108" s="80"/>
      <c r="CE108" s="80"/>
      <c r="CF108" s="80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</row>
    <row r="109" spans="14:97" ht="25.5" customHeight="1" x14ac:dyDescent="0.45">
      <c r="N109" s="82"/>
      <c r="O109" s="82"/>
      <c r="P109" s="82"/>
      <c r="Q109" s="82"/>
      <c r="R109" s="82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</row>
    <row r="110" spans="14:97" ht="25.5" customHeight="1" x14ac:dyDescent="0.45">
      <c r="N110" s="82"/>
      <c r="O110" s="82"/>
      <c r="P110" s="82"/>
      <c r="Q110" s="82"/>
      <c r="R110" s="82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</row>
    <row r="111" spans="14:97" ht="25.5" customHeight="1" x14ac:dyDescent="0.4">
      <c r="N111" s="82"/>
      <c r="O111" s="82"/>
      <c r="P111" s="82"/>
      <c r="Q111" s="82"/>
      <c r="R111" s="82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</row>
    <row r="112" spans="14:97" ht="25.5" customHeight="1" x14ac:dyDescent="0.4">
      <c r="N112" s="82"/>
      <c r="O112" s="82"/>
      <c r="P112" s="82"/>
      <c r="Q112" s="82"/>
      <c r="R112" s="82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</row>
    <row r="113" spans="14:47" ht="25.5" customHeight="1" x14ac:dyDescent="0.4">
      <c r="N113" s="82"/>
      <c r="O113" s="82"/>
      <c r="P113" s="82"/>
      <c r="Q113" s="82"/>
      <c r="R113" s="82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</row>
    <row r="114" spans="14:47" ht="25.5" customHeight="1" x14ac:dyDescent="0.4">
      <c r="N114" s="82"/>
      <c r="O114" s="82"/>
      <c r="P114" s="82"/>
      <c r="Q114" s="82"/>
      <c r="R114" s="82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</row>
    <row r="115" spans="14:47" ht="25.5" customHeight="1" x14ac:dyDescent="0.4">
      <c r="N115" s="82"/>
      <c r="O115" s="82"/>
      <c r="P115" s="82"/>
      <c r="Q115" s="82"/>
      <c r="R115" s="82"/>
      <c r="AF115" s="81"/>
      <c r="AG115" s="81"/>
      <c r="AH115" s="81"/>
      <c r="AI115" s="81"/>
      <c r="AJ115" s="81"/>
      <c r="AO115" s="81"/>
      <c r="AP115" s="81"/>
      <c r="AQ115" s="81"/>
      <c r="AR115" s="81"/>
      <c r="AS115" s="81"/>
      <c r="AT115" s="81"/>
      <c r="AU115" s="81"/>
    </row>
    <row r="116" spans="14:47" ht="25.5" customHeight="1" x14ac:dyDescent="0.4">
      <c r="N116" s="82"/>
      <c r="O116" s="82"/>
      <c r="P116" s="82"/>
      <c r="Q116" s="82"/>
      <c r="R116" s="82"/>
      <c r="AF116" s="81"/>
      <c r="AG116" s="81"/>
      <c r="AH116" s="81"/>
      <c r="AI116" s="81"/>
      <c r="AJ116" s="81"/>
      <c r="AO116" s="81"/>
      <c r="AP116" s="81"/>
      <c r="AQ116" s="81"/>
      <c r="AR116" s="81"/>
      <c r="AS116" s="81"/>
      <c r="AT116" s="81"/>
      <c r="AU116" s="81"/>
    </row>
    <row r="117" spans="14:47" ht="25.5" customHeight="1" x14ac:dyDescent="0.4">
      <c r="N117" s="82"/>
      <c r="O117" s="82"/>
      <c r="P117" s="82"/>
      <c r="Q117" s="82"/>
      <c r="R117" s="82"/>
      <c r="AF117" s="81"/>
      <c r="AG117" s="81"/>
      <c r="AH117" s="81"/>
      <c r="AI117" s="81"/>
      <c r="AJ117" s="81"/>
      <c r="AO117" s="81"/>
      <c r="AP117" s="81"/>
      <c r="AQ117" s="81"/>
      <c r="AR117" s="81"/>
      <c r="AS117" s="81"/>
      <c r="AT117" s="81"/>
      <c r="AU117" s="81"/>
    </row>
    <row r="118" spans="14:47" ht="25.5" customHeight="1" x14ac:dyDescent="0.4">
      <c r="N118" s="82"/>
      <c r="O118" s="82"/>
      <c r="P118" s="82"/>
      <c r="Q118" s="82"/>
      <c r="R118" s="82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</row>
    <row r="119" spans="14:47" ht="25.5" customHeight="1" x14ac:dyDescent="0.4">
      <c r="N119" s="82"/>
      <c r="O119" s="82"/>
      <c r="P119" s="82"/>
      <c r="Q119" s="82"/>
      <c r="R119" s="82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</row>
    <row r="120" spans="14:47" ht="25.5" customHeight="1" x14ac:dyDescent="0.4">
      <c r="N120" s="82"/>
      <c r="O120" s="82"/>
      <c r="P120" s="82"/>
      <c r="Q120" s="82"/>
      <c r="R120" s="82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</row>
    <row r="121" spans="14:47" ht="25.5" customHeight="1" x14ac:dyDescent="0.4">
      <c r="N121" s="82"/>
      <c r="O121" s="82"/>
      <c r="P121" s="82"/>
      <c r="Q121" s="82"/>
      <c r="R121" s="82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</row>
    <row r="122" spans="14:47" ht="25.5" customHeight="1" x14ac:dyDescent="0.4">
      <c r="N122" s="82"/>
      <c r="O122" s="82"/>
      <c r="P122" s="82"/>
      <c r="Q122" s="82"/>
      <c r="R122" s="82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</row>
    <row r="123" spans="14:47" ht="25.5" customHeight="1" x14ac:dyDescent="0.4">
      <c r="N123" s="82"/>
      <c r="O123" s="82"/>
      <c r="P123" s="82"/>
      <c r="Q123" s="82"/>
      <c r="R123" s="82"/>
      <c r="AF123" s="81"/>
      <c r="AG123" s="81"/>
      <c r="AH123" s="81"/>
      <c r="AI123" s="81"/>
      <c r="AJ123" s="81"/>
      <c r="AK123" s="85" t="s">
        <v>62</v>
      </c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</row>
    <row r="124" spans="14:47" ht="25.5" customHeight="1" x14ac:dyDescent="0.4">
      <c r="N124" s="82"/>
      <c r="O124" s="82"/>
      <c r="P124" s="82"/>
      <c r="Q124" s="82"/>
      <c r="R124" s="82"/>
      <c r="AF124" s="81"/>
      <c r="AG124" s="81"/>
      <c r="AH124" s="81"/>
      <c r="AI124" s="81"/>
      <c r="AJ124" s="81"/>
      <c r="AK124" s="86" t="s">
        <v>63</v>
      </c>
      <c r="AL124" s="81" t="s">
        <v>64</v>
      </c>
      <c r="AM124" s="81"/>
      <c r="AN124" s="81"/>
      <c r="AO124" s="81"/>
      <c r="AP124" s="81"/>
      <c r="AQ124" s="81"/>
      <c r="AR124" s="81"/>
      <c r="AS124" s="81"/>
      <c r="AT124" s="81"/>
      <c r="AU124" s="81"/>
    </row>
    <row r="125" spans="14:47" ht="25.5" customHeight="1" x14ac:dyDescent="0.4">
      <c r="N125" s="82"/>
      <c r="O125" s="82"/>
      <c r="P125" s="82"/>
      <c r="Q125" s="82"/>
      <c r="R125" s="82"/>
      <c r="AF125" s="81"/>
      <c r="AG125" s="81"/>
      <c r="AH125" s="81"/>
      <c r="AI125" s="81"/>
      <c r="AJ125" s="81"/>
      <c r="AK125" s="87"/>
      <c r="AL125" s="81" t="s">
        <v>65</v>
      </c>
      <c r="AM125" s="81"/>
      <c r="AN125" s="81"/>
      <c r="AO125" s="81"/>
      <c r="AP125" s="81"/>
      <c r="AQ125" s="81"/>
      <c r="AR125" s="81"/>
      <c r="AS125" s="81"/>
      <c r="AT125" s="81"/>
      <c r="AU125" s="81"/>
    </row>
    <row r="126" spans="14:47" ht="25.5" customHeight="1" x14ac:dyDescent="0.4">
      <c r="N126" s="82"/>
      <c r="O126" s="82"/>
      <c r="P126" s="82"/>
      <c r="Q126" s="82"/>
      <c r="R126" s="82"/>
      <c r="AF126" s="81"/>
      <c r="AG126" s="81"/>
      <c r="AH126" s="81"/>
      <c r="AI126" s="81"/>
      <c r="AJ126" s="81"/>
      <c r="AK126" s="88"/>
      <c r="AL126" s="81" t="s">
        <v>66</v>
      </c>
      <c r="AM126" s="81"/>
      <c r="AN126" s="81"/>
      <c r="AO126" s="81"/>
      <c r="AP126" s="81"/>
      <c r="AQ126" s="81"/>
      <c r="AR126" s="81"/>
      <c r="AS126" s="81"/>
      <c r="AT126" s="81"/>
      <c r="AU126" s="81"/>
    </row>
    <row r="127" spans="14:47" ht="25.5" customHeight="1" x14ac:dyDescent="0.4">
      <c r="N127" s="82"/>
      <c r="O127" s="82"/>
      <c r="P127" s="82"/>
      <c r="Q127" s="82"/>
      <c r="R127" s="82"/>
      <c r="AF127" s="81"/>
      <c r="AG127" s="81"/>
      <c r="AH127" s="81"/>
      <c r="AI127" s="81"/>
      <c r="AJ127" s="81"/>
      <c r="AK127" s="89"/>
      <c r="AL127" s="81" t="s">
        <v>67</v>
      </c>
      <c r="AM127" s="81"/>
      <c r="AN127" s="81"/>
      <c r="AO127" s="81"/>
      <c r="AP127" s="81"/>
      <c r="AQ127" s="81"/>
      <c r="AR127" s="81"/>
      <c r="AS127" s="81"/>
      <c r="AT127" s="81"/>
      <c r="AU127" s="81"/>
    </row>
    <row r="128" spans="14:47" ht="25.5" customHeight="1" x14ac:dyDescent="0.4">
      <c r="N128" s="82"/>
      <c r="O128" s="82"/>
      <c r="P128" s="82"/>
      <c r="Q128" s="82"/>
      <c r="R128" s="82"/>
      <c r="AF128" s="81"/>
      <c r="AG128" s="81"/>
      <c r="AH128" s="81"/>
      <c r="AI128" s="81"/>
      <c r="AJ128" s="81"/>
      <c r="AK128" s="90"/>
      <c r="AL128" s="81" t="s">
        <v>68</v>
      </c>
      <c r="AM128" s="81"/>
      <c r="AN128" s="81"/>
      <c r="AO128" s="81"/>
      <c r="AP128" s="81"/>
      <c r="AQ128" s="81"/>
      <c r="AR128" s="81"/>
      <c r="AS128" s="81"/>
      <c r="AT128" s="81"/>
      <c r="AU128" s="81"/>
    </row>
    <row r="129" spans="1:84" ht="25.5" customHeight="1" x14ac:dyDescent="0.4">
      <c r="N129" s="82"/>
      <c r="O129" s="82"/>
      <c r="P129" s="82"/>
      <c r="Q129" s="82"/>
      <c r="R129" s="82"/>
      <c r="AF129" s="81"/>
      <c r="AG129" s="81"/>
      <c r="AH129" s="81"/>
      <c r="AI129" s="81"/>
      <c r="AJ129" s="81"/>
      <c r="AK129" s="91"/>
      <c r="AL129" s="81" t="s">
        <v>69</v>
      </c>
      <c r="AM129" s="81"/>
      <c r="AN129" s="81"/>
      <c r="AO129" s="81"/>
      <c r="AP129" s="81"/>
      <c r="AQ129" s="81"/>
      <c r="AR129" s="81"/>
      <c r="AS129" s="81"/>
      <c r="AT129" s="81"/>
      <c r="AU129" s="81"/>
    </row>
    <row r="130" spans="1:84" ht="25.5" customHeight="1" x14ac:dyDescent="0.4">
      <c r="N130" s="82"/>
      <c r="O130" s="82"/>
      <c r="P130" s="82"/>
      <c r="Q130" s="82"/>
      <c r="R130" s="82"/>
      <c r="AF130" s="81"/>
      <c r="AG130" s="81"/>
      <c r="AH130" s="81"/>
      <c r="AI130" s="81"/>
      <c r="AJ130" s="81"/>
      <c r="AK130" s="92"/>
      <c r="AL130" s="81" t="s">
        <v>70</v>
      </c>
      <c r="AM130" s="81"/>
      <c r="AN130" s="81"/>
      <c r="AO130" s="81"/>
      <c r="AP130" s="81"/>
      <c r="AQ130" s="81"/>
      <c r="AR130" s="81"/>
      <c r="AS130" s="81"/>
      <c r="AT130" s="81"/>
      <c r="AU130" s="81"/>
    </row>
    <row r="131" spans="1:84" ht="25.5" customHeight="1" x14ac:dyDescent="0.4">
      <c r="N131" s="82"/>
      <c r="O131" s="82"/>
      <c r="P131" s="82"/>
      <c r="Q131" s="82"/>
      <c r="R131" s="82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</row>
    <row r="132" spans="1:84" s="100" customFormat="1" ht="40.5" customHeight="1" x14ac:dyDescent="0.4">
      <c r="A132" s="93"/>
      <c r="B132" s="93"/>
      <c r="C132" s="152" t="s">
        <v>71</v>
      </c>
      <c r="D132" s="154"/>
      <c r="E132" s="94"/>
      <c r="F132" s="93"/>
      <c r="G132" s="93"/>
      <c r="H132" s="93"/>
      <c r="I132" s="94"/>
      <c r="J132" s="93"/>
      <c r="K132" s="93"/>
      <c r="L132" s="152" t="s">
        <v>72</v>
      </c>
      <c r="M132" s="154"/>
      <c r="N132" s="155" t="s">
        <v>73</v>
      </c>
      <c r="O132" s="156"/>
      <c r="P132" s="93"/>
      <c r="Q132" s="93"/>
      <c r="R132" s="94"/>
      <c r="S132" s="94"/>
      <c r="T132" s="157" t="s">
        <v>74</v>
      </c>
      <c r="U132" s="158"/>
      <c r="V132" s="158"/>
      <c r="W132" s="158"/>
      <c r="X132" s="159"/>
      <c r="Y132" s="93"/>
      <c r="Z132" s="95"/>
      <c r="AA132" s="160" t="s">
        <v>75</v>
      </c>
      <c r="AB132" s="161"/>
      <c r="AC132" s="162"/>
      <c r="AD132" s="152" t="s">
        <v>76</v>
      </c>
      <c r="AE132" s="154"/>
      <c r="AF132" s="93"/>
      <c r="AG132" s="96" t="s">
        <v>77</v>
      </c>
      <c r="AH132" s="93"/>
      <c r="AI132" s="152" t="s">
        <v>54</v>
      </c>
      <c r="AJ132" s="153"/>
      <c r="AK132" s="153"/>
      <c r="AL132" s="153"/>
      <c r="AM132" s="154"/>
      <c r="AN132" s="144"/>
      <c r="AO132" s="93"/>
      <c r="AP132" s="97"/>
      <c r="AQ132" s="98"/>
      <c r="AR132" s="98"/>
      <c r="AS132" s="98"/>
      <c r="AT132" s="99"/>
      <c r="AU132" s="99"/>
      <c r="CF132" s="81"/>
    </row>
    <row r="133" spans="1:84" s="100" customFormat="1" ht="84" customHeight="1" x14ac:dyDescent="0.3">
      <c r="A133" s="101" t="s">
        <v>1</v>
      </c>
      <c r="B133" s="101" t="s">
        <v>78</v>
      </c>
      <c r="C133" s="102" t="s">
        <v>79</v>
      </c>
      <c r="D133" s="102" t="s">
        <v>1</v>
      </c>
      <c r="E133" s="103" t="s">
        <v>80</v>
      </c>
      <c r="F133" s="101" t="s">
        <v>81</v>
      </c>
      <c r="G133" s="101" t="s">
        <v>82</v>
      </c>
      <c r="H133" s="101" t="s">
        <v>83</v>
      </c>
      <c r="I133" s="103" t="s">
        <v>84</v>
      </c>
      <c r="J133" s="101" t="s">
        <v>85</v>
      </c>
      <c r="K133" s="101" t="s">
        <v>86</v>
      </c>
      <c r="L133" s="102" t="s">
        <v>87</v>
      </c>
      <c r="M133" s="102" t="s">
        <v>88</v>
      </c>
      <c r="N133" s="104" t="s">
        <v>89</v>
      </c>
      <c r="O133" s="104" t="s">
        <v>90</v>
      </c>
      <c r="P133" s="101" t="s">
        <v>91</v>
      </c>
      <c r="Q133" s="101" t="s">
        <v>92</v>
      </c>
      <c r="R133" s="103" t="s">
        <v>93</v>
      </c>
      <c r="S133" s="103" t="s">
        <v>94</v>
      </c>
      <c r="T133" s="105" t="s">
        <v>95</v>
      </c>
      <c r="U133" s="105" t="s">
        <v>96</v>
      </c>
      <c r="V133" s="105" t="s">
        <v>97</v>
      </c>
      <c r="W133" s="105" t="s">
        <v>98</v>
      </c>
      <c r="X133" s="105" t="s">
        <v>99</v>
      </c>
      <c r="Y133" s="101" t="s">
        <v>100</v>
      </c>
      <c r="Z133" s="101" t="s">
        <v>101</v>
      </c>
      <c r="AA133" s="102">
        <v>1</v>
      </c>
      <c r="AB133" s="102">
        <v>2</v>
      </c>
      <c r="AC133" s="102">
        <v>3</v>
      </c>
      <c r="AD133" s="106" t="s">
        <v>102</v>
      </c>
      <c r="AE133" s="106" t="s">
        <v>103</v>
      </c>
      <c r="AF133" s="107" t="s">
        <v>104</v>
      </c>
      <c r="AG133" s="107" t="s">
        <v>105</v>
      </c>
      <c r="AH133" s="107" t="s">
        <v>44</v>
      </c>
      <c r="AI133" s="102" t="s">
        <v>33</v>
      </c>
      <c r="AJ133" s="102" t="s">
        <v>41</v>
      </c>
      <c r="AK133" s="102" t="s">
        <v>37</v>
      </c>
      <c r="AL133" s="102" t="s">
        <v>31</v>
      </c>
      <c r="AM133" s="102" t="s">
        <v>43</v>
      </c>
      <c r="AN133" s="101" t="s">
        <v>106</v>
      </c>
      <c r="AO133" s="101" t="s">
        <v>107</v>
      </c>
      <c r="AP133" s="108" t="s">
        <v>108</v>
      </c>
      <c r="AQ133" s="99"/>
      <c r="AR133" s="99"/>
      <c r="AS133" s="99"/>
      <c r="AT133" s="99"/>
      <c r="AU133" s="99"/>
    </row>
    <row r="134" spans="1:84" s="121" customFormat="1" ht="111.95" hidden="1" customHeight="1" x14ac:dyDescent="0.25">
      <c r="A134" s="109">
        <v>1</v>
      </c>
      <c r="B134" s="109" t="s">
        <v>109</v>
      </c>
      <c r="C134" s="109" t="s">
        <v>1197</v>
      </c>
      <c r="D134" s="109">
        <v>1</v>
      </c>
      <c r="E134" s="109" t="s">
        <v>118</v>
      </c>
      <c r="F134" s="111" t="s">
        <v>110</v>
      </c>
      <c r="G134" s="112" t="s">
        <v>119</v>
      </c>
      <c r="H134" s="112" t="s">
        <v>120</v>
      </c>
      <c r="I134" s="113" t="s">
        <v>112</v>
      </c>
      <c r="J134" s="112" t="s">
        <v>113</v>
      </c>
      <c r="K134" s="112" t="s">
        <v>114</v>
      </c>
      <c r="L134" s="114">
        <v>298000000</v>
      </c>
      <c r="M134" s="114" t="s">
        <v>121</v>
      </c>
      <c r="N134" s="115">
        <v>44774</v>
      </c>
      <c r="O134" s="115">
        <v>45138</v>
      </c>
      <c r="P134" s="116">
        <f t="shared" ref="P134:P166" si="37">(O134-N134)/365</f>
        <v>0.99726027397260275</v>
      </c>
      <c r="Q134" s="110" t="s">
        <v>28</v>
      </c>
      <c r="R134" s="110">
        <f t="shared" ref="R134:R141" ca="1" si="38">(O134-NOW()+1)/31</f>
        <v>7.5904350694444505</v>
      </c>
      <c r="S134" s="110" t="str">
        <f t="shared" ref="S134:S166" ca="1" si="39">IF(R134="End","Z",IF(R134="Cancel","C",IF(SUM(R134)&gt;0,"O",IF(ISBLANK(R134),"X",IF(SUM(R134)&lt;0,"Y",IF(SUM(R134),"-","O"))))))</f>
        <v>O</v>
      </c>
      <c r="T134" s="117">
        <v>1</v>
      </c>
      <c r="U134" s="117">
        <v>3</v>
      </c>
      <c r="V134" s="117">
        <v>1</v>
      </c>
      <c r="W134" s="117">
        <f t="shared" ref="W134:W166" si="40">T134+U134+V134</f>
        <v>5</v>
      </c>
      <c r="X134" s="117" t="str">
        <f t="shared" ref="X134:X166" si="41">IF(W134&gt;5,"Penting",IF(ISBLANK(W134),"","Biasa"))</f>
        <v>Biasa</v>
      </c>
      <c r="Y134" s="111"/>
      <c r="Z134" s="122"/>
      <c r="AA134" s="115"/>
      <c r="AB134" s="115"/>
      <c r="AC134" s="115"/>
      <c r="AD134" s="25" t="s">
        <v>122</v>
      </c>
      <c r="AE134" s="118">
        <v>44407</v>
      </c>
      <c r="AF134" s="110" t="s">
        <v>116</v>
      </c>
      <c r="AG134" s="110" t="s">
        <v>117</v>
      </c>
      <c r="AH134" s="25"/>
      <c r="AI134" s="25"/>
      <c r="AJ134" s="25"/>
      <c r="AK134" s="25"/>
      <c r="AL134" s="25"/>
      <c r="AM134" s="25"/>
      <c r="AN134" s="33" t="s">
        <v>123</v>
      </c>
      <c r="AO134" s="119">
        <v>44720</v>
      </c>
      <c r="AP134" s="120"/>
      <c r="AQ134" s="4"/>
      <c r="AR134" s="4"/>
      <c r="AS134" s="4"/>
      <c r="AT134" s="4"/>
      <c r="AU134" s="4"/>
    </row>
    <row r="135" spans="1:84" s="121" customFormat="1" ht="111.95" hidden="1" customHeight="1" x14ac:dyDescent="0.25">
      <c r="A135" s="109">
        <v>2</v>
      </c>
      <c r="B135" s="109" t="s">
        <v>109</v>
      </c>
      <c r="C135" s="109" t="s">
        <v>1197</v>
      </c>
      <c r="D135" s="109">
        <v>2</v>
      </c>
      <c r="E135" s="109" t="s">
        <v>118</v>
      </c>
      <c r="F135" s="111" t="s">
        <v>110</v>
      </c>
      <c r="G135" s="112" t="s">
        <v>125</v>
      </c>
      <c r="H135" s="112" t="s">
        <v>126</v>
      </c>
      <c r="I135" s="113" t="s">
        <v>112</v>
      </c>
      <c r="J135" s="112" t="s">
        <v>127</v>
      </c>
      <c r="K135" s="112" t="s">
        <v>128</v>
      </c>
      <c r="L135" s="114">
        <v>268000000</v>
      </c>
      <c r="M135" s="114" t="s">
        <v>121</v>
      </c>
      <c r="N135" s="115">
        <v>44682</v>
      </c>
      <c r="O135" s="115">
        <v>45046</v>
      </c>
      <c r="P135" s="116">
        <f t="shared" si="37"/>
        <v>0.99726027397260275</v>
      </c>
      <c r="Q135" s="110" t="s">
        <v>28</v>
      </c>
      <c r="R135" s="110">
        <f t="shared" ca="1" si="38"/>
        <v>4.6226931339605795</v>
      </c>
      <c r="S135" s="110" t="str">
        <f t="shared" ca="1" si="39"/>
        <v>O</v>
      </c>
      <c r="T135" s="117">
        <v>1</v>
      </c>
      <c r="U135" s="117">
        <v>3</v>
      </c>
      <c r="V135" s="117">
        <v>1</v>
      </c>
      <c r="W135" s="117">
        <f t="shared" si="40"/>
        <v>5</v>
      </c>
      <c r="X135" s="117" t="str">
        <f t="shared" si="41"/>
        <v>Biasa</v>
      </c>
      <c r="Y135" s="111"/>
      <c r="Z135" s="122"/>
      <c r="AA135" s="115"/>
      <c r="AB135" s="115"/>
      <c r="AC135" s="115"/>
      <c r="AD135" s="25"/>
      <c r="AE135" s="118"/>
      <c r="AF135" s="110" t="s">
        <v>116</v>
      </c>
      <c r="AG135" s="110" t="s">
        <v>117</v>
      </c>
      <c r="AH135" s="25"/>
      <c r="AI135" s="25"/>
      <c r="AJ135" s="25"/>
      <c r="AK135" s="25"/>
      <c r="AL135" s="25"/>
      <c r="AM135" s="25"/>
      <c r="AN135" s="33" t="s">
        <v>123</v>
      </c>
      <c r="AO135" s="119">
        <v>44295</v>
      </c>
      <c r="AP135" s="120"/>
      <c r="AQ135" s="4"/>
      <c r="AR135" s="4"/>
      <c r="AS135" s="4"/>
      <c r="AT135" s="4"/>
      <c r="AU135" s="4"/>
    </row>
    <row r="136" spans="1:84" s="121" customFormat="1" ht="111.95" hidden="1" customHeight="1" x14ac:dyDescent="0.25">
      <c r="A136" s="109">
        <v>3</v>
      </c>
      <c r="B136" s="109" t="s">
        <v>109</v>
      </c>
      <c r="C136" s="109" t="s">
        <v>1197</v>
      </c>
      <c r="D136" s="109">
        <v>3</v>
      </c>
      <c r="E136" s="109" t="s">
        <v>118</v>
      </c>
      <c r="F136" s="111" t="s">
        <v>110</v>
      </c>
      <c r="G136" s="112" t="s">
        <v>129</v>
      </c>
      <c r="H136" s="112" t="s">
        <v>111</v>
      </c>
      <c r="I136" s="113" t="s">
        <v>112</v>
      </c>
      <c r="J136" s="112" t="s">
        <v>130</v>
      </c>
      <c r="K136" s="112" t="s">
        <v>114</v>
      </c>
      <c r="L136" s="114">
        <v>295000000</v>
      </c>
      <c r="M136" s="114" t="s">
        <v>121</v>
      </c>
      <c r="N136" s="115">
        <v>44652</v>
      </c>
      <c r="O136" s="115">
        <v>45016</v>
      </c>
      <c r="P136" s="116">
        <f t="shared" si="37"/>
        <v>0.99726027397260275</v>
      </c>
      <c r="Q136" s="110" t="s">
        <v>28</v>
      </c>
      <c r="R136" s="110">
        <f t="shared" ca="1" si="38"/>
        <v>3.6549511984767085</v>
      </c>
      <c r="S136" s="110" t="str">
        <f t="shared" ca="1" si="39"/>
        <v>O</v>
      </c>
      <c r="T136" s="117">
        <v>1</v>
      </c>
      <c r="U136" s="117">
        <v>3</v>
      </c>
      <c r="V136" s="117">
        <v>1</v>
      </c>
      <c r="W136" s="117">
        <f t="shared" si="40"/>
        <v>5</v>
      </c>
      <c r="X136" s="117" t="str">
        <f t="shared" si="41"/>
        <v>Biasa</v>
      </c>
      <c r="Y136" s="111"/>
      <c r="Z136" s="122"/>
      <c r="AA136" s="115"/>
      <c r="AB136" s="115"/>
      <c r="AC136" s="115"/>
      <c r="AD136" s="25"/>
      <c r="AE136" s="118"/>
      <c r="AF136" s="110" t="s">
        <v>116</v>
      </c>
      <c r="AG136" s="110" t="s">
        <v>117</v>
      </c>
      <c r="AH136" s="25"/>
      <c r="AI136" s="25"/>
      <c r="AJ136" s="25"/>
      <c r="AK136" s="25"/>
      <c r="AL136" s="25"/>
      <c r="AM136" s="25"/>
      <c r="AN136" s="33" t="s">
        <v>123</v>
      </c>
      <c r="AO136" s="119"/>
      <c r="AP136" s="120"/>
      <c r="AQ136" s="4"/>
      <c r="AR136" s="4"/>
      <c r="AS136" s="4"/>
      <c r="AT136" s="4"/>
      <c r="AU136" s="4"/>
    </row>
    <row r="137" spans="1:84" s="121" customFormat="1" ht="111.95" hidden="1" customHeight="1" x14ac:dyDescent="0.25">
      <c r="A137" s="109">
        <v>4</v>
      </c>
      <c r="B137" s="109" t="s">
        <v>109</v>
      </c>
      <c r="C137" s="109" t="s">
        <v>1197</v>
      </c>
      <c r="D137" s="109">
        <v>4</v>
      </c>
      <c r="E137" s="109" t="s">
        <v>118</v>
      </c>
      <c r="F137" s="111" t="s">
        <v>110</v>
      </c>
      <c r="G137" s="112" t="s">
        <v>133</v>
      </c>
      <c r="H137" s="112" t="s">
        <v>120</v>
      </c>
      <c r="I137" s="113" t="s">
        <v>112</v>
      </c>
      <c r="J137" s="112" t="s">
        <v>131</v>
      </c>
      <c r="K137" s="112" t="s">
        <v>114</v>
      </c>
      <c r="L137" s="114">
        <v>298000000</v>
      </c>
      <c r="M137" s="114" t="s">
        <v>121</v>
      </c>
      <c r="N137" s="115">
        <v>44774</v>
      </c>
      <c r="O137" s="115">
        <v>45138</v>
      </c>
      <c r="P137" s="116">
        <f t="shared" si="37"/>
        <v>0.99726027397260275</v>
      </c>
      <c r="Q137" s="110" t="s">
        <v>28</v>
      </c>
      <c r="R137" s="110">
        <f t="shared" ca="1" si="38"/>
        <v>7.5904350694444505</v>
      </c>
      <c r="S137" s="110" t="str">
        <f t="shared" ca="1" si="39"/>
        <v>O</v>
      </c>
      <c r="T137" s="117">
        <v>1</v>
      </c>
      <c r="U137" s="117">
        <v>3</v>
      </c>
      <c r="V137" s="117">
        <v>1</v>
      </c>
      <c r="W137" s="117">
        <f t="shared" si="40"/>
        <v>5</v>
      </c>
      <c r="X137" s="117" t="str">
        <f t="shared" si="41"/>
        <v>Biasa</v>
      </c>
      <c r="Y137" s="111"/>
      <c r="Z137" s="122"/>
      <c r="AA137" s="115"/>
      <c r="AB137" s="115"/>
      <c r="AC137" s="115"/>
      <c r="AD137" s="25" t="s">
        <v>122</v>
      </c>
      <c r="AE137" s="118">
        <v>44407</v>
      </c>
      <c r="AF137" s="110" t="s">
        <v>116</v>
      </c>
      <c r="AG137" s="110" t="s">
        <v>117</v>
      </c>
      <c r="AH137" s="25"/>
      <c r="AI137" s="25"/>
      <c r="AJ137" s="25"/>
      <c r="AK137" s="25"/>
      <c r="AL137" s="25"/>
      <c r="AM137" s="25"/>
      <c r="AN137" s="33" t="s">
        <v>123</v>
      </c>
      <c r="AO137" s="119">
        <v>44720</v>
      </c>
      <c r="AP137" s="120"/>
      <c r="AQ137" s="4"/>
      <c r="AR137" s="4"/>
      <c r="AS137" s="4"/>
      <c r="AT137" s="4"/>
      <c r="AU137" s="4"/>
    </row>
    <row r="138" spans="1:84" s="121" customFormat="1" ht="111.95" hidden="1" customHeight="1" x14ac:dyDescent="0.25">
      <c r="A138" s="109">
        <v>5</v>
      </c>
      <c r="B138" s="109" t="s">
        <v>109</v>
      </c>
      <c r="C138" s="109" t="s">
        <v>1197</v>
      </c>
      <c r="D138" s="109">
        <v>5</v>
      </c>
      <c r="E138" s="109" t="s">
        <v>118</v>
      </c>
      <c r="F138" s="111" t="s">
        <v>110</v>
      </c>
      <c r="G138" s="112" t="s">
        <v>134</v>
      </c>
      <c r="H138" s="112" t="s">
        <v>126</v>
      </c>
      <c r="I138" s="113" t="s">
        <v>112</v>
      </c>
      <c r="J138" s="112" t="s">
        <v>135</v>
      </c>
      <c r="K138" s="112" t="s">
        <v>128</v>
      </c>
      <c r="L138" s="114">
        <v>265000000</v>
      </c>
      <c r="M138" s="114" t="s">
        <v>121</v>
      </c>
      <c r="N138" s="115">
        <v>44866</v>
      </c>
      <c r="O138" s="115">
        <v>45230</v>
      </c>
      <c r="P138" s="116">
        <f t="shared" si="37"/>
        <v>0.99726027397260275</v>
      </c>
      <c r="Q138" s="110" t="s">
        <v>28</v>
      </c>
      <c r="R138" s="110">
        <f t="shared" ca="1" si="38"/>
        <v>10.558177004928321</v>
      </c>
      <c r="S138" s="110" t="str">
        <f t="shared" ca="1" si="39"/>
        <v>O</v>
      </c>
      <c r="T138" s="117">
        <v>1</v>
      </c>
      <c r="U138" s="117">
        <v>3</v>
      </c>
      <c r="V138" s="117">
        <v>1</v>
      </c>
      <c r="W138" s="117">
        <f t="shared" si="40"/>
        <v>5</v>
      </c>
      <c r="X138" s="117" t="str">
        <f t="shared" si="41"/>
        <v>Biasa</v>
      </c>
      <c r="Y138" s="111"/>
      <c r="Z138" s="122"/>
      <c r="AA138" s="115"/>
      <c r="AB138" s="115"/>
      <c r="AC138" s="115"/>
      <c r="AD138" s="25"/>
      <c r="AE138" s="118"/>
      <c r="AF138" s="110" t="s">
        <v>116</v>
      </c>
      <c r="AG138" s="110" t="s">
        <v>117</v>
      </c>
      <c r="AH138" s="25"/>
      <c r="AI138" s="25"/>
      <c r="AJ138" s="25"/>
      <c r="AK138" s="25"/>
      <c r="AL138" s="25"/>
      <c r="AM138" s="25"/>
      <c r="AN138" s="33" t="s">
        <v>136</v>
      </c>
      <c r="AO138" s="119">
        <v>44824</v>
      </c>
      <c r="AP138" s="120"/>
      <c r="AQ138" s="4"/>
      <c r="AR138" s="4"/>
      <c r="AS138" s="4"/>
      <c r="AT138" s="4"/>
      <c r="AU138" s="4"/>
    </row>
    <row r="139" spans="1:84" s="121" customFormat="1" ht="111.95" hidden="1" customHeight="1" x14ac:dyDescent="0.25">
      <c r="A139" s="109">
        <v>6</v>
      </c>
      <c r="B139" s="109" t="s">
        <v>109</v>
      </c>
      <c r="C139" s="109" t="s">
        <v>1198</v>
      </c>
      <c r="D139" s="109">
        <v>1</v>
      </c>
      <c r="E139" s="109" t="s">
        <v>118</v>
      </c>
      <c r="F139" s="111" t="s">
        <v>110</v>
      </c>
      <c r="G139" s="112" t="s">
        <v>142</v>
      </c>
      <c r="H139" s="112" t="s">
        <v>143</v>
      </c>
      <c r="I139" s="113" t="s">
        <v>112</v>
      </c>
      <c r="J139" s="112" t="s">
        <v>144</v>
      </c>
      <c r="K139" s="112"/>
      <c r="L139" s="114">
        <v>342000000</v>
      </c>
      <c r="M139" s="114" t="s">
        <v>121</v>
      </c>
      <c r="N139" s="115">
        <v>44575</v>
      </c>
      <c r="O139" s="115">
        <v>44939</v>
      </c>
      <c r="P139" s="116">
        <f t="shared" si="37"/>
        <v>0.99726027397260275</v>
      </c>
      <c r="Q139" s="110" t="s">
        <v>28</v>
      </c>
      <c r="R139" s="110">
        <f t="shared" ca="1" si="38"/>
        <v>1.171080230734773</v>
      </c>
      <c r="S139" s="110" t="str">
        <f t="shared" ca="1" si="39"/>
        <v>O</v>
      </c>
      <c r="T139" s="117">
        <v>1</v>
      </c>
      <c r="U139" s="117">
        <v>3</v>
      </c>
      <c r="V139" s="117">
        <v>1</v>
      </c>
      <c r="W139" s="117">
        <f t="shared" si="40"/>
        <v>5</v>
      </c>
      <c r="X139" s="117" t="str">
        <f t="shared" si="41"/>
        <v>Biasa</v>
      </c>
      <c r="Y139" s="111"/>
      <c r="Z139" s="122"/>
      <c r="AA139" s="115"/>
      <c r="AB139" s="115"/>
      <c r="AC139" s="115"/>
      <c r="AD139" s="25" t="s">
        <v>122</v>
      </c>
      <c r="AE139" s="118">
        <v>44197</v>
      </c>
      <c r="AF139" s="110" t="s">
        <v>116</v>
      </c>
      <c r="AG139" s="110" t="s">
        <v>117</v>
      </c>
      <c r="AH139" s="25"/>
      <c r="AI139" s="25"/>
      <c r="AJ139" s="25"/>
      <c r="AK139" s="25"/>
      <c r="AL139" s="25"/>
      <c r="AM139" s="25"/>
      <c r="AN139" s="33" t="s">
        <v>123</v>
      </c>
      <c r="AO139" s="119">
        <v>44560</v>
      </c>
      <c r="AP139" s="120"/>
      <c r="AQ139" s="4"/>
      <c r="AR139" s="4"/>
      <c r="AS139" s="4"/>
      <c r="AT139" s="4"/>
      <c r="AU139" s="4"/>
    </row>
    <row r="140" spans="1:84" s="121" customFormat="1" ht="111.95" hidden="1" customHeight="1" x14ac:dyDescent="0.25">
      <c r="A140" s="109">
        <v>7</v>
      </c>
      <c r="B140" s="109" t="s">
        <v>109</v>
      </c>
      <c r="C140" s="109" t="s">
        <v>1198</v>
      </c>
      <c r="D140" s="109">
        <v>2</v>
      </c>
      <c r="E140" s="109" t="s">
        <v>118</v>
      </c>
      <c r="F140" s="111" t="s">
        <v>110</v>
      </c>
      <c r="G140" s="112" t="s">
        <v>140</v>
      </c>
      <c r="H140" s="112" t="s">
        <v>120</v>
      </c>
      <c r="I140" s="113" t="s">
        <v>112</v>
      </c>
      <c r="J140" s="112" t="s">
        <v>141</v>
      </c>
      <c r="K140" s="112" t="s">
        <v>114</v>
      </c>
      <c r="L140" s="114">
        <v>295000000</v>
      </c>
      <c r="M140" s="114" t="s">
        <v>121</v>
      </c>
      <c r="N140" s="115">
        <v>44596</v>
      </c>
      <c r="O140" s="115">
        <v>44960</v>
      </c>
      <c r="P140" s="116">
        <f t="shared" si="37"/>
        <v>0.99726027397260275</v>
      </c>
      <c r="Q140" s="110" t="s">
        <v>28</v>
      </c>
      <c r="R140" s="110">
        <f t="shared" ca="1" si="38"/>
        <v>1.8484995855734827</v>
      </c>
      <c r="S140" s="110" t="str">
        <f t="shared" ca="1" si="39"/>
        <v>O</v>
      </c>
      <c r="T140" s="117">
        <v>1</v>
      </c>
      <c r="U140" s="117">
        <v>3</v>
      </c>
      <c r="V140" s="117">
        <v>1</v>
      </c>
      <c r="W140" s="117">
        <f t="shared" si="40"/>
        <v>5</v>
      </c>
      <c r="X140" s="117" t="str">
        <f t="shared" si="41"/>
        <v>Biasa</v>
      </c>
      <c r="Y140" s="111"/>
      <c r="Z140" s="122"/>
      <c r="AA140" s="115"/>
      <c r="AB140" s="115"/>
      <c r="AC140" s="115"/>
      <c r="AD140" s="25" t="s">
        <v>122</v>
      </c>
      <c r="AE140" s="118">
        <v>43850</v>
      </c>
      <c r="AF140" s="110" t="s">
        <v>116</v>
      </c>
      <c r="AG140" s="110" t="s">
        <v>117</v>
      </c>
      <c r="AH140" s="25"/>
      <c r="AI140" s="25"/>
      <c r="AJ140" s="25"/>
      <c r="AK140" s="25"/>
      <c r="AL140" s="25"/>
      <c r="AM140" s="25"/>
      <c r="AN140" s="33" t="s">
        <v>123</v>
      </c>
      <c r="AO140" s="119"/>
      <c r="AP140" s="120"/>
      <c r="AQ140" s="4"/>
      <c r="AR140" s="4"/>
      <c r="AS140" s="4"/>
      <c r="AT140" s="4"/>
      <c r="AU140" s="4"/>
    </row>
    <row r="141" spans="1:84" s="121" customFormat="1" ht="111.95" hidden="1" customHeight="1" x14ac:dyDescent="0.25">
      <c r="A141" s="109">
        <v>8</v>
      </c>
      <c r="B141" s="109" t="s">
        <v>109</v>
      </c>
      <c r="C141" s="109" t="s">
        <v>1198</v>
      </c>
      <c r="D141" s="109">
        <v>3</v>
      </c>
      <c r="E141" s="109" t="s">
        <v>118</v>
      </c>
      <c r="F141" s="111" t="s">
        <v>110</v>
      </c>
      <c r="G141" s="112" t="s">
        <v>145</v>
      </c>
      <c r="H141" s="112" t="s">
        <v>146</v>
      </c>
      <c r="I141" s="113" t="s">
        <v>112</v>
      </c>
      <c r="J141" s="112" t="s">
        <v>124</v>
      </c>
      <c r="K141" s="112" t="s">
        <v>114</v>
      </c>
      <c r="L141" s="114">
        <v>298000000</v>
      </c>
      <c r="M141" s="114" t="s">
        <v>121</v>
      </c>
      <c r="N141" s="115">
        <v>44662</v>
      </c>
      <c r="O141" s="115">
        <v>45026</v>
      </c>
      <c r="P141" s="116">
        <f t="shared" si="37"/>
        <v>0.99726027397260275</v>
      </c>
      <c r="Q141" s="110" t="s">
        <v>28</v>
      </c>
      <c r="R141" s="110">
        <f t="shared" ca="1" si="38"/>
        <v>3.9775318436379989</v>
      </c>
      <c r="S141" s="110" t="str">
        <f t="shared" ca="1" si="39"/>
        <v>O</v>
      </c>
      <c r="T141" s="117">
        <v>1</v>
      </c>
      <c r="U141" s="117">
        <v>3</v>
      </c>
      <c r="V141" s="117">
        <v>1</v>
      </c>
      <c r="W141" s="117">
        <f t="shared" si="40"/>
        <v>5</v>
      </c>
      <c r="X141" s="117" t="str">
        <f t="shared" si="41"/>
        <v>Biasa</v>
      </c>
      <c r="Y141" s="111"/>
      <c r="Z141" s="122"/>
      <c r="AA141" s="115"/>
      <c r="AB141" s="115"/>
      <c r="AC141" s="115"/>
      <c r="AD141" s="25" t="s">
        <v>122</v>
      </c>
      <c r="AE141" s="118">
        <v>44662</v>
      </c>
      <c r="AF141" s="110" t="s">
        <v>116</v>
      </c>
      <c r="AG141" s="110" t="s">
        <v>117</v>
      </c>
      <c r="AH141" s="25"/>
      <c r="AI141" s="25"/>
      <c r="AJ141" s="25"/>
      <c r="AK141" s="25"/>
      <c r="AL141" s="25"/>
      <c r="AM141" s="25"/>
      <c r="AN141" s="33" t="s">
        <v>123</v>
      </c>
      <c r="AO141" s="119">
        <v>44658</v>
      </c>
      <c r="AP141" s="120"/>
      <c r="AQ141" s="4"/>
      <c r="AR141" s="4"/>
      <c r="AS141" s="4"/>
      <c r="AT141" s="4"/>
      <c r="AU141" s="4"/>
    </row>
    <row r="142" spans="1:84" s="121" customFormat="1" ht="111.95" hidden="1" customHeight="1" x14ac:dyDescent="0.25">
      <c r="A142" s="109">
        <v>9</v>
      </c>
      <c r="B142" s="109" t="s">
        <v>109</v>
      </c>
      <c r="C142" s="109" t="s">
        <v>1198</v>
      </c>
      <c r="D142" s="109">
        <v>4</v>
      </c>
      <c r="E142" s="109" t="s">
        <v>118</v>
      </c>
      <c r="F142" s="111" t="s">
        <v>110</v>
      </c>
      <c r="G142" s="112" t="s">
        <v>137</v>
      </c>
      <c r="H142" s="112" t="s">
        <v>126</v>
      </c>
      <c r="I142" s="113" t="s">
        <v>112</v>
      </c>
      <c r="J142" s="112" t="s">
        <v>138</v>
      </c>
      <c r="K142" s="112" t="s">
        <v>128</v>
      </c>
      <c r="L142" s="114">
        <v>91000000</v>
      </c>
      <c r="M142" s="114" t="s">
        <v>139</v>
      </c>
      <c r="N142" s="115">
        <v>44701</v>
      </c>
      <c r="O142" s="115">
        <v>44823</v>
      </c>
      <c r="P142" s="116">
        <f t="shared" si="37"/>
        <v>0.33424657534246577</v>
      </c>
      <c r="Q142" s="110" t="s">
        <v>28</v>
      </c>
      <c r="R142" s="110" t="s">
        <v>115</v>
      </c>
      <c r="S142" s="110" t="str">
        <f t="shared" si="39"/>
        <v>Z</v>
      </c>
      <c r="T142" s="117">
        <v>1</v>
      </c>
      <c r="U142" s="117">
        <v>3</v>
      </c>
      <c r="V142" s="117">
        <v>1</v>
      </c>
      <c r="W142" s="117">
        <f t="shared" si="40"/>
        <v>5</v>
      </c>
      <c r="X142" s="117" t="str">
        <f t="shared" si="41"/>
        <v>Biasa</v>
      </c>
      <c r="Y142" s="111"/>
      <c r="Z142" s="122"/>
      <c r="AA142" s="115"/>
      <c r="AB142" s="115"/>
      <c r="AC142" s="115"/>
      <c r="AD142" s="25" t="s">
        <v>15</v>
      </c>
      <c r="AE142" s="118">
        <v>44805</v>
      </c>
      <c r="AF142" s="110" t="s">
        <v>116</v>
      </c>
      <c r="AG142" s="110" t="s">
        <v>117</v>
      </c>
      <c r="AH142" s="25"/>
      <c r="AI142" s="25"/>
      <c r="AJ142" s="25"/>
      <c r="AK142" s="25"/>
      <c r="AL142" s="25"/>
      <c r="AM142" s="25"/>
      <c r="AN142" s="33" t="s">
        <v>123</v>
      </c>
      <c r="AO142" s="119"/>
      <c r="AP142" s="120"/>
      <c r="AQ142" s="4"/>
      <c r="AR142" s="4"/>
      <c r="AS142" s="4"/>
      <c r="AT142" s="4"/>
      <c r="AU142" s="4"/>
    </row>
    <row r="143" spans="1:84" s="121" customFormat="1" ht="111.95" hidden="1" customHeight="1" x14ac:dyDescent="0.25">
      <c r="A143" s="109">
        <v>10</v>
      </c>
      <c r="B143" s="109" t="s">
        <v>109</v>
      </c>
      <c r="C143" s="109" t="s">
        <v>1198</v>
      </c>
      <c r="D143" s="109">
        <v>5</v>
      </c>
      <c r="E143" s="109" t="s">
        <v>118</v>
      </c>
      <c r="F143" s="111" t="s">
        <v>147</v>
      </c>
      <c r="G143" s="112" t="s">
        <v>148</v>
      </c>
      <c r="H143" s="112" t="s">
        <v>149</v>
      </c>
      <c r="I143" s="113" t="s">
        <v>150</v>
      </c>
      <c r="J143" s="112" t="s">
        <v>151</v>
      </c>
      <c r="K143" s="112" t="s">
        <v>152</v>
      </c>
      <c r="L143" s="114">
        <v>4425000</v>
      </c>
      <c r="M143" s="114" t="s">
        <v>153</v>
      </c>
      <c r="N143" s="115">
        <v>44621</v>
      </c>
      <c r="O143" s="115">
        <v>45716</v>
      </c>
      <c r="P143" s="116">
        <f t="shared" si="37"/>
        <v>3</v>
      </c>
      <c r="Q143" s="110" t="s">
        <v>28</v>
      </c>
      <c r="R143" s="110">
        <f t="shared" ref="R143:R157" ca="1" si="42">(O143-NOW()+1)/31</f>
        <v>26.23559635976703</v>
      </c>
      <c r="S143" s="110" t="str">
        <f t="shared" ca="1" si="39"/>
        <v>O</v>
      </c>
      <c r="T143" s="117">
        <v>1</v>
      </c>
      <c r="U143" s="117">
        <v>1</v>
      </c>
      <c r="V143" s="117">
        <v>1</v>
      </c>
      <c r="W143" s="117">
        <f t="shared" si="40"/>
        <v>3</v>
      </c>
      <c r="X143" s="117" t="str">
        <f t="shared" si="41"/>
        <v>Biasa</v>
      </c>
      <c r="Y143" s="111"/>
      <c r="Z143" s="122" t="s">
        <v>117</v>
      </c>
      <c r="AA143" s="115">
        <f t="shared" ref="AA143:AA157" si="43">N143+270</f>
        <v>44891</v>
      </c>
      <c r="AB143" s="115">
        <f t="shared" ref="AB143:AB156" si="44">+N143+635</f>
        <v>45256</v>
      </c>
      <c r="AC143" s="115"/>
      <c r="AD143" s="25" t="s">
        <v>154</v>
      </c>
      <c r="AE143" s="118">
        <v>43525</v>
      </c>
      <c r="AF143" s="110" t="s">
        <v>116</v>
      </c>
      <c r="AG143" s="110" t="s">
        <v>117</v>
      </c>
      <c r="AH143" s="25"/>
      <c r="AI143" s="25"/>
      <c r="AJ143" s="25"/>
      <c r="AK143" s="25"/>
      <c r="AL143" s="25"/>
      <c r="AM143" s="25"/>
      <c r="AN143" s="33" t="s">
        <v>123</v>
      </c>
      <c r="AO143" s="119">
        <v>44617</v>
      </c>
      <c r="AP143" s="120"/>
      <c r="AQ143" s="4"/>
      <c r="AR143" s="4"/>
      <c r="AS143" s="4"/>
      <c r="AT143" s="4"/>
      <c r="AU143" s="4"/>
    </row>
    <row r="144" spans="1:84" s="121" customFormat="1" ht="111.95" hidden="1" customHeight="1" x14ac:dyDescent="0.25">
      <c r="A144" s="109">
        <v>11</v>
      </c>
      <c r="B144" s="109" t="s">
        <v>109</v>
      </c>
      <c r="C144" s="109" t="s">
        <v>1199</v>
      </c>
      <c r="D144" s="109">
        <v>1</v>
      </c>
      <c r="E144" s="109" t="s">
        <v>118</v>
      </c>
      <c r="F144" s="111" t="s">
        <v>155</v>
      </c>
      <c r="G144" s="112" t="s">
        <v>156</v>
      </c>
      <c r="H144" s="112" t="s">
        <v>149</v>
      </c>
      <c r="I144" s="113" t="s">
        <v>150</v>
      </c>
      <c r="J144" s="112" t="s">
        <v>157</v>
      </c>
      <c r="K144" s="112" t="s">
        <v>152</v>
      </c>
      <c r="L144" s="114">
        <v>6800000</v>
      </c>
      <c r="M144" s="114" t="s">
        <v>132</v>
      </c>
      <c r="N144" s="115">
        <v>44166</v>
      </c>
      <c r="O144" s="115">
        <v>45260</v>
      </c>
      <c r="P144" s="116">
        <f t="shared" si="37"/>
        <v>2.9972602739726026</v>
      </c>
      <c r="Q144" s="110" t="s">
        <v>28</v>
      </c>
      <c r="R144" s="110">
        <f t="shared" ca="1" si="42"/>
        <v>11.525918940412192</v>
      </c>
      <c r="S144" s="110" t="str">
        <f t="shared" ca="1" si="39"/>
        <v>O</v>
      </c>
      <c r="T144" s="117">
        <v>1</v>
      </c>
      <c r="U144" s="117">
        <v>2</v>
      </c>
      <c r="V144" s="117">
        <v>1</v>
      </c>
      <c r="W144" s="117">
        <f t="shared" si="40"/>
        <v>4</v>
      </c>
      <c r="X144" s="117" t="str">
        <f t="shared" si="41"/>
        <v>Biasa</v>
      </c>
      <c r="Y144" s="111"/>
      <c r="Z144" s="122" t="s">
        <v>117</v>
      </c>
      <c r="AA144" s="115">
        <f t="shared" si="43"/>
        <v>44436</v>
      </c>
      <c r="AB144" s="115">
        <f t="shared" si="44"/>
        <v>44801</v>
      </c>
      <c r="AC144" s="115"/>
      <c r="AD144" s="25"/>
      <c r="AE144" s="118"/>
      <c r="AF144" s="110" t="s">
        <v>116</v>
      </c>
      <c r="AG144" s="110" t="s">
        <v>117</v>
      </c>
      <c r="AH144" s="25"/>
      <c r="AI144" s="25"/>
      <c r="AJ144" s="25"/>
      <c r="AK144" s="25"/>
      <c r="AL144" s="25"/>
      <c r="AM144" s="25"/>
      <c r="AN144" s="33" t="s">
        <v>123</v>
      </c>
      <c r="AO144" s="119">
        <v>44154</v>
      </c>
      <c r="AP144" s="120"/>
      <c r="AQ144" s="4"/>
      <c r="AR144" s="4"/>
      <c r="AS144" s="4"/>
      <c r="AT144" s="4"/>
      <c r="AU144" s="4"/>
    </row>
    <row r="145" spans="1:47" s="121" customFormat="1" ht="111.95" hidden="1" customHeight="1" x14ac:dyDescent="0.25">
      <c r="A145" s="109">
        <v>12</v>
      </c>
      <c r="B145" s="109" t="s">
        <v>109</v>
      </c>
      <c r="C145" s="109" t="s">
        <v>1199</v>
      </c>
      <c r="D145" s="109">
        <v>2</v>
      </c>
      <c r="E145" s="109" t="s">
        <v>118</v>
      </c>
      <c r="F145" s="111" t="s">
        <v>162</v>
      </c>
      <c r="G145" s="112" t="s">
        <v>163</v>
      </c>
      <c r="H145" s="112" t="s">
        <v>149</v>
      </c>
      <c r="I145" s="113" t="s">
        <v>150</v>
      </c>
      <c r="J145" s="112" t="s">
        <v>164</v>
      </c>
      <c r="K145" s="112" t="s">
        <v>152</v>
      </c>
      <c r="L145" s="114">
        <v>5225000</v>
      </c>
      <c r="M145" s="114" t="s">
        <v>132</v>
      </c>
      <c r="N145" s="115">
        <v>44624</v>
      </c>
      <c r="O145" s="115">
        <v>45719</v>
      </c>
      <c r="P145" s="116">
        <f t="shared" si="37"/>
        <v>3</v>
      </c>
      <c r="Q145" s="110" t="s">
        <v>28</v>
      </c>
      <c r="R145" s="110">
        <f t="shared" ca="1" si="42"/>
        <v>26.332370553315418</v>
      </c>
      <c r="S145" s="110" t="str">
        <f t="shared" ca="1" si="39"/>
        <v>O</v>
      </c>
      <c r="T145" s="117">
        <v>1</v>
      </c>
      <c r="U145" s="117">
        <v>1</v>
      </c>
      <c r="V145" s="117">
        <v>1</v>
      </c>
      <c r="W145" s="117">
        <f t="shared" si="40"/>
        <v>3</v>
      </c>
      <c r="X145" s="117" t="str">
        <f t="shared" si="41"/>
        <v>Biasa</v>
      </c>
      <c r="Y145" s="111"/>
      <c r="Z145" s="122" t="s">
        <v>117</v>
      </c>
      <c r="AA145" s="115">
        <f t="shared" si="43"/>
        <v>44894</v>
      </c>
      <c r="AB145" s="115">
        <f t="shared" si="44"/>
        <v>45259</v>
      </c>
      <c r="AC145" s="115"/>
      <c r="AD145" s="25"/>
      <c r="AE145" s="118"/>
      <c r="AF145" s="110" t="s">
        <v>116</v>
      </c>
      <c r="AG145" s="110" t="s">
        <v>117</v>
      </c>
      <c r="AH145" s="25"/>
      <c r="AI145" s="25"/>
      <c r="AJ145" s="25"/>
      <c r="AK145" s="25"/>
      <c r="AL145" s="25"/>
      <c r="AM145" s="25"/>
      <c r="AN145" s="33" t="s">
        <v>123</v>
      </c>
      <c r="AO145" s="119">
        <v>44617</v>
      </c>
      <c r="AP145" s="120"/>
      <c r="AQ145" s="4"/>
      <c r="AR145" s="4"/>
      <c r="AS145" s="4"/>
      <c r="AT145" s="4"/>
      <c r="AU145" s="4"/>
    </row>
    <row r="146" spans="1:47" s="121" customFormat="1" ht="111.95" hidden="1" customHeight="1" x14ac:dyDescent="0.25">
      <c r="A146" s="109">
        <v>13</v>
      </c>
      <c r="B146" s="109" t="s">
        <v>109</v>
      </c>
      <c r="C146" s="109" t="s">
        <v>1199</v>
      </c>
      <c r="D146" s="109">
        <v>3</v>
      </c>
      <c r="E146" s="109" t="s">
        <v>118</v>
      </c>
      <c r="F146" s="111" t="s">
        <v>165</v>
      </c>
      <c r="G146" s="112" t="s">
        <v>166</v>
      </c>
      <c r="H146" s="112" t="s">
        <v>149</v>
      </c>
      <c r="I146" s="113" t="s">
        <v>150</v>
      </c>
      <c r="J146" s="112" t="s">
        <v>167</v>
      </c>
      <c r="K146" s="112" t="s">
        <v>152</v>
      </c>
      <c r="L146" s="114">
        <v>4000000</v>
      </c>
      <c r="M146" s="114" t="s">
        <v>132</v>
      </c>
      <c r="N146" s="115">
        <v>44114</v>
      </c>
      <c r="O146" s="115">
        <v>45208</v>
      </c>
      <c r="P146" s="116">
        <f t="shared" si="37"/>
        <v>2.9972602739726026</v>
      </c>
      <c r="Q146" s="110" t="s">
        <v>28</v>
      </c>
      <c r="R146" s="110">
        <f t="shared" ca="1" si="42"/>
        <v>9.8484995855734834</v>
      </c>
      <c r="S146" s="110" t="str">
        <f t="shared" ca="1" si="39"/>
        <v>O</v>
      </c>
      <c r="T146" s="117">
        <v>1</v>
      </c>
      <c r="U146" s="117">
        <v>1</v>
      </c>
      <c r="V146" s="117">
        <v>1</v>
      </c>
      <c r="W146" s="117">
        <f t="shared" si="40"/>
        <v>3</v>
      </c>
      <c r="X146" s="117" t="str">
        <f t="shared" si="41"/>
        <v>Biasa</v>
      </c>
      <c r="Y146" s="111"/>
      <c r="Z146" s="122" t="s">
        <v>117</v>
      </c>
      <c r="AA146" s="115">
        <f t="shared" si="43"/>
        <v>44384</v>
      </c>
      <c r="AB146" s="115">
        <f t="shared" si="44"/>
        <v>44749</v>
      </c>
      <c r="AC146" s="115"/>
      <c r="AD146" s="25"/>
      <c r="AE146" s="118"/>
      <c r="AF146" s="110" t="s">
        <v>116</v>
      </c>
      <c r="AG146" s="110" t="s">
        <v>117</v>
      </c>
      <c r="AH146" s="25"/>
      <c r="AI146" s="25"/>
      <c r="AJ146" s="25"/>
      <c r="AK146" s="25"/>
      <c r="AL146" s="25"/>
      <c r="AM146" s="25"/>
      <c r="AN146" s="33" t="s">
        <v>123</v>
      </c>
      <c r="AO146" s="119">
        <v>44105</v>
      </c>
      <c r="AP146" s="120"/>
      <c r="AQ146" s="4"/>
      <c r="AR146" s="4"/>
      <c r="AS146" s="4"/>
      <c r="AT146" s="4"/>
      <c r="AU146" s="4"/>
    </row>
    <row r="147" spans="1:47" s="121" customFormat="1" ht="111.95" hidden="1" customHeight="1" x14ac:dyDescent="0.25">
      <c r="A147" s="109">
        <v>14</v>
      </c>
      <c r="B147" s="109" t="s">
        <v>109</v>
      </c>
      <c r="C147" s="109" t="s">
        <v>1199</v>
      </c>
      <c r="D147" s="109">
        <v>4</v>
      </c>
      <c r="E147" s="109" t="s">
        <v>118</v>
      </c>
      <c r="F147" s="111" t="s">
        <v>169</v>
      </c>
      <c r="G147" s="112" t="s">
        <v>168</v>
      </c>
      <c r="H147" s="112" t="s">
        <v>149</v>
      </c>
      <c r="I147" s="113" t="s">
        <v>150</v>
      </c>
      <c r="J147" s="112" t="s">
        <v>170</v>
      </c>
      <c r="K147" s="112" t="s">
        <v>152</v>
      </c>
      <c r="L147" s="114">
        <v>4475000</v>
      </c>
      <c r="M147" s="114" t="s">
        <v>132</v>
      </c>
      <c r="N147" s="115">
        <v>44228</v>
      </c>
      <c r="O147" s="115">
        <v>45322</v>
      </c>
      <c r="P147" s="116">
        <f t="shared" si="37"/>
        <v>2.9972602739726026</v>
      </c>
      <c r="Q147" s="110" t="s">
        <v>28</v>
      </c>
      <c r="R147" s="110">
        <f t="shared" ca="1" si="42"/>
        <v>13.525918940412192</v>
      </c>
      <c r="S147" s="110" t="str">
        <f t="shared" ca="1" si="39"/>
        <v>O</v>
      </c>
      <c r="T147" s="117">
        <v>1</v>
      </c>
      <c r="U147" s="117">
        <v>1</v>
      </c>
      <c r="V147" s="117">
        <v>1</v>
      </c>
      <c r="W147" s="117">
        <f t="shared" si="40"/>
        <v>3</v>
      </c>
      <c r="X147" s="117" t="str">
        <f t="shared" si="41"/>
        <v>Biasa</v>
      </c>
      <c r="Y147" s="111"/>
      <c r="Z147" s="122" t="s">
        <v>117</v>
      </c>
      <c r="AA147" s="115">
        <f t="shared" si="43"/>
        <v>44498</v>
      </c>
      <c r="AB147" s="115">
        <f t="shared" si="44"/>
        <v>44863</v>
      </c>
      <c r="AC147" s="115"/>
      <c r="AD147" s="25"/>
      <c r="AE147" s="118"/>
      <c r="AF147" s="110" t="s">
        <v>116</v>
      </c>
      <c r="AG147" s="110" t="s">
        <v>117</v>
      </c>
      <c r="AH147" s="25"/>
      <c r="AI147" s="25"/>
      <c r="AJ147" s="25"/>
      <c r="AK147" s="25"/>
      <c r="AL147" s="25"/>
      <c r="AM147" s="25"/>
      <c r="AN147" s="33" t="s">
        <v>123</v>
      </c>
      <c r="AO147" s="119">
        <v>44225</v>
      </c>
      <c r="AP147" s="120"/>
      <c r="AQ147" s="4"/>
      <c r="AR147" s="4"/>
      <c r="AS147" s="4"/>
      <c r="AT147" s="4"/>
      <c r="AU147" s="4"/>
    </row>
    <row r="148" spans="1:47" s="121" customFormat="1" ht="111.75" hidden="1" customHeight="1" x14ac:dyDescent="0.25">
      <c r="A148" s="109">
        <v>15</v>
      </c>
      <c r="B148" s="109" t="s">
        <v>109</v>
      </c>
      <c r="C148" s="109" t="s">
        <v>1199</v>
      </c>
      <c r="D148" s="109">
        <v>5</v>
      </c>
      <c r="E148" s="109" t="s">
        <v>118</v>
      </c>
      <c r="F148" s="111" t="s">
        <v>171</v>
      </c>
      <c r="G148" s="112" t="s">
        <v>172</v>
      </c>
      <c r="H148" s="112" t="s">
        <v>149</v>
      </c>
      <c r="I148" s="113" t="s">
        <v>150</v>
      </c>
      <c r="J148" s="112" t="s">
        <v>173</v>
      </c>
      <c r="K148" s="112" t="s">
        <v>152</v>
      </c>
      <c r="L148" s="114">
        <v>4475000</v>
      </c>
      <c r="M148" s="114" t="s">
        <v>132</v>
      </c>
      <c r="N148" s="115">
        <v>44412</v>
      </c>
      <c r="O148" s="115">
        <v>45507</v>
      </c>
      <c r="P148" s="116">
        <f t="shared" si="37"/>
        <v>3</v>
      </c>
      <c r="Q148" s="110" t="s">
        <v>28</v>
      </c>
      <c r="R148" s="110">
        <f t="shared" ca="1" si="42"/>
        <v>19.493660875896062</v>
      </c>
      <c r="S148" s="110" t="str">
        <f t="shared" ca="1" si="39"/>
        <v>O</v>
      </c>
      <c r="T148" s="117">
        <v>1</v>
      </c>
      <c r="U148" s="117">
        <v>1</v>
      </c>
      <c r="V148" s="117">
        <v>1</v>
      </c>
      <c r="W148" s="117">
        <f t="shared" si="40"/>
        <v>3</v>
      </c>
      <c r="X148" s="117" t="str">
        <f t="shared" si="41"/>
        <v>Biasa</v>
      </c>
      <c r="Y148" s="111"/>
      <c r="Z148" s="122" t="s">
        <v>117</v>
      </c>
      <c r="AA148" s="115">
        <f t="shared" si="43"/>
        <v>44682</v>
      </c>
      <c r="AB148" s="115">
        <f t="shared" si="44"/>
        <v>45047</v>
      </c>
      <c r="AC148" s="115"/>
      <c r="AD148" s="25"/>
      <c r="AE148" s="118"/>
      <c r="AF148" s="110" t="s">
        <v>116</v>
      </c>
      <c r="AG148" s="110" t="s">
        <v>117</v>
      </c>
      <c r="AH148" s="25"/>
      <c r="AI148" s="25"/>
      <c r="AJ148" s="25"/>
      <c r="AK148" s="25"/>
      <c r="AL148" s="25"/>
      <c r="AM148" s="25"/>
      <c r="AN148" s="33" t="s">
        <v>123</v>
      </c>
      <c r="AO148" s="119">
        <v>44407</v>
      </c>
      <c r="AP148" s="120"/>
      <c r="AQ148" s="4"/>
      <c r="AR148" s="4"/>
      <c r="AS148" s="4"/>
      <c r="AT148" s="4"/>
      <c r="AU148" s="4"/>
    </row>
    <row r="149" spans="1:47" s="121" customFormat="1" ht="111.95" hidden="1" customHeight="1" x14ac:dyDescent="0.25">
      <c r="A149" s="109">
        <v>16</v>
      </c>
      <c r="B149" s="109" t="s">
        <v>109</v>
      </c>
      <c r="C149" s="109" t="s">
        <v>1200</v>
      </c>
      <c r="D149" s="109">
        <v>1</v>
      </c>
      <c r="E149" s="109" t="s">
        <v>118</v>
      </c>
      <c r="F149" s="111" t="s">
        <v>174</v>
      </c>
      <c r="G149" s="112" t="s">
        <v>175</v>
      </c>
      <c r="H149" s="112" t="s">
        <v>149</v>
      </c>
      <c r="I149" s="113" t="s">
        <v>150</v>
      </c>
      <c r="J149" s="112" t="s">
        <v>170</v>
      </c>
      <c r="K149" s="112" t="s">
        <v>152</v>
      </c>
      <c r="L149" s="114">
        <v>4475000</v>
      </c>
      <c r="M149" s="114" t="s">
        <v>132</v>
      </c>
      <c r="N149" s="115">
        <v>44180</v>
      </c>
      <c r="O149" s="115">
        <v>45274</v>
      </c>
      <c r="P149" s="116">
        <f t="shared" si="37"/>
        <v>2.9972602739726026</v>
      </c>
      <c r="Q149" s="110" t="s">
        <v>28</v>
      </c>
      <c r="R149" s="110">
        <f t="shared" ca="1" si="42"/>
        <v>11.977531843637999</v>
      </c>
      <c r="S149" s="110" t="str">
        <f t="shared" ca="1" si="39"/>
        <v>O</v>
      </c>
      <c r="T149" s="117">
        <v>1</v>
      </c>
      <c r="U149" s="117">
        <v>1</v>
      </c>
      <c r="V149" s="117">
        <v>1</v>
      </c>
      <c r="W149" s="117">
        <f t="shared" si="40"/>
        <v>3</v>
      </c>
      <c r="X149" s="117" t="str">
        <f t="shared" si="41"/>
        <v>Biasa</v>
      </c>
      <c r="Y149" s="111"/>
      <c r="Z149" s="122" t="s">
        <v>117</v>
      </c>
      <c r="AA149" s="115">
        <f t="shared" si="43"/>
        <v>44450</v>
      </c>
      <c r="AB149" s="115">
        <f t="shared" si="44"/>
        <v>44815</v>
      </c>
      <c r="AC149" s="115"/>
      <c r="AD149" s="25" t="s">
        <v>122</v>
      </c>
      <c r="AE149" s="118">
        <v>44180</v>
      </c>
      <c r="AF149" s="110" t="s">
        <v>116</v>
      </c>
      <c r="AG149" s="110" t="s">
        <v>117</v>
      </c>
      <c r="AH149" s="25"/>
      <c r="AI149" s="25"/>
      <c r="AJ149" s="25"/>
      <c r="AK149" s="25"/>
      <c r="AL149" s="25"/>
      <c r="AM149" s="25"/>
      <c r="AN149" s="33" t="s">
        <v>123</v>
      </c>
      <c r="AO149" s="119">
        <v>44179</v>
      </c>
      <c r="AP149" s="120"/>
      <c r="AQ149" s="4"/>
      <c r="AR149" s="4"/>
      <c r="AS149" s="4"/>
      <c r="AT149" s="4"/>
      <c r="AU149" s="4"/>
    </row>
    <row r="150" spans="1:47" s="121" customFormat="1" ht="111.95" hidden="1" customHeight="1" x14ac:dyDescent="0.25">
      <c r="A150" s="109">
        <v>17</v>
      </c>
      <c r="B150" s="109" t="s">
        <v>109</v>
      </c>
      <c r="C150" s="109" t="s">
        <v>1200</v>
      </c>
      <c r="D150" s="109">
        <v>2</v>
      </c>
      <c r="E150" s="109" t="s">
        <v>118</v>
      </c>
      <c r="F150" s="111" t="s">
        <v>183</v>
      </c>
      <c r="G150" s="112" t="s">
        <v>184</v>
      </c>
      <c r="H150" s="112" t="s">
        <v>149</v>
      </c>
      <c r="I150" s="113" t="s">
        <v>150</v>
      </c>
      <c r="J150" s="112" t="s">
        <v>185</v>
      </c>
      <c r="K150" s="112"/>
      <c r="L150" s="114">
        <v>6650000</v>
      </c>
      <c r="M150" s="114" t="s">
        <v>132</v>
      </c>
      <c r="N150" s="115">
        <v>43865</v>
      </c>
      <c r="O150" s="115">
        <v>44960</v>
      </c>
      <c r="P150" s="116">
        <f t="shared" si="37"/>
        <v>3</v>
      </c>
      <c r="Q150" s="110" t="s">
        <v>28</v>
      </c>
      <c r="R150" s="110">
        <f t="shared" ca="1" si="42"/>
        <v>1.8484995855734827</v>
      </c>
      <c r="S150" s="110" t="str">
        <f t="shared" ca="1" si="39"/>
        <v>O</v>
      </c>
      <c r="T150" s="117">
        <v>1</v>
      </c>
      <c r="U150" s="117">
        <v>1</v>
      </c>
      <c r="V150" s="117">
        <v>1</v>
      </c>
      <c r="W150" s="117">
        <f t="shared" si="40"/>
        <v>3</v>
      </c>
      <c r="X150" s="117" t="str">
        <f t="shared" si="41"/>
        <v>Biasa</v>
      </c>
      <c r="Y150" s="111"/>
      <c r="Z150" s="122" t="s">
        <v>117</v>
      </c>
      <c r="AA150" s="115">
        <f t="shared" si="43"/>
        <v>44135</v>
      </c>
      <c r="AB150" s="115">
        <f t="shared" si="44"/>
        <v>44500</v>
      </c>
      <c r="AC150" s="115"/>
      <c r="AD150" s="25" t="s">
        <v>122</v>
      </c>
      <c r="AE150" s="118">
        <v>43862</v>
      </c>
      <c r="AF150" s="110" t="s">
        <v>116</v>
      </c>
      <c r="AG150" s="110" t="s">
        <v>117</v>
      </c>
      <c r="AH150" s="25"/>
      <c r="AI150" s="25"/>
      <c r="AJ150" s="25"/>
      <c r="AK150" s="25"/>
      <c r="AL150" s="25"/>
      <c r="AM150" s="25"/>
      <c r="AN150" s="33" t="s">
        <v>123</v>
      </c>
      <c r="AO150" s="119">
        <v>43867</v>
      </c>
      <c r="AP150" s="120"/>
      <c r="AQ150" s="4"/>
      <c r="AR150" s="4"/>
      <c r="AS150" s="4"/>
      <c r="AT150" s="4"/>
      <c r="AU150" s="4"/>
    </row>
    <row r="151" spans="1:47" s="121" customFormat="1" ht="111.95" hidden="1" customHeight="1" x14ac:dyDescent="0.25">
      <c r="A151" s="109">
        <v>18</v>
      </c>
      <c r="B151" s="109" t="s">
        <v>109</v>
      </c>
      <c r="C151" s="109" t="s">
        <v>1200</v>
      </c>
      <c r="D151" s="109">
        <v>3</v>
      </c>
      <c r="E151" s="109" t="s">
        <v>118</v>
      </c>
      <c r="F151" s="111" t="s">
        <v>180</v>
      </c>
      <c r="G151" s="112" t="s">
        <v>181</v>
      </c>
      <c r="H151" s="112" t="s">
        <v>149</v>
      </c>
      <c r="I151" s="113" t="s">
        <v>150</v>
      </c>
      <c r="J151" s="112" t="s">
        <v>182</v>
      </c>
      <c r="K151" s="112"/>
      <c r="L151" s="114">
        <v>6950000</v>
      </c>
      <c r="M151" s="114" t="s">
        <v>132</v>
      </c>
      <c r="N151" s="115">
        <v>43863</v>
      </c>
      <c r="O151" s="115">
        <v>44958</v>
      </c>
      <c r="P151" s="116">
        <f t="shared" si="37"/>
        <v>3</v>
      </c>
      <c r="Q151" s="110" t="s">
        <v>28</v>
      </c>
      <c r="R151" s="110">
        <f t="shared" ca="1" si="42"/>
        <v>1.7839834565412245</v>
      </c>
      <c r="S151" s="110" t="str">
        <f t="shared" ca="1" si="39"/>
        <v>O</v>
      </c>
      <c r="T151" s="117">
        <v>1</v>
      </c>
      <c r="U151" s="117">
        <v>1</v>
      </c>
      <c r="V151" s="117">
        <v>1</v>
      </c>
      <c r="W151" s="117">
        <f t="shared" si="40"/>
        <v>3</v>
      </c>
      <c r="X151" s="117" t="str">
        <f t="shared" si="41"/>
        <v>Biasa</v>
      </c>
      <c r="Y151" s="111"/>
      <c r="Z151" s="122" t="s">
        <v>117</v>
      </c>
      <c r="AA151" s="115">
        <f t="shared" si="43"/>
        <v>44133</v>
      </c>
      <c r="AB151" s="115">
        <f t="shared" si="44"/>
        <v>44498</v>
      </c>
      <c r="AC151" s="115"/>
      <c r="AD151" s="25" t="s">
        <v>122</v>
      </c>
      <c r="AE151" s="118">
        <v>43862</v>
      </c>
      <c r="AF151" s="110" t="s">
        <v>116</v>
      </c>
      <c r="AG151" s="110" t="s">
        <v>117</v>
      </c>
      <c r="AH151" s="25"/>
      <c r="AI151" s="25"/>
      <c r="AJ151" s="25"/>
      <c r="AK151" s="25"/>
      <c r="AL151" s="25"/>
      <c r="AM151" s="25"/>
      <c r="AN151" s="33" t="s">
        <v>123</v>
      </c>
      <c r="AO151" s="119">
        <v>43867</v>
      </c>
      <c r="AP151" s="120"/>
      <c r="AQ151" s="4"/>
      <c r="AR151" s="4"/>
      <c r="AS151" s="4"/>
      <c r="AT151" s="4"/>
      <c r="AU151" s="4"/>
    </row>
    <row r="152" spans="1:47" s="121" customFormat="1" ht="111.95" hidden="1" customHeight="1" x14ac:dyDescent="0.25">
      <c r="A152" s="109">
        <v>19</v>
      </c>
      <c r="B152" s="109" t="s">
        <v>109</v>
      </c>
      <c r="C152" s="109" t="s">
        <v>1200</v>
      </c>
      <c r="D152" s="109">
        <v>4</v>
      </c>
      <c r="E152" s="109" t="s">
        <v>118</v>
      </c>
      <c r="F152" s="111" t="s">
        <v>176</v>
      </c>
      <c r="G152" s="112" t="s">
        <v>177</v>
      </c>
      <c r="H152" s="112" t="s">
        <v>178</v>
      </c>
      <c r="I152" s="113" t="s">
        <v>112</v>
      </c>
      <c r="J152" s="112" t="s">
        <v>179</v>
      </c>
      <c r="K152" s="112"/>
      <c r="L152" s="114">
        <v>6950000</v>
      </c>
      <c r="M152" s="114" t="s">
        <v>132</v>
      </c>
      <c r="N152" s="115">
        <v>44896</v>
      </c>
      <c r="O152" s="115">
        <v>44985</v>
      </c>
      <c r="P152" s="116">
        <f t="shared" si="37"/>
        <v>0.24383561643835616</v>
      </c>
      <c r="Q152" s="110" t="s">
        <v>28</v>
      </c>
      <c r="R152" s="110">
        <f t="shared" ca="1" si="42"/>
        <v>2.6549511984767085</v>
      </c>
      <c r="S152" s="110" t="str">
        <f t="shared" ca="1" si="39"/>
        <v>O</v>
      </c>
      <c r="T152" s="117">
        <v>1</v>
      </c>
      <c r="U152" s="117">
        <v>1</v>
      </c>
      <c r="V152" s="117">
        <v>1</v>
      </c>
      <c r="W152" s="117">
        <f t="shared" si="40"/>
        <v>3</v>
      </c>
      <c r="X152" s="117" t="str">
        <f t="shared" si="41"/>
        <v>Biasa</v>
      </c>
      <c r="Y152" s="111"/>
      <c r="Z152" s="122"/>
      <c r="AA152" s="115"/>
      <c r="AB152" s="115"/>
      <c r="AC152" s="115"/>
      <c r="AD152" s="25"/>
      <c r="AE152" s="118"/>
      <c r="AF152" s="110" t="s">
        <v>116</v>
      </c>
      <c r="AG152" s="110" t="s">
        <v>117</v>
      </c>
      <c r="AH152" s="25"/>
      <c r="AI152" s="25"/>
      <c r="AJ152" s="25"/>
      <c r="AK152" s="25"/>
      <c r="AL152" s="25"/>
      <c r="AM152" s="25"/>
      <c r="AN152" s="33" t="s">
        <v>136</v>
      </c>
      <c r="AO152" s="119">
        <v>44890</v>
      </c>
      <c r="AP152" s="120"/>
      <c r="AQ152" s="4"/>
      <c r="AR152" s="4"/>
      <c r="AS152" s="4"/>
      <c r="AT152" s="4"/>
      <c r="AU152" s="4"/>
    </row>
    <row r="153" spans="1:47" s="121" customFormat="1" ht="111.95" hidden="1" customHeight="1" x14ac:dyDescent="0.25">
      <c r="A153" s="109">
        <v>20</v>
      </c>
      <c r="B153" s="109" t="s">
        <v>109</v>
      </c>
      <c r="C153" s="109" t="s">
        <v>1200</v>
      </c>
      <c r="D153" s="109">
        <v>5</v>
      </c>
      <c r="E153" s="109" t="s">
        <v>118</v>
      </c>
      <c r="F153" s="111" t="s">
        <v>195</v>
      </c>
      <c r="G153" s="112" t="s">
        <v>196</v>
      </c>
      <c r="H153" s="112" t="s">
        <v>149</v>
      </c>
      <c r="I153" s="113" t="s">
        <v>150</v>
      </c>
      <c r="J153" s="112" t="s">
        <v>197</v>
      </c>
      <c r="K153" s="112"/>
      <c r="L153" s="114">
        <v>4675000</v>
      </c>
      <c r="M153" s="114" t="s">
        <v>132</v>
      </c>
      <c r="N153" s="115">
        <v>44470</v>
      </c>
      <c r="O153" s="115">
        <v>45565</v>
      </c>
      <c r="P153" s="116">
        <f t="shared" si="37"/>
        <v>3</v>
      </c>
      <c r="Q153" s="110" t="s">
        <v>28</v>
      </c>
      <c r="R153" s="110">
        <f t="shared" ca="1" si="42"/>
        <v>21.364628617831546</v>
      </c>
      <c r="S153" s="110" t="str">
        <f t="shared" ca="1" si="39"/>
        <v>O</v>
      </c>
      <c r="T153" s="117">
        <v>1</v>
      </c>
      <c r="U153" s="117">
        <v>1</v>
      </c>
      <c r="V153" s="117">
        <v>1</v>
      </c>
      <c r="W153" s="117">
        <f t="shared" si="40"/>
        <v>3</v>
      </c>
      <c r="X153" s="117" t="str">
        <f t="shared" si="41"/>
        <v>Biasa</v>
      </c>
      <c r="Y153" s="111"/>
      <c r="Z153" s="122" t="s">
        <v>117</v>
      </c>
      <c r="AA153" s="115">
        <f t="shared" si="43"/>
        <v>44740</v>
      </c>
      <c r="AB153" s="115">
        <f t="shared" si="44"/>
        <v>45105</v>
      </c>
      <c r="AC153" s="115"/>
      <c r="AD153" s="25" t="s">
        <v>122</v>
      </c>
      <c r="AE153" s="118">
        <v>44470</v>
      </c>
      <c r="AF153" s="110" t="s">
        <v>116</v>
      </c>
      <c r="AG153" s="110" t="s">
        <v>117</v>
      </c>
      <c r="AH153" s="25"/>
      <c r="AI153" s="25"/>
      <c r="AJ153" s="25"/>
      <c r="AK153" s="25"/>
      <c r="AL153" s="25"/>
      <c r="AM153" s="25"/>
      <c r="AN153" s="33" t="s">
        <v>123</v>
      </c>
      <c r="AO153" s="119"/>
      <c r="AP153" s="120"/>
      <c r="AQ153" s="4"/>
      <c r="AR153" s="4"/>
      <c r="AS153" s="4"/>
      <c r="AT153" s="4"/>
      <c r="AU153" s="4"/>
    </row>
    <row r="154" spans="1:47" s="121" customFormat="1" ht="111.95" hidden="1" customHeight="1" x14ac:dyDescent="0.25">
      <c r="A154" s="109">
        <v>21</v>
      </c>
      <c r="B154" s="109" t="s">
        <v>109</v>
      </c>
      <c r="C154" s="109" t="s">
        <v>1201</v>
      </c>
      <c r="D154" s="109">
        <v>1</v>
      </c>
      <c r="E154" s="109" t="s">
        <v>118</v>
      </c>
      <c r="F154" s="111" t="s">
        <v>192</v>
      </c>
      <c r="G154" s="112" t="s">
        <v>193</v>
      </c>
      <c r="H154" s="112" t="s">
        <v>149</v>
      </c>
      <c r="I154" s="113" t="s">
        <v>150</v>
      </c>
      <c r="J154" s="112" t="s">
        <v>194</v>
      </c>
      <c r="K154" s="112"/>
      <c r="L154" s="114">
        <v>4525000</v>
      </c>
      <c r="M154" s="114" t="s">
        <v>132</v>
      </c>
      <c r="N154" s="115">
        <v>44317</v>
      </c>
      <c r="O154" s="115">
        <v>45412</v>
      </c>
      <c r="P154" s="116">
        <f t="shared" si="37"/>
        <v>3</v>
      </c>
      <c r="Q154" s="110" t="s">
        <v>28</v>
      </c>
      <c r="R154" s="110">
        <f t="shared" ca="1" si="42"/>
        <v>16.429144746863805</v>
      </c>
      <c r="S154" s="110" t="str">
        <f t="shared" ca="1" si="39"/>
        <v>O</v>
      </c>
      <c r="T154" s="117">
        <v>1</v>
      </c>
      <c r="U154" s="117">
        <v>1</v>
      </c>
      <c r="V154" s="117">
        <v>1</v>
      </c>
      <c r="W154" s="117">
        <f t="shared" si="40"/>
        <v>3</v>
      </c>
      <c r="X154" s="117" t="str">
        <f t="shared" si="41"/>
        <v>Biasa</v>
      </c>
      <c r="Y154" s="111"/>
      <c r="Z154" s="122" t="s">
        <v>117</v>
      </c>
      <c r="AA154" s="115">
        <f t="shared" si="43"/>
        <v>44587</v>
      </c>
      <c r="AB154" s="115">
        <f t="shared" si="44"/>
        <v>44952</v>
      </c>
      <c r="AC154" s="115"/>
      <c r="AD154" s="25" t="s">
        <v>122</v>
      </c>
      <c r="AE154" s="118">
        <v>44317</v>
      </c>
      <c r="AF154" s="110" t="s">
        <v>116</v>
      </c>
      <c r="AG154" s="110" t="s">
        <v>117</v>
      </c>
      <c r="AH154" s="25"/>
      <c r="AI154" s="25"/>
      <c r="AJ154" s="25"/>
      <c r="AK154" s="25"/>
      <c r="AL154" s="25"/>
      <c r="AM154" s="25"/>
      <c r="AN154" s="33" t="s">
        <v>123</v>
      </c>
      <c r="AO154" s="119"/>
      <c r="AP154" s="120"/>
      <c r="AQ154" s="4"/>
      <c r="AR154" s="4"/>
      <c r="AS154" s="4"/>
      <c r="AT154" s="4"/>
      <c r="AU154" s="4"/>
    </row>
    <row r="155" spans="1:47" s="121" customFormat="1" ht="111.95" hidden="1" customHeight="1" x14ac:dyDescent="0.25">
      <c r="A155" s="109">
        <v>22</v>
      </c>
      <c r="B155" s="109" t="s">
        <v>109</v>
      </c>
      <c r="C155" s="109" t="s">
        <v>1201</v>
      </c>
      <c r="D155" s="109">
        <v>2</v>
      </c>
      <c r="E155" s="109" t="s">
        <v>118</v>
      </c>
      <c r="F155" s="111" t="s">
        <v>198</v>
      </c>
      <c r="G155" s="112" t="s">
        <v>199</v>
      </c>
      <c r="H155" s="112" t="s">
        <v>149</v>
      </c>
      <c r="I155" s="113" t="s">
        <v>150</v>
      </c>
      <c r="J155" s="112" t="s">
        <v>200</v>
      </c>
      <c r="K155" s="112"/>
      <c r="L155" s="114">
        <v>5575000</v>
      </c>
      <c r="M155" s="114" t="s">
        <v>132</v>
      </c>
      <c r="N155" s="115">
        <v>44757</v>
      </c>
      <c r="O155" s="115">
        <v>45852</v>
      </c>
      <c r="P155" s="116">
        <f t="shared" si="37"/>
        <v>3</v>
      </c>
      <c r="Q155" s="110" t="s">
        <v>28</v>
      </c>
      <c r="R155" s="110">
        <f t="shared" ca="1" si="42"/>
        <v>30.622693133960578</v>
      </c>
      <c r="S155" s="110" t="str">
        <f t="shared" ca="1" si="39"/>
        <v>O</v>
      </c>
      <c r="T155" s="117">
        <v>1</v>
      </c>
      <c r="U155" s="117">
        <v>1</v>
      </c>
      <c r="V155" s="117">
        <v>1</v>
      </c>
      <c r="W155" s="117">
        <f t="shared" si="40"/>
        <v>3</v>
      </c>
      <c r="X155" s="117" t="str">
        <f t="shared" si="41"/>
        <v>Biasa</v>
      </c>
      <c r="Y155" s="111"/>
      <c r="Z155" s="122" t="s">
        <v>117</v>
      </c>
      <c r="AA155" s="115">
        <f t="shared" si="43"/>
        <v>45027</v>
      </c>
      <c r="AB155" s="115">
        <f t="shared" si="44"/>
        <v>45392</v>
      </c>
      <c r="AC155" s="115"/>
      <c r="AD155" s="25" t="s">
        <v>122</v>
      </c>
      <c r="AE155" s="118">
        <v>44757</v>
      </c>
      <c r="AF155" s="110" t="s">
        <v>116</v>
      </c>
      <c r="AG155" s="110" t="s">
        <v>117</v>
      </c>
      <c r="AH155" s="25"/>
      <c r="AI155" s="25"/>
      <c r="AJ155" s="25"/>
      <c r="AK155" s="25"/>
      <c r="AL155" s="25"/>
      <c r="AM155" s="25"/>
      <c r="AN155" s="33" t="s">
        <v>136</v>
      </c>
      <c r="AO155" s="119">
        <v>44750</v>
      </c>
      <c r="AP155" s="120"/>
      <c r="AQ155" s="4"/>
      <c r="AR155" s="4"/>
      <c r="AS155" s="4"/>
      <c r="AT155" s="4"/>
      <c r="AU155" s="4"/>
    </row>
    <row r="156" spans="1:47" s="121" customFormat="1" ht="111.95" hidden="1" customHeight="1" x14ac:dyDescent="0.25">
      <c r="A156" s="109">
        <v>23</v>
      </c>
      <c r="B156" s="109" t="s">
        <v>109</v>
      </c>
      <c r="C156" s="109" t="s">
        <v>1201</v>
      </c>
      <c r="D156" s="109">
        <v>3</v>
      </c>
      <c r="E156" s="109" t="s">
        <v>118</v>
      </c>
      <c r="F156" s="111" t="s">
        <v>201</v>
      </c>
      <c r="G156" s="112" t="s">
        <v>202</v>
      </c>
      <c r="H156" s="112" t="s">
        <v>149</v>
      </c>
      <c r="I156" s="113" t="s">
        <v>150</v>
      </c>
      <c r="J156" s="112" t="s">
        <v>200</v>
      </c>
      <c r="K156" s="112"/>
      <c r="L156" s="114">
        <v>5575000</v>
      </c>
      <c r="M156" s="114" t="s">
        <v>132</v>
      </c>
      <c r="N156" s="115">
        <v>44774</v>
      </c>
      <c r="O156" s="115">
        <v>45869</v>
      </c>
      <c r="P156" s="116">
        <f t="shared" si="37"/>
        <v>3</v>
      </c>
      <c r="Q156" s="110" t="s">
        <v>28</v>
      </c>
      <c r="R156" s="110">
        <f t="shared" ca="1" si="42"/>
        <v>31.171080230734773</v>
      </c>
      <c r="S156" s="110" t="str">
        <f t="shared" ca="1" si="39"/>
        <v>O</v>
      </c>
      <c r="T156" s="117">
        <v>1</v>
      </c>
      <c r="U156" s="117">
        <v>1</v>
      </c>
      <c r="V156" s="117">
        <v>1</v>
      </c>
      <c r="W156" s="117">
        <f t="shared" si="40"/>
        <v>3</v>
      </c>
      <c r="X156" s="117" t="str">
        <f t="shared" si="41"/>
        <v>Biasa</v>
      </c>
      <c r="Y156" s="111"/>
      <c r="Z156" s="122" t="s">
        <v>117</v>
      </c>
      <c r="AA156" s="115">
        <f t="shared" si="43"/>
        <v>45044</v>
      </c>
      <c r="AB156" s="115">
        <f t="shared" si="44"/>
        <v>45409</v>
      </c>
      <c r="AC156" s="115"/>
      <c r="AD156" s="25" t="s">
        <v>122</v>
      </c>
      <c r="AE156" s="118">
        <v>44774</v>
      </c>
      <c r="AF156" s="110" t="s">
        <v>116</v>
      </c>
      <c r="AG156" s="110" t="s">
        <v>117</v>
      </c>
      <c r="AH156" s="25"/>
      <c r="AI156" s="25"/>
      <c r="AJ156" s="25"/>
      <c r="AK156" s="25"/>
      <c r="AL156" s="25"/>
      <c r="AM156" s="25"/>
      <c r="AN156" s="33" t="s">
        <v>136</v>
      </c>
      <c r="AO156" s="119">
        <v>44770</v>
      </c>
      <c r="AP156" s="120"/>
      <c r="AQ156" s="4"/>
      <c r="AR156" s="4"/>
      <c r="AS156" s="4"/>
      <c r="AT156" s="4"/>
      <c r="AU156" s="4"/>
    </row>
    <row r="157" spans="1:47" s="121" customFormat="1" ht="111.95" hidden="1" customHeight="1" x14ac:dyDescent="0.25">
      <c r="A157" s="109">
        <v>24</v>
      </c>
      <c r="B157" s="109" t="s">
        <v>109</v>
      </c>
      <c r="C157" s="109" t="s">
        <v>1201</v>
      </c>
      <c r="D157" s="109">
        <v>4</v>
      </c>
      <c r="E157" s="109" t="s">
        <v>118</v>
      </c>
      <c r="F157" s="111" t="s">
        <v>190</v>
      </c>
      <c r="G157" s="112" t="s">
        <v>187</v>
      </c>
      <c r="H157" s="112" t="s">
        <v>149</v>
      </c>
      <c r="I157" s="113" t="s">
        <v>150</v>
      </c>
      <c r="J157" s="112" t="s">
        <v>191</v>
      </c>
      <c r="K157" s="112"/>
      <c r="L157" s="114">
        <v>7625000</v>
      </c>
      <c r="M157" s="114" t="s">
        <v>132</v>
      </c>
      <c r="N157" s="115">
        <v>44743</v>
      </c>
      <c r="O157" s="115">
        <v>45838</v>
      </c>
      <c r="P157" s="116">
        <f t="shared" si="37"/>
        <v>3</v>
      </c>
      <c r="Q157" s="110" t="s">
        <v>28</v>
      </c>
      <c r="R157" s="110">
        <f t="shared" ca="1" si="42"/>
        <v>30.171080230734773</v>
      </c>
      <c r="S157" s="110" t="str">
        <f t="shared" ca="1" si="39"/>
        <v>O</v>
      </c>
      <c r="T157" s="117">
        <v>1</v>
      </c>
      <c r="U157" s="117">
        <v>1</v>
      </c>
      <c r="V157" s="117">
        <v>1</v>
      </c>
      <c r="W157" s="117">
        <f t="shared" si="40"/>
        <v>3</v>
      </c>
      <c r="X157" s="117" t="str">
        <f t="shared" si="41"/>
        <v>Biasa</v>
      </c>
      <c r="Y157" s="111"/>
      <c r="Z157" s="122" t="s">
        <v>117</v>
      </c>
      <c r="AA157" s="115">
        <f t="shared" si="43"/>
        <v>45013</v>
      </c>
      <c r="AB157" s="115">
        <f>N157+635</f>
        <v>45378</v>
      </c>
      <c r="AC157" s="115"/>
      <c r="AD157" s="25"/>
      <c r="AE157" s="118"/>
      <c r="AF157" s="110" t="s">
        <v>116</v>
      </c>
      <c r="AG157" s="110"/>
      <c r="AH157" s="25"/>
      <c r="AI157" s="25"/>
      <c r="AJ157" s="25"/>
      <c r="AK157" s="25"/>
      <c r="AL157" s="25"/>
      <c r="AM157" s="25"/>
      <c r="AN157" s="33" t="s">
        <v>136</v>
      </c>
      <c r="AO157" s="119">
        <v>44750</v>
      </c>
      <c r="AP157" s="120"/>
      <c r="AQ157" s="4"/>
      <c r="AR157" s="4"/>
      <c r="AS157" s="4"/>
      <c r="AT157" s="4"/>
      <c r="AU157" s="4"/>
    </row>
    <row r="158" spans="1:47" s="121" customFormat="1" ht="111.95" hidden="1" customHeight="1" x14ac:dyDescent="0.25">
      <c r="A158" s="109">
        <v>25</v>
      </c>
      <c r="B158" s="109" t="s">
        <v>109</v>
      </c>
      <c r="C158" s="109" t="s">
        <v>1201</v>
      </c>
      <c r="D158" s="109">
        <v>5</v>
      </c>
      <c r="E158" s="109" t="s">
        <v>118</v>
      </c>
      <c r="F158" s="111" t="s">
        <v>158</v>
      </c>
      <c r="G158" s="112" t="s">
        <v>159</v>
      </c>
      <c r="H158" s="112" t="s">
        <v>149</v>
      </c>
      <c r="I158" s="113" t="s">
        <v>150</v>
      </c>
      <c r="J158" s="112" t="s">
        <v>160</v>
      </c>
      <c r="K158" s="112" t="s">
        <v>152</v>
      </c>
      <c r="L158" s="114">
        <v>9300000</v>
      </c>
      <c r="M158" s="114" t="s">
        <v>132</v>
      </c>
      <c r="N158" s="115">
        <v>43416</v>
      </c>
      <c r="O158" s="115">
        <v>44511</v>
      </c>
      <c r="P158" s="116">
        <f t="shared" si="37"/>
        <v>3</v>
      </c>
      <c r="Q158" s="110" t="s">
        <v>28</v>
      </c>
      <c r="R158" s="110" t="s">
        <v>115</v>
      </c>
      <c r="S158" s="110" t="str">
        <f t="shared" si="39"/>
        <v>Z</v>
      </c>
      <c r="T158" s="117">
        <v>1</v>
      </c>
      <c r="U158" s="117">
        <v>1</v>
      </c>
      <c r="V158" s="117">
        <v>1</v>
      </c>
      <c r="W158" s="117">
        <f t="shared" si="40"/>
        <v>3</v>
      </c>
      <c r="X158" s="117" t="str">
        <f t="shared" si="41"/>
        <v>Biasa</v>
      </c>
      <c r="Y158" s="111" t="s">
        <v>161</v>
      </c>
      <c r="Z158" s="122"/>
      <c r="AA158" s="115"/>
      <c r="AB158" s="115"/>
      <c r="AC158" s="115"/>
      <c r="AD158" s="25" t="s">
        <v>15</v>
      </c>
      <c r="AE158" s="118">
        <v>44511</v>
      </c>
      <c r="AF158" s="110" t="s">
        <v>116</v>
      </c>
      <c r="AG158" s="110" t="s">
        <v>117</v>
      </c>
      <c r="AH158" s="25"/>
      <c r="AI158" s="25"/>
      <c r="AJ158" s="25"/>
      <c r="AK158" s="25"/>
      <c r="AL158" s="25"/>
      <c r="AM158" s="25"/>
      <c r="AN158" s="33"/>
      <c r="AO158" s="119"/>
      <c r="AP158" s="120"/>
      <c r="AQ158" s="4"/>
      <c r="AR158" s="4"/>
      <c r="AS158" s="4"/>
      <c r="AT158" s="4"/>
      <c r="AU158" s="4"/>
    </row>
    <row r="159" spans="1:47" s="121" customFormat="1" ht="111.95" hidden="1" customHeight="1" x14ac:dyDescent="0.25">
      <c r="A159" s="109">
        <v>26</v>
      </c>
      <c r="B159" s="109" t="s">
        <v>109</v>
      </c>
      <c r="C159" s="109" t="s">
        <v>1202</v>
      </c>
      <c r="D159" s="109">
        <v>1</v>
      </c>
      <c r="E159" s="109" t="s">
        <v>118</v>
      </c>
      <c r="F159" s="111" t="s">
        <v>362</v>
      </c>
      <c r="G159" s="112" t="s">
        <v>244</v>
      </c>
      <c r="H159" s="112" t="s">
        <v>363</v>
      </c>
      <c r="I159" s="113" t="s">
        <v>112</v>
      </c>
      <c r="J159" s="112" t="s">
        <v>364</v>
      </c>
      <c r="K159" s="112" t="s">
        <v>365</v>
      </c>
      <c r="L159" s="114" t="s">
        <v>361</v>
      </c>
      <c r="M159" s="114"/>
      <c r="N159" s="115">
        <v>44743</v>
      </c>
      <c r="O159" s="115">
        <v>45107</v>
      </c>
      <c r="P159" s="116">
        <f t="shared" si="37"/>
        <v>0.99726027397260275</v>
      </c>
      <c r="Q159" s="110" t="s">
        <v>28</v>
      </c>
      <c r="R159" s="110">
        <f t="shared" ref="R159:R178" ca="1" si="45">(O159-NOW()+1)/31</f>
        <v>6.5904350694444505</v>
      </c>
      <c r="S159" s="110" t="str">
        <f t="shared" ca="1" si="39"/>
        <v>O</v>
      </c>
      <c r="T159" s="117">
        <v>2</v>
      </c>
      <c r="U159" s="117">
        <v>2</v>
      </c>
      <c r="V159" s="117">
        <v>1</v>
      </c>
      <c r="W159" s="117">
        <f t="shared" si="40"/>
        <v>5</v>
      </c>
      <c r="X159" s="117" t="str">
        <f t="shared" si="41"/>
        <v>Biasa</v>
      </c>
      <c r="Y159" s="111"/>
      <c r="Z159" s="122"/>
      <c r="AA159" s="115"/>
      <c r="AB159" s="115"/>
      <c r="AC159" s="115"/>
      <c r="AD159" s="25"/>
      <c r="AE159" s="118"/>
      <c r="AF159" s="110" t="s">
        <v>232</v>
      </c>
      <c r="AG159" s="110" t="s">
        <v>117</v>
      </c>
      <c r="AH159" s="25"/>
      <c r="AI159" s="25"/>
      <c r="AJ159" s="25"/>
      <c r="AK159" s="25"/>
      <c r="AL159" s="25"/>
      <c r="AM159" s="25"/>
      <c r="AN159" s="33" t="s">
        <v>136</v>
      </c>
      <c r="AO159" s="119">
        <v>44740</v>
      </c>
      <c r="AP159" s="120"/>
      <c r="AQ159" s="4"/>
      <c r="AR159" s="4"/>
      <c r="AS159" s="4"/>
      <c r="AT159" s="4"/>
      <c r="AU159" s="4"/>
    </row>
    <row r="160" spans="1:47" s="121" customFormat="1" ht="111.95" hidden="1" customHeight="1" x14ac:dyDescent="0.25">
      <c r="A160" s="109">
        <v>27</v>
      </c>
      <c r="B160" s="109" t="s">
        <v>109</v>
      </c>
      <c r="C160" s="109" t="s">
        <v>1202</v>
      </c>
      <c r="D160" s="109">
        <v>2</v>
      </c>
      <c r="E160" s="109" t="s">
        <v>118</v>
      </c>
      <c r="F160" s="111" t="s">
        <v>366</v>
      </c>
      <c r="G160" s="112" t="s">
        <v>244</v>
      </c>
      <c r="H160" s="112" t="s">
        <v>367</v>
      </c>
      <c r="I160" s="113" t="s">
        <v>112</v>
      </c>
      <c r="J160" s="112" t="s">
        <v>368</v>
      </c>
      <c r="K160" s="112" t="s">
        <v>369</v>
      </c>
      <c r="L160" s="114" t="s">
        <v>361</v>
      </c>
      <c r="M160" s="114"/>
      <c r="N160" s="115">
        <v>44743</v>
      </c>
      <c r="O160" s="115">
        <v>45107</v>
      </c>
      <c r="P160" s="116">
        <f t="shared" si="37"/>
        <v>0.99726027397260275</v>
      </c>
      <c r="Q160" s="110" t="s">
        <v>28</v>
      </c>
      <c r="R160" s="110">
        <f t="shared" ca="1" si="45"/>
        <v>6.5904350694444505</v>
      </c>
      <c r="S160" s="110" t="str">
        <f t="shared" ca="1" si="39"/>
        <v>O</v>
      </c>
      <c r="T160" s="117">
        <v>1</v>
      </c>
      <c r="U160" s="117">
        <v>1</v>
      </c>
      <c r="V160" s="117">
        <v>1</v>
      </c>
      <c r="W160" s="117">
        <f t="shared" si="40"/>
        <v>3</v>
      </c>
      <c r="X160" s="117" t="str">
        <f t="shared" si="41"/>
        <v>Biasa</v>
      </c>
      <c r="Y160" s="111"/>
      <c r="Z160" s="122"/>
      <c r="AA160" s="115"/>
      <c r="AB160" s="115"/>
      <c r="AC160" s="115"/>
      <c r="AD160" s="25"/>
      <c r="AE160" s="118"/>
      <c r="AF160" s="110" t="s">
        <v>228</v>
      </c>
      <c r="AG160" s="110" t="s">
        <v>117</v>
      </c>
      <c r="AH160" s="25"/>
      <c r="AI160" s="25"/>
      <c r="AJ160" s="25"/>
      <c r="AK160" s="25"/>
      <c r="AL160" s="25"/>
      <c r="AM160" s="25"/>
      <c r="AN160" s="33" t="s">
        <v>136</v>
      </c>
      <c r="AO160" s="119">
        <v>44740</v>
      </c>
      <c r="AP160" s="120"/>
      <c r="AQ160" s="4"/>
      <c r="AR160" s="4"/>
      <c r="AS160" s="4"/>
      <c r="AT160" s="4"/>
      <c r="AU160" s="4"/>
    </row>
    <row r="161" spans="1:47" s="121" customFormat="1" ht="111.95" hidden="1" customHeight="1" x14ac:dyDescent="0.25">
      <c r="A161" s="109">
        <v>28</v>
      </c>
      <c r="B161" s="109" t="s">
        <v>109</v>
      </c>
      <c r="C161" s="109" t="s">
        <v>1202</v>
      </c>
      <c r="D161" s="109">
        <v>2</v>
      </c>
      <c r="E161" s="109" t="s">
        <v>118</v>
      </c>
      <c r="F161" s="111" t="s">
        <v>366</v>
      </c>
      <c r="G161" s="112" t="s">
        <v>244</v>
      </c>
      <c r="H161" s="112" t="s">
        <v>367</v>
      </c>
      <c r="I161" s="113" t="s">
        <v>112</v>
      </c>
      <c r="J161" s="112" t="s">
        <v>368</v>
      </c>
      <c r="K161" s="112" t="s">
        <v>369</v>
      </c>
      <c r="L161" s="114" t="s">
        <v>361</v>
      </c>
      <c r="M161" s="114"/>
      <c r="N161" s="115">
        <v>44743</v>
      </c>
      <c r="O161" s="115">
        <v>45107</v>
      </c>
      <c r="P161" s="116">
        <f t="shared" si="37"/>
        <v>0.99726027397260275</v>
      </c>
      <c r="Q161" s="110" t="s">
        <v>42</v>
      </c>
      <c r="R161" s="110">
        <f t="shared" ca="1" si="45"/>
        <v>6.5904350694444505</v>
      </c>
      <c r="S161" s="110" t="str">
        <f t="shared" ca="1" si="39"/>
        <v>O</v>
      </c>
      <c r="T161" s="117">
        <v>1</v>
      </c>
      <c r="U161" s="117">
        <v>1</v>
      </c>
      <c r="V161" s="117">
        <v>1</v>
      </c>
      <c r="W161" s="117">
        <f t="shared" si="40"/>
        <v>3</v>
      </c>
      <c r="X161" s="117" t="str">
        <f t="shared" si="41"/>
        <v>Biasa</v>
      </c>
      <c r="Y161" s="111"/>
      <c r="Z161" s="122"/>
      <c r="AA161" s="115"/>
      <c r="AB161" s="115"/>
      <c r="AC161" s="115"/>
      <c r="AD161" s="25"/>
      <c r="AE161" s="118"/>
      <c r="AF161" s="110" t="s">
        <v>228</v>
      </c>
      <c r="AG161" s="110" t="s">
        <v>117</v>
      </c>
      <c r="AH161" s="25"/>
      <c r="AI161" s="25"/>
      <c r="AJ161" s="25"/>
      <c r="AK161" s="25"/>
      <c r="AL161" s="25"/>
      <c r="AM161" s="25"/>
      <c r="AN161" s="33" t="s">
        <v>136</v>
      </c>
      <c r="AO161" s="119">
        <v>44740</v>
      </c>
      <c r="AP161" s="120"/>
      <c r="AQ161" s="4"/>
      <c r="AR161" s="4"/>
      <c r="AS161" s="4"/>
      <c r="AT161" s="4"/>
      <c r="AU161" s="4"/>
    </row>
    <row r="162" spans="1:47" s="121" customFormat="1" ht="111.95" hidden="1" customHeight="1" x14ac:dyDescent="0.25">
      <c r="A162" s="109">
        <v>29</v>
      </c>
      <c r="B162" s="109" t="s">
        <v>109</v>
      </c>
      <c r="C162" s="109" t="s">
        <v>1202</v>
      </c>
      <c r="D162" s="109">
        <v>3</v>
      </c>
      <c r="E162" s="109" t="s">
        <v>118</v>
      </c>
      <c r="F162" s="111" t="s">
        <v>1235</v>
      </c>
      <c r="G162" s="112" t="s">
        <v>244</v>
      </c>
      <c r="H162" s="112" t="s">
        <v>375</v>
      </c>
      <c r="I162" s="113" t="s">
        <v>112</v>
      </c>
      <c r="J162" s="112" t="s">
        <v>376</v>
      </c>
      <c r="K162" s="112" t="s">
        <v>377</v>
      </c>
      <c r="L162" s="114" t="s">
        <v>226</v>
      </c>
      <c r="M162" s="114"/>
      <c r="N162" s="115">
        <v>44866</v>
      </c>
      <c r="O162" s="115">
        <v>45230</v>
      </c>
      <c r="P162" s="116">
        <f t="shared" si="37"/>
        <v>0.99726027397260275</v>
      </c>
      <c r="Q162" s="110" t="s">
        <v>28</v>
      </c>
      <c r="R162" s="110">
        <f t="shared" ca="1" si="45"/>
        <v>10.558177004928321</v>
      </c>
      <c r="S162" s="110" t="str">
        <f t="shared" ca="1" si="39"/>
        <v>O</v>
      </c>
      <c r="T162" s="117">
        <v>1</v>
      </c>
      <c r="U162" s="117">
        <v>1</v>
      </c>
      <c r="V162" s="117">
        <v>1</v>
      </c>
      <c r="W162" s="117">
        <f t="shared" si="40"/>
        <v>3</v>
      </c>
      <c r="X162" s="117" t="str">
        <f t="shared" si="41"/>
        <v>Biasa</v>
      </c>
      <c r="Y162" s="111"/>
      <c r="Z162" s="122"/>
      <c r="AA162" s="115"/>
      <c r="AB162" s="115"/>
      <c r="AC162" s="115"/>
      <c r="AD162" s="25"/>
      <c r="AE162" s="118"/>
      <c r="AF162" s="110" t="s">
        <v>228</v>
      </c>
      <c r="AG162" s="110" t="s">
        <v>117</v>
      </c>
      <c r="AH162" s="25"/>
      <c r="AI162" s="25"/>
      <c r="AJ162" s="25"/>
      <c r="AK162" s="25"/>
      <c r="AL162" s="25"/>
      <c r="AM162" s="25"/>
      <c r="AN162" s="33" t="s">
        <v>136</v>
      </c>
      <c r="AO162" s="119">
        <v>44865</v>
      </c>
      <c r="AP162" s="120"/>
      <c r="AQ162" s="4"/>
      <c r="AR162" s="4"/>
      <c r="AS162" s="4"/>
      <c r="AT162" s="4"/>
      <c r="AU162" s="4"/>
    </row>
    <row r="163" spans="1:47" s="121" customFormat="1" ht="111.95" hidden="1" customHeight="1" x14ac:dyDescent="0.25">
      <c r="A163" s="109">
        <v>30</v>
      </c>
      <c r="B163" s="109" t="s">
        <v>109</v>
      </c>
      <c r="C163" s="109" t="s">
        <v>1202</v>
      </c>
      <c r="D163" s="109">
        <v>3</v>
      </c>
      <c r="E163" s="109" t="s">
        <v>118</v>
      </c>
      <c r="F163" s="111" t="s">
        <v>1235</v>
      </c>
      <c r="G163" s="112" t="s">
        <v>244</v>
      </c>
      <c r="H163" s="112" t="s">
        <v>375</v>
      </c>
      <c r="I163" s="113" t="s">
        <v>112</v>
      </c>
      <c r="J163" s="112" t="s">
        <v>376</v>
      </c>
      <c r="K163" s="112" t="s">
        <v>377</v>
      </c>
      <c r="L163" s="114" t="s">
        <v>226</v>
      </c>
      <c r="M163" s="114"/>
      <c r="N163" s="115">
        <v>44866</v>
      </c>
      <c r="O163" s="115">
        <v>45230</v>
      </c>
      <c r="P163" s="116">
        <f t="shared" si="37"/>
        <v>0.99726027397260275</v>
      </c>
      <c r="Q163" s="110" t="s">
        <v>42</v>
      </c>
      <c r="R163" s="110">
        <f t="shared" ca="1" si="45"/>
        <v>10.558177004928321</v>
      </c>
      <c r="S163" s="110" t="str">
        <f t="shared" ca="1" si="39"/>
        <v>O</v>
      </c>
      <c r="T163" s="117">
        <v>1</v>
      </c>
      <c r="U163" s="117">
        <v>1</v>
      </c>
      <c r="V163" s="117">
        <v>1</v>
      </c>
      <c r="W163" s="117">
        <f t="shared" si="40"/>
        <v>3</v>
      </c>
      <c r="X163" s="117" t="str">
        <f t="shared" si="41"/>
        <v>Biasa</v>
      </c>
      <c r="Y163" s="111"/>
      <c r="Z163" s="122"/>
      <c r="AA163" s="115"/>
      <c r="AB163" s="115"/>
      <c r="AC163" s="115"/>
      <c r="AD163" s="25"/>
      <c r="AE163" s="118"/>
      <c r="AF163" s="110" t="s">
        <v>228</v>
      </c>
      <c r="AG163" s="110" t="s">
        <v>117</v>
      </c>
      <c r="AH163" s="25"/>
      <c r="AI163" s="25"/>
      <c r="AJ163" s="25"/>
      <c r="AK163" s="25"/>
      <c r="AL163" s="25"/>
      <c r="AM163" s="25"/>
      <c r="AN163" s="33" t="s">
        <v>136</v>
      </c>
      <c r="AO163" s="119">
        <v>44865</v>
      </c>
      <c r="AP163" s="120"/>
      <c r="AQ163" s="4"/>
      <c r="AR163" s="4"/>
      <c r="AS163" s="4"/>
      <c r="AT163" s="4"/>
      <c r="AU163" s="4"/>
    </row>
    <row r="164" spans="1:47" s="121" customFormat="1" ht="111.95" hidden="1" customHeight="1" x14ac:dyDescent="0.25">
      <c r="A164" s="109">
        <v>31</v>
      </c>
      <c r="B164" s="109" t="s">
        <v>109</v>
      </c>
      <c r="C164" s="109" t="s">
        <v>1202</v>
      </c>
      <c r="D164" s="109">
        <v>4</v>
      </c>
      <c r="E164" s="109" t="s">
        <v>118</v>
      </c>
      <c r="F164" s="111" t="s">
        <v>378</v>
      </c>
      <c r="G164" s="112" t="s">
        <v>244</v>
      </c>
      <c r="H164" s="112" t="s">
        <v>379</v>
      </c>
      <c r="I164" s="113" t="s">
        <v>112</v>
      </c>
      <c r="J164" s="112" t="s">
        <v>380</v>
      </c>
      <c r="K164" s="112" t="s">
        <v>381</v>
      </c>
      <c r="L164" s="114" t="s">
        <v>226</v>
      </c>
      <c r="M164" s="114"/>
      <c r="N164" s="115">
        <v>44743</v>
      </c>
      <c r="O164" s="115">
        <v>45107</v>
      </c>
      <c r="P164" s="116">
        <f t="shared" si="37"/>
        <v>0.99726027397260275</v>
      </c>
      <c r="Q164" s="110" t="s">
        <v>28</v>
      </c>
      <c r="R164" s="110">
        <f t="shared" ca="1" si="45"/>
        <v>6.5904350694444505</v>
      </c>
      <c r="S164" s="110" t="str">
        <f t="shared" ca="1" si="39"/>
        <v>O</v>
      </c>
      <c r="T164" s="117">
        <v>1</v>
      </c>
      <c r="U164" s="117">
        <v>1</v>
      </c>
      <c r="V164" s="117">
        <v>1</v>
      </c>
      <c r="W164" s="117">
        <f t="shared" si="40"/>
        <v>3</v>
      </c>
      <c r="X164" s="117" t="str">
        <f t="shared" si="41"/>
        <v>Biasa</v>
      </c>
      <c r="Y164" s="111"/>
      <c r="Z164" s="122"/>
      <c r="AA164" s="115"/>
      <c r="AB164" s="115"/>
      <c r="AC164" s="115"/>
      <c r="AD164" s="25"/>
      <c r="AE164" s="118"/>
      <c r="AF164" s="110" t="s">
        <v>382</v>
      </c>
      <c r="AG164" s="110" t="s">
        <v>117</v>
      </c>
      <c r="AH164" s="25"/>
      <c r="AI164" s="25"/>
      <c r="AJ164" s="25"/>
      <c r="AK164" s="25"/>
      <c r="AL164" s="25"/>
      <c r="AM164" s="25"/>
      <c r="AN164" s="33" t="s">
        <v>123</v>
      </c>
      <c r="AO164" s="119">
        <v>44720</v>
      </c>
      <c r="AP164" s="120"/>
      <c r="AQ164" s="4"/>
      <c r="AR164" s="4"/>
      <c r="AS164" s="4"/>
      <c r="AT164" s="4"/>
      <c r="AU164" s="4"/>
    </row>
    <row r="165" spans="1:47" s="121" customFormat="1" ht="111.95" hidden="1" customHeight="1" x14ac:dyDescent="0.25">
      <c r="A165" s="109">
        <v>32</v>
      </c>
      <c r="B165" s="109" t="s">
        <v>109</v>
      </c>
      <c r="C165" s="109" t="s">
        <v>1202</v>
      </c>
      <c r="D165" s="109">
        <v>4</v>
      </c>
      <c r="E165" s="109" t="s">
        <v>118</v>
      </c>
      <c r="F165" s="111" t="s">
        <v>378</v>
      </c>
      <c r="G165" s="112" t="s">
        <v>244</v>
      </c>
      <c r="H165" s="112" t="s">
        <v>379</v>
      </c>
      <c r="I165" s="113" t="s">
        <v>112</v>
      </c>
      <c r="J165" s="112" t="s">
        <v>380</v>
      </c>
      <c r="K165" s="112" t="s">
        <v>381</v>
      </c>
      <c r="L165" s="114" t="s">
        <v>226</v>
      </c>
      <c r="M165" s="114"/>
      <c r="N165" s="115">
        <v>44743</v>
      </c>
      <c r="O165" s="115">
        <v>45107</v>
      </c>
      <c r="P165" s="116">
        <f>(O165-N165)/365</f>
        <v>0.99726027397260275</v>
      </c>
      <c r="Q165" s="110" t="s">
        <v>36</v>
      </c>
      <c r="R165" s="110">
        <f ca="1">(O165-NOW()+1)/31</f>
        <v>6.5904350694444505</v>
      </c>
      <c r="S165" s="110" t="str">
        <f ca="1">IF(R165="End","Z",IF(R165="Cancel","C",IF(SUM(R165)&gt;0,"O",IF(ISBLANK(R165),"X",IF(SUM(R165)&lt;0,"Y",IF(SUM(R165),"-","O"))))))</f>
        <v>O</v>
      </c>
      <c r="T165" s="117">
        <v>3</v>
      </c>
      <c r="U165" s="117">
        <v>3</v>
      </c>
      <c r="V165" s="117">
        <v>3</v>
      </c>
      <c r="W165" s="117">
        <f>T165+U165+V165</f>
        <v>9</v>
      </c>
      <c r="X165" s="117" t="str">
        <f>IF(W165&gt;5,"Penting",IF(ISBLANK(W165),"","Biasa"))</f>
        <v>Penting</v>
      </c>
      <c r="Y165" s="111"/>
      <c r="Z165" s="122"/>
      <c r="AA165" s="115"/>
      <c r="AB165" s="115"/>
      <c r="AC165" s="115"/>
      <c r="AD165" s="25"/>
      <c r="AE165" s="118"/>
      <c r="AF165" s="110" t="s">
        <v>382</v>
      </c>
      <c r="AG165" s="110" t="s">
        <v>117</v>
      </c>
      <c r="AH165" s="25"/>
      <c r="AI165" s="25"/>
      <c r="AJ165" s="25"/>
      <c r="AK165" s="25"/>
      <c r="AL165" s="25"/>
      <c r="AM165" s="25"/>
      <c r="AN165" s="33" t="s">
        <v>123</v>
      </c>
      <c r="AO165" s="119">
        <v>44720</v>
      </c>
      <c r="AP165" s="120"/>
      <c r="AQ165" s="4"/>
      <c r="AR165" s="4"/>
      <c r="AS165" s="4"/>
      <c r="AT165" s="4"/>
      <c r="AU165" s="4"/>
    </row>
    <row r="166" spans="1:47" s="121" customFormat="1" ht="111.95" hidden="1" customHeight="1" x14ac:dyDescent="0.25">
      <c r="A166" s="109">
        <v>33</v>
      </c>
      <c r="B166" s="109" t="s">
        <v>109</v>
      </c>
      <c r="C166" s="109" t="s">
        <v>1202</v>
      </c>
      <c r="D166" s="109">
        <v>5</v>
      </c>
      <c r="E166" s="109" t="s">
        <v>118</v>
      </c>
      <c r="F166" s="111" t="s">
        <v>409</v>
      </c>
      <c r="G166" s="112" t="s">
        <v>244</v>
      </c>
      <c r="H166" s="112" t="s">
        <v>410</v>
      </c>
      <c r="I166" s="113" t="s">
        <v>112</v>
      </c>
      <c r="J166" s="112" t="s">
        <v>411</v>
      </c>
      <c r="K166" s="112" t="s">
        <v>412</v>
      </c>
      <c r="L166" s="114" t="s">
        <v>361</v>
      </c>
      <c r="M166" s="114"/>
      <c r="N166" s="115">
        <v>44743</v>
      </c>
      <c r="O166" s="115">
        <v>45107</v>
      </c>
      <c r="P166" s="116">
        <f t="shared" si="37"/>
        <v>0.99726027397260275</v>
      </c>
      <c r="Q166" s="110" t="s">
        <v>28</v>
      </c>
      <c r="R166" s="110">
        <f t="shared" ca="1" si="45"/>
        <v>6.5904350694444505</v>
      </c>
      <c r="S166" s="110" t="str">
        <f t="shared" ca="1" si="39"/>
        <v>O</v>
      </c>
      <c r="T166" s="117">
        <v>1</v>
      </c>
      <c r="U166" s="117">
        <v>1</v>
      </c>
      <c r="V166" s="117">
        <v>1</v>
      </c>
      <c r="W166" s="117">
        <f t="shared" si="40"/>
        <v>3</v>
      </c>
      <c r="X166" s="117" t="str">
        <f t="shared" si="41"/>
        <v>Biasa</v>
      </c>
      <c r="Y166" s="111"/>
      <c r="Z166" s="122"/>
      <c r="AA166" s="115"/>
      <c r="AB166" s="115"/>
      <c r="AC166" s="115"/>
      <c r="AD166" s="25"/>
      <c r="AE166" s="118"/>
      <c r="AF166" s="110" t="s">
        <v>232</v>
      </c>
      <c r="AG166" s="110" t="s">
        <v>117</v>
      </c>
      <c r="AH166" s="25"/>
      <c r="AI166" s="25"/>
      <c r="AJ166" s="25"/>
      <c r="AK166" s="25"/>
      <c r="AL166" s="25"/>
      <c r="AM166" s="25"/>
      <c r="AN166" s="33" t="s">
        <v>136</v>
      </c>
      <c r="AO166" s="119">
        <v>44740</v>
      </c>
      <c r="AP166" s="120"/>
      <c r="AQ166" s="4"/>
      <c r="AR166" s="4"/>
      <c r="AS166" s="4"/>
      <c r="AT166" s="4"/>
      <c r="AU166" s="4"/>
    </row>
    <row r="167" spans="1:47" s="121" customFormat="1" ht="111.75" hidden="1" customHeight="1" x14ac:dyDescent="0.25">
      <c r="A167" s="109">
        <v>34</v>
      </c>
      <c r="B167" s="109" t="s">
        <v>109</v>
      </c>
      <c r="C167" s="109" t="s">
        <v>1203</v>
      </c>
      <c r="D167" s="109">
        <v>1</v>
      </c>
      <c r="E167" s="109" t="s">
        <v>118</v>
      </c>
      <c r="F167" s="111" t="s">
        <v>413</v>
      </c>
      <c r="G167" s="112" t="s">
        <v>244</v>
      </c>
      <c r="H167" s="112" t="s">
        <v>414</v>
      </c>
      <c r="I167" s="113" t="s">
        <v>112</v>
      </c>
      <c r="J167" s="112" t="s">
        <v>415</v>
      </c>
      <c r="K167" s="112" t="s">
        <v>416</v>
      </c>
      <c r="L167" s="114" t="s">
        <v>361</v>
      </c>
      <c r="M167" s="114"/>
      <c r="N167" s="115">
        <v>44743</v>
      </c>
      <c r="O167" s="115">
        <v>45107</v>
      </c>
      <c r="P167" s="116">
        <f>(O167-N167)/365</f>
        <v>0.99726027397260275</v>
      </c>
      <c r="Q167" s="110" t="s">
        <v>28</v>
      </c>
      <c r="R167" s="110">
        <f ca="1">(O167-NOW()+1)/31</f>
        <v>6.5904350694444505</v>
      </c>
      <c r="S167" s="110" t="str">
        <f ca="1">IF(R167="End","Z",IF(R167="Cancel","C",IF(SUM(R167)&gt;0,"O",IF(ISBLANK(R167),"X",IF(SUM(R167)&lt;0,"Y",IF(SUM(R167),"-","O"))))))</f>
        <v>O</v>
      </c>
      <c r="T167" s="117">
        <v>1</v>
      </c>
      <c r="U167" s="117">
        <v>1</v>
      </c>
      <c r="V167" s="117">
        <v>1</v>
      </c>
      <c r="W167" s="117">
        <f>T167+U167+V167</f>
        <v>3</v>
      </c>
      <c r="X167" s="117" t="str">
        <f>IF(W167&gt;5,"Penting",IF(ISBLANK(W167),"","Biasa"))</f>
        <v>Biasa</v>
      </c>
      <c r="Y167" s="111"/>
      <c r="Z167" s="122"/>
      <c r="AA167" s="115"/>
      <c r="AB167" s="115"/>
      <c r="AC167" s="115"/>
      <c r="AD167" s="25"/>
      <c r="AE167" s="118"/>
      <c r="AF167" s="110" t="s">
        <v>232</v>
      </c>
      <c r="AG167" s="110" t="s">
        <v>117</v>
      </c>
      <c r="AH167" s="25"/>
      <c r="AI167" s="25"/>
      <c r="AJ167" s="25"/>
      <c r="AK167" s="25"/>
      <c r="AL167" s="25"/>
      <c r="AM167" s="25"/>
      <c r="AN167" s="33" t="s">
        <v>136</v>
      </c>
      <c r="AO167" s="119">
        <v>44740</v>
      </c>
      <c r="AP167" s="120"/>
      <c r="AQ167" s="4"/>
      <c r="AR167" s="4"/>
      <c r="AS167" s="4"/>
      <c r="AT167" s="4"/>
      <c r="AU167" s="4"/>
    </row>
    <row r="168" spans="1:47" s="121" customFormat="1" ht="111.95" customHeight="1" x14ac:dyDescent="0.25">
      <c r="A168" s="109">
        <v>35</v>
      </c>
      <c r="B168" s="109" t="s">
        <v>109</v>
      </c>
      <c r="C168" s="109" t="s">
        <v>1203</v>
      </c>
      <c r="D168" s="109">
        <v>2</v>
      </c>
      <c r="E168" s="109" t="s">
        <v>118</v>
      </c>
      <c r="F168" s="111" t="s">
        <v>417</v>
      </c>
      <c r="G168" s="112" t="s">
        <v>244</v>
      </c>
      <c r="H168" s="112" t="s">
        <v>418</v>
      </c>
      <c r="I168" s="113" t="s">
        <v>112</v>
      </c>
      <c r="J168" s="112" t="s">
        <v>419</v>
      </c>
      <c r="K168" s="112" t="s">
        <v>420</v>
      </c>
      <c r="L168" s="114" t="s">
        <v>226</v>
      </c>
      <c r="M168" s="114"/>
      <c r="N168" s="115">
        <v>44743</v>
      </c>
      <c r="O168" s="115">
        <v>45107</v>
      </c>
      <c r="P168" s="116">
        <f>(O168-N168)/365</f>
        <v>0.99726027397260275</v>
      </c>
      <c r="Q168" s="110" t="s">
        <v>28</v>
      </c>
      <c r="R168" s="110">
        <f ca="1">(O168-NOW()+1)/31</f>
        <v>6.5904350694444505</v>
      </c>
      <c r="S168" s="110" t="str">
        <f ca="1">IF(R168="End","Z",IF(R168="Cancel","C",IF(SUM(R168)&gt;0,"O",IF(ISBLANK(R168),"X",IF(SUM(R168)&lt;0,"Y",IF(SUM(R168),"-","O"))))))</f>
        <v>O</v>
      </c>
      <c r="T168" s="117">
        <v>1</v>
      </c>
      <c r="U168" s="117">
        <v>1</v>
      </c>
      <c r="V168" s="117">
        <v>1</v>
      </c>
      <c r="W168" s="117">
        <f>T168+U168+V168</f>
        <v>3</v>
      </c>
      <c r="X168" s="117" t="str">
        <f>IF(W168&gt;5,"Penting",IF(ISBLANK(W168),"","Biasa"))</f>
        <v>Biasa</v>
      </c>
      <c r="Y168" s="111"/>
      <c r="Z168" s="122"/>
      <c r="AA168" s="115"/>
      <c r="AB168" s="115"/>
      <c r="AC168" s="115"/>
      <c r="AD168" s="25"/>
      <c r="AE168" s="118"/>
      <c r="AF168" s="110" t="s">
        <v>382</v>
      </c>
      <c r="AG168" s="110" t="s">
        <v>117</v>
      </c>
      <c r="AH168" s="25"/>
      <c r="AI168" s="25"/>
      <c r="AJ168" s="25"/>
      <c r="AK168" s="25"/>
      <c r="AL168" s="25"/>
      <c r="AM168" s="25"/>
      <c r="AN168" s="33" t="s">
        <v>123</v>
      </c>
      <c r="AO168" s="119">
        <v>44720</v>
      </c>
      <c r="AP168" s="120"/>
      <c r="AQ168" s="4"/>
      <c r="AR168" s="4"/>
      <c r="AS168" s="4"/>
      <c r="AT168" s="4"/>
      <c r="AU168" s="4"/>
    </row>
    <row r="169" spans="1:47" s="121" customFormat="1" ht="111.95" customHeight="1" x14ac:dyDescent="0.25">
      <c r="A169" s="109">
        <v>36</v>
      </c>
      <c r="B169" s="109" t="s">
        <v>109</v>
      </c>
      <c r="C169" s="109" t="s">
        <v>1203</v>
      </c>
      <c r="D169" s="109">
        <v>2</v>
      </c>
      <c r="E169" s="109" t="s">
        <v>118</v>
      </c>
      <c r="F169" s="111" t="s">
        <v>417</v>
      </c>
      <c r="G169" s="112" t="s">
        <v>244</v>
      </c>
      <c r="H169" s="112" t="s">
        <v>418</v>
      </c>
      <c r="I169" s="113" t="s">
        <v>112</v>
      </c>
      <c r="J169" s="112" t="s">
        <v>419</v>
      </c>
      <c r="K169" s="112" t="s">
        <v>420</v>
      </c>
      <c r="L169" s="114" t="s">
        <v>226</v>
      </c>
      <c r="M169" s="114"/>
      <c r="N169" s="115">
        <v>44743</v>
      </c>
      <c r="O169" s="115">
        <v>45107</v>
      </c>
      <c r="P169" s="116">
        <f>(O169-N169)/365</f>
        <v>0.99726027397260275</v>
      </c>
      <c r="Q169" s="110" t="s">
        <v>36</v>
      </c>
      <c r="R169" s="110">
        <f ca="1">(O169-NOW()+1)/31</f>
        <v>6.5904350694444505</v>
      </c>
      <c r="S169" s="110" t="str">
        <f ca="1">IF(R169="End","Z",IF(R169="Cancel","C",IF(SUM(R169)&gt;0,"O",IF(ISBLANK(R169),"X",IF(SUM(R169)&lt;0,"Y",IF(SUM(R169),"-","O"))))))</f>
        <v>O</v>
      </c>
      <c r="T169" s="117">
        <v>2</v>
      </c>
      <c r="U169" s="117">
        <v>1</v>
      </c>
      <c r="V169" s="117">
        <v>2</v>
      </c>
      <c r="W169" s="117">
        <f>T169+U169+V169</f>
        <v>5</v>
      </c>
      <c r="X169" s="117" t="str">
        <f>IF(W169&gt;5,"Penting",IF(ISBLANK(W169),"","Biasa"))</f>
        <v>Biasa</v>
      </c>
      <c r="Y169" s="111"/>
      <c r="Z169" s="122"/>
      <c r="AA169" s="115"/>
      <c r="AB169" s="115"/>
      <c r="AC169" s="115"/>
      <c r="AD169" s="25"/>
      <c r="AE169" s="118"/>
      <c r="AF169" s="110" t="s">
        <v>382</v>
      </c>
      <c r="AG169" s="110" t="s">
        <v>117</v>
      </c>
      <c r="AH169" s="25"/>
      <c r="AI169" s="25"/>
      <c r="AJ169" s="25"/>
      <c r="AK169" s="25"/>
      <c r="AL169" s="25"/>
      <c r="AM169" s="25"/>
      <c r="AN169" s="33" t="s">
        <v>123</v>
      </c>
      <c r="AO169" s="119">
        <v>44720</v>
      </c>
      <c r="AP169" s="120"/>
      <c r="AQ169" s="4"/>
      <c r="AR169" s="4"/>
      <c r="AS169" s="4"/>
      <c r="AT169" s="4"/>
      <c r="AU169" s="4"/>
    </row>
    <row r="170" spans="1:47" s="121" customFormat="1" ht="138" hidden="1" customHeight="1" x14ac:dyDescent="0.25">
      <c r="A170" s="109">
        <v>37</v>
      </c>
      <c r="B170" s="109" t="s">
        <v>109</v>
      </c>
      <c r="C170" s="109" t="s">
        <v>1203</v>
      </c>
      <c r="D170" s="109">
        <v>3</v>
      </c>
      <c r="E170" s="109" t="s">
        <v>118</v>
      </c>
      <c r="F170" s="111" t="s">
        <v>425</v>
      </c>
      <c r="G170" s="112" t="s">
        <v>244</v>
      </c>
      <c r="H170" s="112" t="s">
        <v>426</v>
      </c>
      <c r="I170" s="113" t="s">
        <v>112</v>
      </c>
      <c r="J170" s="112" t="s">
        <v>427</v>
      </c>
      <c r="K170" s="112" t="s">
        <v>428</v>
      </c>
      <c r="L170" s="114" t="s">
        <v>429</v>
      </c>
      <c r="M170" s="114"/>
      <c r="N170" s="115">
        <v>44743</v>
      </c>
      <c r="O170" s="115">
        <v>45107</v>
      </c>
      <c r="P170" s="116">
        <f>(O170-N170)/365</f>
        <v>0.99726027397260275</v>
      </c>
      <c r="Q170" s="110" t="s">
        <v>28</v>
      </c>
      <c r="R170" s="110">
        <f ca="1">(O170-NOW()+1)/31</f>
        <v>6.5904350694444505</v>
      </c>
      <c r="S170" s="110" t="str">
        <f ca="1">IF(R170="End","Z",IF(R170="Cancel","C",IF(SUM(R170)&gt;0,"O",IF(ISBLANK(R170),"X",IF(SUM(R170)&lt;0,"Y",IF(SUM(R170),"-","O"))))))</f>
        <v>O</v>
      </c>
      <c r="T170" s="117">
        <v>1</v>
      </c>
      <c r="U170" s="117">
        <v>1</v>
      </c>
      <c r="V170" s="117">
        <v>1</v>
      </c>
      <c r="W170" s="117">
        <f>T170+U170+V170</f>
        <v>3</v>
      </c>
      <c r="X170" s="117" t="str">
        <f>IF(W170&gt;5,"Penting",IF(ISBLANK(W170),"","Biasa"))</f>
        <v>Biasa</v>
      </c>
      <c r="Y170" s="111"/>
      <c r="Z170" s="122"/>
      <c r="AA170" s="115"/>
      <c r="AB170" s="115"/>
      <c r="AC170" s="115"/>
      <c r="AD170" s="25"/>
      <c r="AE170" s="118"/>
      <c r="AF170" s="110" t="s">
        <v>430</v>
      </c>
      <c r="AG170" s="110" t="s">
        <v>117</v>
      </c>
      <c r="AH170" s="25"/>
      <c r="AI170" s="25"/>
      <c r="AJ170" s="25"/>
      <c r="AK170" s="25"/>
      <c r="AL170" s="25"/>
      <c r="AM170" s="25"/>
      <c r="AN170" s="33" t="s">
        <v>123</v>
      </c>
      <c r="AO170" s="119">
        <v>44720</v>
      </c>
      <c r="AP170" s="120"/>
      <c r="AQ170" s="4"/>
      <c r="AR170" s="4"/>
      <c r="AS170" s="4"/>
      <c r="AT170" s="4"/>
      <c r="AU170" s="4"/>
    </row>
    <row r="171" spans="1:47" s="121" customFormat="1" ht="111.95" hidden="1" customHeight="1" x14ac:dyDescent="0.25">
      <c r="A171" s="109">
        <v>38</v>
      </c>
      <c r="B171" s="109" t="s">
        <v>109</v>
      </c>
      <c r="C171" s="109" t="s">
        <v>1203</v>
      </c>
      <c r="D171" s="109">
        <v>3</v>
      </c>
      <c r="E171" s="109" t="s">
        <v>118</v>
      </c>
      <c r="F171" s="111" t="s">
        <v>425</v>
      </c>
      <c r="G171" s="112" t="s">
        <v>244</v>
      </c>
      <c r="H171" s="112" t="s">
        <v>426</v>
      </c>
      <c r="I171" s="113" t="s">
        <v>112</v>
      </c>
      <c r="J171" s="112" t="s">
        <v>427</v>
      </c>
      <c r="K171" s="112" t="s">
        <v>428</v>
      </c>
      <c r="L171" s="114" t="s">
        <v>429</v>
      </c>
      <c r="M171" s="114"/>
      <c r="N171" s="115">
        <v>44743</v>
      </c>
      <c r="O171" s="115">
        <v>45107</v>
      </c>
      <c r="P171" s="116">
        <f>(O171-N171)/365</f>
        <v>0.99726027397260275</v>
      </c>
      <c r="Q171" s="110" t="s">
        <v>36</v>
      </c>
      <c r="R171" s="110">
        <f t="shared" ref="R171" ca="1" si="46">(O171-NOW()+1)/31</f>
        <v>6.5904350694444505</v>
      </c>
      <c r="S171" s="110" t="str">
        <f ca="1">IF(R171="End","Z",IF(R171="Cancel","C",IF(SUM(R171)&gt;0,"O",IF(ISBLANK(R171),"X",IF(SUM(R171)&lt;0,"Y",IF(SUM(R171),"-","O"))))))</f>
        <v>O</v>
      </c>
      <c r="T171" s="117">
        <v>2</v>
      </c>
      <c r="U171" s="117">
        <v>2</v>
      </c>
      <c r="V171" s="117">
        <v>2</v>
      </c>
      <c r="W171" s="117">
        <f>T171+U171+V171</f>
        <v>6</v>
      </c>
      <c r="X171" s="117" t="str">
        <f>IF(W171&gt;5,"Penting",IF(ISBLANK(W171),"","Biasa"))</f>
        <v>Penting</v>
      </c>
      <c r="Y171" s="111"/>
      <c r="Z171" s="122"/>
      <c r="AA171" s="115"/>
      <c r="AB171" s="115"/>
      <c r="AC171" s="115"/>
      <c r="AD171" s="25"/>
      <c r="AE171" s="118"/>
      <c r="AF171" s="110" t="s">
        <v>430</v>
      </c>
      <c r="AG171" s="110" t="s">
        <v>117</v>
      </c>
      <c r="AH171" s="25"/>
      <c r="AI171" s="25"/>
      <c r="AJ171" s="25"/>
      <c r="AK171" s="25"/>
      <c r="AL171" s="25"/>
      <c r="AM171" s="25"/>
      <c r="AN171" s="33" t="s">
        <v>123</v>
      </c>
      <c r="AO171" s="119">
        <v>44720</v>
      </c>
      <c r="AP171" s="120"/>
      <c r="AQ171" s="4"/>
      <c r="AR171" s="4"/>
      <c r="AS171" s="4"/>
      <c r="AT171" s="4"/>
      <c r="AU171" s="4"/>
    </row>
    <row r="172" spans="1:47" s="121" customFormat="1" ht="111.95" hidden="1" customHeight="1" x14ac:dyDescent="0.25">
      <c r="A172" s="109">
        <v>39</v>
      </c>
      <c r="B172" s="109" t="s">
        <v>109</v>
      </c>
      <c r="C172" s="109" t="s">
        <v>1203</v>
      </c>
      <c r="D172" s="109">
        <v>3</v>
      </c>
      <c r="E172" s="109" t="s">
        <v>118</v>
      </c>
      <c r="F172" s="111" t="s">
        <v>425</v>
      </c>
      <c r="G172" s="112" t="s">
        <v>244</v>
      </c>
      <c r="H172" s="112" t="s">
        <v>426</v>
      </c>
      <c r="I172" s="113" t="s">
        <v>112</v>
      </c>
      <c r="J172" s="112" t="s">
        <v>427</v>
      </c>
      <c r="K172" s="112" t="s">
        <v>428</v>
      </c>
      <c r="L172" s="114" t="s">
        <v>429</v>
      </c>
      <c r="M172" s="114"/>
      <c r="N172" s="115">
        <v>44743</v>
      </c>
      <c r="O172" s="115">
        <v>45107</v>
      </c>
      <c r="P172" s="116">
        <f t="shared" ref="P172:P201" si="47">(O172-N172)/365</f>
        <v>0.99726027397260275</v>
      </c>
      <c r="Q172" s="110" t="s">
        <v>42</v>
      </c>
      <c r="R172" s="110">
        <f t="shared" ca="1" si="45"/>
        <v>6.5904350694444505</v>
      </c>
      <c r="S172" s="110" t="str">
        <f t="shared" ref="S172:S201" ca="1" si="48">IF(R172="End","Z",IF(R172="Cancel","C",IF(SUM(R172)&gt;0,"O",IF(ISBLANK(R172),"X",IF(SUM(R172)&lt;0,"Y",IF(SUM(R172),"-","O"))))))</f>
        <v>O</v>
      </c>
      <c r="T172" s="117">
        <v>1</v>
      </c>
      <c r="U172" s="117">
        <v>1</v>
      </c>
      <c r="V172" s="117">
        <v>2</v>
      </c>
      <c r="W172" s="117">
        <f t="shared" ref="W172:W201" si="49">T172+U172+V172</f>
        <v>4</v>
      </c>
      <c r="X172" s="117" t="str">
        <f t="shared" ref="X172:X201" si="50">IF(W172&gt;5,"Penting",IF(ISBLANK(W172),"","Biasa"))</f>
        <v>Biasa</v>
      </c>
      <c r="Y172" s="111"/>
      <c r="Z172" s="122"/>
      <c r="AA172" s="115"/>
      <c r="AB172" s="115"/>
      <c r="AC172" s="115"/>
      <c r="AD172" s="25"/>
      <c r="AE172" s="118"/>
      <c r="AF172" s="110" t="s">
        <v>430</v>
      </c>
      <c r="AG172" s="110" t="s">
        <v>117</v>
      </c>
      <c r="AH172" s="25"/>
      <c r="AI172" s="25"/>
      <c r="AJ172" s="25"/>
      <c r="AK172" s="25"/>
      <c r="AL172" s="25"/>
      <c r="AM172" s="25"/>
      <c r="AN172" s="33" t="s">
        <v>123</v>
      </c>
      <c r="AO172" s="119">
        <v>44720</v>
      </c>
      <c r="AP172" s="120"/>
      <c r="AQ172" s="4"/>
      <c r="AR172" s="4"/>
      <c r="AS172" s="4"/>
      <c r="AT172" s="4"/>
      <c r="AU172" s="4"/>
    </row>
    <row r="173" spans="1:47" s="121" customFormat="1" ht="111.95" hidden="1" customHeight="1" x14ac:dyDescent="0.25">
      <c r="A173" s="109">
        <v>40</v>
      </c>
      <c r="B173" s="109" t="s">
        <v>109</v>
      </c>
      <c r="C173" s="109" t="s">
        <v>1203</v>
      </c>
      <c r="D173" s="109">
        <v>4</v>
      </c>
      <c r="E173" s="109" t="s">
        <v>118</v>
      </c>
      <c r="F173" s="111" t="s">
        <v>431</v>
      </c>
      <c r="G173" s="112" t="s">
        <v>244</v>
      </c>
      <c r="H173" s="112" t="s">
        <v>432</v>
      </c>
      <c r="I173" s="113" t="s">
        <v>112</v>
      </c>
      <c r="J173" s="112" t="s">
        <v>433</v>
      </c>
      <c r="K173" s="112" t="s">
        <v>434</v>
      </c>
      <c r="L173" s="114" t="s">
        <v>361</v>
      </c>
      <c r="M173" s="114"/>
      <c r="N173" s="115">
        <v>44743</v>
      </c>
      <c r="O173" s="115">
        <v>45107</v>
      </c>
      <c r="P173" s="116">
        <f t="shared" si="47"/>
        <v>0.99726027397260275</v>
      </c>
      <c r="Q173" s="110" t="s">
        <v>28</v>
      </c>
      <c r="R173" s="110">
        <f t="shared" ca="1" si="45"/>
        <v>6.5904350694444505</v>
      </c>
      <c r="S173" s="110" t="str">
        <f t="shared" ca="1" si="48"/>
        <v>O</v>
      </c>
      <c r="T173" s="117">
        <v>1</v>
      </c>
      <c r="U173" s="117">
        <v>1</v>
      </c>
      <c r="V173" s="117">
        <v>1</v>
      </c>
      <c r="W173" s="117">
        <f t="shared" si="49"/>
        <v>3</v>
      </c>
      <c r="X173" s="117" t="str">
        <f t="shared" si="50"/>
        <v>Biasa</v>
      </c>
      <c r="Y173" s="111" t="s">
        <v>1269</v>
      </c>
      <c r="Z173" s="122"/>
      <c r="AA173" s="115"/>
      <c r="AB173" s="115"/>
      <c r="AC173" s="115"/>
      <c r="AD173" s="25"/>
      <c r="AE173" s="118"/>
      <c r="AF173" s="110" t="s">
        <v>228</v>
      </c>
      <c r="AG173" s="110" t="s">
        <v>117</v>
      </c>
      <c r="AH173" s="25"/>
      <c r="AI173" s="25"/>
      <c r="AJ173" s="25"/>
      <c r="AK173" s="25"/>
      <c r="AL173" s="25"/>
      <c r="AM173" s="25"/>
      <c r="AN173" s="33" t="s">
        <v>136</v>
      </c>
      <c r="AO173" s="119">
        <v>44740</v>
      </c>
      <c r="AP173" s="120"/>
      <c r="AQ173" s="4"/>
      <c r="AR173" s="4"/>
      <c r="AS173" s="4"/>
      <c r="AT173" s="4"/>
      <c r="AU173" s="4"/>
    </row>
    <row r="174" spans="1:47" s="121" customFormat="1" ht="111.95" hidden="1" customHeight="1" x14ac:dyDescent="0.25">
      <c r="A174" s="109">
        <v>41</v>
      </c>
      <c r="B174" s="109" t="s">
        <v>109</v>
      </c>
      <c r="C174" s="109" t="s">
        <v>1203</v>
      </c>
      <c r="D174" s="109">
        <v>4</v>
      </c>
      <c r="E174" s="109" t="s">
        <v>118</v>
      </c>
      <c r="F174" s="111" t="s">
        <v>431</v>
      </c>
      <c r="G174" s="112" t="s">
        <v>244</v>
      </c>
      <c r="H174" s="112" t="s">
        <v>432</v>
      </c>
      <c r="I174" s="113" t="s">
        <v>112</v>
      </c>
      <c r="J174" s="112" t="s">
        <v>433</v>
      </c>
      <c r="K174" s="112" t="s">
        <v>434</v>
      </c>
      <c r="L174" s="114" t="s">
        <v>361</v>
      </c>
      <c r="M174" s="114"/>
      <c r="N174" s="115">
        <v>44743</v>
      </c>
      <c r="O174" s="115">
        <v>45107</v>
      </c>
      <c r="P174" s="116">
        <f t="shared" si="47"/>
        <v>0.99726027397260275</v>
      </c>
      <c r="Q174" s="110" t="s">
        <v>42</v>
      </c>
      <c r="R174" s="110">
        <f t="shared" ca="1" si="45"/>
        <v>6.5904350694444505</v>
      </c>
      <c r="S174" s="110" t="str">
        <f t="shared" ca="1" si="48"/>
        <v>O</v>
      </c>
      <c r="T174" s="117">
        <v>1</v>
      </c>
      <c r="U174" s="117">
        <v>1</v>
      </c>
      <c r="V174" s="117">
        <v>1</v>
      </c>
      <c r="W174" s="117">
        <f t="shared" si="49"/>
        <v>3</v>
      </c>
      <c r="X174" s="117" t="str">
        <f t="shared" si="50"/>
        <v>Biasa</v>
      </c>
      <c r="Y174" s="111" t="s">
        <v>1269</v>
      </c>
      <c r="Z174" s="122"/>
      <c r="AA174" s="115"/>
      <c r="AB174" s="115"/>
      <c r="AC174" s="115"/>
      <c r="AD174" s="25"/>
      <c r="AE174" s="118"/>
      <c r="AF174" s="110" t="s">
        <v>228</v>
      </c>
      <c r="AG174" s="110" t="s">
        <v>117</v>
      </c>
      <c r="AH174" s="25"/>
      <c r="AI174" s="25"/>
      <c r="AJ174" s="25"/>
      <c r="AK174" s="25"/>
      <c r="AL174" s="25"/>
      <c r="AM174" s="25"/>
      <c r="AN174" s="33" t="s">
        <v>136</v>
      </c>
      <c r="AO174" s="119">
        <v>44740</v>
      </c>
      <c r="AP174" s="120"/>
      <c r="AQ174" s="4"/>
      <c r="AR174" s="4"/>
      <c r="AS174" s="4"/>
      <c r="AT174" s="4"/>
      <c r="AU174" s="4"/>
    </row>
    <row r="175" spans="1:47" s="121" customFormat="1" ht="111.95" hidden="1" customHeight="1" x14ac:dyDescent="0.25">
      <c r="A175" s="109">
        <v>42</v>
      </c>
      <c r="B175" s="109" t="s">
        <v>109</v>
      </c>
      <c r="C175" s="109" t="s">
        <v>1203</v>
      </c>
      <c r="D175" s="109">
        <v>5</v>
      </c>
      <c r="E175" s="109" t="s">
        <v>118</v>
      </c>
      <c r="F175" s="111" t="s">
        <v>518</v>
      </c>
      <c r="G175" s="112" t="s">
        <v>244</v>
      </c>
      <c r="H175" s="112" t="s">
        <v>519</v>
      </c>
      <c r="I175" s="113" t="s">
        <v>112</v>
      </c>
      <c r="J175" s="112" t="s">
        <v>520</v>
      </c>
      <c r="K175" s="112" t="s">
        <v>521</v>
      </c>
      <c r="L175" s="114" t="s">
        <v>361</v>
      </c>
      <c r="M175" s="114"/>
      <c r="N175" s="115">
        <v>44531</v>
      </c>
      <c r="O175" s="115">
        <v>44895</v>
      </c>
      <c r="P175" s="116">
        <f t="shared" si="47"/>
        <v>0.99726027397260275</v>
      </c>
      <c r="Q175" s="110" t="s">
        <v>28</v>
      </c>
      <c r="R175" s="110">
        <f t="shared" ca="1" si="45"/>
        <v>-0.24827460797490447</v>
      </c>
      <c r="S175" s="110" t="str">
        <f t="shared" ca="1" si="48"/>
        <v>Y</v>
      </c>
      <c r="T175" s="117">
        <v>1</v>
      </c>
      <c r="U175" s="117">
        <v>1</v>
      </c>
      <c r="V175" s="117">
        <v>1</v>
      </c>
      <c r="W175" s="117">
        <f t="shared" si="49"/>
        <v>3</v>
      </c>
      <c r="X175" s="117" t="str">
        <f t="shared" si="50"/>
        <v>Biasa</v>
      </c>
      <c r="Y175" s="111"/>
      <c r="Z175" s="122"/>
      <c r="AA175" s="115"/>
      <c r="AB175" s="115"/>
      <c r="AC175" s="115"/>
      <c r="AD175" s="25" t="s">
        <v>122</v>
      </c>
      <c r="AE175" s="118">
        <v>44682</v>
      </c>
      <c r="AF175" s="110" t="s">
        <v>232</v>
      </c>
      <c r="AG175" s="110"/>
      <c r="AH175" s="25"/>
      <c r="AI175" s="25"/>
      <c r="AJ175" s="25"/>
      <c r="AK175" s="25"/>
      <c r="AL175" s="25"/>
      <c r="AM175" s="25"/>
      <c r="AN175" s="33" t="s">
        <v>123</v>
      </c>
      <c r="AO175" s="119"/>
      <c r="AP175" s="120"/>
      <c r="AQ175" s="4"/>
      <c r="AR175" s="4"/>
      <c r="AS175" s="4"/>
      <c r="AT175" s="4"/>
      <c r="AU175" s="4"/>
    </row>
    <row r="176" spans="1:47" s="121" customFormat="1" ht="111.95" hidden="1" customHeight="1" x14ac:dyDescent="0.25">
      <c r="A176" s="109">
        <v>43</v>
      </c>
      <c r="B176" s="109" t="s">
        <v>109</v>
      </c>
      <c r="C176" s="109" t="s">
        <v>1204</v>
      </c>
      <c r="D176" s="109">
        <v>1</v>
      </c>
      <c r="E176" s="109" t="s">
        <v>118</v>
      </c>
      <c r="F176" s="111" t="s">
        <v>603</v>
      </c>
      <c r="G176" s="112" t="s">
        <v>244</v>
      </c>
      <c r="H176" s="112" t="s">
        <v>604</v>
      </c>
      <c r="I176" s="113" t="s">
        <v>112</v>
      </c>
      <c r="J176" s="112" t="s">
        <v>605</v>
      </c>
      <c r="K176" s="112" t="s">
        <v>606</v>
      </c>
      <c r="L176" s="114" t="s">
        <v>361</v>
      </c>
      <c r="M176" s="114"/>
      <c r="N176" s="115">
        <v>44531</v>
      </c>
      <c r="O176" s="115">
        <v>44895</v>
      </c>
      <c r="P176" s="116">
        <f t="shared" si="47"/>
        <v>0.99726027397260275</v>
      </c>
      <c r="Q176" s="110" t="s">
        <v>28</v>
      </c>
      <c r="R176" s="110" t="s">
        <v>115</v>
      </c>
      <c r="S176" s="110" t="str">
        <f t="shared" si="48"/>
        <v>Z</v>
      </c>
      <c r="T176" s="117">
        <v>1</v>
      </c>
      <c r="U176" s="117">
        <v>1</v>
      </c>
      <c r="V176" s="117">
        <v>2</v>
      </c>
      <c r="W176" s="117">
        <f t="shared" si="49"/>
        <v>4</v>
      </c>
      <c r="X176" s="117" t="str">
        <f t="shared" si="50"/>
        <v>Biasa</v>
      </c>
      <c r="Y176" s="111" t="s">
        <v>1267</v>
      </c>
      <c r="Z176" s="122"/>
      <c r="AA176" s="115"/>
      <c r="AB176" s="115"/>
      <c r="AC176" s="115"/>
      <c r="AD176" s="25" t="s">
        <v>122</v>
      </c>
      <c r="AE176" s="118">
        <v>44562</v>
      </c>
      <c r="AF176" s="110" t="s">
        <v>232</v>
      </c>
      <c r="AG176" s="110" t="s">
        <v>117</v>
      </c>
      <c r="AH176" s="25"/>
      <c r="AI176" s="25"/>
      <c r="AJ176" s="25"/>
      <c r="AK176" s="25"/>
      <c r="AL176" s="25"/>
      <c r="AM176" s="25"/>
      <c r="AN176" s="33" t="s">
        <v>123</v>
      </c>
      <c r="AO176" s="119"/>
      <c r="AP176" s="120"/>
      <c r="AQ176" s="4"/>
      <c r="AR176" s="4"/>
      <c r="AS176" s="4"/>
      <c r="AT176" s="4"/>
      <c r="AU176" s="4"/>
    </row>
    <row r="177" spans="1:47" s="121" customFormat="1" ht="111.95" hidden="1" customHeight="1" x14ac:dyDescent="0.25">
      <c r="A177" s="109">
        <v>44</v>
      </c>
      <c r="B177" s="109" t="s">
        <v>109</v>
      </c>
      <c r="C177" s="109" t="s">
        <v>1204</v>
      </c>
      <c r="D177" s="109">
        <v>2</v>
      </c>
      <c r="E177" s="109" t="s">
        <v>118</v>
      </c>
      <c r="F177" s="111" t="s">
        <v>435</v>
      </c>
      <c r="G177" s="112" t="s">
        <v>244</v>
      </c>
      <c r="H177" s="112" t="s">
        <v>436</v>
      </c>
      <c r="I177" s="113" t="s">
        <v>112</v>
      </c>
      <c r="J177" s="112" t="s">
        <v>437</v>
      </c>
      <c r="K177" s="112" t="s">
        <v>438</v>
      </c>
      <c r="L177" s="114" t="s">
        <v>361</v>
      </c>
      <c r="M177" s="114"/>
      <c r="N177" s="115">
        <v>44743</v>
      </c>
      <c r="O177" s="115">
        <v>45107</v>
      </c>
      <c r="P177" s="116">
        <f t="shared" si="47"/>
        <v>0.99726027397260275</v>
      </c>
      <c r="Q177" s="110" t="s">
        <v>28</v>
      </c>
      <c r="R177" s="110">
        <f t="shared" ca="1" si="45"/>
        <v>6.5904350694444505</v>
      </c>
      <c r="S177" s="110" t="str">
        <f t="shared" ca="1" si="48"/>
        <v>O</v>
      </c>
      <c r="T177" s="117">
        <v>1</v>
      </c>
      <c r="U177" s="117">
        <v>1</v>
      </c>
      <c r="V177" s="117">
        <v>1</v>
      </c>
      <c r="W177" s="117">
        <f t="shared" si="49"/>
        <v>3</v>
      </c>
      <c r="X177" s="117" t="str">
        <f t="shared" si="50"/>
        <v>Biasa</v>
      </c>
      <c r="Y177" s="111"/>
      <c r="Z177" s="122"/>
      <c r="AA177" s="115"/>
      <c r="AB177" s="115"/>
      <c r="AC177" s="115"/>
      <c r="AD177" s="25"/>
      <c r="AE177" s="118"/>
      <c r="AF177" s="110" t="s">
        <v>232</v>
      </c>
      <c r="AG177" s="110" t="s">
        <v>117</v>
      </c>
      <c r="AH177" s="25"/>
      <c r="AI177" s="25"/>
      <c r="AJ177" s="25"/>
      <c r="AK177" s="25"/>
      <c r="AL177" s="25"/>
      <c r="AM177" s="25"/>
      <c r="AN177" s="33" t="s">
        <v>136</v>
      </c>
      <c r="AO177" s="119">
        <v>44740</v>
      </c>
      <c r="AP177" s="120"/>
      <c r="AQ177" s="4"/>
      <c r="AR177" s="4"/>
      <c r="AS177" s="4"/>
      <c r="AT177" s="4"/>
      <c r="AU177" s="4"/>
    </row>
    <row r="178" spans="1:47" s="121" customFormat="1" ht="111.95" hidden="1" customHeight="1" x14ac:dyDescent="0.25">
      <c r="A178" s="109">
        <v>45</v>
      </c>
      <c r="B178" s="109" t="s">
        <v>109</v>
      </c>
      <c r="C178" s="109" t="s">
        <v>1204</v>
      </c>
      <c r="D178" s="109">
        <v>3</v>
      </c>
      <c r="E178" s="109" t="s">
        <v>118</v>
      </c>
      <c r="F178" s="111" t="s">
        <v>503</v>
      </c>
      <c r="G178" s="112" t="s">
        <v>244</v>
      </c>
      <c r="H178" s="112" t="s">
        <v>504</v>
      </c>
      <c r="I178" s="113" t="s">
        <v>112</v>
      </c>
      <c r="J178" s="112" t="s">
        <v>505</v>
      </c>
      <c r="K178" s="112" t="s">
        <v>506</v>
      </c>
      <c r="L178" s="114" t="s">
        <v>361</v>
      </c>
      <c r="M178" s="114"/>
      <c r="N178" s="115">
        <v>44743</v>
      </c>
      <c r="O178" s="115">
        <v>45107</v>
      </c>
      <c r="P178" s="116">
        <f t="shared" si="47"/>
        <v>0.99726027397260275</v>
      </c>
      <c r="Q178" s="110" t="s">
        <v>28</v>
      </c>
      <c r="R178" s="110">
        <f t="shared" ca="1" si="45"/>
        <v>6.5904350694444505</v>
      </c>
      <c r="S178" s="110" t="str">
        <f t="shared" ca="1" si="48"/>
        <v>O</v>
      </c>
      <c r="T178" s="117">
        <v>1</v>
      </c>
      <c r="U178" s="117">
        <v>1</v>
      </c>
      <c r="V178" s="117">
        <v>1</v>
      </c>
      <c r="W178" s="117">
        <f t="shared" si="49"/>
        <v>3</v>
      </c>
      <c r="X178" s="117" t="str">
        <f t="shared" si="50"/>
        <v>Biasa</v>
      </c>
      <c r="Y178" s="111"/>
      <c r="Z178" s="122"/>
      <c r="AA178" s="115"/>
      <c r="AB178" s="115"/>
      <c r="AC178" s="115"/>
      <c r="AD178" s="25"/>
      <c r="AE178" s="118"/>
      <c r="AF178" s="110" t="s">
        <v>232</v>
      </c>
      <c r="AG178" s="110" t="s">
        <v>117</v>
      </c>
      <c r="AH178" s="25"/>
      <c r="AI178" s="25"/>
      <c r="AJ178" s="25"/>
      <c r="AK178" s="25"/>
      <c r="AL178" s="25"/>
      <c r="AM178" s="25"/>
      <c r="AN178" s="33" t="s">
        <v>123</v>
      </c>
      <c r="AO178" s="119">
        <v>44720</v>
      </c>
      <c r="AP178" s="120"/>
      <c r="AQ178" s="4"/>
      <c r="AR178" s="4"/>
      <c r="AS178" s="4"/>
      <c r="AT178" s="4"/>
      <c r="AU178" s="4"/>
    </row>
    <row r="179" spans="1:47" s="121" customFormat="1" ht="111.95" hidden="1" customHeight="1" x14ac:dyDescent="0.25">
      <c r="A179" s="109">
        <v>46</v>
      </c>
      <c r="B179" s="109" t="s">
        <v>109</v>
      </c>
      <c r="C179" s="109" t="s">
        <v>1204</v>
      </c>
      <c r="D179" s="109">
        <v>4</v>
      </c>
      <c r="E179" s="109" t="s">
        <v>118</v>
      </c>
      <c r="F179" s="111" t="s">
        <v>543</v>
      </c>
      <c r="G179" s="112" t="s">
        <v>244</v>
      </c>
      <c r="H179" s="112" t="s">
        <v>544</v>
      </c>
      <c r="I179" s="113" t="s">
        <v>112</v>
      </c>
      <c r="J179" s="112" t="s">
        <v>545</v>
      </c>
      <c r="K179" s="112" t="s">
        <v>546</v>
      </c>
      <c r="L179" s="114" t="s">
        <v>226</v>
      </c>
      <c r="M179" s="114"/>
      <c r="N179" s="115">
        <v>44743</v>
      </c>
      <c r="O179" s="115">
        <v>45107</v>
      </c>
      <c r="P179" s="116">
        <f t="shared" si="47"/>
        <v>0.99726027397260275</v>
      </c>
      <c r="Q179" s="110" t="s">
        <v>28</v>
      </c>
      <c r="R179" s="110">
        <f t="shared" ref="R179:R187" ca="1" si="51">(O179-NOW()+1)/31</f>
        <v>6.5904350694444505</v>
      </c>
      <c r="S179" s="110" t="str">
        <f t="shared" ca="1" si="48"/>
        <v>O</v>
      </c>
      <c r="T179" s="117">
        <v>1</v>
      </c>
      <c r="U179" s="117">
        <v>1</v>
      </c>
      <c r="V179" s="117">
        <v>1</v>
      </c>
      <c r="W179" s="117">
        <f t="shared" si="49"/>
        <v>3</v>
      </c>
      <c r="X179" s="117" t="str">
        <f t="shared" si="50"/>
        <v>Biasa</v>
      </c>
      <c r="Y179" s="111"/>
      <c r="Z179" s="122"/>
      <c r="AA179" s="115"/>
      <c r="AB179" s="115"/>
      <c r="AC179" s="115"/>
      <c r="AD179" s="25"/>
      <c r="AE179" s="118"/>
      <c r="AF179" s="110" t="s">
        <v>232</v>
      </c>
      <c r="AG179" s="110" t="s">
        <v>117</v>
      </c>
      <c r="AH179" s="25"/>
      <c r="AI179" s="25"/>
      <c r="AJ179" s="25"/>
      <c r="AK179" s="25"/>
      <c r="AL179" s="25"/>
      <c r="AM179" s="25"/>
      <c r="AN179" s="33" t="s">
        <v>136</v>
      </c>
      <c r="AO179" s="119">
        <v>44740</v>
      </c>
      <c r="AP179" s="120"/>
      <c r="AQ179" s="4"/>
      <c r="AR179" s="4"/>
      <c r="AS179" s="4"/>
      <c r="AT179" s="4"/>
      <c r="AU179" s="4"/>
    </row>
    <row r="180" spans="1:47" s="121" customFormat="1" ht="111.95" hidden="1" customHeight="1" x14ac:dyDescent="0.25">
      <c r="A180" s="109">
        <v>47</v>
      </c>
      <c r="B180" s="109" t="s">
        <v>109</v>
      </c>
      <c r="C180" s="109" t="s">
        <v>1204</v>
      </c>
      <c r="D180" s="109">
        <v>5</v>
      </c>
      <c r="E180" s="109" t="s">
        <v>118</v>
      </c>
      <c r="F180" s="111" t="s">
        <v>547</v>
      </c>
      <c r="G180" s="112" t="s">
        <v>244</v>
      </c>
      <c r="H180" s="112" t="s">
        <v>548</v>
      </c>
      <c r="I180" s="113" t="s">
        <v>112</v>
      </c>
      <c r="J180" s="112" t="s">
        <v>549</v>
      </c>
      <c r="K180" s="112" t="s">
        <v>550</v>
      </c>
      <c r="L180" s="114" t="s">
        <v>361</v>
      </c>
      <c r="M180" s="114"/>
      <c r="N180" s="115">
        <v>44743</v>
      </c>
      <c r="O180" s="115">
        <v>45107</v>
      </c>
      <c r="P180" s="116">
        <f t="shared" si="47"/>
        <v>0.99726027397260275</v>
      </c>
      <c r="Q180" s="110" t="s">
        <v>28</v>
      </c>
      <c r="R180" s="110">
        <f t="shared" ca="1" si="51"/>
        <v>6.5904350694444505</v>
      </c>
      <c r="S180" s="110" t="str">
        <f t="shared" ca="1" si="48"/>
        <v>O</v>
      </c>
      <c r="T180" s="117">
        <v>1</v>
      </c>
      <c r="U180" s="117">
        <v>1</v>
      </c>
      <c r="V180" s="117">
        <v>1</v>
      </c>
      <c r="W180" s="117">
        <f t="shared" si="49"/>
        <v>3</v>
      </c>
      <c r="X180" s="117" t="str">
        <f t="shared" si="50"/>
        <v>Biasa</v>
      </c>
      <c r="Y180" s="111"/>
      <c r="Z180" s="122"/>
      <c r="AA180" s="115"/>
      <c r="AB180" s="115"/>
      <c r="AC180" s="115"/>
      <c r="AD180" s="25"/>
      <c r="AE180" s="118"/>
      <c r="AF180" s="110" t="s">
        <v>232</v>
      </c>
      <c r="AG180" s="110" t="s">
        <v>117</v>
      </c>
      <c r="AH180" s="25"/>
      <c r="AI180" s="25"/>
      <c r="AJ180" s="25"/>
      <c r="AK180" s="25"/>
      <c r="AL180" s="25"/>
      <c r="AM180" s="25"/>
      <c r="AN180" s="33" t="s">
        <v>123</v>
      </c>
      <c r="AO180" s="119">
        <v>44720</v>
      </c>
      <c r="AP180" s="120" t="s">
        <v>551</v>
      </c>
      <c r="AQ180" s="4"/>
      <c r="AR180" s="4"/>
      <c r="AS180" s="4"/>
      <c r="AT180" s="4"/>
      <c r="AU180" s="4"/>
    </row>
    <row r="181" spans="1:47" s="121" customFormat="1" ht="111.95" hidden="1" customHeight="1" x14ac:dyDescent="0.25">
      <c r="A181" s="109">
        <v>48</v>
      </c>
      <c r="B181" s="109" t="s">
        <v>109</v>
      </c>
      <c r="C181" s="109" t="s">
        <v>1204</v>
      </c>
      <c r="D181" s="109">
        <v>5</v>
      </c>
      <c r="E181" s="109" t="s">
        <v>118</v>
      </c>
      <c r="F181" s="111" t="s">
        <v>547</v>
      </c>
      <c r="G181" s="112" t="s">
        <v>244</v>
      </c>
      <c r="H181" s="112" t="s">
        <v>548</v>
      </c>
      <c r="I181" s="113" t="s">
        <v>112</v>
      </c>
      <c r="J181" s="112" t="s">
        <v>549</v>
      </c>
      <c r="K181" s="112" t="s">
        <v>550</v>
      </c>
      <c r="L181" s="114" t="s">
        <v>361</v>
      </c>
      <c r="M181" s="114"/>
      <c r="N181" s="115">
        <v>44743</v>
      </c>
      <c r="O181" s="115">
        <v>45107</v>
      </c>
      <c r="P181" s="116">
        <f t="shared" si="47"/>
        <v>0.99726027397260275</v>
      </c>
      <c r="Q181" s="110" t="s">
        <v>42</v>
      </c>
      <c r="R181" s="110">
        <f ca="1">(O181-NOW()+1)/31</f>
        <v>6.5904350694444505</v>
      </c>
      <c r="S181" s="110" t="str">
        <f t="shared" ca="1" si="48"/>
        <v>O</v>
      </c>
      <c r="T181" s="117">
        <v>1</v>
      </c>
      <c r="U181" s="117">
        <v>1</v>
      </c>
      <c r="V181" s="117">
        <v>3</v>
      </c>
      <c r="W181" s="117">
        <f t="shared" si="49"/>
        <v>5</v>
      </c>
      <c r="X181" s="117" t="str">
        <f t="shared" si="50"/>
        <v>Biasa</v>
      </c>
      <c r="Y181" s="111"/>
      <c r="Z181" s="122"/>
      <c r="AA181" s="115"/>
      <c r="AB181" s="115"/>
      <c r="AC181" s="115"/>
      <c r="AD181" s="25"/>
      <c r="AE181" s="118"/>
      <c r="AF181" s="110" t="s">
        <v>1074</v>
      </c>
      <c r="AG181" s="110" t="s">
        <v>117</v>
      </c>
      <c r="AH181" s="25"/>
      <c r="AI181" s="25"/>
      <c r="AJ181" s="25"/>
      <c r="AK181" s="25"/>
      <c r="AL181" s="25"/>
      <c r="AM181" s="25"/>
      <c r="AN181" s="33" t="s">
        <v>123</v>
      </c>
      <c r="AO181" s="119">
        <v>44720</v>
      </c>
      <c r="AP181" s="120" t="s">
        <v>551</v>
      </c>
      <c r="AQ181" s="4"/>
      <c r="AR181" s="4"/>
      <c r="AS181" s="4"/>
      <c r="AT181" s="4"/>
      <c r="AU181" s="4"/>
    </row>
    <row r="182" spans="1:47" s="121" customFormat="1" ht="111.95" hidden="1" customHeight="1" x14ac:dyDescent="0.25">
      <c r="A182" s="109">
        <v>49</v>
      </c>
      <c r="B182" s="109" t="s">
        <v>109</v>
      </c>
      <c r="C182" s="109" t="s">
        <v>1205</v>
      </c>
      <c r="D182" s="109">
        <v>1</v>
      </c>
      <c r="E182" s="109" t="s">
        <v>118</v>
      </c>
      <c r="F182" s="111" t="s">
        <v>552</v>
      </c>
      <c r="G182" s="112" t="s">
        <v>244</v>
      </c>
      <c r="H182" s="112" t="s">
        <v>553</v>
      </c>
      <c r="I182" s="113" t="s">
        <v>112</v>
      </c>
      <c r="J182" s="112" t="s">
        <v>554</v>
      </c>
      <c r="K182" s="112" t="s">
        <v>555</v>
      </c>
      <c r="L182" s="114" t="s">
        <v>361</v>
      </c>
      <c r="M182" s="114"/>
      <c r="N182" s="115">
        <v>44743</v>
      </c>
      <c r="O182" s="115">
        <v>45107</v>
      </c>
      <c r="P182" s="116">
        <f t="shared" si="47"/>
        <v>0.99726027397260275</v>
      </c>
      <c r="Q182" s="110" t="s">
        <v>28</v>
      </c>
      <c r="R182" s="110">
        <f t="shared" ca="1" si="51"/>
        <v>6.5904350694444505</v>
      </c>
      <c r="S182" s="110" t="str">
        <f t="shared" ca="1" si="48"/>
        <v>O</v>
      </c>
      <c r="T182" s="117">
        <v>1</v>
      </c>
      <c r="U182" s="117">
        <v>1</v>
      </c>
      <c r="V182" s="117">
        <v>1</v>
      </c>
      <c r="W182" s="117">
        <f t="shared" si="49"/>
        <v>3</v>
      </c>
      <c r="X182" s="117" t="str">
        <f t="shared" si="50"/>
        <v>Biasa</v>
      </c>
      <c r="Y182" s="111"/>
      <c r="Z182" s="122"/>
      <c r="AA182" s="115"/>
      <c r="AB182" s="115"/>
      <c r="AC182" s="115"/>
      <c r="AD182" s="25"/>
      <c r="AE182" s="118"/>
      <c r="AF182" s="110" t="s">
        <v>382</v>
      </c>
      <c r="AG182" s="110" t="s">
        <v>117</v>
      </c>
      <c r="AH182" s="25"/>
      <c r="AI182" s="25"/>
      <c r="AJ182" s="25"/>
      <c r="AK182" s="25"/>
      <c r="AL182" s="25"/>
      <c r="AM182" s="25"/>
      <c r="AN182" s="33" t="s">
        <v>123</v>
      </c>
      <c r="AO182" s="119">
        <v>44720</v>
      </c>
      <c r="AP182" s="120"/>
      <c r="AQ182" s="4"/>
      <c r="AR182" s="4"/>
      <c r="AS182" s="4"/>
      <c r="AT182" s="4"/>
      <c r="AU182" s="4"/>
    </row>
    <row r="183" spans="1:47" s="121" customFormat="1" ht="111.75" hidden="1" customHeight="1" x14ac:dyDescent="0.25">
      <c r="A183" s="109">
        <v>50</v>
      </c>
      <c r="B183" s="109" t="s">
        <v>109</v>
      </c>
      <c r="C183" s="109" t="s">
        <v>1205</v>
      </c>
      <c r="D183" s="109">
        <v>1</v>
      </c>
      <c r="E183" s="109" t="s">
        <v>118</v>
      </c>
      <c r="F183" s="111" t="s">
        <v>552</v>
      </c>
      <c r="G183" s="112" t="s">
        <v>244</v>
      </c>
      <c r="H183" s="112" t="s">
        <v>553</v>
      </c>
      <c r="I183" s="113" t="s">
        <v>112</v>
      </c>
      <c r="J183" s="112" t="s">
        <v>554</v>
      </c>
      <c r="K183" s="112" t="s">
        <v>555</v>
      </c>
      <c r="L183" s="114" t="s">
        <v>361</v>
      </c>
      <c r="M183" s="114"/>
      <c r="N183" s="115">
        <v>44743</v>
      </c>
      <c r="O183" s="115">
        <v>45107</v>
      </c>
      <c r="P183" s="116">
        <f>(O183-N183)/365</f>
        <v>0.99726027397260275</v>
      </c>
      <c r="Q183" s="110" t="s">
        <v>36</v>
      </c>
      <c r="R183" s="110">
        <f ca="1">(O183-NOW()+1)/31</f>
        <v>6.5904350694444505</v>
      </c>
      <c r="S183" s="110" t="str">
        <f ca="1">IF(R183="End","Z",IF(R183="Cancel","C",IF(SUM(R183)&gt;0,"O",IF(ISBLANK(R183),"X",IF(SUM(R183)&lt;0,"Y",IF(SUM(R183),"-","O"))))))</f>
        <v>O</v>
      </c>
      <c r="T183" s="117">
        <v>1</v>
      </c>
      <c r="U183" s="117">
        <v>1</v>
      </c>
      <c r="V183" s="117">
        <v>1</v>
      </c>
      <c r="W183" s="117">
        <f>T183+U183+V183</f>
        <v>3</v>
      </c>
      <c r="X183" s="117" t="str">
        <f>IF(W183&gt;5,"Penting",IF(ISBLANK(W183),"","Biasa"))</f>
        <v>Biasa</v>
      </c>
      <c r="Y183" s="111"/>
      <c r="Z183" s="122"/>
      <c r="AA183" s="115"/>
      <c r="AB183" s="115"/>
      <c r="AC183" s="115"/>
      <c r="AD183" s="25"/>
      <c r="AE183" s="118"/>
      <c r="AF183" s="110" t="s">
        <v>382</v>
      </c>
      <c r="AG183" s="110" t="s">
        <v>117</v>
      </c>
      <c r="AH183" s="25"/>
      <c r="AI183" s="25"/>
      <c r="AJ183" s="25"/>
      <c r="AK183" s="25"/>
      <c r="AL183" s="25"/>
      <c r="AM183" s="25"/>
      <c r="AN183" s="33" t="s">
        <v>123</v>
      </c>
      <c r="AO183" s="119">
        <v>44720</v>
      </c>
      <c r="AP183" s="120"/>
      <c r="AQ183" s="4"/>
      <c r="AR183" s="4"/>
      <c r="AS183" s="4"/>
      <c r="AT183" s="4"/>
      <c r="AU183" s="4"/>
    </row>
    <row r="184" spans="1:47" s="121" customFormat="1" ht="111.95" hidden="1" customHeight="1" x14ac:dyDescent="0.25">
      <c r="A184" s="109">
        <v>51</v>
      </c>
      <c r="B184" s="109" t="s">
        <v>109</v>
      </c>
      <c r="C184" s="109" t="s">
        <v>1205</v>
      </c>
      <c r="D184" s="109">
        <v>2</v>
      </c>
      <c r="E184" s="109" t="s">
        <v>118</v>
      </c>
      <c r="F184" s="111" t="s">
        <v>556</v>
      </c>
      <c r="G184" s="112" t="s">
        <v>244</v>
      </c>
      <c r="H184" s="112" t="s">
        <v>557</v>
      </c>
      <c r="I184" s="113" t="s">
        <v>112</v>
      </c>
      <c r="J184" s="112" t="s">
        <v>558</v>
      </c>
      <c r="K184" s="112" t="s">
        <v>559</v>
      </c>
      <c r="L184" s="114" t="s">
        <v>361</v>
      </c>
      <c r="M184" s="114"/>
      <c r="N184" s="115">
        <v>44743</v>
      </c>
      <c r="O184" s="115">
        <v>45107</v>
      </c>
      <c r="P184" s="116">
        <f t="shared" si="47"/>
        <v>0.99726027397260275</v>
      </c>
      <c r="Q184" s="110" t="s">
        <v>28</v>
      </c>
      <c r="R184" s="110">
        <f t="shared" ca="1" si="51"/>
        <v>6.5904350694444505</v>
      </c>
      <c r="S184" s="110" t="str">
        <f t="shared" ca="1" si="48"/>
        <v>O</v>
      </c>
      <c r="T184" s="117">
        <v>1</v>
      </c>
      <c r="U184" s="117">
        <v>1</v>
      </c>
      <c r="V184" s="117">
        <v>1</v>
      </c>
      <c r="W184" s="117">
        <f t="shared" si="49"/>
        <v>3</v>
      </c>
      <c r="X184" s="117" t="str">
        <f t="shared" si="50"/>
        <v>Biasa</v>
      </c>
      <c r="Y184" s="111"/>
      <c r="Z184" s="122"/>
      <c r="AA184" s="115"/>
      <c r="AB184" s="115"/>
      <c r="AC184" s="115"/>
      <c r="AD184" s="25"/>
      <c r="AE184" s="118"/>
      <c r="AF184" s="110" t="s">
        <v>232</v>
      </c>
      <c r="AG184" s="110" t="s">
        <v>117</v>
      </c>
      <c r="AH184" s="25"/>
      <c r="AI184" s="25"/>
      <c r="AJ184" s="25"/>
      <c r="AK184" s="25"/>
      <c r="AL184" s="25"/>
      <c r="AM184" s="25"/>
      <c r="AN184" s="33" t="s">
        <v>123</v>
      </c>
      <c r="AO184" s="119">
        <v>44720</v>
      </c>
      <c r="AP184" s="120"/>
      <c r="AQ184" s="4"/>
      <c r="AR184" s="4"/>
      <c r="AS184" s="4"/>
      <c r="AT184" s="4"/>
      <c r="AU184" s="4"/>
    </row>
    <row r="185" spans="1:47" s="121" customFormat="1" ht="111.95" hidden="1" customHeight="1" x14ac:dyDescent="0.25">
      <c r="A185" s="109">
        <v>52</v>
      </c>
      <c r="B185" s="109" t="s">
        <v>109</v>
      </c>
      <c r="C185" s="109" t="s">
        <v>1205</v>
      </c>
      <c r="D185" s="109">
        <v>3</v>
      </c>
      <c r="E185" s="109" t="s">
        <v>118</v>
      </c>
      <c r="F185" s="111" t="s">
        <v>487</v>
      </c>
      <c r="G185" s="112" t="s">
        <v>244</v>
      </c>
      <c r="H185" s="112" t="s">
        <v>488</v>
      </c>
      <c r="I185" s="113" t="s">
        <v>112</v>
      </c>
      <c r="J185" s="112" t="s">
        <v>489</v>
      </c>
      <c r="K185" s="112" t="s">
        <v>490</v>
      </c>
      <c r="L185" s="114" t="s">
        <v>361</v>
      </c>
      <c r="M185" s="114"/>
      <c r="N185" s="115">
        <v>44743</v>
      </c>
      <c r="O185" s="115">
        <v>45107</v>
      </c>
      <c r="P185" s="116">
        <f t="shared" si="47"/>
        <v>0.99726027397260275</v>
      </c>
      <c r="Q185" s="110" t="s">
        <v>28</v>
      </c>
      <c r="R185" s="110">
        <f t="shared" ca="1" si="51"/>
        <v>6.5904350694444505</v>
      </c>
      <c r="S185" s="110" t="str">
        <f t="shared" ca="1" si="48"/>
        <v>O</v>
      </c>
      <c r="T185" s="117">
        <v>1</v>
      </c>
      <c r="U185" s="117">
        <v>1</v>
      </c>
      <c r="V185" s="117">
        <v>1</v>
      </c>
      <c r="W185" s="117">
        <f t="shared" si="49"/>
        <v>3</v>
      </c>
      <c r="X185" s="117" t="str">
        <f t="shared" si="50"/>
        <v>Biasa</v>
      </c>
      <c r="Y185" s="111"/>
      <c r="Z185" s="122"/>
      <c r="AA185" s="115"/>
      <c r="AB185" s="115"/>
      <c r="AC185" s="115"/>
      <c r="AD185" s="25"/>
      <c r="AE185" s="118"/>
      <c r="AF185" s="110" t="s">
        <v>232</v>
      </c>
      <c r="AG185" s="110" t="s">
        <v>117</v>
      </c>
      <c r="AH185" s="25"/>
      <c r="AI185" s="25"/>
      <c r="AJ185" s="25"/>
      <c r="AK185" s="25"/>
      <c r="AL185" s="25"/>
      <c r="AM185" s="25"/>
      <c r="AN185" s="33" t="s">
        <v>123</v>
      </c>
      <c r="AO185" s="119">
        <v>44720</v>
      </c>
      <c r="AP185" s="120"/>
      <c r="AQ185" s="4"/>
      <c r="AR185" s="4"/>
      <c r="AS185" s="4"/>
      <c r="AT185" s="4"/>
      <c r="AU185" s="4"/>
    </row>
    <row r="186" spans="1:47" s="121" customFormat="1" ht="111.95" hidden="1" customHeight="1" x14ac:dyDescent="0.25">
      <c r="A186" s="109">
        <v>53</v>
      </c>
      <c r="B186" s="109" t="s">
        <v>109</v>
      </c>
      <c r="C186" s="109" t="s">
        <v>1205</v>
      </c>
      <c r="D186" s="109">
        <v>4</v>
      </c>
      <c r="E186" s="109" t="s">
        <v>118</v>
      </c>
      <c r="F186" s="111" t="s">
        <v>499</v>
      </c>
      <c r="G186" s="112" t="s">
        <v>244</v>
      </c>
      <c r="H186" s="112" t="s">
        <v>500</v>
      </c>
      <c r="I186" s="113" t="s">
        <v>112</v>
      </c>
      <c r="J186" s="112" t="s">
        <v>501</v>
      </c>
      <c r="K186" s="112" t="s">
        <v>502</v>
      </c>
      <c r="L186" s="114" t="s">
        <v>226</v>
      </c>
      <c r="M186" s="114"/>
      <c r="N186" s="115">
        <v>44743</v>
      </c>
      <c r="O186" s="115">
        <v>45107</v>
      </c>
      <c r="P186" s="116">
        <f t="shared" si="47"/>
        <v>0.99726027397260275</v>
      </c>
      <c r="Q186" s="110" t="s">
        <v>28</v>
      </c>
      <c r="R186" s="110">
        <f t="shared" ca="1" si="51"/>
        <v>6.5904350694444505</v>
      </c>
      <c r="S186" s="110" t="str">
        <f t="shared" ca="1" si="48"/>
        <v>O</v>
      </c>
      <c r="T186" s="117">
        <v>3</v>
      </c>
      <c r="U186" s="117">
        <v>1</v>
      </c>
      <c r="V186" s="117">
        <v>1</v>
      </c>
      <c r="W186" s="117">
        <f t="shared" si="49"/>
        <v>5</v>
      </c>
      <c r="X186" s="117" t="str">
        <f t="shared" si="50"/>
        <v>Biasa</v>
      </c>
      <c r="Y186" s="111"/>
      <c r="Z186" s="122"/>
      <c r="AA186" s="115"/>
      <c r="AB186" s="115"/>
      <c r="AC186" s="115"/>
      <c r="AD186" s="25"/>
      <c r="AE186" s="118"/>
      <c r="AF186" s="110" t="s">
        <v>228</v>
      </c>
      <c r="AG186" s="110" t="s">
        <v>117</v>
      </c>
      <c r="AH186" s="25"/>
      <c r="AI186" s="25"/>
      <c r="AJ186" s="25"/>
      <c r="AK186" s="25"/>
      <c r="AL186" s="25"/>
      <c r="AM186" s="25"/>
      <c r="AN186" s="33" t="s">
        <v>123</v>
      </c>
      <c r="AO186" s="119">
        <v>44740</v>
      </c>
      <c r="AP186" s="120"/>
      <c r="AQ186" s="4"/>
      <c r="AR186" s="4"/>
      <c r="AS186" s="4"/>
      <c r="AT186" s="4"/>
      <c r="AU186" s="4"/>
    </row>
    <row r="187" spans="1:47" s="121" customFormat="1" ht="111.95" hidden="1" customHeight="1" x14ac:dyDescent="0.25">
      <c r="A187" s="109">
        <v>54</v>
      </c>
      <c r="B187" s="109" t="s">
        <v>109</v>
      </c>
      <c r="C187" s="109" t="s">
        <v>1205</v>
      </c>
      <c r="D187" s="109">
        <v>4</v>
      </c>
      <c r="E187" s="109" t="s">
        <v>118</v>
      </c>
      <c r="F187" s="111" t="s">
        <v>499</v>
      </c>
      <c r="G187" s="112" t="s">
        <v>244</v>
      </c>
      <c r="H187" s="112" t="s">
        <v>500</v>
      </c>
      <c r="I187" s="113" t="s">
        <v>112</v>
      </c>
      <c r="J187" s="112" t="s">
        <v>501</v>
      </c>
      <c r="K187" s="112" t="s">
        <v>502</v>
      </c>
      <c r="L187" s="114" t="s">
        <v>226</v>
      </c>
      <c r="M187" s="114"/>
      <c r="N187" s="115">
        <v>44743</v>
      </c>
      <c r="O187" s="115">
        <v>45107</v>
      </c>
      <c r="P187" s="116">
        <f t="shared" si="47"/>
        <v>0.99726027397260275</v>
      </c>
      <c r="Q187" s="110" t="s">
        <v>42</v>
      </c>
      <c r="R187" s="110">
        <f t="shared" ca="1" si="51"/>
        <v>6.5904350694444505</v>
      </c>
      <c r="S187" s="110" t="str">
        <f t="shared" ca="1" si="48"/>
        <v>O</v>
      </c>
      <c r="T187" s="117">
        <v>3</v>
      </c>
      <c r="U187" s="117">
        <v>1</v>
      </c>
      <c r="V187" s="117">
        <v>1</v>
      </c>
      <c r="W187" s="117">
        <f t="shared" si="49"/>
        <v>5</v>
      </c>
      <c r="X187" s="117" t="str">
        <f t="shared" si="50"/>
        <v>Biasa</v>
      </c>
      <c r="Y187" s="111"/>
      <c r="Z187" s="122"/>
      <c r="AA187" s="115"/>
      <c r="AB187" s="115"/>
      <c r="AC187" s="115"/>
      <c r="AD187" s="25"/>
      <c r="AE187" s="118"/>
      <c r="AF187" s="110" t="s">
        <v>228</v>
      </c>
      <c r="AG187" s="110" t="s">
        <v>117</v>
      </c>
      <c r="AH187" s="25"/>
      <c r="AI187" s="25"/>
      <c r="AJ187" s="25"/>
      <c r="AK187" s="25"/>
      <c r="AL187" s="25"/>
      <c r="AM187" s="25"/>
      <c r="AN187" s="33" t="s">
        <v>123</v>
      </c>
      <c r="AO187" s="119">
        <v>44740</v>
      </c>
      <c r="AP187" s="120"/>
      <c r="AQ187" s="4"/>
      <c r="AR187" s="4"/>
      <c r="AS187" s="4"/>
      <c r="AT187" s="4"/>
      <c r="AU187" s="4"/>
    </row>
    <row r="188" spans="1:47" s="121" customFormat="1" ht="111.95" hidden="1" customHeight="1" x14ac:dyDescent="0.25">
      <c r="A188" s="109">
        <v>55</v>
      </c>
      <c r="B188" s="109" t="s">
        <v>109</v>
      </c>
      <c r="C188" s="109" t="s">
        <v>1205</v>
      </c>
      <c r="D188" s="109">
        <v>5</v>
      </c>
      <c r="E188" s="109" t="s">
        <v>118</v>
      </c>
      <c r="F188" s="111" t="s">
        <v>541</v>
      </c>
      <c r="G188" s="112" t="s">
        <v>244</v>
      </c>
      <c r="H188" s="112" t="s">
        <v>324</v>
      </c>
      <c r="I188" s="113" t="s">
        <v>112</v>
      </c>
      <c r="J188" s="112" t="s">
        <v>542</v>
      </c>
      <c r="K188" s="112" t="s">
        <v>326</v>
      </c>
      <c r="L188" s="114" t="s">
        <v>226</v>
      </c>
      <c r="M188" s="114"/>
      <c r="N188" s="115">
        <v>44805</v>
      </c>
      <c r="O188" s="115">
        <v>45169</v>
      </c>
      <c r="P188" s="116">
        <f t="shared" si="47"/>
        <v>0.99726027397260275</v>
      </c>
      <c r="Q188" s="110" t="s">
        <v>28</v>
      </c>
      <c r="R188" s="110">
        <f t="shared" ref="R188:R250" ca="1" si="52">(O188-NOW()+1)/31</f>
        <v>8.5904350694444496</v>
      </c>
      <c r="S188" s="110" t="str">
        <f t="shared" ca="1" si="48"/>
        <v>O</v>
      </c>
      <c r="T188" s="117">
        <v>1</v>
      </c>
      <c r="U188" s="117">
        <v>2</v>
      </c>
      <c r="V188" s="117">
        <v>3</v>
      </c>
      <c r="W188" s="117">
        <f t="shared" si="49"/>
        <v>6</v>
      </c>
      <c r="X188" s="117" t="str">
        <f t="shared" si="50"/>
        <v>Penting</v>
      </c>
      <c r="Y188" s="111"/>
      <c r="Z188" s="122"/>
      <c r="AA188" s="115"/>
      <c r="AB188" s="115"/>
      <c r="AC188" s="115"/>
      <c r="AD188" s="25"/>
      <c r="AE188" s="118"/>
      <c r="AF188" s="110" t="s">
        <v>232</v>
      </c>
      <c r="AG188" s="110" t="s">
        <v>117</v>
      </c>
      <c r="AH188" s="25"/>
      <c r="AI188" s="25"/>
      <c r="AJ188" s="25"/>
      <c r="AK188" s="25"/>
      <c r="AL188" s="25"/>
      <c r="AM188" s="25"/>
      <c r="AN188" s="33" t="s">
        <v>136</v>
      </c>
      <c r="AO188" s="119">
        <v>44811</v>
      </c>
      <c r="AP188" s="120"/>
      <c r="AQ188" s="4"/>
      <c r="AR188" s="4"/>
      <c r="AS188" s="4"/>
      <c r="AT188" s="4"/>
      <c r="AU188" s="4"/>
    </row>
    <row r="189" spans="1:47" s="121" customFormat="1" ht="111.95" hidden="1" customHeight="1" x14ac:dyDescent="0.25">
      <c r="A189" s="109">
        <v>56</v>
      </c>
      <c r="B189" s="109" t="s">
        <v>109</v>
      </c>
      <c r="C189" s="109" t="s">
        <v>1206</v>
      </c>
      <c r="D189" s="109">
        <v>1</v>
      </c>
      <c r="E189" s="109" t="s">
        <v>118</v>
      </c>
      <c r="F189" s="111" t="s">
        <v>597</v>
      </c>
      <c r="G189" s="112" t="s">
        <v>598</v>
      </c>
      <c r="H189" s="112" t="s">
        <v>599</v>
      </c>
      <c r="I189" s="113" t="s">
        <v>112</v>
      </c>
      <c r="J189" s="112" t="s">
        <v>600</v>
      </c>
      <c r="K189" s="112" t="s">
        <v>601</v>
      </c>
      <c r="L189" s="114">
        <v>8500</v>
      </c>
      <c r="M189" s="114" t="s">
        <v>602</v>
      </c>
      <c r="N189" s="115">
        <v>44531</v>
      </c>
      <c r="O189" s="115">
        <v>45626</v>
      </c>
      <c r="P189" s="116">
        <f t="shared" si="47"/>
        <v>3</v>
      </c>
      <c r="Q189" s="110" t="s">
        <v>28</v>
      </c>
      <c r="R189" s="110">
        <f t="shared" ca="1" si="52"/>
        <v>23.332370553315418</v>
      </c>
      <c r="S189" s="110" t="str">
        <f t="shared" ca="1" si="48"/>
        <v>O</v>
      </c>
      <c r="T189" s="117">
        <v>1</v>
      </c>
      <c r="U189" s="117">
        <v>1</v>
      </c>
      <c r="V189" s="117">
        <v>2</v>
      </c>
      <c r="W189" s="117">
        <f t="shared" si="49"/>
        <v>4</v>
      </c>
      <c r="X189" s="117" t="str">
        <f t="shared" si="50"/>
        <v>Biasa</v>
      </c>
      <c r="Y189" s="111"/>
      <c r="Z189" s="122" t="s">
        <v>117</v>
      </c>
      <c r="AA189" s="115">
        <f>N189+270</f>
        <v>44801</v>
      </c>
      <c r="AB189" s="115">
        <f>+N189+635</f>
        <v>45166</v>
      </c>
      <c r="AC189" s="115"/>
      <c r="AD189" s="25" t="s">
        <v>122</v>
      </c>
      <c r="AE189" s="118">
        <v>43787</v>
      </c>
      <c r="AF189" s="110" t="s">
        <v>232</v>
      </c>
      <c r="AG189" s="110" t="s">
        <v>117</v>
      </c>
      <c r="AH189" s="25"/>
      <c r="AI189" s="25"/>
      <c r="AJ189" s="25"/>
      <c r="AK189" s="25"/>
      <c r="AL189" s="25"/>
      <c r="AM189" s="25"/>
      <c r="AN189" s="33" t="s">
        <v>123</v>
      </c>
      <c r="AO189" s="119"/>
      <c r="AP189" s="120"/>
      <c r="AQ189" s="4"/>
      <c r="AR189" s="4"/>
      <c r="AS189" s="4"/>
      <c r="AT189" s="4"/>
      <c r="AU189" s="4"/>
    </row>
    <row r="190" spans="1:47" s="121" customFormat="1" ht="111.95" hidden="1" customHeight="1" x14ac:dyDescent="0.25">
      <c r="A190" s="109">
        <v>57</v>
      </c>
      <c r="B190" s="109" t="s">
        <v>109</v>
      </c>
      <c r="C190" s="109" t="s">
        <v>1206</v>
      </c>
      <c r="D190" s="109">
        <v>2</v>
      </c>
      <c r="E190" s="109" t="s">
        <v>118</v>
      </c>
      <c r="F190" s="111" t="s">
        <v>243</v>
      </c>
      <c r="G190" s="112" t="s">
        <v>244</v>
      </c>
      <c r="H190" s="112" t="s">
        <v>241</v>
      </c>
      <c r="I190" s="113" t="s">
        <v>112</v>
      </c>
      <c r="J190" s="112" t="s">
        <v>245</v>
      </c>
      <c r="K190" s="112" t="s">
        <v>242</v>
      </c>
      <c r="L190" s="114" t="s">
        <v>246</v>
      </c>
      <c r="M190" s="114" t="s">
        <v>247</v>
      </c>
      <c r="N190" s="115">
        <v>44743</v>
      </c>
      <c r="O190" s="115">
        <v>45107</v>
      </c>
      <c r="P190" s="116">
        <f t="shared" si="47"/>
        <v>0.99726027397260275</v>
      </c>
      <c r="Q190" s="110" t="s">
        <v>28</v>
      </c>
      <c r="R190" s="110">
        <f t="shared" ca="1" si="52"/>
        <v>6.5904350694444505</v>
      </c>
      <c r="S190" s="110" t="str">
        <f t="shared" ca="1" si="48"/>
        <v>O</v>
      </c>
      <c r="T190" s="117">
        <v>1</v>
      </c>
      <c r="U190" s="117">
        <v>1</v>
      </c>
      <c r="V190" s="117">
        <v>3</v>
      </c>
      <c r="W190" s="117">
        <f t="shared" si="49"/>
        <v>5</v>
      </c>
      <c r="X190" s="117" t="str">
        <f t="shared" si="50"/>
        <v>Biasa</v>
      </c>
      <c r="Y190" s="111"/>
      <c r="Z190" s="122"/>
      <c r="AA190" s="115"/>
      <c r="AB190" s="115"/>
      <c r="AC190" s="115"/>
      <c r="AD190" s="25" t="s">
        <v>122</v>
      </c>
      <c r="AE190" s="118">
        <v>44741</v>
      </c>
      <c r="AF190" s="110" t="s">
        <v>232</v>
      </c>
      <c r="AG190" s="110" t="s">
        <v>117</v>
      </c>
      <c r="AH190" s="25"/>
      <c r="AI190" s="25"/>
      <c r="AJ190" s="25"/>
      <c r="AK190" s="25"/>
      <c r="AL190" s="25"/>
      <c r="AM190" s="25"/>
      <c r="AN190" s="33" t="s">
        <v>136</v>
      </c>
      <c r="AO190" s="119">
        <v>44740</v>
      </c>
      <c r="AP190" s="120"/>
      <c r="AQ190" s="4"/>
      <c r="AR190" s="4"/>
      <c r="AS190" s="4"/>
      <c r="AT190" s="4"/>
      <c r="AU190" s="4"/>
    </row>
    <row r="191" spans="1:47" s="121" customFormat="1" ht="111.95" hidden="1" customHeight="1" x14ac:dyDescent="0.25">
      <c r="A191" s="109">
        <v>58</v>
      </c>
      <c r="B191" s="109" t="s">
        <v>109</v>
      </c>
      <c r="C191" s="109" t="s">
        <v>1206</v>
      </c>
      <c r="D191" s="109">
        <v>3</v>
      </c>
      <c r="E191" s="109" t="s">
        <v>118</v>
      </c>
      <c r="F191" s="111" t="s">
        <v>620</v>
      </c>
      <c r="G191" s="112" t="s">
        <v>244</v>
      </c>
      <c r="H191" s="112" t="s">
        <v>621</v>
      </c>
      <c r="I191" s="113" t="s">
        <v>112</v>
      </c>
      <c r="J191" s="112" t="s">
        <v>622</v>
      </c>
      <c r="K191" s="112" t="s">
        <v>490</v>
      </c>
      <c r="L191" s="114" t="s">
        <v>226</v>
      </c>
      <c r="M191" s="114"/>
      <c r="N191" s="115">
        <v>44743</v>
      </c>
      <c r="O191" s="115">
        <v>45107</v>
      </c>
      <c r="P191" s="116">
        <f t="shared" si="47"/>
        <v>0.99726027397260275</v>
      </c>
      <c r="Q191" s="110" t="s">
        <v>28</v>
      </c>
      <c r="R191" s="110">
        <f t="shared" ca="1" si="52"/>
        <v>6.5904350694444505</v>
      </c>
      <c r="S191" s="110" t="str">
        <f t="shared" ca="1" si="48"/>
        <v>O</v>
      </c>
      <c r="T191" s="117">
        <v>1</v>
      </c>
      <c r="U191" s="117">
        <v>2</v>
      </c>
      <c r="V191" s="117">
        <v>2</v>
      </c>
      <c r="W191" s="117">
        <f t="shared" si="49"/>
        <v>5</v>
      </c>
      <c r="X191" s="117" t="str">
        <f t="shared" si="50"/>
        <v>Biasa</v>
      </c>
      <c r="Y191" s="111"/>
      <c r="Z191" s="122"/>
      <c r="AA191" s="115"/>
      <c r="AB191" s="115"/>
      <c r="AC191" s="115"/>
      <c r="AD191" s="25"/>
      <c r="AE191" s="118"/>
      <c r="AF191" s="110" t="s">
        <v>228</v>
      </c>
      <c r="AG191" s="110" t="s">
        <v>117</v>
      </c>
      <c r="AH191" s="25"/>
      <c r="AI191" s="25"/>
      <c r="AJ191" s="25"/>
      <c r="AK191" s="25"/>
      <c r="AL191" s="25"/>
      <c r="AM191" s="25"/>
      <c r="AN191" s="33" t="s">
        <v>123</v>
      </c>
      <c r="AO191" s="119">
        <v>44720</v>
      </c>
      <c r="AP191" s="120"/>
      <c r="AQ191" s="4"/>
      <c r="AR191" s="4"/>
      <c r="AS191" s="4"/>
      <c r="AT191" s="4"/>
      <c r="AU191" s="4"/>
    </row>
    <row r="192" spans="1:47" s="121" customFormat="1" ht="111.95" hidden="1" customHeight="1" x14ac:dyDescent="0.25">
      <c r="A192" s="109">
        <v>59</v>
      </c>
      <c r="B192" s="109" t="s">
        <v>109</v>
      </c>
      <c r="C192" s="109" t="s">
        <v>1206</v>
      </c>
      <c r="D192" s="109">
        <v>3</v>
      </c>
      <c r="E192" s="109" t="s">
        <v>118</v>
      </c>
      <c r="F192" s="111" t="s">
        <v>620</v>
      </c>
      <c r="G192" s="112" t="s">
        <v>244</v>
      </c>
      <c r="H192" s="112" t="s">
        <v>621</v>
      </c>
      <c r="I192" s="113" t="s">
        <v>112</v>
      </c>
      <c r="J192" s="112" t="s">
        <v>622</v>
      </c>
      <c r="K192" s="112" t="s">
        <v>490</v>
      </c>
      <c r="L192" s="114" t="s">
        <v>226</v>
      </c>
      <c r="M192" s="114"/>
      <c r="N192" s="115">
        <v>44743</v>
      </c>
      <c r="O192" s="115">
        <v>45107</v>
      </c>
      <c r="P192" s="116">
        <f t="shared" si="47"/>
        <v>0.99726027397260275</v>
      </c>
      <c r="Q192" s="110" t="s">
        <v>42</v>
      </c>
      <c r="R192" s="110">
        <f t="shared" ca="1" si="52"/>
        <v>6.5904350694444505</v>
      </c>
      <c r="S192" s="110" t="str">
        <f t="shared" ca="1" si="48"/>
        <v>O</v>
      </c>
      <c r="T192" s="117">
        <v>1</v>
      </c>
      <c r="U192" s="117">
        <v>2</v>
      </c>
      <c r="V192" s="117">
        <v>2</v>
      </c>
      <c r="W192" s="117">
        <f t="shared" si="49"/>
        <v>5</v>
      </c>
      <c r="X192" s="117" t="str">
        <f t="shared" si="50"/>
        <v>Biasa</v>
      </c>
      <c r="Y192" s="111"/>
      <c r="Z192" s="122"/>
      <c r="AA192" s="115"/>
      <c r="AB192" s="115"/>
      <c r="AC192" s="115"/>
      <c r="AD192" s="25"/>
      <c r="AE192" s="118"/>
      <c r="AF192" s="110" t="s">
        <v>228</v>
      </c>
      <c r="AG192" s="110" t="s">
        <v>117</v>
      </c>
      <c r="AH192" s="25"/>
      <c r="AI192" s="25"/>
      <c r="AJ192" s="25"/>
      <c r="AK192" s="25"/>
      <c r="AL192" s="25"/>
      <c r="AM192" s="25"/>
      <c r="AN192" s="33" t="s">
        <v>123</v>
      </c>
      <c r="AO192" s="119">
        <v>44720</v>
      </c>
      <c r="AP192" s="120"/>
      <c r="AQ192" s="4"/>
      <c r="AR192" s="4"/>
      <c r="AS192" s="4"/>
      <c r="AT192" s="4"/>
      <c r="AU192" s="4"/>
    </row>
    <row r="193" spans="1:47" s="121" customFormat="1" ht="111.95" hidden="1" customHeight="1" x14ac:dyDescent="0.25">
      <c r="A193" s="109">
        <v>60</v>
      </c>
      <c r="B193" s="109" t="s">
        <v>109</v>
      </c>
      <c r="C193" s="109" t="s">
        <v>1206</v>
      </c>
      <c r="D193" s="109">
        <v>4</v>
      </c>
      <c r="E193" s="109" t="s">
        <v>118</v>
      </c>
      <c r="F193" s="111" t="s">
        <v>1271</v>
      </c>
      <c r="G193" s="112" t="s">
        <v>244</v>
      </c>
      <c r="H193" s="112" t="s">
        <v>443</v>
      </c>
      <c r="I193" s="113" t="s">
        <v>112</v>
      </c>
      <c r="J193" s="112" t="s">
        <v>444</v>
      </c>
      <c r="K193" s="112" t="s">
        <v>445</v>
      </c>
      <c r="L193" s="114">
        <v>250000</v>
      </c>
      <c r="M193" s="114" t="s">
        <v>446</v>
      </c>
      <c r="N193" s="115">
        <v>44891</v>
      </c>
      <c r="O193" s="115">
        <v>45107</v>
      </c>
      <c r="P193" s="116">
        <f t="shared" si="47"/>
        <v>0.59178082191780823</v>
      </c>
      <c r="Q193" s="110" t="s">
        <v>28</v>
      </c>
      <c r="R193" s="110">
        <f t="shared" ca="1" si="52"/>
        <v>6.5904350694444505</v>
      </c>
      <c r="S193" s="110" t="str">
        <f t="shared" ca="1" si="48"/>
        <v>O</v>
      </c>
      <c r="T193" s="117">
        <v>1</v>
      </c>
      <c r="U193" s="117">
        <v>1</v>
      </c>
      <c r="V193" s="117">
        <v>1</v>
      </c>
      <c r="W193" s="117">
        <f t="shared" si="49"/>
        <v>3</v>
      </c>
      <c r="X193" s="117" t="str">
        <f t="shared" si="50"/>
        <v>Biasa</v>
      </c>
      <c r="Y193" s="111"/>
      <c r="Z193" s="122"/>
      <c r="AA193" s="115"/>
      <c r="AB193" s="115"/>
      <c r="AC193" s="115"/>
      <c r="AD193" s="25" t="s">
        <v>122</v>
      </c>
      <c r="AE193" s="118">
        <v>44501</v>
      </c>
      <c r="AF193" s="110" t="s">
        <v>232</v>
      </c>
      <c r="AG193" s="110" t="s">
        <v>117</v>
      </c>
      <c r="AH193" s="25"/>
      <c r="AI193" s="25"/>
      <c r="AJ193" s="25"/>
      <c r="AK193" s="25"/>
      <c r="AL193" s="25"/>
      <c r="AM193" s="25"/>
      <c r="AN193" s="33" t="s">
        <v>136</v>
      </c>
      <c r="AO193" s="119">
        <v>44883</v>
      </c>
      <c r="AP193" s="120"/>
      <c r="AQ193" s="4"/>
      <c r="AR193" s="4"/>
      <c r="AS193" s="4"/>
      <c r="AT193" s="4"/>
      <c r="AU193" s="4"/>
    </row>
    <row r="194" spans="1:47" s="121" customFormat="1" ht="111.95" hidden="1" customHeight="1" x14ac:dyDescent="0.25">
      <c r="A194" s="109">
        <v>61</v>
      </c>
      <c r="B194" s="109" t="s">
        <v>109</v>
      </c>
      <c r="C194" s="109" t="s">
        <v>1206</v>
      </c>
      <c r="D194" s="109">
        <v>5</v>
      </c>
      <c r="E194" s="109" t="s">
        <v>118</v>
      </c>
      <c r="F194" s="111" t="s">
        <v>1239</v>
      </c>
      <c r="G194" s="112" t="s">
        <v>244</v>
      </c>
      <c r="H194" s="112" t="s">
        <v>447</v>
      </c>
      <c r="I194" s="113" t="s">
        <v>112</v>
      </c>
      <c r="J194" s="112" t="s">
        <v>444</v>
      </c>
      <c r="K194" s="112" t="s">
        <v>448</v>
      </c>
      <c r="L194" s="114">
        <v>250000</v>
      </c>
      <c r="M194" s="114" t="s">
        <v>446</v>
      </c>
      <c r="N194" s="115">
        <v>44891</v>
      </c>
      <c r="O194" s="115">
        <v>45107</v>
      </c>
      <c r="P194" s="116">
        <f t="shared" si="47"/>
        <v>0.59178082191780823</v>
      </c>
      <c r="Q194" s="110" t="s">
        <v>28</v>
      </c>
      <c r="R194" s="110">
        <f t="shared" ca="1" si="52"/>
        <v>6.5904350694444505</v>
      </c>
      <c r="S194" s="110" t="str">
        <f t="shared" ca="1" si="48"/>
        <v>O</v>
      </c>
      <c r="T194" s="117">
        <v>1</v>
      </c>
      <c r="U194" s="117">
        <v>1</v>
      </c>
      <c r="V194" s="117">
        <v>1</v>
      </c>
      <c r="W194" s="117">
        <f t="shared" si="49"/>
        <v>3</v>
      </c>
      <c r="X194" s="117" t="str">
        <f t="shared" si="50"/>
        <v>Biasa</v>
      </c>
      <c r="Y194" s="111"/>
      <c r="Z194" s="122"/>
      <c r="AA194" s="115"/>
      <c r="AB194" s="115"/>
      <c r="AC194" s="115"/>
      <c r="AD194" s="25" t="s">
        <v>122</v>
      </c>
      <c r="AE194" s="118">
        <v>44501</v>
      </c>
      <c r="AF194" s="110" t="s">
        <v>232</v>
      </c>
      <c r="AG194" s="110" t="s">
        <v>117</v>
      </c>
      <c r="AH194" s="25"/>
      <c r="AI194" s="25"/>
      <c r="AJ194" s="25"/>
      <c r="AK194" s="25"/>
      <c r="AL194" s="25"/>
      <c r="AM194" s="25"/>
      <c r="AN194" s="33" t="s">
        <v>136</v>
      </c>
      <c r="AO194" s="119">
        <v>44883</v>
      </c>
      <c r="AP194" s="120"/>
      <c r="AQ194" s="4"/>
      <c r="AR194" s="4"/>
      <c r="AS194" s="4"/>
      <c r="AT194" s="4"/>
      <c r="AU194" s="4"/>
    </row>
    <row r="195" spans="1:47" s="121" customFormat="1" ht="111.95" hidden="1" customHeight="1" x14ac:dyDescent="0.25">
      <c r="A195" s="109">
        <v>62</v>
      </c>
      <c r="B195" s="109" t="s">
        <v>109</v>
      </c>
      <c r="C195" s="109" t="s">
        <v>1207</v>
      </c>
      <c r="D195" s="109">
        <v>1</v>
      </c>
      <c r="E195" s="109" t="s">
        <v>118</v>
      </c>
      <c r="F195" s="111" t="s">
        <v>1276</v>
      </c>
      <c r="G195" s="112" t="s">
        <v>244</v>
      </c>
      <c r="H195" s="112" t="s">
        <v>453</v>
      </c>
      <c r="I195" s="113" t="s">
        <v>112</v>
      </c>
      <c r="J195" s="112" t="s">
        <v>454</v>
      </c>
      <c r="K195" s="112" t="s">
        <v>455</v>
      </c>
      <c r="L195" s="114" t="s">
        <v>361</v>
      </c>
      <c r="M195" s="114"/>
      <c r="N195" s="115">
        <v>44896</v>
      </c>
      <c r="O195" s="115">
        <v>45260</v>
      </c>
      <c r="P195" s="116">
        <f t="shared" si="47"/>
        <v>0.99726027397260275</v>
      </c>
      <c r="Q195" s="110" t="s">
        <v>28</v>
      </c>
      <c r="R195" s="110">
        <f t="shared" ca="1" si="52"/>
        <v>11.525918940412192</v>
      </c>
      <c r="S195" s="110" t="str">
        <f t="shared" ca="1" si="48"/>
        <v>O</v>
      </c>
      <c r="T195" s="117">
        <v>1</v>
      </c>
      <c r="U195" s="117">
        <v>1</v>
      </c>
      <c r="V195" s="117">
        <v>1</v>
      </c>
      <c r="W195" s="117">
        <f t="shared" si="49"/>
        <v>3</v>
      </c>
      <c r="X195" s="117" t="str">
        <f t="shared" si="50"/>
        <v>Biasa</v>
      </c>
      <c r="Y195" s="111"/>
      <c r="Z195" s="122"/>
      <c r="AA195" s="115"/>
      <c r="AB195" s="115"/>
      <c r="AC195" s="115"/>
      <c r="AD195" s="25" t="s">
        <v>122</v>
      </c>
      <c r="AE195" s="118">
        <v>44542</v>
      </c>
      <c r="AF195" s="110" t="s">
        <v>232</v>
      </c>
      <c r="AG195" s="110" t="s">
        <v>117</v>
      </c>
      <c r="AH195" s="25"/>
      <c r="AI195" s="25"/>
      <c r="AJ195" s="25"/>
      <c r="AK195" s="25"/>
      <c r="AL195" s="25"/>
      <c r="AM195" s="25"/>
      <c r="AN195" s="33" t="s">
        <v>136</v>
      </c>
      <c r="AO195" s="119">
        <v>44894</v>
      </c>
      <c r="AP195" s="120"/>
      <c r="AQ195" s="4"/>
      <c r="AR195" s="4"/>
      <c r="AS195" s="4"/>
      <c r="AT195" s="4"/>
      <c r="AU195" s="4"/>
    </row>
    <row r="196" spans="1:47" s="121" customFormat="1" ht="111.95" hidden="1" customHeight="1" x14ac:dyDescent="0.25">
      <c r="A196" s="109">
        <v>63</v>
      </c>
      <c r="B196" s="109" t="s">
        <v>109</v>
      </c>
      <c r="C196" s="109" t="s">
        <v>1207</v>
      </c>
      <c r="D196" s="109">
        <v>2</v>
      </c>
      <c r="E196" s="109" t="s">
        <v>118</v>
      </c>
      <c r="F196" s="111" t="s">
        <v>1275</v>
      </c>
      <c r="G196" s="112" t="s">
        <v>244</v>
      </c>
      <c r="H196" s="112" t="s">
        <v>456</v>
      </c>
      <c r="I196" s="113" t="s">
        <v>112</v>
      </c>
      <c r="J196" s="112" t="s">
        <v>401</v>
      </c>
      <c r="K196" s="112" t="s">
        <v>457</v>
      </c>
      <c r="L196" s="114" t="s">
        <v>226</v>
      </c>
      <c r="M196" s="114"/>
      <c r="N196" s="115">
        <v>44896</v>
      </c>
      <c r="O196" s="115">
        <v>45260</v>
      </c>
      <c r="P196" s="116">
        <f t="shared" si="47"/>
        <v>0.99726027397260275</v>
      </c>
      <c r="Q196" s="110" t="s">
        <v>28</v>
      </c>
      <c r="R196" s="110">
        <f t="shared" ca="1" si="52"/>
        <v>11.525918940412192</v>
      </c>
      <c r="S196" s="110" t="str">
        <f t="shared" ca="1" si="48"/>
        <v>O</v>
      </c>
      <c r="T196" s="117">
        <v>1</v>
      </c>
      <c r="U196" s="117">
        <v>1</v>
      </c>
      <c r="V196" s="117">
        <v>1</v>
      </c>
      <c r="W196" s="117">
        <f t="shared" si="49"/>
        <v>3</v>
      </c>
      <c r="X196" s="117" t="str">
        <f t="shared" si="50"/>
        <v>Biasa</v>
      </c>
      <c r="Y196" s="111"/>
      <c r="Z196" s="122"/>
      <c r="AA196" s="115"/>
      <c r="AB196" s="115"/>
      <c r="AC196" s="115"/>
      <c r="AD196" s="25" t="s">
        <v>122</v>
      </c>
      <c r="AE196" s="118">
        <v>44542</v>
      </c>
      <c r="AF196" s="110" t="s">
        <v>232</v>
      </c>
      <c r="AG196" s="110" t="s">
        <v>117</v>
      </c>
      <c r="AH196" s="25"/>
      <c r="AI196" s="25"/>
      <c r="AJ196" s="25"/>
      <c r="AK196" s="25"/>
      <c r="AL196" s="25"/>
      <c r="AM196" s="25"/>
      <c r="AN196" s="33" t="s">
        <v>136</v>
      </c>
      <c r="AO196" s="119">
        <v>44894</v>
      </c>
      <c r="AP196" s="120"/>
      <c r="AQ196" s="4"/>
      <c r="AR196" s="4"/>
      <c r="AS196" s="4"/>
      <c r="AT196" s="4"/>
      <c r="AU196" s="4"/>
    </row>
    <row r="197" spans="1:47" s="121" customFormat="1" ht="111.95" hidden="1" customHeight="1" x14ac:dyDescent="0.25">
      <c r="A197" s="109">
        <v>64</v>
      </c>
      <c r="B197" s="109" t="s">
        <v>109</v>
      </c>
      <c r="C197" s="109" t="s">
        <v>1207</v>
      </c>
      <c r="D197" s="109">
        <v>3</v>
      </c>
      <c r="E197" s="109" t="s">
        <v>118</v>
      </c>
      <c r="F197" s="111" t="s">
        <v>607</v>
      </c>
      <c r="G197" s="112" t="s">
        <v>244</v>
      </c>
      <c r="H197" s="112" t="s">
        <v>573</v>
      </c>
      <c r="I197" s="113" t="s">
        <v>112</v>
      </c>
      <c r="J197" s="112" t="s">
        <v>608</v>
      </c>
      <c r="K197" s="112" t="s">
        <v>575</v>
      </c>
      <c r="L197" s="114" t="s">
        <v>226</v>
      </c>
      <c r="M197" s="114"/>
      <c r="N197" s="115">
        <v>44531</v>
      </c>
      <c r="O197" s="115">
        <v>44895</v>
      </c>
      <c r="P197" s="116">
        <f t="shared" si="47"/>
        <v>0.99726027397260275</v>
      </c>
      <c r="Q197" s="110" t="s">
        <v>28</v>
      </c>
      <c r="R197" s="110">
        <f t="shared" ca="1" si="52"/>
        <v>-0.24827460797490447</v>
      </c>
      <c r="S197" s="110" t="str">
        <f t="shared" ca="1" si="48"/>
        <v>Y</v>
      </c>
      <c r="T197" s="117">
        <v>1</v>
      </c>
      <c r="U197" s="117">
        <v>1</v>
      </c>
      <c r="V197" s="117">
        <v>2</v>
      </c>
      <c r="W197" s="117">
        <f t="shared" si="49"/>
        <v>4</v>
      </c>
      <c r="X197" s="117" t="str">
        <f t="shared" si="50"/>
        <v>Biasa</v>
      </c>
      <c r="Y197" s="111"/>
      <c r="Z197" s="122"/>
      <c r="AA197" s="115"/>
      <c r="AB197" s="115"/>
      <c r="AC197" s="115"/>
      <c r="AD197" s="25" t="s">
        <v>122</v>
      </c>
      <c r="AE197" s="118">
        <v>44562</v>
      </c>
      <c r="AF197" s="110" t="s">
        <v>232</v>
      </c>
      <c r="AG197" s="110" t="s">
        <v>117</v>
      </c>
      <c r="AH197" s="25"/>
      <c r="AI197" s="25"/>
      <c r="AJ197" s="25"/>
      <c r="AK197" s="25"/>
      <c r="AL197" s="25"/>
      <c r="AM197" s="25"/>
      <c r="AN197" s="33" t="s">
        <v>123</v>
      </c>
      <c r="AO197" s="119"/>
      <c r="AP197" s="120"/>
      <c r="AQ197" s="4"/>
      <c r="AR197" s="4"/>
      <c r="AS197" s="4"/>
      <c r="AT197" s="4"/>
      <c r="AU197" s="4"/>
    </row>
    <row r="198" spans="1:47" s="121" customFormat="1" ht="111.95" hidden="1" customHeight="1" x14ac:dyDescent="0.25">
      <c r="A198" s="109">
        <v>65</v>
      </c>
      <c r="B198" s="109" t="s">
        <v>109</v>
      </c>
      <c r="C198" s="109" t="s">
        <v>1207</v>
      </c>
      <c r="D198" s="109">
        <v>4</v>
      </c>
      <c r="E198" s="109" t="s">
        <v>118</v>
      </c>
      <c r="F198" s="111" t="s">
        <v>609</v>
      </c>
      <c r="G198" s="112" t="s">
        <v>244</v>
      </c>
      <c r="H198" s="112" t="s">
        <v>610</v>
      </c>
      <c r="I198" s="113" t="s">
        <v>112</v>
      </c>
      <c r="J198" s="112" t="s">
        <v>611</v>
      </c>
      <c r="K198" s="112" t="s">
        <v>612</v>
      </c>
      <c r="L198" s="114" t="s">
        <v>226</v>
      </c>
      <c r="M198" s="114"/>
      <c r="N198" s="115">
        <v>44743</v>
      </c>
      <c r="O198" s="115">
        <v>45107</v>
      </c>
      <c r="P198" s="116">
        <f t="shared" si="47"/>
        <v>0.99726027397260275</v>
      </c>
      <c r="Q198" s="110" t="s">
        <v>28</v>
      </c>
      <c r="R198" s="110">
        <f t="shared" ca="1" si="52"/>
        <v>6.5904350694444505</v>
      </c>
      <c r="S198" s="110" t="str">
        <f t="shared" ca="1" si="48"/>
        <v>O</v>
      </c>
      <c r="T198" s="117">
        <v>1</v>
      </c>
      <c r="U198" s="117">
        <v>1</v>
      </c>
      <c r="V198" s="117">
        <v>2</v>
      </c>
      <c r="W198" s="117">
        <f t="shared" si="49"/>
        <v>4</v>
      </c>
      <c r="X198" s="117" t="str">
        <f t="shared" si="50"/>
        <v>Biasa</v>
      </c>
      <c r="Y198" s="111"/>
      <c r="Z198" s="122"/>
      <c r="AA198" s="115"/>
      <c r="AB198" s="115"/>
      <c r="AC198" s="115"/>
      <c r="AD198" s="25" t="s">
        <v>122</v>
      </c>
      <c r="AE198" s="118">
        <v>44586</v>
      </c>
      <c r="AF198" s="110" t="s">
        <v>232</v>
      </c>
      <c r="AG198" s="110" t="s">
        <v>117</v>
      </c>
      <c r="AH198" s="25"/>
      <c r="AI198" s="25"/>
      <c r="AJ198" s="25"/>
      <c r="AK198" s="25"/>
      <c r="AL198" s="25"/>
      <c r="AM198" s="25"/>
      <c r="AN198" s="33" t="s">
        <v>123</v>
      </c>
      <c r="AO198" s="119">
        <v>44720</v>
      </c>
      <c r="AP198" s="120"/>
      <c r="AQ198" s="4"/>
      <c r="AR198" s="4"/>
      <c r="AS198" s="4"/>
      <c r="AT198" s="4"/>
      <c r="AU198" s="4"/>
    </row>
    <row r="199" spans="1:47" s="121" customFormat="1" ht="111.75" hidden="1" customHeight="1" x14ac:dyDescent="0.25">
      <c r="A199" s="109">
        <v>66</v>
      </c>
      <c r="B199" s="109" t="s">
        <v>109</v>
      </c>
      <c r="C199" s="109" t="s">
        <v>1207</v>
      </c>
      <c r="D199" s="109">
        <v>5</v>
      </c>
      <c r="E199" s="109" t="s">
        <v>118</v>
      </c>
      <c r="F199" s="111" t="s">
        <v>613</v>
      </c>
      <c r="G199" s="112" t="s">
        <v>244</v>
      </c>
      <c r="H199" s="112" t="s">
        <v>614</v>
      </c>
      <c r="I199" s="113" t="s">
        <v>112</v>
      </c>
      <c r="J199" s="112" t="s">
        <v>611</v>
      </c>
      <c r="K199" s="112" t="s">
        <v>615</v>
      </c>
      <c r="L199" s="114" t="s">
        <v>226</v>
      </c>
      <c r="M199" s="114"/>
      <c r="N199" s="115">
        <v>44743</v>
      </c>
      <c r="O199" s="115">
        <v>45107</v>
      </c>
      <c r="P199" s="116">
        <f t="shared" si="47"/>
        <v>0.99726027397260275</v>
      </c>
      <c r="Q199" s="110" t="s">
        <v>28</v>
      </c>
      <c r="R199" s="110">
        <f t="shared" ca="1" si="52"/>
        <v>6.5904350694444505</v>
      </c>
      <c r="S199" s="110" t="str">
        <f t="shared" ca="1" si="48"/>
        <v>O</v>
      </c>
      <c r="T199" s="117">
        <v>1</v>
      </c>
      <c r="U199" s="117">
        <v>1</v>
      </c>
      <c r="V199" s="117">
        <v>2</v>
      </c>
      <c r="W199" s="117">
        <f t="shared" si="49"/>
        <v>4</v>
      </c>
      <c r="X199" s="117" t="str">
        <f t="shared" si="50"/>
        <v>Biasa</v>
      </c>
      <c r="Y199" s="111"/>
      <c r="Z199" s="122"/>
      <c r="AA199" s="115"/>
      <c r="AB199" s="115"/>
      <c r="AC199" s="115"/>
      <c r="AD199" s="25" t="s">
        <v>122</v>
      </c>
      <c r="AE199" s="118">
        <v>44617</v>
      </c>
      <c r="AF199" s="110" t="s">
        <v>232</v>
      </c>
      <c r="AG199" s="110" t="s">
        <v>117</v>
      </c>
      <c r="AH199" s="25"/>
      <c r="AI199" s="25"/>
      <c r="AJ199" s="25"/>
      <c r="AK199" s="25"/>
      <c r="AL199" s="25"/>
      <c r="AM199" s="25"/>
      <c r="AN199" s="33" t="s">
        <v>136</v>
      </c>
      <c r="AO199" s="119">
        <v>44740</v>
      </c>
      <c r="AP199" s="120"/>
      <c r="AQ199" s="4"/>
      <c r="AR199" s="4"/>
      <c r="AS199" s="4"/>
      <c r="AT199" s="4"/>
      <c r="AU199" s="4"/>
    </row>
    <row r="200" spans="1:47" s="121" customFormat="1" ht="111.75" hidden="1" customHeight="1" x14ac:dyDescent="0.25">
      <c r="A200" s="109">
        <v>67</v>
      </c>
      <c r="B200" s="109" t="s">
        <v>109</v>
      </c>
      <c r="C200" s="109" t="s">
        <v>1208</v>
      </c>
      <c r="D200" s="109">
        <v>1</v>
      </c>
      <c r="E200" s="109" t="s">
        <v>118</v>
      </c>
      <c r="F200" s="111" t="s">
        <v>495</v>
      </c>
      <c r="G200" s="112" t="s">
        <v>244</v>
      </c>
      <c r="H200" s="112" t="s">
        <v>496</v>
      </c>
      <c r="I200" s="113" t="s">
        <v>112</v>
      </c>
      <c r="J200" s="112" t="s">
        <v>497</v>
      </c>
      <c r="K200" s="112" t="s">
        <v>498</v>
      </c>
      <c r="L200" s="114" t="s">
        <v>361</v>
      </c>
      <c r="M200" s="114"/>
      <c r="N200" s="115">
        <v>44562</v>
      </c>
      <c r="O200" s="115">
        <v>44926</v>
      </c>
      <c r="P200" s="116">
        <f t="shared" si="47"/>
        <v>0.99726027397260275</v>
      </c>
      <c r="Q200" s="110" t="s">
        <v>28</v>
      </c>
      <c r="R200" s="110">
        <f t="shared" ca="1" si="52"/>
        <v>0.75172539202509558</v>
      </c>
      <c r="S200" s="110" t="str">
        <f t="shared" ca="1" si="48"/>
        <v>O</v>
      </c>
      <c r="T200" s="117">
        <v>1</v>
      </c>
      <c r="U200" s="117">
        <v>1</v>
      </c>
      <c r="V200" s="117">
        <v>1</v>
      </c>
      <c r="W200" s="117">
        <f t="shared" si="49"/>
        <v>3</v>
      </c>
      <c r="X200" s="117" t="str">
        <f t="shared" si="50"/>
        <v>Biasa</v>
      </c>
      <c r="Y200" s="111"/>
      <c r="Z200" s="122"/>
      <c r="AA200" s="115"/>
      <c r="AB200" s="115"/>
      <c r="AC200" s="115"/>
      <c r="AD200" s="25" t="s">
        <v>122</v>
      </c>
      <c r="AE200" s="118">
        <v>44593</v>
      </c>
      <c r="AF200" s="110" t="s">
        <v>232</v>
      </c>
      <c r="AG200" s="110" t="s">
        <v>117</v>
      </c>
      <c r="AH200" s="25"/>
      <c r="AI200" s="25"/>
      <c r="AJ200" s="25"/>
      <c r="AK200" s="25"/>
      <c r="AL200" s="25"/>
      <c r="AM200" s="25"/>
      <c r="AN200" s="33" t="s">
        <v>123</v>
      </c>
      <c r="AO200" s="119"/>
      <c r="AP200" s="120"/>
      <c r="AQ200" s="4"/>
      <c r="AR200" s="4"/>
      <c r="AS200" s="4"/>
      <c r="AT200" s="4"/>
      <c r="AU200" s="4"/>
    </row>
    <row r="201" spans="1:47" s="121" customFormat="1" ht="111.75" hidden="1" customHeight="1" x14ac:dyDescent="0.25">
      <c r="A201" s="109">
        <v>68</v>
      </c>
      <c r="B201" s="109" t="s">
        <v>109</v>
      </c>
      <c r="C201" s="109" t="s">
        <v>1208</v>
      </c>
      <c r="D201" s="109">
        <v>2</v>
      </c>
      <c r="E201" s="109" t="s">
        <v>118</v>
      </c>
      <c r="F201" s="111" t="s">
        <v>616</v>
      </c>
      <c r="G201" s="112" t="s">
        <v>244</v>
      </c>
      <c r="H201" s="112" t="s">
        <v>617</v>
      </c>
      <c r="I201" s="113" t="s">
        <v>112</v>
      </c>
      <c r="J201" s="112" t="s">
        <v>618</v>
      </c>
      <c r="K201" s="112" t="s">
        <v>619</v>
      </c>
      <c r="L201" s="114" t="s">
        <v>361</v>
      </c>
      <c r="M201" s="114"/>
      <c r="N201" s="115">
        <v>44564</v>
      </c>
      <c r="O201" s="115">
        <v>44928</v>
      </c>
      <c r="P201" s="116">
        <f t="shared" si="47"/>
        <v>0.99726027397260275</v>
      </c>
      <c r="Q201" s="110" t="s">
        <v>28</v>
      </c>
      <c r="R201" s="110">
        <f t="shared" ca="1" si="52"/>
        <v>0.81624152105735359</v>
      </c>
      <c r="S201" s="110" t="str">
        <f t="shared" ca="1" si="48"/>
        <v>O</v>
      </c>
      <c r="T201" s="117">
        <v>1</v>
      </c>
      <c r="U201" s="117">
        <v>1</v>
      </c>
      <c r="V201" s="117">
        <v>2</v>
      </c>
      <c r="W201" s="117">
        <f t="shared" si="49"/>
        <v>4</v>
      </c>
      <c r="X201" s="117" t="str">
        <f t="shared" si="50"/>
        <v>Biasa</v>
      </c>
      <c r="Y201" s="111"/>
      <c r="Z201" s="122"/>
      <c r="AA201" s="115"/>
      <c r="AB201" s="115"/>
      <c r="AC201" s="115"/>
      <c r="AD201" s="25" t="s">
        <v>122</v>
      </c>
      <c r="AE201" s="118">
        <v>44617</v>
      </c>
      <c r="AF201" s="110" t="s">
        <v>232</v>
      </c>
      <c r="AG201" s="110" t="s">
        <v>117</v>
      </c>
      <c r="AH201" s="25"/>
      <c r="AI201" s="25"/>
      <c r="AJ201" s="25"/>
      <c r="AK201" s="25"/>
      <c r="AL201" s="25"/>
      <c r="AM201" s="25"/>
      <c r="AN201" s="33" t="s">
        <v>123</v>
      </c>
      <c r="AO201" s="119"/>
      <c r="AP201" s="120"/>
      <c r="AQ201" s="4"/>
      <c r="AR201" s="4"/>
      <c r="AS201" s="4"/>
      <c r="AT201" s="4"/>
      <c r="AU201" s="4"/>
    </row>
    <row r="202" spans="1:47" s="121" customFormat="1" ht="111.95" hidden="1" customHeight="1" x14ac:dyDescent="0.25">
      <c r="A202" s="109">
        <v>69</v>
      </c>
      <c r="B202" s="109" t="s">
        <v>109</v>
      </c>
      <c r="C202" s="109" t="s">
        <v>1208</v>
      </c>
      <c r="D202" s="109">
        <v>3</v>
      </c>
      <c r="E202" s="109" t="s">
        <v>118</v>
      </c>
      <c r="F202" s="111" t="s">
        <v>1026</v>
      </c>
      <c r="G202" s="112" t="s">
        <v>244</v>
      </c>
      <c r="H202" s="112" t="s">
        <v>1027</v>
      </c>
      <c r="I202" s="113" t="s">
        <v>112</v>
      </c>
      <c r="J202" s="112" t="s">
        <v>1028</v>
      </c>
      <c r="K202" s="112" t="s">
        <v>1029</v>
      </c>
      <c r="L202" s="114" t="s">
        <v>226</v>
      </c>
      <c r="M202" s="114"/>
      <c r="N202" s="115">
        <v>44743</v>
      </c>
      <c r="O202" s="115">
        <v>45107</v>
      </c>
      <c r="P202" s="116">
        <f t="shared" ref="P202:P245" si="53">(O202-N202)/365</f>
        <v>0.99726027397260275</v>
      </c>
      <c r="Q202" s="110" t="s">
        <v>36</v>
      </c>
      <c r="R202" s="110">
        <f ca="1">(O202-NOW()+1)/31</f>
        <v>6.5904350694444505</v>
      </c>
      <c r="S202" s="110" t="str">
        <f t="shared" ref="S202:S245" ca="1" si="54">IF(R202="End","Z",IF(R202="Cancel","C",IF(SUM(R202)&gt;0,"O",IF(ISBLANK(R202),"X",IF(SUM(R202)&lt;0,"Y",IF(SUM(R202),"-","O"))))))</f>
        <v>O</v>
      </c>
      <c r="T202" s="117">
        <v>1</v>
      </c>
      <c r="U202" s="117">
        <v>2</v>
      </c>
      <c r="V202" s="117">
        <v>1</v>
      </c>
      <c r="W202" s="117">
        <f t="shared" ref="W202:W245" si="55">T202+U202+V202</f>
        <v>4</v>
      </c>
      <c r="X202" s="117" t="str">
        <f t="shared" ref="X202:X245" si="56">IF(W202&gt;5,"Penting",IF(ISBLANK(W202),"","Biasa"))</f>
        <v>Biasa</v>
      </c>
      <c r="Y202" s="111"/>
      <c r="Z202" s="122"/>
      <c r="AA202" s="115"/>
      <c r="AB202" s="115"/>
      <c r="AC202" s="115"/>
      <c r="AD202" s="25"/>
      <c r="AE202" s="118"/>
      <c r="AF202" s="110" t="s">
        <v>628</v>
      </c>
      <c r="AG202" s="110" t="s">
        <v>117</v>
      </c>
      <c r="AH202" s="25"/>
      <c r="AI202" s="25"/>
      <c r="AJ202" s="25"/>
      <c r="AK202" s="25"/>
      <c r="AL202" s="25"/>
      <c r="AM202" s="25"/>
      <c r="AN202" s="33" t="s">
        <v>123</v>
      </c>
      <c r="AO202" s="119">
        <v>44720</v>
      </c>
      <c r="AP202" s="120"/>
      <c r="AQ202" s="4"/>
      <c r="AR202" s="4"/>
      <c r="AS202" s="4"/>
      <c r="AT202" s="4"/>
      <c r="AU202" s="4"/>
    </row>
    <row r="203" spans="1:47" s="121" customFormat="1" ht="111.95" hidden="1" customHeight="1" x14ac:dyDescent="0.25">
      <c r="A203" s="109">
        <v>70</v>
      </c>
      <c r="B203" s="109" t="s">
        <v>109</v>
      </c>
      <c r="C203" s="109" t="s">
        <v>1208</v>
      </c>
      <c r="D203" s="109">
        <v>4</v>
      </c>
      <c r="E203" s="109" t="s">
        <v>118</v>
      </c>
      <c r="F203" s="111" t="s">
        <v>1022</v>
      </c>
      <c r="G203" s="112" t="s">
        <v>244</v>
      </c>
      <c r="H203" s="112" t="s">
        <v>1023</v>
      </c>
      <c r="I203" s="113" t="s">
        <v>112</v>
      </c>
      <c r="J203" s="112" t="s">
        <v>1024</v>
      </c>
      <c r="K203" s="112" t="s">
        <v>1025</v>
      </c>
      <c r="L203" s="114" t="s">
        <v>226</v>
      </c>
      <c r="M203" s="114"/>
      <c r="N203" s="115">
        <v>44743</v>
      </c>
      <c r="O203" s="115">
        <v>45107</v>
      </c>
      <c r="P203" s="116">
        <f t="shared" si="53"/>
        <v>0.99726027397260275</v>
      </c>
      <c r="Q203" s="110" t="s">
        <v>36</v>
      </c>
      <c r="R203" s="110">
        <f ca="1">(O203-NOW()+1)/31</f>
        <v>6.5904350694444505</v>
      </c>
      <c r="S203" s="110" t="str">
        <f t="shared" ca="1" si="54"/>
        <v>O</v>
      </c>
      <c r="T203" s="117">
        <v>2</v>
      </c>
      <c r="U203" s="117">
        <v>2</v>
      </c>
      <c r="V203" s="117">
        <v>2</v>
      </c>
      <c r="W203" s="117">
        <f t="shared" si="55"/>
        <v>6</v>
      </c>
      <c r="X203" s="117" t="str">
        <f t="shared" si="56"/>
        <v>Penting</v>
      </c>
      <c r="Y203" s="111"/>
      <c r="Z203" s="122"/>
      <c r="AA203" s="115"/>
      <c r="AB203" s="115"/>
      <c r="AC203" s="115"/>
      <c r="AD203" s="25" t="s">
        <v>122</v>
      </c>
      <c r="AE203" s="118">
        <v>43497</v>
      </c>
      <c r="AF203" s="110" t="s">
        <v>628</v>
      </c>
      <c r="AG203" s="110" t="s">
        <v>117</v>
      </c>
      <c r="AH203" s="25"/>
      <c r="AI203" s="25"/>
      <c r="AJ203" s="25"/>
      <c r="AK203" s="25"/>
      <c r="AL203" s="25"/>
      <c r="AM203" s="25"/>
      <c r="AN203" s="33" t="s">
        <v>123</v>
      </c>
      <c r="AO203" s="119">
        <v>44720</v>
      </c>
      <c r="AP203" s="120"/>
      <c r="AQ203" s="4"/>
      <c r="AR203" s="4"/>
      <c r="AS203" s="4"/>
      <c r="AT203" s="4"/>
      <c r="AU203" s="4"/>
    </row>
    <row r="204" spans="1:47" s="121" customFormat="1" ht="111.95" hidden="1" customHeight="1" x14ac:dyDescent="0.25">
      <c r="A204" s="109">
        <v>71</v>
      </c>
      <c r="B204" s="109" t="s">
        <v>109</v>
      </c>
      <c r="C204" s="109" t="s">
        <v>1208</v>
      </c>
      <c r="D204" s="109">
        <v>5</v>
      </c>
      <c r="E204" s="109" t="s">
        <v>118</v>
      </c>
      <c r="F204" s="111" t="s">
        <v>1009</v>
      </c>
      <c r="G204" s="112" t="s">
        <v>244</v>
      </c>
      <c r="H204" s="112" t="s">
        <v>524</v>
      </c>
      <c r="I204" s="113" t="s">
        <v>112</v>
      </c>
      <c r="J204" s="112" t="s">
        <v>1010</v>
      </c>
      <c r="K204" s="112" t="s">
        <v>1011</v>
      </c>
      <c r="L204" s="114" t="s">
        <v>226</v>
      </c>
      <c r="M204" s="114"/>
      <c r="N204" s="115">
        <v>44743</v>
      </c>
      <c r="O204" s="115">
        <v>45107</v>
      </c>
      <c r="P204" s="116">
        <f t="shared" si="53"/>
        <v>0.99726027397260275</v>
      </c>
      <c r="Q204" s="110" t="s">
        <v>36</v>
      </c>
      <c r="R204" s="110">
        <f ca="1">(O204-NOW()+1)/31</f>
        <v>6.5904350694444505</v>
      </c>
      <c r="S204" s="110" t="str">
        <f t="shared" ca="1" si="54"/>
        <v>O</v>
      </c>
      <c r="T204" s="117">
        <v>2</v>
      </c>
      <c r="U204" s="117">
        <v>2</v>
      </c>
      <c r="V204" s="117">
        <v>2</v>
      </c>
      <c r="W204" s="117">
        <f t="shared" si="55"/>
        <v>6</v>
      </c>
      <c r="X204" s="117" t="str">
        <f t="shared" si="56"/>
        <v>Penting</v>
      </c>
      <c r="Y204" s="111"/>
      <c r="Z204" s="122"/>
      <c r="AA204" s="115"/>
      <c r="AB204" s="115"/>
      <c r="AC204" s="115"/>
      <c r="AD204" s="25"/>
      <c r="AE204" s="118"/>
      <c r="AF204" s="110" t="s">
        <v>628</v>
      </c>
      <c r="AG204" s="110" t="s">
        <v>117</v>
      </c>
      <c r="AH204" s="25"/>
      <c r="AI204" s="25"/>
      <c r="AJ204" s="25"/>
      <c r="AK204" s="25"/>
      <c r="AL204" s="25"/>
      <c r="AM204" s="25"/>
      <c r="AN204" s="33" t="s">
        <v>123</v>
      </c>
      <c r="AO204" s="119">
        <v>44720</v>
      </c>
      <c r="AP204" s="120"/>
      <c r="AQ204" s="4"/>
      <c r="AR204" s="4"/>
      <c r="AS204" s="4"/>
      <c r="AT204" s="4"/>
      <c r="AU204" s="4"/>
    </row>
    <row r="205" spans="1:47" s="121" customFormat="1" ht="111.95" hidden="1" customHeight="1" x14ac:dyDescent="0.25">
      <c r="A205" s="109">
        <v>72</v>
      </c>
      <c r="B205" s="109" t="s">
        <v>109</v>
      </c>
      <c r="C205" s="109" t="s">
        <v>1209</v>
      </c>
      <c r="D205" s="109">
        <v>1</v>
      </c>
      <c r="E205" s="109" t="s">
        <v>118</v>
      </c>
      <c r="F205" s="111" t="s">
        <v>995</v>
      </c>
      <c r="G205" s="112" t="s">
        <v>244</v>
      </c>
      <c r="H205" s="112" t="s">
        <v>996</v>
      </c>
      <c r="I205" s="113" t="s">
        <v>112</v>
      </c>
      <c r="J205" s="112" t="s">
        <v>997</v>
      </c>
      <c r="K205" s="112"/>
      <c r="L205" s="114" t="s">
        <v>226</v>
      </c>
      <c r="M205" s="114"/>
      <c r="N205" s="115">
        <v>44743</v>
      </c>
      <c r="O205" s="115">
        <v>45107</v>
      </c>
      <c r="P205" s="116">
        <f t="shared" si="53"/>
        <v>0.99726027397260275</v>
      </c>
      <c r="Q205" s="110" t="s">
        <v>36</v>
      </c>
      <c r="R205" s="110">
        <f t="shared" ref="R205:R208" ca="1" si="57">(O205-NOW()+1)/31</f>
        <v>6.5904350694444505</v>
      </c>
      <c r="S205" s="110" t="str">
        <f t="shared" ca="1" si="54"/>
        <v>O</v>
      </c>
      <c r="T205" s="117">
        <v>3</v>
      </c>
      <c r="U205" s="117">
        <v>3</v>
      </c>
      <c r="V205" s="117">
        <v>3</v>
      </c>
      <c r="W205" s="117">
        <f t="shared" si="55"/>
        <v>9</v>
      </c>
      <c r="X205" s="117" t="str">
        <f t="shared" si="56"/>
        <v>Penting</v>
      </c>
      <c r="Y205" s="111"/>
      <c r="Z205" s="122"/>
      <c r="AA205" s="115"/>
      <c r="AB205" s="115"/>
      <c r="AC205" s="115"/>
      <c r="AD205" s="25"/>
      <c r="AE205" s="118"/>
      <c r="AF205" s="110" t="s">
        <v>628</v>
      </c>
      <c r="AG205" s="110" t="s">
        <v>117</v>
      </c>
      <c r="AH205" s="25"/>
      <c r="AI205" s="25"/>
      <c r="AJ205" s="25"/>
      <c r="AK205" s="25"/>
      <c r="AL205" s="25"/>
      <c r="AM205" s="25"/>
      <c r="AN205" s="33" t="s">
        <v>123</v>
      </c>
      <c r="AO205" s="119">
        <v>44720</v>
      </c>
      <c r="AP205" s="120"/>
      <c r="AQ205" s="124" t="s">
        <v>977</v>
      </c>
      <c r="AR205" s="4"/>
      <c r="AS205" s="4"/>
      <c r="AT205" s="4"/>
      <c r="AU205" s="4"/>
    </row>
    <row r="206" spans="1:47" s="121" customFormat="1" ht="111.95" hidden="1" customHeight="1" x14ac:dyDescent="0.25">
      <c r="A206" s="109">
        <v>73</v>
      </c>
      <c r="B206" s="109" t="s">
        <v>109</v>
      </c>
      <c r="C206" s="109" t="s">
        <v>1209</v>
      </c>
      <c r="D206" s="109">
        <v>2</v>
      </c>
      <c r="E206" s="109" t="s">
        <v>118</v>
      </c>
      <c r="F206" s="111" t="s">
        <v>998</v>
      </c>
      <c r="G206" s="112" t="s">
        <v>244</v>
      </c>
      <c r="H206" s="112" t="s">
        <v>999</v>
      </c>
      <c r="I206" s="113" t="s">
        <v>112</v>
      </c>
      <c r="J206" s="112" t="s">
        <v>997</v>
      </c>
      <c r="K206" s="112"/>
      <c r="L206" s="114" t="s">
        <v>226</v>
      </c>
      <c r="M206" s="114"/>
      <c r="N206" s="115">
        <v>44743</v>
      </c>
      <c r="O206" s="115">
        <v>45107</v>
      </c>
      <c r="P206" s="116">
        <f t="shared" si="53"/>
        <v>0.99726027397260275</v>
      </c>
      <c r="Q206" s="110" t="s">
        <v>36</v>
      </c>
      <c r="R206" s="110">
        <f t="shared" ca="1" si="57"/>
        <v>6.5904350694444505</v>
      </c>
      <c r="S206" s="110" t="str">
        <f t="shared" ca="1" si="54"/>
        <v>O</v>
      </c>
      <c r="T206" s="117">
        <v>3</v>
      </c>
      <c r="U206" s="117">
        <v>3</v>
      </c>
      <c r="V206" s="117">
        <v>3</v>
      </c>
      <c r="W206" s="117">
        <f t="shared" si="55"/>
        <v>9</v>
      </c>
      <c r="X206" s="117" t="str">
        <f t="shared" si="56"/>
        <v>Penting</v>
      </c>
      <c r="Y206" s="111"/>
      <c r="Z206" s="122"/>
      <c r="AA206" s="115"/>
      <c r="AB206" s="115"/>
      <c r="AC206" s="115"/>
      <c r="AD206" s="25"/>
      <c r="AE206" s="118"/>
      <c r="AF206" s="110" t="s">
        <v>628</v>
      </c>
      <c r="AG206" s="110" t="s">
        <v>117</v>
      </c>
      <c r="AH206" s="25"/>
      <c r="AI206" s="25"/>
      <c r="AJ206" s="25"/>
      <c r="AK206" s="25"/>
      <c r="AL206" s="25"/>
      <c r="AM206" s="25"/>
      <c r="AN206" s="33" t="s">
        <v>123</v>
      </c>
      <c r="AO206" s="119">
        <v>44720</v>
      </c>
      <c r="AP206" s="120"/>
      <c r="AQ206" s="124"/>
      <c r="AR206" s="4"/>
      <c r="AS206" s="4"/>
      <c r="AT206" s="4"/>
      <c r="AU206" s="4"/>
    </row>
    <row r="207" spans="1:47" s="121" customFormat="1" ht="111.95" hidden="1" customHeight="1" x14ac:dyDescent="0.25">
      <c r="A207" s="109">
        <v>74</v>
      </c>
      <c r="B207" s="109" t="s">
        <v>109</v>
      </c>
      <c r="C207" s="109" t="s">
        <v>1209</v>
      </c>
      <c r="D207" s="109">
        <v>3</v>
      </c>
      <c r="E207" s="109" t="s">
        <v>118</v>
      </c>
      <c r="F207" s="111" t="s">
        <v>1000</v>
      </c>
      <c r="G207" s="112" t="s">
        <v>244</v>
      </c>
      <c r="H207" s="112" t="s">
        <v>1001</v>
      </c>
      <c r="I207" s="113" t="s">
        <v>112</v>
      </c>
      <c r="J207" s="112" t="s">
        <v>997</v>
      </c>
      <c r="K207" s="112"/>
      <c r="L207" s="114" t="s">
        <v>226</v>
      </c>
      <c r="M207" s="114"/>
      <c r="N207" s="115">
        <v>44743</v>
      </c>
      <c r="O207" s="115">
        <v>45107</v>
      </c>
      <c r="P207" s="116">
        <f t="shared" si="53"/>
        <v>0.99726027397260275</v>
      </c>
      <c r="Q207" s="110" t="s">
        <v>36</v>
      </c>
      <c r="R207" s="110">
        <f t="shared" ca="1" si="57"/>
        <v>6.5904350694444505</v>
      </c>
      <c r="S207" s="110" t="str">
        <f t="shared" ca="1" si="54"/>
        <v>O</v>
      </c>
      <c r="T207" s="117">
        <v>3</v>
      </c>
      <c r="U207" s="117">
        <v>3</v>
      </c>
      <c r="V207" s="117">
        <v>3</v>
      </c>
      <c r="W207" s="117">
        <f t="shared" si="55"/>
        <v>9</v>
      </c>
      <c r="X207" s="117" t="str">
        <f t="shared" si="56"/>
        <v>Penting</v>
      </c>
      <c r="Y207" s="111"/>
      <c r="Z207" s="122"/>
      <c r="AA207" s="115"/>
      <c r="AB207" s="115"/>
      <c r="AC207" s="115"/>
      <c r="AD207" s="25"/>
      <c r="AE207" s="118"/>
      <c r="AF207" s="110" t="s">
        <v>628</v>
      </c>
      <c r="AG207" s="110" t="s">
        <v>117</v>
      </c>
      <c r="AH207" s="25"/>
      <c r="AI207" s="25"/>
      <c r="AJ207" s="25"/>
      <c r="AK207" s="25"/>
      <c r="AL207" s="25"/>
      <c r="AM207" s="25"/>
      <c r="AN207" s="33" t="s">
        <v>123</v>
      </c>
      <c r="AO207" s="119">
        <v>44720</v>
      </c>
      <c r="AP207" s="120"/>
      <c r="AQ207" s="4"/>
      <c r="AR207" s="4"/>
      <c r="AS207" s="4"/>
      <c r="AT207" s="4"/>
      <c r="AU207" s="4"/>
    </row>
    <row r="208" spans="1:47" s="121" customFormat="1" ht="111.95" hidden="1" customHeight="1" x14ac:dyDescent="0.25">
      <c r="A208" s="109">
        <v>75</v>
      </c>
      <c r="B208" s="109" t="s">
        <v>109</v>
      </c>
      <c r="C208" s="109" t="s">
        <v>1209</v>
      </c>
      <c r="D208" s="109">
        <v>4</v>
      </c>
      <c r="E208" s="109" t="s">
        <v>118</v>
      </c>
      <c r="F208" s="111" t="s">
        <v>1002</v>
      </c>
      <c r="G208" s="112" t="s">
        <v>244</v>
      </c>
      <c r="H208" s="112" t="s">
        <v>1003</v>
      </c>
      <c r="I208" s="113" t="s">
        <v>112</v>
      </c>
      <c r="J208" s="112" t="s">
        <v>997</v>
      </c>
      <c r="K208" s="112"/>
      <c r="L208" s="114" t="s">
        <v>226</v>
      </c>
      <c r="M208" s="114"/>
      <c r="N208" s="115">
        <v>44743</v>
      </c>
      <c r="O208" s="115">
        <v>45107</v>
      </c>
      <c r="P208" s="116">
        <f t="shared" si="53"/>
        <v>0.99726027397260275</v>
      </c>
      <c r="Q208" s="110" t="s">
        <v>36</v>
      </c>
      <c r="R208" s="110">
        <f t="shared" ca="1" si="57"/>
        <v>6.5904350694444505</v>
      </c>
      <c r="S208" s="110" t="str">
        <f t="shared" ca="1" si="54"/>
        <v>O</v>
      </c>
      <c r="T208" s="117">
        <v>3</v>
      </c>
      <c r="U208" s="117">
        <v>3</v>
      </c>
      <c r="V208" s="117">
        <v>3</v>
      </c>
      <c r="W208" s="117">
        <f t="shared" si="55"/>
        <v>9</v>
      </c>
      <c r="X208" s="117" t="str">
        <f t="shared" si="56"/>
        <v>Penting</v>
      </c>
      <c r="Y208" s="111"/>
      <c r="Z208" s="122"/>
      <c r="AA208" s="115"/>
      <c r="AB208" s="115"/>
      <c r="AC208" s="115"/>
      <c r="AD208" s="25"/>
      <c r="AE208" s="118"/>
      <c r="AF208" s="110" t="s">
        <v>628</v>
      </c>
      <c r="AG208" s="110" t="s">
        <v>117</v>
      </c>
      <c r="AH208" s="25"/>
      <c r="AI208" s="25"/>
      <c r="AJ208" s="25"/>
      <c r="AK208" s="25"/>
      <c r="AL208" s="25"/>
      <c r="AM208" s="25"/>
      <c r="AN208" s="33" t="s">
        <v>123</v>
      </c>
      <c r="AO208" s="119">
        <v>44720</v>
      </c>
      <c r="AP208" s="120"/>
      <c r="AQ208" s="4"/>
      <c r="AR208" s="4"/>
      <c r="AS208" s="4"/>
      <c r="AT208" s="4"/>
      <c r="AU208" s="4"/>
    </row>
    <row r="209" spans="1:47" s="121" customFormat="1" ht="111.95" hidden="1" customHeight="1" x14ac:dyDescent="0.25">
      <c r="A209" s="109">
        <v>76</v>
      </c>
      <c r="B209" s="109" t="s">
        <v>109</v>
      </c>
      <c r="C209" s="109" t="s">
        <v>1209</v>
      </c>
      <c r="D209" s="109">
        <v>5</v>
      </c>
      <c r="E209" s="109" t="s">
        <v>118</v>
      </c>
      <c r="F209" s="111" t="s">
        <v>1012</v>
      </c>
      <c r="G209" s="112" t="s">
        <v>244</v>
      </c>
      <c r="H209" s="112" t="s">
        <v>1013</v>
      </c>
      <c r="I209" s="113" t="s">
        <v>112</v>
      </c>
      <c r="J209" s="112" t="s">
        <v>1014</v>
      </c>
      <c r="K209" s="112" t="s">
        <v>1015</v>
      </c>
      <c r="L209" s="114" t="s">
        <v>226</v>
      </c>
      <c r="M209" s="114"/>
      <c r="N209" s="115">
        <v>44743</v>
      </c>
      <c r="O209" s="115">
        <v>45107</v>
      </c>
      <c r="P209" s="116">
        <f t="shared" si="53"/>
        <v>0.99726027397260275</v>
      </c>
      <c r="Q209" s="110" t="s">
        <v>36</v>
      </c>
      <c r="R209" s="110">
        <f ca="1">(O209-NOW()+1)/31</f>
        <v>6.5904350694444505</v>
      </c>
      <c r="S209" s="110" t="str">
        <f t="shared" ca="1" si="54"/>
        <v>O</v>
      </c>
      <c r="T209" s="117">
        <v>2</v>
      </c>
      <c r="U209" s="117">
        <v>2</v>
      </c>
      <c r="V209" s="117">
        <v>2</v>
      </c>
      <c r="W209" s="117">
        <f t="shared" si="55"/>
        <v>6</v>
      </c>
      <c r="X209" s="117" t="str">
        <f t="shared" si="56"/>
        <v>Penting</v>
      </c>
      <c r="Y209" s="111"/>
      <c r="Z209" s="122"/>
      <c r="AA209" s="115"/>
      <c r="AB209" s="115"/>
      <c r="AC209" s="115"/>
      <c r="AD209" s="25"/>
      <c r="AE209" s="118"/>
      <c r="AF209" s="110" t="s">
        <v>628</v>
      </c>
      <c r="AG209" s="110" t="s">
        <v>117</v>
      </c>
      <c r="AH209" s="25"/>
      <c r="AI209" s="25"/>
      <c r="AJ209" s="25"/>
      <c r="AK209" s="25"/>
      <c r="AL209" s="25"/>
      <c r="AM209" s="25"/>
      <c r="AN209" s="33" t="s">
        <v>123</v>
      </c>
      <c r="AO209" s="119">
        <v>44720</v>
      </c>
      <c r="AP209" s="120"/>
      <c r="AQ209" s="4"/>
      <c r="AR209" s="4"/>
      <c r="AS209" s="4"/>
      <c r="AT209" s="4"/>
      <c r="AU209" s="4"/>
    </row>
    <row r="210" spans="1:47" s="121" customFormat="1" ht="111.95" hidden="1" customHeight="1" x14ac:dyDescent="0.25">
      <c r="A210" s="109">
        <v>77</v>
      </c>
      <c r="B210" s="109" t="s">
        <v>109</v>
      </c>
      <c r="C210" s="109" t="s">
        <v>1210</v>
      </c>
      <c r="D210" s="109">
        <v>1</v>
      </c>
      <c r="E210" s="109" t="s">
        <v>118</v>
      </c>
      <c r="F210" s="111" t="s">
        <v>1037</v>
      </c>
      <c r="G210" s="112" t="s">
        <v>244</v>
      </c>
      <c r="H210" s="112" t="s">
        <v>1038</v>
      </c>
      <c r="I210" s="113" t="s">
        <v>112</v>
      </c>
      <c r="J210" s="112" t="s">
        <v>1039</v>
      </c>
      <c r="K210" s="112" t="s">
        <v>1040</v>
      </c>
      <c r="L210" s="114" t="s">
        <v>226</v>
      </c>
      <c r="M210" s="114"/>
      <c r="N210" s="115">
        <v>44743</v>
      </c>
      <c r="O210" s="115">
        <v>45107</v>
      </c>
      <c r="P210" s="116">
        <f t="shared" si="53"/>
        <v>0.99726027397260275</v>
      </c>
      <c r="Q210" s="110" t="s">
        <v>36</v>
      </c>
      <c r="R210" s="110">
        <f t="shared" ref="R210:R211" ca="1" si="58">(O210-NOW()+1)/31</f>
        <v>6.5904350694444505</v>
      </c>
      <c r="S210" s="110" t="str">
        <f t="shared" ca="1" si="54"/>
        <v>O</v>
      </c>
      <c r="T210" s="117">
        <v>1</v>
      </c>
      <c r="U210" s="117">
        <v>1</v>
      </c>
      <c r="V210" s="117">
        <v>1</v>
      </c>
      <c r="W210" s="117">
        <f t="shared" si="55"/>
        <v>3</v>
      </c>
      <c r="X210" s="117" t="str">
        <f t="shared" si="56"/>
        <v>Biasa</v>
      </c>
      <c r="Y210" s="111"/>
      <c r="Z210" s="122"/>
      <c r="AA210" s="115"/>
      <c r="AB210" s="115"/>
      <c r="AC210" s="115"/>
      <c r="AD210" s="25" t="s">
        <v>122</v>
      </c>
      <c r="AE210" s="118">
        <v>44732</v>
      </c>
      <c r="AF210" s="110" t="s">
        <v>628</v>
      </c>
      <c r="AG210" s="110" t="s">
        <v>117</v>
      </c>
      <c r="AH210" s="25"/>
      <c r="AI210" s="25"/>
      <c r="AJ210" s="25"/>
      <c r="AK210" s="25"/>
      <c r="AL210" s="25"/>
      <c r="AM210" s="25"/>
      <c r="AN210" s="33" t="s">
        <v>123</v>
      </c>
      <c r="AO210" s="119">
        <v>44720</v>
      </c>
      <c r="AP210" s="120"/>
      <c r="AQ210" s="4"/>
      <c r="AR210" s="4"/>
      <c r="AS210" s="4"/>
      <c r="AT210" s="4"/>
      <c r="AU210" s="4"/>
    </row>
    <row r="211" spans="1:47" s="121" customFormat="1" ht="111.95" hidden="1" customHeight="1" x14ac:dyDescent="0.25">
      <c r="A211" s="109">
        <v>78</v>
      </c>
      <c r="B211" s="109" t="s">
        <v>109</v>
      </c>
      <c r="C211" s="109" t="s">
        <v>1210</v>
      </c>
      <c r="D211" s="109">
        <v>2</v>
      </c>
      <c r="E211" s="109" t="s">
        <v>118</v>
      </c>
      <c r="F211" s="111" t="s">
        <v>1034</v>
      </c>
      <c r="G211" s="112" t="s">
        <v>244</v>
      </c>
      <c r="H211" s="112" t="s">
        <v>1035</v>
      </c>
      <c r="I211" s="113" t="s">
        <v>150</v>
      </c>
      <c r="J211" s="112" t="s">
        <v>1036</v>
      </c>
      <c r="K211" s="112"/>
      <c r="L211" s="114"/>
      <c r="M211" s="114"/>
      <c r="N211" s="115">
        <v>44743</v>
      </c>
      <c r="O211" s="115">
        <v>45107</v>
      </c>
      <c r="P211" s="116">
        <f t="shared" si="53"/>
        <v>0.99726027397260275</v>
      </c>
      <c r="Q211" s="110" t="s">
        <v>36</v>
      </c>
      <c r="R211" s="110">
        <f t="shared" ca="1" si="58"/>
        <v>6.5904350694444505</v>
      </c>
      <c r="S211" s="110" t="str">
        <f t="shared" ca="1" si="54"/>
        <v>O</v>
      </c>
      <c r="T211" s="117">
        <v>3</v>
      </c>
      <c r="U211" s="117">
        <v>3</v>
      </c>
      <c r="V211" s="117">
        <v>3</v>
      </c>
      <c r="W211" s="117">
        <f t="shared" si="55"/>
        <v>9</v>
      </c>
      <c r="X211" s="117" t="str">
        <f t="shared" si="56"/>
        <v>Penting</v>
      </c>
      <c r="Y211" s="111"/>
      <c r="Z211" s="122"/>
      <c r="AA211" s="115"/>
      <c r="AB211" s="115"/>
      <c r="AC211" s="115"/>
      <c r="AD211" s="25"/>
      <c r="AE211" s="118"/>
      <c r="AF211" s="110" t="s">
        <v>1021</v>
      </c>
      <c r="AG211" s="110" t="s">
        <v>117</v>
      </c>
      <c r="AH211" s="25"/>
      <c r="AI211" s="25"/>
      <c r="AJ211" s="25"/>
      <c r="AK211" s="25"/>
      <c r="AL211" s="25"/>
      <c r="AM211" s="25"/>
      <c r="AN211" s="33" t="s">
        <v>123</v>
      </c>
      <c r="AO211" s="119">
        <v>44720</v>
      </c>
      <c r="AP211" s="120"/>
      <c r="AQ211" s="4"/>
      <c r="AR211" s="4"/>
      <c r="AS211" s="4"/>
      <c r="AT211" s="4"/>
      <c r="AU211" s="4"/>
    </row>
    <row r="212" spans="1:47" s="121" customFormat="1" ht="111.95" hidden="1" customHeight="1" x14ac:dyDescent="0.25">
      <c r="A212" s="109">
        <v>79</v>
      </c>
      <c r="B212" s="109" t="s">
        <v>109</v>
      </c>
      <c r="C212" s="109" t="s">
        <v>1210</v>
      </c>
      <c r="D212" s="109">
        <v>2</v>
      </c>
      <c r="E212" s="109" t="s">
        <v>118</v>
      </c>
      <c r="F212" s="111" t="s">
        <v>1034</v>
      </c>
      <c r="G212" s="112" t="s">
        <v>244</v>
      </c>
      <c r="H212" s="112" t="s">
        <v>1035</v>
      </c>
      <c r="I212" s="113" t="s">
        <v>150</v>
      </c>
      <c r="J212" s="112" t="s">
        <v>1036</v>
      </c>
      <c r="K212" s="112"/>
      <c r="L212" s="114"/>
      <c r="M212" s="114"/>
      <c r="N212" s="115">
        <v>44743</v>
      </c>
      <c r="O212" s="115">
        <v>45107</v>
      </c>
      <c r="P212" s="116">
        <f t="shared" si="53"/>
        <v>0.99726027397260275</v>
      </c>
      <c r="Q212" s="110" t="s">
        <v>42</v>
      </c>
      <c r="R212" s="110">
        <f t="shared" ref="R212:R231" ca="1" si="59">(O212-NOW()+1)/31</f>
        <v>6.5904350694444505</v>
      </c>
      <c r="S212" s="110" t="str">
        <f t="shared" ca="1" si="54"/>
        <v>O</v>
      </c>
      <c r="T212" s="117">
        <v>3</v>
      </c>
      <c r="U212" s="117">
        <v>3</v>
      </c>
      <c r="V212" s="117">
        <v>3</v>
      </c>
      <c r="W212" s="117">
        <f t="shared" si="55"/>
        <v>9</v>
      </c>
      <c r="X212" s="117" t="str">
        <f t="shared" si="56"/>
        <v>Penting</v>
      </c>
      <c r="Y212" s="111"/>
      <c r="Z212" s="122"/>
      <c r="AA212" s="115"/>
      <c r="AB212" s="115"/>
      <c r="AC212" s="115"/>
      <c r="AD212" s="25"/>
      <c r="AE212" s="118"/>
      <c r="AF212" s="110" t="s">
        <v>1021</v>
      </c>
      <c r="AG212" s="110" t="s">
        <v>117</v>
      </c>
      <c r="AH212" s="25"/>
      <c r="AI212" s="25"/>
      <c r="AJ212" s="25"/>
      <c r="AK212" s="25"/>
      <c r="AL212" s="25"/>
      <c r="AM212" s="25"/>
      <c r="AN212" s="33" t="s">
        <v>123</v>
      </c>
      <c r="AO212" s="119">
        <v>44720</v>
      </c>
      <c r="AP212" s="120"/>
      <c r="AQ212" s="124" t="s">
        <v>1103</v>
      </c>
      <c r="AR212" s="4"/>
      <c r="AS212" s="4"/>
      <c r="AT212" s="4"/>
      <c r="AU212" s="4"/>
    </row>
    <row r="213" spans="1:47" s="121" customFormat="1" ht="111.95" hidden="1" customHeight="1" x14ac:dyDescent="0.25">
      <c r="A213" s="109">
        <v>80</v>
      </c>
      <c r="B213" s="109" t="s">
        <v>109</v>
      </c>
      <c r="C213" s="109" t="s">
        <v>1210</v>
      </c>
      <c r="D213" s="109">
        <v>3</v>
      </c>
      <c r="E213" s="109" t="s">
        <v>118</v>
      </c>
      <c r="F213" s="111" t="s">
        <v>1076</v>
      </c>
      <c r="G213" s="112" t="s">
        <v>244</v>
      </c>
      <c r="H213" s="112" t="s">
        <v>1077</v>
      </c>
      <c r="I213" s="113" t="s">
        <v>112</v>
      </c>
      <c r="J213" s="112" t="s">
        <v>1078</v>
      </c>
      <c r="K213" s="112" t="s">
        <v>1079</v>
      </c>
      <c r="L213" s="114" t="s">
        <v>226</v>
      </c>
      <c r="M213" s="114"/>
      <c r="N213" s="115">
        <v>43710</v>
      </c>
      <c r="O213" s="115">
        <v>45170</v>
      </c>
      <c r="P213" s="116">
        <f t="shared" si="53"/>
        <v>4</v>
      </c>
      <c r="Q213" s="110" t="s">
        <v>42</v>
      </c>
      <c r="R213" s="110">
        <f t="shared" ca="1" si="59"/>
        <v>8.6226931339605795</v>
      </c>
      <c r="S213" s="110" t="str">
        <f t="shared" ca="1" si="54"/>
        <v>O</v>
      </c>
      <c r="T213" s="117">
        <v>1</v>
      </c>
      <c r="U213" s="117">
        <v>1</v>
      </c>
      <c r="V213" s="117">
        <v>1</v>
      </c>
      <c r="W213" s="117">
        <f t="shared" si="55"/>
        <v>3</v>
      </c>
      <c r="X213" s="117" t="str">
        <f t="shared" si="56"/>
        <v>Biasa</v>
      </c>
      <c r="Y213" s="111" t="s">
        <v>486</v>
      </c>
      <c r="Z213" s="122" t="s">
        <v>117</v>
      </c>
      <c r="AA213" s="115">
        <f>N213+1000</f>
        <v>44710</v>
      </c>
      <c r="AB213" s="115">
        <f>+N213+1365</f>
        <v>45075</v>
      </c>
      <c r="AC213" s="115"/>
      <c r="AD213" s="25"/>
      <c r="AE213" s="118"/>
      <c r="AF213" s="110" t="s">
        <v>1074</v>
      </c>
      <c r="AG213" s="110" t="s">
        <v>117</v>
      </c>
      <c r="AH213" s="25"/>
      <c r="AI213" s="25"/>
      <c r="AJ213" s="25"/>
      <c r="AK213" s="25"/>
      <c r="AL213" s="25"/>
      <c r="AM213" s="25"/>
      <c r="AN213" s="33"/>
      <c r="AO213" s="119">
        <v>43756</v>
      </c>
      <c r="AP213" s="120"/>
      <c r="AQ213" s="4"/>
      <c r="AR213" s="4"/>
      <c r="AS213" s="4"/>
      <c r="AT213" s="4"/>
      <c r="AU213" s="4"/>
    </row>
    <row r="214" spans="1:47" s="121" customFormat="1" ht="111.95" hidden="1" customHeight="1" x14ac:dyDescent="0.25">
      <c r="A214" s="109">
        <v>81</v>
      </c>
      <c r="B214" s="109" t="s">
        <v>109</v>
      </c>
      <c r="C214" s="109" t="s">
        <v>1210</v>
      </c>
      <c r="D214" s="109">
        <v>4</v>
      </c>
      <c r="E214" s="109" t="s">
        <v>118</v>
      </c>
      <c r="F214" s="111" t="s">
        <v>1095</v>
      </c>
      <c r="G214" s="112" t="s">
        <v>244</v>
      </c>
      <c r="H214" s="112" t="s">
        <v>1096</v>
      </c>
      <c r="I214" s="113" t="s">
        <v>112</v>
      </c>
      <c r="J214" s="112" t="s">
        <v>1097</v>
      </c>
      <c r="K214" s="112" t="s">
        <v>1098</v>
      </c>
      <c r="L214" s="114" t="s">
        <v>226</v>
      </c>
      <c r="M214" s="114"/>
      <c r="N214" s="115">
        <v>43709</v>
      </c>
      <c r="O214" s="115">
        <v>45169</v>
      </c>
      <c r="P214" s="116">
        <f t="shared" si="53"/>
        <v>4</v>
      </c>
      <c r="Q214" s="110" t="s">
        <v>42</v>
      </c>
      <c r="R214" s="110">
        <f t="shared" ca="1" si="59"/>
        <v>8.5904350694444496</v>
      </c>
      <c r="S214" s="110" t="str">
        <f t="shared" ca="1" si="54"/>
        <v>O</v>
      </c>
      <c r="T214" s="117">
        <v>2</v>
      </c>
      <c r="U214" s="117">
        <v>2</v>
      </c>
      <c r="V214" s="117">
        <v>1</v>
      </c>
      <c r="W214" s="117">
        <f t="shared" si="55"/>
        <v>5</v>
      </c>
      <c r="X214" s="117" t="str">
        <f t="shared" si="56"/>
        <v>Biasa</v>
      </c>
      <c r="Y214" s="111" t="s">
        <v>486</v>
      </c>
      <c r="Z214" s="122" t="s">
        <v>117</v>
      </c>
      <c r="AA214" s="115">
        <f>N214+1000</f>
        <v>44709</v>
      </c>
      <c r="AB214" s="115">
        <f>+N214+1365</f>
        <v>45074</v>
      </c>
      <c r="AC214" s="115"/>
      <c r="AD214" s="25"/>
      <c r="AE214" s="118"/>
      <c r="AF214" s="110" t="s">
        <v>1074</v>
      </c>
      <c r="AG214" s="110" t="s">
        <v>117</v>
      </c>
      <c r="AH214" s="25"/>
      <c r="AI214" s="25"/>
      <c r="AJ214" s="25"/>
      <c r="AK214" s="25"/>
      <c r="AL214" s="25"/>
      <c r="AM214" s="25"/>
      <c r="AN214" s="33"/>
      <c r="AO214" s="119">
        <v>43734</v>
      </c>
      <c r="AP214" s="120"/>
      <c r="AQ214" s="4"/>
      <c r="AR214" s="4"/>
      <c r="AS214" s="4"/>
      <c r="AT214" s="4"/>
      <c r="AU214" s="4"/>
    </row>
    <row r="215" spans="1:47" s="121" customFormat="1" ht="111.95" hidden="1" customHeight="1" x14ac:dyDescent="0.25">
      <c r="A215" s="109">
        <v>82</v>
      </c>
      <c r="B215" s="109" t="s">
        <v>109</v>
      </c>
      <c r="C215" s="109" t="s">
        <v>1210</v>
      </c>
      <c r="D215" s="109">
        <v>5</v>
      </c>
      <c r="E215" s="109" t="s">
        <v>118</v>
      </c>
      <c r="F215" s="111" t="s">
        <v>1112</v>
      </c>
      <c r="G215" s="112" t="s">
        <v>244</v>
      </c>
      <c r="H215" s="112" t="s">
        <v>1113</v>
      </c>
      <c r="I215" s="113" t="s">
        <v>112</v>
      </c>
      <c r="J215" s="112" t="s">
        <v>1114</v>
      </c>
      <c r="K215" s="112" t="s">
        <v>1115</v>
      </c>
      <c r="L215" s="114" t="s">
        <v>226</v>
      </c>
      <c r="M215" s="114"/>
      <c r="N215" s="115">
        <v>43709</v>
      </c>
      <c r="O215" s="115">
        <v>45169</v>
      </c>
      <c r="P215" s="116">
        <f t="shared" si="53"/>
        <v>4</v>
      </c>
      <c r="Q215" s="110" t="s">
        <v>42</v>
      </c>
      <c r="R215" s="110">
        <f t="shared" ca="1" si="59"/>
        <v>8.5904350694444496</v>
      </c>
      <c r="S215" s="110" t="str">
        <f t="shared" ca="1" si="54"/>
        <v>O</v>
      </c>
      <c r="T215" s="117">
        <v>1</v>
      </c>
      <c r="U215" s="117">
        <v>1</v>
      </c>
      <c r="V215" s="117">
        <v>3</v>
      </c>
      <c r="W215" s="117">
        <f t="shared" si="55"/>
        <v>5</v>
      </c>
      <c r="X215" s="117" t="str">
        <f t="shared" si="56"/>
        <v>Biasa</v>
      </c>
      <c r="Y215" s="111" t="s">
        <v>486</v>
      </c>
      <c r="Z215" s="122" t="s">
        <v>117</v>
      </c>
      <c r="AA215" s="115">
        <f>N215+1000</f>
        <v>44709</v>
      </c>
      <c r="AB215" s="115">
        <f>+N215+1365</f>
        <v>45074</v>
      </c>
      <c r="AC215" s="115"/>
      <c r="AD215" s="25"/>
      <c r="AE215" s="118"/>
      <c r="AF215" s="110" t="s">
        <v>1074</v>
      </c>
      <c r="AG215" s="110" t="s">
        <v>117</v>
      </c>
      <c r="AH215" s="25"/>
      <c r="AI215" s="25"/>
      <c r="AJ215" s="25"/>
      <c r="AK215" s="25"/>
      <c r="AL215" s="25"/>
      <c r="AM215" s="25"/>
      <c r="AN215" s="33"/>
      <c r="AO215" s="119">
        <v>43766</v>
      </c>
      <c r="AP215" s="120"/>
      <c r="AQ215" s="4"/>
      <c r="AR215" s="4"/>
      <c r="AS215" s="4"/>
      <c r="AT215" s="4"/>
      <c r="AU215" s="4"/>
    </row>
    <row r="216" spans="1:47" s="121" customFormat="1" ht="111.95" hidden="1" customHeight="1" x14ac:dyDescent="0.25">
      <c r="A216" s="109">
        <v>83</v>
      </c>
      <c r="B216" s="109" t="s">
        <v>109</v>
      </c>
      <c r="C216" s="109" t="s">
        <v>1210</v>
      </c>
      <c r="D216" s="109">
        <v>6</v>
      </c>
      <c r="E216" s="109" t="s">
        <v>118</v>
      </c>
      <c r="F216" s="111" t="s">
        <v>1108</v>
      </c>
      <c r="G216" s="112" t="s">
        <v>244</v>
      </c>
      <c r="H216" s="112" t="s">
        <v>1109</v>
      </c>
      <c r="I216" s="113" t="s">
        <v>112</v>
      </c>
      <c r="J216" s="112" t="s">
        <v>1110</v>
      </c>
      <c r="K216" s="112" t="s">
        <v>1111</v>
      </c>
      <c r="L216" s="114" t="s">
        <v>361</v>
      </c>
      <c r="M216" s="114"/>
      <c r="N216" s="115">
        <v>43739</v>
      </c>
      <c r="O216" s="115">
        <v>45199</v>
      </c>
      <c r="P216" s="116">
        <f t="shared" si="53"/>
        <v>4</v>
      </c>
      <c r="Q216" s="110" t="s">
        <v>42</v>
      </c>
      <c r="R216" s="110">
        <f t="shared" ca="1" si="59"/>
        <v>9.5581770049283215</v>
      </c>
      <c r="S216" s="110" t="str">
        <f t="shared" ca="1" si="54"/>
        <v>O</v>
      </c>
      <c r="T216" s="117">
        <v>3</v>
      </c>
      <c r="U216" s="117">
        <v>2</v>
      </c>
      <c r="V216" s="117">
        <v>3</v>
      </c>
      <c r="W216" s="117">
        <f t="shared" si="55"/>
        <v>8</v>
      </c>
      <c r="X216" s="117" t="str">
        <f t="shared" si="56"/>
        <v>Penting</v>
      </c>
      <c r="Y216" s="111" t="s">
        <v>486</v>
      </c>
      <c r="Z216" s="122" t="s">
        <v>117</v>
      </c>
      <c r="AA216" s="115">
        <f>N216+1000</f>
        <v>44739</v>
      </c>
      <c r="AB216" s="115">
        <f>+N216+1365</f>
        <v>45104</v>
      </c>
      <c r="AC216" s="115"/>
      <c r="AD216" s="25"/>
      <c r="AE216" s="118"/>
      <c r="AF216" s="110" t="s">
        <v>1074</v>
      </c>
      <c r="AG216" s="110" t="s">
        <v>117</v>
      </c>
      <c r="AH216" s="25"/>
      <c r="AI216" s="25"/>
      <c r="AJ216" s="25"/>
      <c r="AK216" s="25"/>
      <c r="AL216" s="25"/>
      <c r="AM216" s="25"/>
      <c r="AN216" s="33"/>
      <c r="AO216" s="119">
        <v>43773</v>
      </c>
      <c r="AP216" s="120"/>
      <c r="AQ216" s="4"/>
      <c r="AR216" s="4"/>
      <c r="AS216" s="4"/>
      <c r="AT216" s="4"/>
      <c r="AU216" s="4"/>
    </row>
    <row r="217" spans="1:47" s="121" customFormat="1" ht="111.95" hidden="1" customHeight="1" x14ac:dyDescent="0.25">
      <c r="A217" s="109">
        <v>84</v>
      </c>
      <c r="B217" s="109" t="s">
        <v>109</v>
      </c>
      <c r="C217" s="109" t="s">
        <v>1210</v>
      </c>
      <c r="D217" s="109">
        <v>7</v>
      </c>
      <c r="E217" s="109" t="s">
        <v>118</v>
      </c>
      <c r="F217" s="111" t="s">
        <v>1166</v>
      </c>
      <c r="G217" s="112" t="s">
        <v>244</v>
      </c>
      <c r="H217" s="112" t="s">
        <v>1167</v>
      </c>
      <c r="I217" s="113" t="s">
        <v>112</v>
      </c>
      <c r="J217" s="112" t="s">
        <v>1168</v>
      </c>
      <c r="K217" s="112" t="s">
        <v>1169</v>
      </c>
      <c r="L217" s="114" t="s">
        <v>361</v>
      </c>
      <c r="M217" s="114"/>
      <c r="N217" s="115">
        <v>43739</v>
      </c>
      <c r="O217" s="115">
        <v>45199</v>
      </c>
      <c r="P217" s="116">
        <f t="shared" si="53"/>
        <v>4</v>
      </c>
      <c r="Q217" s="110" t="s">
        <v>42</v>
      </c>
      <c r="R217" s="110">
        <f t="shared" ca="1" si="59"/>
        <v>9.5581770049283215</v>
      </c>
      <c r="S217" s="110" t="str">
        <f t="shared" ca="1" si="54"/>
        <v>O</v>
      </c>
      <c r="T217" s="117">
        <v>3</v>
      </c>
      <c r="U217" s="117">
        <v>2</v>
      </c>
      <c r="V217" s="117">
        <v>3</v>
      </c>
      <c r="W217" s="117">
        <f t="shared" si="55"/>
        <v>8</v>
      </c>
      <c r="X217" s="117" t="str">
        <f t="shared" si="56"/>
        <v>Penting</v>
      </c>
      <c r="Y217" s="111" t="s">
        <v>486</v>
      </c>
      <c r="Z217" s="122" t="s">
        <v>117</v>
      </c>
      <c r="AA217" s="115">
        <f>N217+1000</f>
        <v>44739</v>
      </c>
      <c r="AB217" s="115">
        <f>+N217+1365</f>
        <v>45104</v>
      </c>
      <c r="AC217" s="115"/>
      <c r="AD217" s="25"/>
      <c r="AE217" s="118"/>
      <c r="AF217" s="110" t="s">
        <v>1074</v>
      </c>
      <c r="AG217" s="110" t="s">
        <v>117</v>
      </c>
      <c r="AH217" s="25"/>
      <c r="AI217" s="25"/>
      <c r="AJ217" s="25"/>
      <c r="AK217" s="25"/>
      <c r="AL217" s="25"/>
      <c r="AM217" s="25"/>
      <c r="AN217" s="33"/>
      <c r="AO217" s="119">
        <v>43784</v>
      </c>
      <c r="AP217" s="120"/>
      <c r="AQ217" s="4"/>
      <c r="AR217" s="4"/>
      <c r="AS217" s="4"/>
      <c r="AT217" s="4"/>
      <c r="AU217" s="4"/>
    </row>
    <row r="218" spans="1:47" s="121" customFormat="1" ht="111.95" hidden="1" customHeight="1" x14ac:dyDescent="0.25">
      <c r="A218" s="109">
        <v>85</v>
      </c>
      <c r="B218" s="109" t="s">
        <v>109</v>
      </c>
      <c r="C218" s="109" t="s">
        <v>1210</v>
      </c>
      <c r="D218" s="109">
        <v>8</v>
      </c>
      <c r="E218" s="109" t="s">
        <v>118</v>
      </c>
      <c r="F218" s="111" t="s">
        <v>1104</v>
      </c>
      <c r="G218" s="112" t="s">
        <v>244</v>
      </c>
      <c r="H218" s="112" t="s">
        <v>1105</v>
      </c>
      <c r="I218" s="113" t="s">
        <v>112</v>
      </c>
      <c r="J218" s="112" t="s">
        <v>1106</v>
      </c>
      <c r="K218" s="112" t="s">
        <v>1107</v>
      </c>
      <c r="L218" s="114" t="s">
        <v>226</v>
      </c>
      <c r="M218" s="114"/>
      <c r="N218" s="115">
        <v>43770</v>
      </c>
      <c r="O218" s="115">
        <v>45230</v>
      </c>
      <c r="P218" s="116">
        <f t="shared" si="53"/>
        <v>4</v>
      </c>
      <c r="Q218" s="110" t="s">
        <v>42</v>
      </c>
      <c r="R218" s="110">
        <f t="shared" ca="1" si="59"/>
        <v>10.558177004928321</v>
      </c>
      <c r="S218" s="110" t="str">
        <f t="shared" ca="1" si="54"/>
        <v>O</v>
      </c>
      <c r="T218" s="117">
        <v>1</v>
      </c>
      <c r="U218" s="117">
        <v>1</v>
      </c>
      <c r="V218" s="117">
        <v>3</v>
      </c>
      <c r="W218" s="117">
        <f t="shared" si="55"/>
        <v>5</v>
      </c>
      <c r="X218" s="117" t="str">
        <f t="shared" si="56"/>
        <v>Biasa</v>
      </c>
      <c r="Y218" s="111" t="s">
        <v>486</v>
      </c>
      <c r="Z218" s="122" t="s">
        <v>117</v>
      </c>
      <c r="AA218" s="115">
        <f>N218+635</f>
        <v>44405</v>
      </c>
      <c r="AB218" s="115">
        <f>+N218+1000</f>
        <v>44770</v>
      </c>
      <c r="AC218" s="115"/>
      <c r="AD218" s="25"/>
      <c r="AE218" s="118"/>
      <c r="AF218" s="110" t="s">
        <v>1074</v>
      </c>
      <c r="AG218" s="110" t="s">
        <v>117</v>
      </c>
      <c r="AH218" s="25"/>
      <c r="AI218" s="25"/>
      <c r="AJ218" s="25"/>
      <c r="AK218" s="25"/>
      <c r="AL218" s="25"/>
      <c r="AM218" s="25"/>
      <c r="AN218" s="33"/>
      <c r="AO218" s="119">
        <v>43802</v>
      </c>
      <c r="AP218" s="120"/>
      <c r="AQ218" s="4"/>
      <c r="AR218" s="4"/>
      <c r="AS218" s="4"/>
      <c r="AT218" s="4"/>
      <c r="AU218" s="4"/>
    </row>
    <row r="219" spans="1:47" s="121" customFormat="1" ht="111.95" hidden="1" customHeight="1" x14ac:dyDescent="0.25">
      <c r="A219" s="109">
        <v>86</v>
      </c>
      <c r="B219" s="109" t="s">
        <v>109</v>
      </c>
      <c r="C219" s="109" t="s">
        <v>1210</v>
      </c>
      <c r="D219" s="109">
        <v>9</v>
      </c>
      <c r="E219" s="109" t="s">
        <v>118</v>
      </c>
      <c r="F219" s="111" t="s">
        <v>1089</v>
      </c>
      <c r="G219" s="112" t="s">
        <v>244</v>
      </c>
      <c r="H219" s="112" t="s">
        <v>1090</v>
      </c>
      <c r="I219" s="113" t="s">
        <v>112</v>
      </c>
      <c r="J219" s="112" t="s">
        <v>1091</v>
      </c>
      <c r="K219" s="112" t="s">
        <v>1092</v>
      </c>
      <c r="L219" s="114" t="s">
        <v>1093</v>
      </c>
      <c r="M219" s="114"/>
      <c r="N219" s="115">
        <v>43800</v>
      </c>
      <c r="O219" s="115">
        <v>45260</v>
      </c>
      <c r="P219" s="116">
        <f t="shared" si="53"/>
        <v>4</v>
      </c>
      <c r="Q219" s="110" t="s">
        <v>42</v>
      </c>
      <c r="R219" s="110">
        <f t="shared" ca="1" si="59"/>
        <v>11.525918940412192</v>
      </c>
      <c r="S219" s="110" t="str">
        <f t="shared" ca="1" si="54"/>
        <v>O</v>
      </c>
      <c r="T219" s="117">
        <v>2</v>
      </c>
      <c r="U219" s="117">
        <v>1</v>
      </c>
      <c r="V219" s="117">
        <v>3</v>
      </c>
      <c r="W219" s="117">
        <f t="shared" si="55"/>
        <v>6</v>
      </c>
      <c r="X219" s="117" t="str">
        <f t="shared" si="56"/>
        <v>Penting</v>
      </c>
      <c r="Y219" s="111" t="s">
        <v>1094</v>
      </c>
      <c r="Z219" s="122" t="s">
        <v>117</v>
      </c>
      <c r="AA219" s="115">
        <f>N219+635</f>
        <v>44435</v>
      </c>
      <c r="AB219" s="115">
        <f>+N219+1000</f>
        <v>44800</v>
      </c>
      <c r="AC219" s="115"/>
      <c r="AD219" s="25"/>
      <c r="AE219" s="118"/>
      <c r="AF219" s="110" t="s">
        <v>1074</v>
      </c>
      <c r="AG219" s="110" t="s">
        <v>117</v>
      </c>
      <c r="AH219" s="25"/>
      <c r="AI219" s="25"/>
      <c r="AJ219" s="25"/>
      <c r="AK219" s="25"/>
      <c r="AL219" s="25"/>
      <c r="AM219" s="25"/>
      <c r="AN219" s="33"/>
      <c r="AO219" s="119">
        <v>43851</v>
      </c>
      <c r="AP219" s="120"/>
      <c r="AQ219" s="4"/>
      <c r="AR219" s="4"/>
      <c r="AS219" s="4"/>
      <c r="AT219" s="4"/>
      <c r="AU219" s="4"/>
    </row>
    <row r="220" spans="1:47" s="121" customFormat="1" ht="111.95" hidden="1" customHeight="1" x14ac:dyDescent="0.25">
      <c r="A220" s="109">
        <v>87</v>
      </c>
      <c r="B220" s="109" t="s">
        <v>109</v>
      </c>
      <c r="C220" s="109" t="s">
        <v>1210</v>
      </c>
      <c r="D220" s="109">
        <v>10</v>
      </c>
      <c r="E220" s="109" t="s">
        <v>118</v>
      </c>
      <c r="F220" s="111" t="s">
        <v>1158</v>
      </c>
      <c r="G220" s="112" t="s">
        <v>244</v>
      </c>
      <c r="H220" s="112" t="s">
        <v>1159</v>
      </c>
      <c r="I220" s="113" t="s">
        <v>112</v>
      </c>
      <c r="J220" s="112" t="s">
        <v>1160</v>
      </c>
      <c r="K220" s="112" t="s">
        <v>1161</v>
      </c>
      <c r="L220" s="114" t="s">
        <v>226</v>
      </c>
      <c r="M220" s="114"/>
      <c r="N220" s="115">
        <v>43739</v>
      </c>
      <c r="O220" s="115">
        <v>45199</v>
      </c>
      <c r="P220" s="116">
        <f t="shared" si="53"/>
        <v>4</v>
      </c>
      <c r="Q220" s="110" t="s">
        <v>42</v>
      </c>
      <c r="R220" s="110">
        <f t="shared" ca="1" si="59"/>
        <v>9.5581770049283215</v>
      </c>
      <c r="S220" s="110" t="str">
        <f t="shared" ca="1" si="54"/>
        <v>O</v>
      </c>
      <c r="T220" s="117">
        <v>2</v>
      </c>
      <c r="U220" s="117">
        <v>2</v>
      </c>
      <c r="V220" s="117">
        <v>3</v>
      </c>
      <c r="W220" s="117">
        <f t="shared" si="55"/>
        <v>7</v>
      </c>
      <c r="X220" s="117" t="str">
        <f t="shared" si="56"/>
        <v>Penting</v>
      </c>
      <c r="Y220" s="111" t="s">
        <v>486</v>
      </c>
      <c r="Z220" s="122" t="s">
        <v>117</v>
      </c>
      <c r="AA220" s="115">
        <f>N220+1000</f>
        <v>44739</v>
      </c>
      <c r="AB220" s="115">
        <f>+N220+1365</f>
        <v>45104</v>
      </c>
      <c r="AC220" s="115"/>
      <c r="AD220" s="25"/>
      <c r="AE220" s="118"/>
      <c r="AF220" s="110" t="s">
        <v>1074</v>
      </c>
      <c r="AG220" s="110" t="s">
        <v>117</v>
      </c>
      <c r="AH220" s="25"/>
      <c r="AI220" s="25"/>
      <c r="AJ220" s="25"/>
      <c r="AK220" s="25"/>
      <c r="AL220" s="25"/>
      <c r="AM220" s="25"/>
      <c r="AN220" s="33"/>
      <c r="AO220" s="119">
        <v>43852</v>
      </c>
      <c r="AP220" s="120"/>
      <c r="AQ220" s="4"/>
      <c r="AR220" s="4"/>
      <c r="AS220" s="4"/>
      <c r="AT220" s="4"/>
      <c r="AU220" s="4"/>
    </row>
    <row r="221" spans="1:47" s="121" customFormat="1" ht="111.95" hidden="1" customHeight="1" x14ac:dyDescent="0.25">
      <c r="A221" s="109">
        <v>88</v>
      </c>
      <c r="B221" s="109" t="s">
        <v>109</v>
      </c>
      <c r="C221" s="109" t="s">
        <v>1211</v>
      </c>
      <c r="D221" s="109">
        <v>1</v>
      </c>
      <c r="E221" s="109" t="s">
        <v>118</v>
      </c>
      <c r="F221" s="111" t="s">
        <v>1142</v>
      </c>
      <c r="G221" s="112" t="s">
        <v>244</v>
      </c>
      <c r="H221" s="112" t="s">
        <v>523</v>
      </c>
      <c r="I221" s="113" t="s">
        <v>112</v>
      </c>
      <c r="J221" s="112" t="s">
        <v>1143</v>
      </c>
      <c r="K221" s="112" t="s">
        <v>1144</v>
      </c>
      <c r="L221" s="114" t="s">
        <v>361</v>
      </c>
      <c r="M221" s="114"/>
      <c r="N221" s="115">
        <v>43710</v>
      </c>
      <c r="O221" s="115">
        <v>45170</v>
      </c>
      <c r="P221" s="116">
        <f t="shared" si="53"/>
        <v>4</v>
      </c>
      <c r="Q221" s="110" t="s">
        <v>42</v>
      </c>
      <c r="R221" s="110">
        <f t="shared" ca="1" si="59"/>
        <v>8.6226931339605795</v>
      </c>
      <c r="S221" s="110" t="str">
        <f t="shared" ca="1" si="54"/>
        <v>O</v>
      </c>
      <c r="T221" s="117">
        <v>2</v>
      </c>
      <c r="U221" s="117">
        <v>1</v>
      </c>
      <c r="V221" s="117">
        <v>1</v>
      </c>
      <c r="W221" s="117">
        <f t="shared" si="55"/>
        <v>4</v>
      </c>
      <c r="X221" s="117" t="str">
        <f t="shared" si="56"/>
        <v>Biasa</v>
      </c>
      <c r="Y221" s="111" t="s">
        <v>486</v>
      </c>
      <c r="Z221" s="122" t="s">
        <v>117</v>
      </c>
      <c r="AA221" s="115">
        <f>N221+1000</f>
        <v>44710</v>
      </c>
      <c r="AB221" s="115">
        <f>+N221+1365</f>
        <v>45075</v>
      </c>
      <c r="AC221" s="115"/>
      <c r="AD221" s="25"/>
      <c r="AE221" s="118"/>
      <c r="AF221" s="110" t="s">
        <v>1074</v>
      </c>
      <c r="AG221" s="110" t="s">
        <v>117</v>
      </c>
      <c r="AH221" s="25"/>
      <c r="AI221" s="25"/>
      <c r="AJ221" s="25"/>
      <c r="AK221" s="25"/>
      <c r="AL221" s="25"/>
      <c r="AM221" s="25"/>
      <c r="AN221" s="33"/>
      <c r="AO221" s="119"/>
      <c r="AP221" s="120"/>
      <c r="AQ221" s="4"/>
      <c r="AR221" s="4"/>
      <c r="AS221" s="4"/>
      <c r="AT221" s="4"/>
      <c r="AU221" s="4"/>
    </row>
    <row r="222" spans="1:47" s="121" customFormat="1" ht="111.95" hidden="1" customHeight="1" x14ac:dyDescent="0.25">
      <c r="A222" s="109">
        <v>89</v>
      </c>
      <c r="B222" s="109" t="s">
        <v>109</v>
      </c>
      <c r="C222" s="109" t="s">
        <v>1211</v>
      </c>
      <c r="D222" s="109">
        <v>2</v>
      </c>
      <c r="E222" s="109" t="s">
        <v>118</v>
      </c>
      <c r="F222" s="111" t="s">
        <v>1085</v>
      </c>
      <c r="G222" s="112" t="s">
        <v>244</v>
      </c>
      <c r="H222" s="112" t="s">
        <v>1086</v>
      </c>
      <c r="I222" s="113" t="s">
        <v>112</v>
      </c>
      <c r="J222" s="112" t="s">
        <v>1087</v>
      </c>
      <c r="K222" s="112" t="s">
        <v>1088</v>
      </c>
      <c r="L222" s="114" t="s">
        <v>226</v>
      </c>
      <c r="M222" s="114"/>
      <c r="N222" s="115">
        <v>43739</v>
      </c>
      <c r="O222" s="115">
        <v>45199</v>
      </c>
      <c r="P222" s="116">
        <f t="shared" si="53"/>
        <v>4</v>
      </c>
      <c r="Q222" s="110" t="s">
        <v>42</v>
      </c>
      <c r="R222" s="110">
        <f t="shared" ca="1" si="59"/>
        <v>9.5581770049283215</v>
      </c>
      <c r="S222" s="110" t="str">
        <f t="shared" ca="1" si="54"/>
        <v>O</v>
      </c>
      <c r="T222" s="117">
        <v>1</v>
      </c>
      <c r="U222" s="117">
        <v>1</v>
      </c>
      <c r="V222" s="117">
        <v>2</v>
      </c>
      <c r="W222" s="117">
        <f t="shared" si="55"/>
        <v>4</v>
      </c>
      <c r="X222" s="117" t="str">
        <f t="shared" si="56"/>
        <v>Biasa</v>
      </c>
      <c r="Y222" s="111" t="s">
        <v>486</v>
      </c>
      <c r="Z222" s="122" t="s">
        <v>117</v>
      </c>
      <c r="AA222" s="115">
        <f>N222+1000</f>
        <v>44739</v>
      </c>
      <c r="AB222" s="115">
        <f>+N222+1365</f>
        <v>45104</v>
      </c>
      <c r="AC222" s="115"/>
      <c r="AD222" s="25"/>
      <c r="AE222" s="118"/>
      <c r="AF222" s="110" t="s">
        <v>1074</v>
      </c>
      <c r="AG222" s="110" t="s">
        <v>117</v>
      </c>
      <c r="AH222" s="25"/>
      <c r="AI222" s="25"/>
      <c r="AJ222" s="25"/>
      <c r="AK222" s="25"/>
      <c r="AL222" s="25"/>
      <c r="AM222" s="25"/>
      <c r="AN222" s="33"/>
      <c r="AO222" s="119">
        <v>43858</v>
      </c>
      <c r="AP222" s="120"/>
      <c r="AQ222" s="4"/>
      <c r="AR222" s="4"/>
      <c r="AS222" s="4"/>
      <c r="AT222" s="4"/>
      <c r="AU222" s="4"/>
    </row>
    <row r="223" spans="1:47" s="121" customFormat="1" ht="111.95" hidden="1" customHeight="1" x14ac:dyDescent="0.25">
      <c r="A223" s="109">
        <v>90</v>
      </c>
      <c r="B223" s="109" t="s">
        <v>109</v>
      </c>
      <c r="C223" s="109" t="s">
        <v>1211</v>
      </c>
      <c r="D223" s="109">
        <v>3</v>
      </c>
      <c r="E223" s="109" t="s">
        <v>118</v>
      </c>
      <c r="F223" s="111" t="s">
        <v>1125</v>
      </c>
      <c r="G223" s="112" t="s">
        <v>244</v>
      </c>
      <c r="H223" s="112" t="s">
        <v>1126</v>
      </c>
      <c r="I223" s="113" t="s">
        <v>112</v>
      </c>
      <c r="J223" s="112" t="s">
        <v>1127</v>
      </c>
      <c r="K223" s="112" t="s">
        <v>1128</v>
      </c>
      <c r="L223" s="114" t="s">
        <v>361</v>
      </c>
      <c r="M223" s="114"/>
      <c r="N223" s="115">
        <v>43739</v>
      </c>
      <c r="O223" s="115">
        <v>45199</v>
      </c>
      <c r="P223" s="116">
        <f t="shared" si="53"/>
        <v>4</v>
      </c>
      <c r="Q223" s="110" t="s">
        <v>42</v>
      </c>
      <c r="R223" s="110">
        <f t="shared" ca="1" si="59"/>
        <v>9.5581770049283215</v>
      </c>
      <c r="S223" s="110" t="str">
        <f t="shared" ca="1" si="54"/>
        <v>O</v>
      </c>
      <c r="T223" s="117">
        <v>2</v>
      </c>
      <c r="U223" s="117">
        <v>2</v>
      </c>
      <c r="V223" s="117">
        <v>3</v>
      </c>
      <c r="W223" s="117">
        <f t="shared" si="55"/>
        <v>7</v>
      </c>
      <c r="X223" s="117" t="str">
        <f t="shared" si="56"/>
        <v>Penting</v>
      </c>
      <c r="Y223" s="111" t="s">
        <v>486</v>
      </c>
      <c r="Z223" s="122" t="s">
        <v>117</v>
      </c>
      <c r="AA223" s="115">
        <f>N223+1000</f>
        <v>44739</v>
      </c>
      <c r="AB223" s="115">
        <f>+N223+1365</f>
        <v>45104</v>
      </c>
      <c r="AC223" s="115"/>
      <c r="AD223" s="25"/>
      <c r="AE223" s="118"/>
      <c r="AF223" s="110" t="s">
        <v>1074</v>
      </c>
      <c r="AG223" s="110" t="s">
        <v>117</v>
      </c>
      <c r="AH223" s="25"/>
      <c r="AI223" s="25"/>
      <c r="AJ223" s="25"/>
      <c r="AK223" s="25"/>
      <c r="AL223" s="25"/>
      <c r="AM223" s="25"/>
      <c r="AN223" s="33"/>
      <c r="AO223" s="119">
        <v>43861</v>
      </c>
      <c r="AP223" s="120"/>
      <c r="AQ223" s="4"/>
      <c r="AR223" s="4"/>
      <c r="AS223" s="4"/>
      <c r="AT223" s="4"/>
      <c r="AU223" s="4"/>
    </row>
    <row r="224" spans="1:47" s="121" customFormat="1" ht="111.95" hidden="1" customHeight="1" x14ac:dyDescent="0.25">
      <c r="A224" s="109">
        <v>91</v>
      </c>
      <c r="B224" s="109" t="s">
        <v>109</v>
      </c>
      <c r="C224" s="109" t="s">
        <v>1211</v>
      </c>
      <c r="D224" s="109">
        <v>4</v>
      </c>
      <c r="E224" s="109" t="s">
        <v>118</v>
      </c>
      <c r="F224" s="111" t="s">
        <v>1116</v>
      </c>
      <c r="G224" s="112" t="s">
        <v>244</v>
      </c>
      <c r="H224" s="112" t="s">
        <v>1117</v>
      </c>
      <c r="I224" s="113" t="s">
        <v>112</v>
      </c>
      <c r="J224" s="112" t="s">
        <v>1118</v>
      </c>
      <c r="K224" s="112" t="s">
        <v>1119</v>
      </c>
      <c r="L224" s="114" t="s">
        <v>361</v>
      </c>
      <c r="M224" s="114"/>
      <c r="N224" s="115">
        <v>43770</v>
      </c>
      <c r="O224" s="115">
        <v>45230</v>
      </c>
      <c r="P224" s="116">
        <f t="shared" si="53"/>
        <v>4</v>
      </c>
      <c r="Q224" s="110" t="s">
        <v>42</v>
      </c>
      <c r="R224" s="110">
        <f t="shared" ca="1" si="59"/>
        <v>10.558177004928321</v>
      </c>
      <c r="S224" s="110" t="str">
        <f t="shared" ca="1" si="54"/>
        <v>O</v>
      </c>
      <c r="T224" s="117">
        <v>1</v>
      </c>
      <c r="U224" s="117">
        <v>1</v>
      </c>
      <c r="V224" s="117">
        <v>3</v>
      </c>
      <c r="W224" s="117">
        <f t="shared" si="55"/>
        <v>5</v>
      </c>
      <c r="X224" s="117" t="str">
        <f t="shared" si="56"/>
        <v>Biasa</v>
      </c>
      <c r="Y224" s="111" t="s">
        <v>486</v>
      </c>
      <c r="Z224" s="122" t="s">
        <v>117</v>
      </c>
      <c r="AA224" s="115">
        <f>N224+635</f>
        <v>44405</v>
      </c>
      <c r="AB224" s="115">
        <f>+N224+1000</f>
        <v>44770</v>
      </c>
      <c r="AC224" s="115"/>
      <c r="AD224" s="25"/>
      <c r="AE224" s="118"/>
      <c r="AF224" s="110" t="s">
        <v>1074</v>
      </c>
      <c r="AG224" s="110" t="s">
        <v>117</v>
      </c>
      <c r="AH224" s="25"/>
      <c r="AI224" s="25"/>
      <c r="AJ224" s="25"/>
      <c r="AK224" s="25"/>
      <c r="AL224" s="25"/>
      <c r="AM224" s="25"/>
      <c r="AN224" s="33"/>
      <c r="AO224" s="119">
        <v>43861</v>
      </c>
      <c r="AP224" s="120"/>
      <c r="AQ224" s="4"/>
      <c r="AR224" s="4"/>
      <c r="AS224" s="4"/>
      <c r="AT224" s="4"/>
      <c r="AU224" s="4"/>
    </row>
    <row r="225" spans="1:47" s="121" customFormat="1" ht="111.95" hidden="1" customHeight="1" x14ac:dyDescent="0.25">
      <c r="A225" s="109">
        <v>92</v>
      </c>
      <c r="B225" s="109" t="s">
        <v>109</v>
      </c>
      <c r="C225" s="109" t="s">
        <v>1211</v>
      </c>
      <c r="D225" s="109">
        <v>5</v>
      </c>
      <c r="E225" s="109" t="s">
        <v>118</v>
      </c>
      <c r="F225" s="111" t="s">
        <v>1162</v>
      </c>
      <c r="G225" s="112" t="s">
        <v>244</v>
      </c>
      <c r="H225" s="112" t="s">
        <v>1163</v>
      </c>
      <c r="I225" s="113" t="s">
        <v>112</v>
      </c>
      <c r="J225" s="112" t="s">
        <v>1164</v>
      </c>
      <c r="K225" s="112" t="s">
        <v>1165</v>
      </c>
      <c r="L225" s="114" t="s">
        <v>226</v>
      </c>
      <c r="M225" s="114"/>
      <c r="N225" s="115">
        <v>43846</v>
      </c>
      <c r="O225" s="115">
        <v>44941</v>
      </c>
      <c r="P225" s="116">
        <f t="shared" si="53"/>
        <v>3</v>
      </c>
      <c r="Q225" s="110" t="s">
        <v>42</v>
      </c>
      <c r="R225" s="110">
        <f t="shared" ca="1" si="59"/>
        <v>1.235596359767031</v>
      </c>
      <c r="S225" s="110" t="str">
        <f t="shared" ca="1" si="54"/>
        <v>O</v>
      </c>
      <c r="T225" s="117">
        <v>1</v>
      </c>
      <c r="U225" s="117">
        <v>1</v>
      </c>
      <c r="V225" s="117">
        <v>3</v>
      </c>
      <c r="W225" s="117">
        <f t="shared" si="55"/>
        <v>5</v>
      </c>
      <c r="X225" s="117" t="str">
        <f t="shared" si="56"/>
        <v>Biasa</v>
      </c>
      <c r="Y225" s="111" t="s">
        <v>486</v>
      </c>
      <c r="Z225" s="122" t="s">
        <v>117</v>
      </c>
      <c r="AA225" s="115">
        <f>N225+635</f>
        <v>44481</v>
      </c>
      <c r="AB225" s="115">
        <f>+N225+1000</f>
        <v>44846</v>
      </c>
      <c r="AC225" s="115"/>
      <c r="AD225" s="25"/>
      <c r="AE225" s="118"/>
      <c r="AF225" s="110" t="s">
        <v>1074</v>
      </c>
      <c r="AG225" s="110" t="s">
        <v>117</v>
      </c>
      <c r="AH225" s="25"/>
      <c r="AI225" s="25"/>
      <c r="AJ225" s="25"/>
      <c r="AK225" s="25"/>
      <c r="AL225" s="25"/>
      <c r="AM225" s="25"/>
      <c r="AN225" s="33"/>
      <c r="AO225" s="119">
        <v>43910</v>
      </c>
      <c r="AP225" s="120"/>
      <c r="AQ225" s="4"/>
      <c r="AR225" s="4"/>
      <c r="AS225" s="4"/>
      <c r="AT225" s="4"/>
      <c r="AU225" s="4"/>
    </row>
    <row r="226" spans="1:47" s="121" customFormat="1" ht="111.95" hidden="1" customHeight="1" x14ac:dyDescent="0.25">
      <c r="A226" s="109">
        <v>93</v>
      </c>
      <c r="B226" s="109" t="s">
        <v>109</v>
      </c>
      <c r="C226" s="109" t="s">
        <v>1211</v>
      </c>
      <c r="D226" s="109">
        <v>6</v>
      </c>
      <c r="E226" s="109" t="s">
        <v>118</v>
      </c>
      <c r="F226" s="111" t="s">
        <v>1150</v>
      </c>
      <c r="G226" s="112" t="s">
        <v>244</v>
      </c>
      <c r="H226" s="112" t="s">
        <v>1151</v>
      </c>
      <c r="I226" s="113" t="s">
        <v>112</v>
      </c>
      <c r="J226" s="112" t="s">
        <v>1152</v>
      </c>
      <c r="K226" s="112" t="s">
        <v>1153</v>
      </c>
      <c r="L226" s="114" t="s">
        <v>361</v>
      </c>
      <c r="M226" s="114"/>
      <c r="N226" s="115">
        <v>43832</v>
      </c>
      <c r="O226" s="115">
        <v>44928</v>
      </c>
      <c r="P226" s="116">
        <f t="shared" si="53"/>
        <v>3.0027397260273974</v>
      </c>
      <c r="Q226" s="110" t="s">
        <v>42</v>
      </c>
      <c r="R226" s="110">
        <f t="shared" ca="1" si="59"/>
        <v>0.81624152105735359</v>
      </c>
      <c r="S226" s="110" t="str">
        <f t="shared" ca="1" si="54"/>
        <v>O</v>
      </c>
      <c r="T226" s="117">
        <v>1</v>
      </c>
      <c r="U226" s="117">
        <v>1</v>
      </c>
      <c r="V226" s="117">
        <v>3</v>
      </c>
      <c r="W226" s="117">
        <f t="shared" si="55"/>
        <v>5</v>
      </c>
      <c r="X226" s="117" t="str">
        <f t="shared" si="56"/>
        <v>Biasa</v>
      </c>
      <c r="Y226" s="111" t="s">
        <v>486</v>
      </c>
      <c r="Z226" s="122" t="s">
        <v>117</v>
      </c>
      <c r="AA226" s="115">
        <f>N226+635</f>
        <v>44467</v>
      </c>
      <c r="AB226" s="115">
        <f>+N226+1000</f>
        <v>44832</v>
      </c>
      <c r="AC226" s="115"/>
      <c r="AD226" s="25"/>
      <c r="AE226" s="118"/>
      <c r="AF226" s="110" t="s">
        <v>1074</v>
      </c>
      <c r="AG226" s="110" t="s">
        <v>117</v>
      </c>
      <c r="AH226" s="25"/>
      <c r="AI226" s="25"/>
      <c r="AJ226" s="25"/>
      <c r="AK226" s="25"/>
      <c r="AL226" s="25"/>
      <c r="AM226" s="25"/>
      <c r="AN226" s="33"/>
      <c r="AO226" s="119">
        <v>43874</v>
      </c>
      <c r="AP226" s="120"/>
      <c r="AQ226" s="4"/>
      <c r="AR226" s="4"/>
      <c r="AS226" s="4"/>
      <c r="AT226" s="4"/>
      <c r="AU226" s="4"/>
    </row>
    <row r="227" spans="1:47" s="121" customFormat="1" ht="111.95" hidden="1" customHeight="1" x14ac:dyDescent="0.25">
      <c r="A227" s="109">
        <v>94</v>
      </c>
      <c r="B227" s="109" t="s">
        <v>109</v>
      </c>
      <c r="C227" s="109" t="s">
        <v>1211</v>
      </c>
      <c r="D227" s="109">
        <v>7</v>
      </c>
      <c r="E227" s="109" t="s">
        <v>118</v>
      </c>
      <c r="F227" s="111" t="s">
        <v>1154</v>
      </c>
      <c r="G227" s="112" t="s">
        <v>244</v>
      </c>
      <c r="H227" s="112" t="s">
        <v>1155</v>
      </c>
      <c r="I227" s="113" t="s">
        <v>112</v>
      </c>
      <c r="J227" s="112" t="s">
        <v>1156</v>
      </c>
      <c r="K227" s="112" t="s">
        <v>1157</v>
      </c>
      <c r="L227" s="114" t="s">
        <v>361</v>
      </c>
      <c r="M227" s="114"/>
      <c r="N227" s="115">
        <v>43832</v>
      </c>
      <c r="O227" s="115">
        <v>44928</v>
      </c>
      <c r="P227" s="116">
        <f t="shared" si="53"/>
        <v>3.0027397260273974</v>
      </c>
      <c r="Q227" s="110" t="s">
        <v>42</v>
      </c>
      <c r="R227" s="110">
        <f t="shared" ca="1" si="59"/>
        <v>0.81624152105735359</v>
      </c>
      <c r="S227" s="110" t="str">
        <f t="shared" ca="1" si="54"/>
        <v>O</v>
      </c>
      <c r="T227" s="117">
        <v>1</v>
      </c>
      <c r="U227" s="117">
        <v>1</v>
      </c>
      <c r="V227" s="117">
        <v>3</v>
      </c>
      <c r="W227" s="117">
        <f t="shared" si="55"/>
        <v>5</v>
      </c>
      <c r="X227" s="117" t="str">
        <f t="shared" si="56"/>
        <v>Biasa</v>
      </c>
      <c r="Y227" s="111" t="s">
        <v>486</v>
      </c>
      <c r="Z227" s="122" t="s">
        <v>117</v>
      </c>
      <c r="AA227" s="115">
        <f>N227+635</f>
        <v>44467</v>
      </c>
      <c r="AB227" s="115">
        <f>+N227+1000</f>
        <v>44832</v>
      </c>
      <c r="AC227" s="115"/>
      <c r="AD227" s="25"/>
      <c r="AE227" s="118"/>
      <c r="AF227" s="110" t="s">
        <v>1074</v>
      </c>
      <c r="AG227" s="110" t="s">
        <v>117</v>
      </c>
      <c r="AH227" s="25"/>
      <c r="AI227" s="25"/>
      <c r="AJ227" s="25"/>
      <c r="AK227" s="25"/>
      <c r="AL227" s="25"/>
      <c r="AM227" s="25"/>
      <c r="AN227" s="33"/>
      <c r="AO227" s="119">
        <v>43895</v>
      </c>
      <c r="AP227" s="120"/>
      <c r="AQ227" s="4"/>
      <c r="AR227" s="4"/>
      <c r="AS227" s="4"/>
      <c r="AT227" s="4"/>
      <c r="AU227" s="4"/>
    </row>
    <row r="228" spans="1:47" s="121" customFormat="1" ht="111.95" hidden="1" customHeight="1" x14ac:dyDescent="0.25">
      <c r="A228" s="109">
        <v>95</v>
      </c>
      <c r="B228" s="109" t="s">
        <v>109</v>
      </c>
      <c r="C228" s="109" t="s">
        <v>1211</v>
      </c>
      <c r="D228" s="109">
        <v>8</v>
      </c>
      <c r="E228" s="109" t="s">
        <v>118</v>
      </c>
      <c r="F228" s="111" t="s">
        <v>1145</v>
      </c>
      <c r="G228" s="112" t="s">
        <v>244</v>
      </c>
      <c r="H228" s="112" t="s">
        <v>1146</v>
      </c>
      <c r="I228" s="113" t="s">
        <v>112</v>
      </c>
      <c r="J228" s="112" t="s">
        <v>1147</v>
      </c>
      <c r="K228" s="112" t="s">
        <v>1148</v>
      </c>
      <c r="L228" s="114" t="s">
        <v>1149</v>
      </c>
      <c r="M228" s="114"/>
      <c r="N228" s="115">
        <v>43864</v>
      </c>
      <c r="O228" s="115">
        <v>44959</v>
      </c>
      <c r="P228" s="116">
        <f t="shared" si="53"/>
        <v>3</v>
      </c>
      <c r="Q228" s="110" t="s">
        <v>42</v>
      </c>
      <c r="R228" s="110">
        <f t="shared" ca="1" si="59"/>
        <v>1.8162415210573537</v>
      </c>
      <c r="S228" s="110" t="str">
        <f t="shared" ca="1" si="54"/>
        <v>O</v>
      </c>
      <c r="T228" s="117">
        <v>2</v>
      </c>
      <c r="U228" s="117">
        <v>2</v>
      </c>
      <c r="V228" s="117">
        <v>3</v>
      </c>
      <c r="W228" s="117">
        <f t="shared" si="55"/>
        <v>7</v>
      </c>
      <c r="X228" s="117" t="str">
        <f t="shared" si="56"/>
        <v>Penting</v>
      </c>
      <c r="Y228" s="111" t="s">
        <v>486</v>
      </c>
      <c r="Z228" s="122" t="s">
        <v>117</v>
      </c>
      <c r="AA228" s="115">
        <f>N228+635</f>
        <v>44499</v>
      </c>
      <c r="AB228" s="115">
        <f>+N228+1000</f>
        <v>44864</v>
      </c>
      <c r="AC228" s="115"/>
      <c r="AD228" s="25"/>
      <c r="AE228" s="118"/>
      <c r="AF228" s="110" t="s">
        <v>1074</v>
      </c>
      <c r="AG228" s="110" t="s">
        <v>117</v>
      </c>
      <c r="AH228" s="25"/>
      <c r="AI228" s="25"/>
      <c r="AJ228" s="25"/>
      <c r="AK228" s="25"/>
      <c r="AL228" s="25"/>
      <c r="AM228" s="25"/>
      <c r="AN228" s="33"/>
      <c r="AO228" s="119">
        <v>43949</v>
      </c>
      <c r="AP228" s="120"/>
      <c r="AQ228" s="4"/>
      <c r="AR228" s="4"/>
      <c r="AS228" s="4"/>
      <c r="AT228" s="4"/>
      <c r="AU228" s="4"/>
    </row>
    <row r="229" spans="1:47" s="121" customFormat="1" ht="111.95" hidden="1" customHeight="1" x14ac:dyDescent="0.25">
      <c r="A229" s="109">
        <v>96</v>
      </c>
      <c r="B229" s="109" t="s">
        <v>109</v>
      </c>
      <c r="C229" s="109" t="s">
        <v>1211</v>
      </c>
      <c r="D229" s="109">
        <v>9</v>
      </c>
      <c r="E229" s="109" t="s">
        <v>118</v>
      </c>
      <c r="F229" s="111" t="s">
        <v>1135</v>
      </c>
      <c r="G229" s="112" t="s">
        <v>244</v>
      </c>
      <c r="H229" s="112" t="s">
        <v>1136</v>
      </c>
      <c r="I229" s="113" t="s">
        <v>112</v>
      </c>
      <c r="J229" s="112" t="s">
        <v>1137</v>
      </c>
      <c r="K229" s="112" t="s">
        <v>1138</v>
      </c>
      <c r="L229" s="114" t="s">
        <v>361</v>
      </c>
      <c r="M229" s="114"/>
      <c r="N229" s="115">
        <v>44257</v>
      </c>
      <c r="O229" s="115">
        <v>44986</v>
      </c>
      <c r="P229" s="116">
        <f t="shared" si="53"/>
        <v>1.9972602739726026</v>
      </c>
      <c r="Q229" s="110" t="s">
        <v>42</v>
      </c>
      <c r="R229" s="110">
        <f t="shared" ca="1" si="59"/>
        <v>2.6872092629928375</v>
      </c>
      <c r="S229" s="110" t="str">
        <f t="shared" ca="1" si="54"/>
        <v>O</v>
      </c>
      <c r="T229" s="117">
        <v>1</v>
      </c>
      <c r="U229" s="117">
        <v>1</v>
      </c>
      <c r="V229" s="117">
        <v>3</v>
      </c>
      <c r="W229" s="117">
        <f t="shared" si="55"/>
        <v>5</v>
      </c>
      <c r="X229" s="117" t="str">
        <f t="shared" si="56"/>
        <v>Biasa</v>
      </c>
      <c r="Y229" s="111"/>
      <c r="Z229" s="122" t="s">
        <v>117</v>
      </c>
      <c r="AA229" s="115">
        <f>N229+270</f>
        <v>44527</v>
      </c>
      <c r="AB229" s="115"/>
      <c r="AC229" s="115"/>
      <c r="AD229" s="25"/>
      <c r="AE229" s="118"/>
      <c r="AF229" s="110" t="s">
        <v>1074</v>
      </c>
      <c r="AG229" s="110" t="s">
        <v>117</v>
      </c>
      <c r="AH229" s="25"/>
      <c r="AI229" s="25"/>
      <c r="AJ229" s="25"/>
      <c r="AK229" s="25"/>
      <c r="AL229" s="25"/>
      <c r="AM229" s="25"/>
      <c r="AN229" s="33"/>
      <c r="AO229" s="119">
        <v>44295</v>
      </c>
      <c r="AP229" s="120"/>
      <c r="AQ229" s="4"/>
      <c r="AR229" s="4"/>
      <c r="AS229" s="4"/>
      <c r="AT229" s="4"/>
      <c r="AU229" s="4"/>
    </row>
    <row r="230" spans="1:47" s="121" customFormat="1" ht="111.95" hidden="1" customHeight="1" x14ac:dyDescent="0.25">
      <c r="A230" s="109">
        <v>97</v>
      </c>
      <c r="B230" s="109" t="s">
        <v>109</v>
      </c>
      <c r="C230" s="109" t="s">
        <v>1211</v>
      </c>
      <c r="D230" s="109">
        <v>10</v>
      </c>
      <c r="E230" s="109" t="s">
        <v>118</v>
      </c>
      <c r="F230" s="111" t="s">
        <v>1081</v>
      </c>
      <c r="G230" s="112" t="s">
        <v>244</v>
      </c>
      <c r="H230" s="112" t="s">
        <v>1082</v>
      </c>
      <c r="I230" s="113" t="s">
        <v>112</v>
      </c>
      <c r="J230" s="112" t="s">
        <v>1083</v>
      </c>
      <c r="K230" s="112" t="s">
        <v>1084</v>
      </c>
      <c r="L230" s="114" t="s">
        <v>361</v>
      </c>
      <c r="M230" s="114"/>
      <c r="N230" s="115">
        <v>43922</v>
      </c>
      <c r="O230" s="115">
        <v>45016</v>
      </c>
      <c r="P230" s="116">
        <f t="shared" si="53"/>
        <v>2.9972602739726026</v>
      </c>
      <c r="Q230" s="110" t="s">
        <v>42</v>
      </c>
      <c r="R230" s="110">
        <f t="shared" ca="1" si="59"/>
        <v>3.6549511984767085</v>
      </c>
      <c r="S230" s="110" t="str">
        <f t="shared" ca="1" si="54"/>
        <v>O</v>
      </c>
      <c r="T230" s="117">
        <v>1</v>
      </c>
      <c r="U230" s="117">
        <v>1</v>
      </c>
      <c r="V230" s="117">
        <v>3</v>
      </c>
      <c r="W230" s="117">
        <f t="shared" si="55"/>
        <v>5</v>
      </c>
      <c r="X230" s="117" t="str">
        <f t="shared" si="56"/>
        <v>Biasa</v>
      </c>
      <c r="Y230" s="111" t="s">
        <v>486</v>
      </c>
      <c r="Z230" s="122" t="s">
        <v>117</v>
      </c>
      <c r="AA230" s="115">
        <f t="shared" ref="AA230:AA235" si="60">N230+635</f>
        <v>44557</v>
      </c>
      <c r="AB230" s="115">
        <f t="shared" ref="AB230:AB235" si="61">+N230+1000</f>
        <v>44922</v>
      </c>
      <c r="AC230" s="115"/>
      <c r="AD230" s="25"/>
      <c r="AE230" s="118"/>
      <c r="AF230" s="110" t="s">
        <v>1074</v>
      </c>
      <c r="AG230" s="110" t="s">
        <v>117</v>
      </c>
      <c r="AH230" s="25"/>
      <c r="AI230" s="25"/>
      <c r="AJ230" s="25"/>
      <c r="AK230" s="25"/>
      <c r="AL230" s="25"/>
      <c r="AM230" s="25"/>
      <c r="AN230" s="33"/>
      <c r="AO230" s="119">
        <v>43959</v>
      </c>
      <c r="AP230" s="120"/>
      <c r="AQ230" s="4"/>
      <c r="AR230" s="4"/>
      <c r="AS230" s="4"/>
      <c r="AT230" s="4"/>
      <c r="AU230" s="4"/>
    </row>
    <row r="231" spans="1:47" s="121" customFormat="1" ht="111.95" hidden="1" customHeight="1" x14ac:dyDescent="0.25">
      <c r="A231" s="109">
        <v>98</v>
      </c>
      <c r="B231" s="109" t="s">
        <v>109</v>
      </c>
      <c r="C231" s="109" t="s">
        <v>1211</v>
      </c>
      <c r="D231" s="109">
        <v>11</v>
      </c>
      <c r="E231" s="109" t="s">
        <v>118</v>
      </c>
      <c r="F231" s="111" t="s">
        <v>1099</v>
      </c>
      <c r="G231" s="112" t="s">
        <v>244</v>
      </c>
      <c r="H231" s="112" t="s">
        <v>1100</v>
      </c>
      <c r="I231" s="113" t="s">
        <v>112</v>
      </c>
      <c r="J231" s="112" t="s">
        <v>1101</v>
      </c>
      <c r="K231" s="112" t="s">
        <v>1102</v>
      </c>
      <c r="L231" s="114" t="s">
        <v>226</v>
      </c>
      <c r="M231" s="114"/>
      <c r="N231" s="115">
        <v>43922</v>
      </c>
      <c r="O231" s="115">
        <v>45016</v>
      </c>
      <c r="P231" s="116">
        <f t="shared" si="53"/>
        <v>2.9972602739726026</v>
      </c>
      <c r="Q231" s="110" t="s">
        <v>42</v>
      </c>
      <c r="R231" s="110">
        <f t="shared" ca="1" si="59"/>
        <v>3.6549511984767085</v>
      </c>
      <c r="S231" s="110" t="str">
        <f t="shared" ca="1" si="54"/>
        <v>O</v>
      </c>
      <c r="T231" s="117">
        <v>2</v>
      </c>
      <c r="U231" s="117">
        <v>1</v>
      </c>
      <c r="V231" s="117">
        <v>3</v>
      </c>
      <c r="W231" s="117">
        <f t="shared" si="55"/>
        <v>6</v>
      </c>
      <c r="X231" s="117" t="str">
        <f t="shared" si="56"/>
        <v>Penting</v>
      </c>
      <c r="Y231" s="111" t="s">
        <v>486</v>
      </c>
      <c r="Z231" s="122" t="s">
        <v>117</v>
      </c>
      <c r="AA231" s="115">
        <f t="shared" si="60"/>
        <v>44557</v>
      </c>
      <c r="AB231" s="115">
        <f t="shared" si="61"/>
        <v>44922</v>
      </c>
      <c r="AC231" s="115"/>
      <c r="AD231" s="25"/>
      <c r="AE231" s="118"/>
      <c r="AF231" s="110" t="s">
        <v>1074</v>
      </c>
      <c r="AG231" s="110" t="s">
        <v>117</v>
      </c>
      <c r="AH231" s="25"/>
      <c r="AI231" s="25"/>
      <c r="AJ231" s="25"/>
      <c r="AK231" s="25"/>
      <c r="AL231" s="25"/>
      <c r="AM231" s="25"/>
      <c r="AN231" s="33"/>
      <c r="AO231" s="119">
        <v>43949</v>
      </c>
      <c r="AP231" s="120"/>
      <c r="AQ231" s="124"/>
      <c r="AR231" s="4"/>
      <c r="AS231" s="4"/>
      <c r="AT231" s="4"/>
      <c r="AU231" s="4"/>
    </row>
    <row r="232" spans="1:47" s="121" customFormat="1" ht="111.95" hidden="1" customHeight="1" x14ac:dyDescent="0.25">
      <c r="A232" s="109">
        <v>99</v>
      </c>
      <c r="B232" s="109" t="s">
        <v>109</v>
      </c>
      <c r="C232" s="109" t="s">
        <v>1211</v>
      </c>
      <c r="D232" s="109">
        <v>12</v>
      </c>
      <c r="E232" s="109" t="s">
        <v>118</v>
      </c>
      <c r="F232" s="111" t="s">
        <v>1139</v>
      </c>
      <c r="G232" s="112" t="s">
        <v>244</v>
      </c>
      <c r="H232" s="112" t="s">
        <v>522</v>
      </c>
      <c r="I232" s="113" t="s">
        <v>112</v>
      </c>
      <c r="J232" s="112" t="s">
        <v>1140</v>
      </c>
      <c r="K232" s="112" t="s">
        <v>1141</v>
      </c>
      <c r="L232" s="114" t="s">
        <v>361</v>
      </c>
      <c r="M232" s="114"/>
      <c r="N232" s="115">
        <v>43871</v>
      </c>
      <c r="O232" s="115">
        <v>44966</v>
      </c>
      <c r="P232" s="116">
        <f t="shared" si="53"/>
        <v>3</v>
      </c>
      <c r="Q232" s="110" t="s">
        <v>42</v>
      </c>
      <c r="R232" s="110">
        <f t="shared" ref="R232:R245" ca="1" si="62">(O232-NOW()+1)/31</f>
        <v>2.042047972670257</v>
      </c>
      <c r="S232" s="110" t="str">
        <f t="shared" ca="1" si="54"/>
        <v>O</v>
      </c>
      <c r="T232" s="117">
        <v>1</v>
      </c>
      <c r="U232" s="117">
        <v>2</v>
      </c>
      <c r="V232" s="117">
        <v>2</v>
      </c>
      <c r="W232" s="117">
        <f t="shared" si="55"/>
        <v>5</v>
      </c>
      <c r="X232" s="117" t="str">
        <f t="shared" si="56"/>
        <v>Biasa</v>
      </c>
      <c r="Y232" s="111" t="s">
        <v>486</v>
      </c>
      <c r="Z232" s="122" t="s">
        <v>117</v>
      </c>
      <c r="AA232" s="115">
        <f t="shared" si="60"/>
        <v>44506</v>
      </c>
      <c r="AB232" s="115">
        <f t="shared" si="61"/>
        <v>44871</v>
      </c>
      <c r="AC232" s="115"/>
      <c r="AD232" s="25"/>
      <c r="AE232" s="118"/>
      <c r="AF232" s="110" t="s">
        <v>1074</v>
      </c>
      <c r="AG232" s="110" t="s">
        <v>117</v>
      </c>
      <c r="AH232" s="25"/>
      <c r="AI232" s="25"/>
      <c r="AJ232" s="25"/>
      <c r="AK232" s="25"/>
      <c r="AL232" s="25"/>
      <c r="AM232" s="25"/>
      <c r="AN232" s="33"/>
      <c r="AO232" s="119">
        <v>43966</v>
      </c>
      <c r="AP232" s="120"/>
      <c r="AQ232" s="4"/>
      <c r="AR232" s="4"/>
      <c r="AS232" s="4"/>
      <c r="AT232" s="4"/>
      <c r="AU232" s="4"/>
    </row>
    <row r="233" spans="1:47" s="121" customFormat="1" ht="111.95" hidden="1" customHeight="1" x14ac:dyDescent="0.25">
      <c r="A233" s="109">
        <v>100</v>
      </c>
      <c r="B233" s="109" t="s">
        <v>109</v>
      </c>
      <c r="C233" s="109" t="s">
        <v>1211</v>
      </c>
      <c r="D233" s="109">
        <v>13</v>
      </c>
      <c r="E233" s="109" t="s">
        <v>118</v>
      </c>
      <c r="F233" s="111" t="s">
        <v>1178</v>
      </c>
      <c r="G233" s="112" t="s">
        <v>244</v>
      </c>
      <c r="H233" s="112" t="s">
        <v>1179</v>
      </c>
      <c r="I233" s="113" t="s">
        <v>112</v>
      </c>
      <c r="J233" s="112" t="s">
        <v>1180</v>
      </c>
      <c r="K233" s="112" t="s">
        <v>1181</v>
      </c>
      <c r="L233" s="114" t="s">
        <v>361</v>
      </c>
      <c r="M233" s="114"/>
      <c r="N233" s="115">
        <v>43985</v>
      </c>
      <c r="O233" s="115">
        <v>45079</v>
      </c>
      <c r="P233" s="116">
        <f t="shared" si="53"/>
        <v>2.9972602739726026</v>
      </c>
      <c r="Q233" s="110" t="s">
        <v>42</v>
      </c>
      <c r="R233" s="110">
        <f t="shared" ca="1" si="62"/>
        <v>5.6872092629928375</v>
      </c>
      <c r="S233" s="110" t="str">
        <f t="shared" ca="1" si="54"/>
        <v>O</v>
      </c>
      <c r="T233" s="117">
        <v>1</v>
      </c>
      <c r="U233" s="117">
        <v>2</v>
      </c>
      <c r="V233" s="117">
        <v>2</v>
      </c>
      <c r="W233" s="117">
        <f t="shared" si="55"/>
        <v>5</v>
      </c>
      <c r="X233" s="117" t="str">
        <f t="shared" si="56"/>
        <v>Biasa</v>
      </c>
      <c r="Y233" s="111" t="s">
        <v>486</v>
      </c>
      <c r="Z233" s="122" t="s">
        <v>117</v>
      </c>
      <c r="AA233" s="115">
        <f t="shared" si="60"/>
        <v>44620</v>
      </c>
      <c r="AB233" s="115">
        <f t="shared" si="61"/>
        <v>44985</v>
      </c>
      <c r="AC233" s="115"/>
      <c r="AD233" s="25"/>
      <c r="AE233" s="118"/>
      <c r="AF233" s="110" t="s">
        <v>1074</v>
      </c>
      <c r="AG233" s="110"/>
      <c r="AH233" s="25"/>
      <c r="AI233" s="25"/>
      <c r="AJ233" s="25"/>
      <c r="AK233" s="25"/>
      <c r="AL233" s="25"/>
      <c r="AM233" s="25"/>
      <c r="AN233" s="33"/>
      <c r="AO233" s="119">
        <v>43985</v>
      </c>
      <c r="AP233" s="120"/>
      <c r="AQ233" s="4"/>
      <c r="AR233" s="4"/>
      <c r="AS233" s="4"/>
      <c r="AT233" s="4"/>
      <c r="AU233" s="4"/>
    </row>
    <row r="234" spans="1:47" s="121" customFormat="1" ht="111.95" hidden="1" customHeight="1" x14ac:dyDescent="0.25">
      <c r="A234" s="109">
        <v>101</v>
      </c>
      <c r="B234" s="109" t="s">
        <v>109</v>
      </c>
      <c r="C234" s="109" t="s">
        <v>1211</v>
      </c>
      <c r="D234" s="109">
        <v>14</v>
      </c>
      <c r="E234" s="109" t="s">
        <v>118</v>
      </c>
      <c r="F234" s="111" t="s">
        <v>1170</v>
      </c>
      <c r="G234" s="112" t="s">
        <v>244</v>
      </c>
      <c r="H234" s="112" t="s">
        <v>1171</v>
      </c>
      <c r="I234" s="113" t="s">
        <v>112</v>
      </c>
      <c r="J234" s="112" t="s">
        <v>1172</v>
      </c>
      <c r="K234" s="112" t="s">
        <v>1173</v>
      </c>
      <c r="L234" s="114" t="s">
        <v>361</v>
      </c>
      <c r="M234" s="114"/>
      <c r="N234" s="115">
        <v>43985</v>
      </c>
      <c r="O234" s="115">
        <v>45079</v>
      </c>
      <c r="P234" s="116">
        <f t="shared" si="53"/>
        <v>2.9972602739726026</v>
      </c>
      <c r="Q234" s="110" t="s">
        <v>42</v>
      </c>
      <c r="R234" s="110">
        <f t="shared" ca="1" si="62"/>
        <v>5.6872092629928375</v>
      </c>
      <c r="S234" s="110" t="str">
        <f t="shared" ca="1" si="54"/>
        <v>O</v>
      </c>
      <c r="T234" s="117">
        <v>1</v>
      </c>
      <c r="U234" s="117">
        <v>2</v>
      </c>
      <c r="V234" s="117">
        <v>2</v>
      </c>
      <c r="W234" s="117">
        <f t="shared" si="55"/>
        <v>5</v>
      </c>
      <c r="X234" s="117" t="str">
        <f t="shared" si="56"/>
        <v>Biasa</v>
      </c>
      <c r="Y234" s="111" t="s">
        <v>486</v>
      </c>
      <c r="Z234" s="122" t="s">
        <v>117</v>
      </c>
      <c r="AA234" s="115">
        <f t="shared" si="60"/>
        <v>44620</v>
      </c>
      <c r="AB234" s="115">
        <f t="shared" si="61"/>
        <v>44985</v>
      </c>
      <c r="AC234" s="115"/>
      <c r="AD234" s="25"/>
      <c r="AE234" s="118"/>
      <c r="AF234" s="110" t="s">
        <v>1074</v>
      </c>
      <c r="AG234" s="110"/>
      <c r="AH234" s="25"/>
      <c r="AI234" s="25"/>
      <c r="AJ234" s="25"/>
      <c r="AK234" s="25"/>
      <c r="AL234" s="25"/>
      <c r="AM234" s="25"/>
      <c r="AN234" s="33"/>
      <c r="AO234" s="119">
        <v>44008</v>
      </c>
      <c r="AP234" s="120"/>
      <c r="AQ234" s="4"/>
      <c r="AR234" s="4"/>
      <c r="AS234" s="4"/>
      <c r="AT234" s="4"/>
      <c r="AU234" s="4"/>
    </row>
    <row r="235" spans="1:47" s="121" customFormat="1" ht="111.95" hidden="1" customHeight="1" x14ac:dyDescent="0.25">
      <c r="A235" s="109">
        <v>102</v>
      </c>
      <c r="B235" s="109" t="s">
        <v>109</v>
      </c>
      <c r="C235" s="109" t="s">
        <v>1211</v>
      </c>
      <c r="D235" s="109">
        <v>15</v>
      </c>
      <c r="E235" s="109" t="s">
        <v>118</v>
      </c>
      <c r="F235" s="111" t="s">
        <v>1190</v>
      </c>
      <c r="G235" s="112" t="s">
        <v>244</v>
      </c>
      <c r="H235" s="112" t="s">
        <v>1191</v>
      </c>
      <c r="I235" s="113" t="s">
        <v>112</v>
      </c>
      <c r="J235" s="112" t="s">
        <v>1172</v>
      </c>
      <c r="K235" s="112" t="s">
        <v>1192</v>
      </c>
      <c r="L235" s="114" t="s">
        <v>361</v>
      </c>
      <c r="M235" s="114"/>
      <c r="N235" s="115">
        <v>43985</v>
      </c>
      <c r="O235" s="115">
        <v>45079</v>
      </c>
      <c r="P235" s="116">
        <f t="shared" si="53"/>
        <v>2.9972602739726026</v>
      </c>
      <c r="Q235" s="110" t="s">
        <v>42</v>
      </c>
      <c r="R235" s="110">
        <f t="shared" ca="1" si="62"/>
        <v>5.6872092629928375</v>
      </c>
      <c r="S235" s="110" t="str">
        <f t="shared" ca="1" si="54"/>
        <v>O</v>
      </c>
      <c r="T235" s="117">
        <v>1</v>
      </c>
      <c r="U235" s="117">
        <v>2</v>
      </c>
      <c r="V235" s="117">
        <v>2</v>
      </c>
      <c r="W235" s="117">
        <f t="shared" si="55"/>
        <v>5</v>
      </c>
      <c r="X235" s="117" t="str">
        <f t="shared" si="56"/>
        <v>Biasa</v>
      </c>
      <c r="Y235" s="111" t="s">
        <v>486</v>
      </c>
      <c r="Z235" s="122" t="s">
        <v>117</v>
      </c>
      <c r="AA235" s="115">
        <f t="shared" si="60"/>
        <v>44620</v>
      </c>
      <c r="AB235" s="115">
        <f t="shared" si="61"/>
        <v>44985</v>
      </c>
      <c r="AC235" s="115"/>
      <c r="AD235" s="25"/>
      <c r="AE235" s="118"/>
      <c r="AF235" s="110" t="s">
        <v>1074</v>
      </c>
      <c r="AG235" s="110"/>
      <c r="AH235" s="25"/>
      <c r="AI235" s="25"/>
      <c r="AJ235" s="25"/>
      <c r="AK235" s="25"/>
      <c r="AL235" s="25"/>
      <c r="AM235" s="25"/>
      <c r="AN235" s="33"/>
      <c r="AO235" s="119">
        <v>44008</v>
      </c>
      <c r="AP235" s="120"/>
      <c r="AQ235" s="4"/>
      <c r="AR235" s="4"/>
      <c r="AS235" s="4"/>
      <c r="AT235" s="4"/>
      <c r="AU235" s="4"/>
    </row>
    <row r="236" spans="1:47" s="121" customFormat="1" ht="111.95" hidden="1" customHeight="1" x14ac:dyDescent="0.25">
      <c r="A236" s="109">
        <v>103</v>
      </c>
      <c r="B236" s="109" t="s">
        <v>109</v>
      </c>
      <c r="C236" s="109" t="s">
        <v>1214</v>
      </c>
      <c r="D236" s="109">
        <v>1</v>
      </c>
      <c r="E236" s="109" t="s">
        <v>118</v>
      </c>
      <c r="F236" s="111" t="s">
        <v>1174</v>
      </c>
      <c r="G236" s="112" t="s">
        <v>244</v>
      </c>
      <c r="H236" s="112" t="s">
        <v>1175</v>
      </c>
      <c r="I236" s="113" t="s">
        <v>112</v>
      </c>
      <c r="J236" s="112" t="s">
        <v>1176</v>
      </c>
      <c r="K236" s="112" t="s">
        <v>1177</v>
      </c>
      <c r="L236" s="114" t="s">
        <v>226</v>
      </c>
      <c r="M236" s="114"/>
      <c r="N236" s="115">
        <v>44165</v>
      </c>
      <c r="O236" s="115">
        <v>45259</v>
      </c>
      <c r="P236" s="116">
        <f t="shared" si="53"/>
        <v>2.9972602739726026</v>
      </c>
      <c r="Q236" s="110" t="s">
        <v>42</v>
      </c>
      <c r="R236" s="110">
        <f t="shared" ca="1" si="62"/>
        <v>11.493660875896063</v>
      </c>
      <c r="S236" s="110" t="str">
        <f t="shared" ca="1" si="54"/>
        <v>O</v>
      </c>
      <c r="T236" s="117">
        <v>1</v>
      </c>
      <c r="U236" s="117">
        <v>2</v>
      </c>
      <c r="V236" s="117">
        <v>2</v>
      </c>
      <c r="W236" s="117">
        <f t="shared" si="55"/>
        <v>5</v>
      </c>
      <c r="X236" s="117" t="str">
        <f t="shared" si="56"/>
        <v>Biasa</v>
      </c>
      <c r="Y236" s="111" t="s">
        <v>486</v>
      </c>
      <c r="Z236" s="122" t="s">
        <v>117</v>
      </c>
      <c r="AA236" s="115">
        <f>N236+270</f>
        <v>44435</v>
      </c>
      <c r="AB236" s="115">
        <f>+N236+635</f>
        <v>44800</v>
      </c>
      <c r="AC236" s="115"/>
      <c r="AD236" s="25"/>
      <c r="AE236" s="118"/>
      <c r="AF236" s="110" t="s">
        <v>1074</v>
      </c>
      <c r="AG236" s="110"/>
      <c r="AH236" s="25"/>
      <c r="AI236" s="25"/>
      <c r="AJ236" s="25"/>
      <c r="AK236" s="25"/>
      <c r="AL236" s="25"/>
      <c r="AM236" s="25"/>
      <c r="AN236" s="33"/>
      <c r="AO236" s="119">
        <v>44172</v>
      </c>
      <c r="AP236" s="120"/>
      <c r="AQ236" s="4"/>
      <c r="AR236" s="4"/>
      <c r="AS236" s="4"/>
      <c r="AT236" s="4"/>
      <c r="AU236" s="4"/>
    </row>
    <row r="237" spans="1:47" s="121" customFormat="1" ht="111.95" hidden="1" customHeight="1" x14ac:dyDescent="0.25">
      <c r="A237" s="109">
        <v>104</v>
      </c>
      <c r="B237" s="109" t="s">
        <v>109</v>
      </c>
      <c r="C237" s="109" t="s">
        <v>1214</v>
      </c>
      <c r="D237" s="109">
        <v>2</v>
      </c>
      <c r="E237" s="109" t="s">
        <v>118</v>
      </c>
      <c r="F237" s="111" t="s">
        <v>1182</v>
      </c>
      <c r="G237" s="112" t="s">
        <v>244</v>
      </c>
      <c r="H237" s="112" t="s">
        <v>1183</v>
      </c>
      <c r="I237" s="113" t="s">
        <v>112</v>
      </c>
      <c r="J237" s="112" t="s">
        <v>1184</v>
      </c>
      <c r="K237" s="112" t="s">
        <v>1185</v>
      </c>
      <c r="L237" s="114" t="s">
        <v>361</v>
      </c>
      <c r="M237" s="114"/>
      <c r="N237" s="115">
        <v>43965</v>
      </c>
      <c r="O237" s="115">
        <v>45059</v>
      </c>
      <c r="P237" s="116">
        <f t="shared" si="53"/>
        <v>2.9972602739726026</v>
      </c>
      <c r="Q237" s="110" t="s">
        <v>42</v>
      </c>
      <c r="R237" s="110">
        <f t="shared" ca="1" si="62"/>
        <v>5.0420479726702565</v>
      </c>
      <c r="S237" s="110" t="str">
        <f t="shared" ca="1" si="54"/>
        <v>O</v>
      </c>
      <c r="T237" s="117">
        <v>1</v>
      </c>
      <c r="U237" s="117">
        <v>2</v>
      </c>
      <c r="V237" s="117">
        <v>2</v>
      </c>
      <c r="W237" s="117">
        <f t="shared" si="55"/>
        <v>5</v>
      </c>
      <c r="X237" s="117" t="str">
        <f t="shared" si="56"/>
        <v>Biasa</v>
      </c>
      <c r="Y237" s="111" t="s">
        <v>486</v>
      </c>
      <c r="Z237" s="122" t="s">
        <v>117</v>
      </c>
      <c r="AA237" s="115">
        <f>N237+635</f>
        <v>44600</v>
      </c>
      <c r="AB237" s="115">
        <f>+N237+1000</f>
        <v>44965</v>
      </c>
      <c r="AC237" s="115"/>
      <c r="AD237" s="25"/>
      <c r="AE237" s="118"/>
      <c r="AF237" s="110" t="s">
        <v>1074</v>
      </c>
      <c r="AG237" s="110"/>
      <c r="AH237" s="25"/>
      <c r="AI237" s="25"/>
      <c r="AJ237" s="25"/>
      <c r="AK237" s="25"/>
      <c r="AL237" s="25"/>
      <c r="AM237" s="25"/>
      <c r="AN237" s="33"/>
      <c r="AO237" s="119">
        <v>44040</v>
      </c>
      <c r="AP237" s="120"/>
      <c r="AQ237" s="4"/>
      <c r="AR237" s="4"/>
      <c r="AS237" s="4"/>
      <c r="AT237" s="4"/>
      <c r="AU237" s="4"/>
    </row>
    <row r="238" spans="1:47" s="121" customFormat="1" ht="111.95" hidden="1" customHeight="1" x14ac:dyDescent="0.25">
      <c r="A238" s="109">
        <v>105</v>
      </c>
      <c r="B238" s="109" t="s">
        <v>109</v>
      </c>
      <c r="C238" s="109" t="s">
        <v>1214</v>
      </c>
      <c r="D238" s="109">
        <v>3</v>
      </c>
      <c r="E238" s="109" t="s">
        <v>118</v>
      </c>
      <c r="F238" s="111" t="s">
        <v>1186</v>
      </c>
      <c r="G238" s="112" t="s">
        <v>244</v>
      </c>
      <c r="H238" s="112" t="s">
        <v>1187</v>
      </c>
      <c r="I238" s="113" t="s">
        <v>112</v>
      </c>
      <c r="J238" s="112" t="s">
        <v>1188</v>
      </c>
      <c r="K238" s="112" t="s">
        <v>1189</v>
      </c>
      <c r="L238" s="114" t="s">
        <v>361</v>
      </c>
      <c r="M238" s="114"/>
      <c r="N238" s="115">
        <v>43997</v>
      </c>
      <c r="O238" s="115">
        <v>45091</v>
      </c>
      <c r="P238" s="116">
        <f t="shared" si="53"/>
        <v>2.9972602739726026</v>
      </c>
      <c r="Q238" s="110" t="s">
        <v>42</v>
      </c>
      <c r="R238" s="110">
        <f t="shared" ca="1" si="62"/>
        <v>6.0743060371863855</v>
      </c>
      <c r="S238" s="110" t="str">
        <f t="shared" ca="1" si="54"/>
        <v>O</v>
      </c>
      <c r="T238" s="117">
        <v>1</v>
      </c>
      <c r="U238" s="117">
        <v>2</v>
      </c>
      <c r="V238" s="117">
        <v>2</v>
      </c>
      <c r="W238" s="117">
        <f t="shared" si="55"/>
        <v>5</v>
      </c>
      <c r="X238" s="117" t="str">
        <f t="shared" si="56"/>
        <v>Biasa</v>
      </c>
      <c r="Y238" s="111" t="s">
        <v>486</v>
      </c>
      <c r="Z238" s="122" t="s">
        <v>117</v>
      </c>
      <c r="AA238" s="115">
        <f>N238+635</f>
        <v>44632</v>
      </c>
      <c r="AB238" s="115">
        <f>+N238+1000</f>
        <v>44997</v>
      </c>
      <c r="AC238" s="115"/>
      <c r="AD238" s="25"/>
      <c r="AE238" s="118"/>
      <c r="AF238" s="110" t="s">
        <v>1074</v>
      </c>
      <c r="AG238" s="110"/>
      <c r="AH238" s="25"/>
      <c r="AI238" s="25"/>
      <c r="AJ238" s="25"/>
      <c r="AK238" s="25"/>
      <c r="AL238" s="25"/>
      <c r="AM238" s="25"/>
      <c r="AN238" s="33"/>
      <c r="AO238" s="119">
        <v>44040</v>
      </c>
      <c r="AP238" s="120"/>
      <c r="AQ238" s="4"/>
      <c r="AR238" s="4"/>
      <c r="AS238" s="4"/>
      <c r="AT238" s="4"/>
      <c r="AU238" s="4"/>
    </row>
    <row r="239" spans="1:47" s="121" customFormat="1" ht="111.75" hidden="1" customHeight="1" x14ac:dyDescent="0.25">
      <c r="A239" s="109">
        <v>106</v>
      </c>
      <c r="B239" s="109" t="s">
        <v>109</v>
      </c>
      <c r="C239" s="109" t="s">
        <v>1214</v>
      </c>
      <c r="D239" s="109">
        <v>4</v>
      </c>
      <c r="E239" s="109" t="s">
        <v>118</v>
      </c>
      <c r="F239" s="111"/>
      <c r="G239" s="112" t="s">
        <v>244</v>
      </c>
      <c r="H239" s="112" t="s">
        <v>1075</v>
      </c>
      <c r="I239" s="113" t="s">
        <v>150</v>
      </c>
      <c r="J239" s="112" t="s">
        <v>1072</v>
      </c>
      <c r="K239" s="112"/>
      <c r="L239" s="114"/>
      <c r="M239" s="114"/>
      <c r="N239" s="115">
        <v>43018</v>
      </c>
      <c r="O239" s="115">
        <v>45025</v>
      </c>
      <c r="P239" s="116">
        <f t="shared" si="53"/>
        <v>5.4986301369863018</v>
      </c>
      <c r="Q239" s="110" t="s">
        <v>42</v>
      </c>
      <c r="R239" s="110">
        <f t="shared" ca="1" si="62"/>
        <v>3.9452737791218699</v>
      </c>
      <c r="S239" s="110" t="str">
        <f t="shared" ca="1" si="54"/>
        <v>O</v>
      </c>
      <c r="T239" s="117">
        <v>3</v>
      </c>
      <c r="U239" s="117">
        <v>2</v>
      </c>
      <c r="V239" s="117">
        <v>3</v>
      </c>
      <c r="W239" s="117">
        <f t="shared" si="55"/>
        <v>8</v>
      </c>
      <c r="X239" s="117" t="str">
        <f t="shared" si="56"/>
        <v>Penting</v>
      </c>
      <c r="Y239" s="111" t="s">
        <v>1073</v>
      </c>
      <c r="Z239" s="122" t="s">
        <v>117</v>
      </c>
      <c r="AA239" s="115">
        <f>N239+1365</f>
        <v>44383</v>
      </c>
      <c r="AB239" s="115">
        <f>+N239+1730</f>
        <v>44748</v>
      </c>
      <c r="AC239" s="115"/>
      <c r="AD239" s="25"/>
      <c r="AE239" s="118"/>
      <c r="AF239" s="110" t="s">
        <v>1074</v>
      </c>
      <c r="AG239" s="110" t="s">
        <v>117</v>
      </c>
      <c r="AH239" s="25"/>
      <c r="AI239" s="25"/>
      <c r="AJ239" s="25"/>
      <c r="AK239" s="25"/>
      <c r="AL239" s="25"/>
      <c r="AM239" s="25"/>
      <c r="AN239" s="33"/>
      <c r="AO239" s="119"/>
      <c r="AP239" s="120"/>
      <c r="AQ239" s="4"/>
      <c r="AR239" s="4"/>
      <c r="AS239" s="4"/>
      <c r="AT239" s="4"/>
      <c r="AU239" s="4"/>
    </row>
    <row r="240" spans="1:47" s="121" customFormat="1" ht="111.95" hidden="1" customHeight="1" x14ac:dyDescent="0.25">
      <c r="A240" s="109">
        <v>107</v>
      </c>
      <c r="B240" s="109" t="s">
        <v>109</v>
      </c>
      <c r="C240" s="109" t="s">
        <v>1214</v>
      </c>
      <c r="D240" s="109">
        <v>5</v>
      </c>
      <c r="E240" s="109" t="s">
        <v>118</v>
      </c>
      <c r="F240" s="111" t="s">
        <v>1030</v>
      </c>
      <c r="G240" s="112" t="s">
        <v>244</v>
      </c>
      <c r="H240" s="112" t="s">
        <v>1031</v>
      </c>
      <c r="I240" s="113" t="s">
        <v>112</v>
      </c>
      <c r="J240" s="112" t="s">
        <v>1032</v>
      </c>
      <c r="K240" s="112"/>
      <c r="L240" s="114" t="s">
        <v>361</v>
      </c>
      <c r="M240" s="114"/>
      <c r="N240" s="115">
        <v>44378</v>
      </c>
      <c r="O240" s="115">
        <v>45107</v>
      </c>
      <c r="P240" s="116">
        <f t="shared" si="53"/>
        <v>1.9972602739726026</v>
      </c>
      <c r="Q240" s="110" t="s">
        <v>36</v>
      </c>
      <c r="R240" s="110">
        <f t="shared" ca="1" si="62"/>
        <v>6.5904350694444505</v>
      </c>
      <c r="S240" s="110" t="str">
        <f t="shared" ca="1" si="54"/>
        <v>O</v>
      </c>
      <c r="T240" s="117">
        <v>2</v>
      </c>
      <c r="U240" s="117">
        <v>2</v>
      </c>
      <c r="V240" s="117">
        <v>2</v>
      </c>
      <c r="W240" s="117">
        <f t="shared" si="55"/>
        <v>6</v>
      </c>
      <c r="X240" s="117" t="str">
        <f t="shared" si="56"/>
        <v>Penting</v>
      </c>
      <c r="Y240" s="111" t="s">
        <v>1033</v>
      </c>
      <c r="Z240" s="122"/>
      <c r="AA240" s="115"/>
      <c r="AB240" s="115"/>
      <c r="AC240" s="115"/>
      <c r="AD240" s="25" t="s">
        <v>122</v>
      </c>
      <c r="AE240" s="118">
        <v>43497</v>
      </c>
      <c r="AF240" s="110" t="s">
        <v>628</v>
      </c>
      <c r="AG240" s="110" t="s">
        <v>117</v>
      </c>
      <c r="AH240" s="25"/>
      <c r="AI240" s="25"/>
      <c r="AJ240" s="25"/>
      <c r="AK240" s="25"/>
      <c r="AL240" s="25"/>
      <c r="AM240" s="25"/>
      <c r="AN240" s="33"/>
      <c r="AO240" s="119">
        <v>43760</v>
      </c>
      <c r="AP240" s="120"/>
      <c r="AQ240" s="4"/>
      <c r="AR240" s="4"/>
      <c r="AS240" s="4"/>
      <c r="AT240" s="4"/>
      <c r="AU240" s="4"/>
    </row>
    <row r="241" spans="1:48" s="121" customFormat="1" ht="111.95" hidden="1" customHeight="1" x14ac:dyDescent="0.25">
      <c r="A241" s="109">
        <v>108</v>
      </c>
      <c r="B241" s="109" t="s">
        <v>109</v>
      </c>
      <c r="C241" s="109" t="s">
        <v>1214</v>
      </c>
      <c r="D241" s="109">
        <v>6</v>
      </c>
      <c r="E241" s="109" t="s">
        <v>118</v>
      </c>
      <c r="F241" s="111"/>
      <c r="G241" s="112" t="s">
        <v>244</v>
      </c>
      <c r="H241" s="112" t="s">
        <v>1071</v>
      </c>
      <c r="I241" s="113" t="s">
        <v>150</v>
      </c>
      <c r="J241" s="112" t="s">
        <v>1072</v>
      </c>
      <c r="K241" s="112"/>
      <c r="L241" s="114"/>
      <c r="M241" s="114"/>
      <c r="N241" s="115">
        <v>42996</v>
      </c>
      <c r="O241" s="115">
        <v>45002</v>
      </c>
      <c r="P241" s="116">
        <f t="shared" si="53"/>
        <v>5.4958904109589044</v>
      </c>
      <c r="Q241" s="110" t="s">
        <v>42</v>
      </c>
      <c r="R241" s="110">
        <f t="shared" ca="1" si="62"/>
        <v>3.203338295250902</v>
      </c>
      <c r="S241" s="110" t="str">
        <f t="shared" ca="1" si="54"/>
        <v>O</v>
      </c>
      <c r="T241" s="117">
        <v>3</v>
      </c>
      <c r="U241" s="117">
        <v>3</v>
      </c>
      <c r="V241" s="117">
        <v>3</v>
      </c>
      <c r="W241" s="117">
        <f t="shared" si="55"/>
        <v>9</v>
      </c>
      <c r="X241" s="117" t="str">
        <f t="shared" si="56"/>
        <v>Penting</v>
      </c>
      <c r="Y241" s="111" t="s">
        <v>1073</v>
      </c>
      <c r="Z241" s="122" t="s">
        <v>117</v>
      </c>
      <c r="AA241" s="115">
        <f>N241+1730</f>
        <v>44726</v>
      </c>
      <c r="AB241" s="115">
        <f>+N241+2095</f>
        <v>45091</v>
      </c>
      <c r="AC241" s="115"/>
      <c r="AD241" s="25"/>
      <c r="AE241" s="118"/>
      <c r="AF241" s="110" t="s">
        <v>1074</v>
      </c>
      <c r="AG241" s="110" t="s">
        <v>117</v>
      </c>
      <c r="AH241" s="25"/>
      <c r="AI241" s="25"/>
      <c r="AJ241" s="25"/>
      <c r="AK241" s="25"/>
      <c r="AL241" s="25"/>
      <c r="AM241" s="25"/>
      <c r="AN241" s="33"/>
      <c r="AO241" s="119"/>
      <c r="AP241" s="120"/>
      <c r="AQ241" s="4"/>
      <c r="AR241" s="4"/>
      <c r="AS241" s="4"/>
      <c r="AT241" s="4"/>
      <c r="AU241" s="4"/>
    </row>
    <row r="242" spans="1:48" s="121" customFormat="1" ht="111.95" hidden="1" customHeight="1" x14ac:dyDescent="0.25">
      <c r="A242" s="109">
        <v>109</v>
      </c>
      <c r="B242" s="109" t="s">
        <v>109</v>
      </c>
      <c r="C242" s="109" t="s">
        <v>1214</v>
      </c>
      <c r="D242" s="109">
        <v>7</v>
      </c>
      <c r="E242" s="109" t="s">
        <v>118</v>
      </c>
      <c r="F242" s="111" t="s">
        <v>458</v>
      </c>
      <c r="G242" s="112" t="s">
        <v>459</v>
      </c>
      <c r="H242" s="112" t="s">
        <v>460</v>
      </c>
      <c r="I242" s="113" t="s">
        <v>112</v>
      </c>
      <c r="J242" s="112" t="s">
        <v>461</v>
      </c>
      <c r="K242" s="112" t="s">
        <v>462</v>
      </c>
      <c r="L242" s="114" t="s">
        <v>361</v>
      </c>
      <c r="M242" s="114"/>
      <c r="N242" s="115">
        <v>44563</v>
      </c>
      <c r="O242" s="115">
        <v>44927</v>
      </c>
      <c r="P242" s="116">
        <f t="shared" si="53"/>
        <v>0.99726027397260275</v>
      </c>
      <c r="Q242" s="110" t="s">
        <v>35</v>
      </c>
      <c r="R242" s="110">
        <f t="shared" ca="1" si="62"/>
        <v>0.78398345654122459</v>
      </c>
      <c r="S242" s="110" t="str">
        <f t="shared" ca="1" si="54"/>
        <v>O</v>
      </c>
      <c r="T242" s="117">
        <v>3</v>
      </c>
      <c r="U242" s="117">
        <v>2</v>
      </c>
      <c r="V242" s="117">
        <v>2</v>
      </c>
      <c r="W242" s="117">
        <f t="shared" si="55"/>
        <v>7</v>
      </c>
      <c r="X242" s="117" t="str">
        <f t="shared" si="56"/>
        <v>Penting</v>
      </c>
      <c r="Y242" s="111"/>
      <c r="Z242" s="122"/>
      <c r="AA242" s="115"/>
      <c r="AB242" s="115"/>
      <c r="AC242" s="115"/>
      <c r="AD242" s="25"/>
      <c r="AE242" s="118"/>
      <c r="AF242" s="110" t="s">
        <v>463</v>
      </c>
      <c r="AG242" s="110" t="s">
        <v>117</v>
      </c>
      <c r="AH242" s="25"/>
      <c r="AI242" s="25"/>
      <c r="AJ242" s="25"/>
      <c r="AK242" s="25"/>
      <c r="AL242" s="25"/>
      <c r="AM242" s="25"/>
      <c r="AN242" s="33" t="s">
        <v>123</v>
      </c>
      <c r="AO242" s="119"/>
      <c r="AP242" s="120"/>
      <c r="AQ242" s="126"/>
      <c r="AR242" s="4"/>
      <c r="AS242" s="4"/>
      <c r="AT242" s="124"/>
      <c r="AU242" s="124"/>
      <c r="AV242" s="124"/>
    </row>
    <row r="243" spans="1:48" s="121" customFormat="1" ht="111.95" hidden="1" customHeight="1" x14ac:dyDescent="0.25">
      <c r="A243" s="109">
        <v>110</v>
      </c>
      <c r="B243" s="109" t="s">
        <v>109</v>
      </c>
      <c r="C243" s="109" t="s">
        <v>1214</v>
      </c>
      <c r="D243" s="109">
        <v>8</v>
      </c>
      <c r="E243" s="109" t="s">
        <v>118</v>
      </c>
      <c r="F243" s="111" t="s">
        <v>464</v>
      </c>
      <c r="G243" s="112" t="s">
        <v>465</v>
      </c>
      <c r="H243" s="112" t="s">
        <v>466</v>
      </c>
      <c r="I243" s="113" t="s">
        <v>112</v>
      </c>
      <c r="J243" s="112" t="s">
        <v>467</v>
      </c>
      <c r="K243" s="112" t="s">
        <v>468</v>
      </c>
      <c r="L243" s="114" t="s">
        <v>226</v>
      </c>
      <c r="M243" s="114"/>
      <c r="N243" s="115">
        <v>44563</v>
      </c>
      <c r="O243" s="115">
        <v>44927</v>
      </c>
      <c r="P243" s="116">
        <f t="shared" si="53"/>
        <v>0.99726027397260275</v>
      </c>
      <c r="Q243" s="110" t="s">
        <v>35</v>
      </c>
      <c r="R243" s="110">
        <f t="shared" ca="1" si="62"/>
        <v>0.78398345654122459</v>
      </c>
      <c r="S243" s="110" t="str">
        <f t="shared" ca="1" si="54"/>
        <v>O</v>
      </c>
      <c r="T243" s="117">
        <v>1</v>
      </c>
      <c r="U243" s="117">
        <v>2</v>
      </c>
      <c r="V243" s="117">
        <v>2</v>
      </c>
      <c r="W243" s="117">
        <f t="shared" si="55"/>
        <v>5</v>
      </c>
      <c r="X243" s="117" t="str">
        <f t="shared" si="56"/>
        <v>Biasa</v>
      </c>
      <c r="Y243" s="111"/>
      <c r="Z243" s="122"/>
      <c r="AA243" s="115"/>
      <c r="AB243" s="115"/>
      <c r="AC243" s="115"/>
      <c r="AD243" s="25"/>
      <c r="AE243" s="118"/>
      <c r="AF243" s="110" t="s">
        <v>463</v>
      </c>
      <c r="AG243" s="110" t="s">
        <v>117</v>
      </c>
      <c r="AH243" s="25"/>
      <c r="AI243" s="25"/>
      <c r="AJ243" s="25"/>
      <c r="AK243" s="25"/>
      <c r="AL243" s="25"/>
      <c r="AM243" s="25"/>
      <c r="AN243" s="33" t="s">
        <v>123</v>
      </c>
      <c r="AO243" s="119"/>
      <c r="AP243" s="120"/>
      <c r="AQ243" s="126"/>
      <c r="AR243" s="4"/>
      <c r="AS243" s="4"/>
      <c r="AT243" s="124"/>
      <c r="AU243" s="124"/>
      <c r="AV243" s="124"/>
    </row>
    <row r="244" spans="1:48" s="121" customFormat="1" ht="111.95" hidden="1" customHeight="1" x14ac:dyDescent="0.25">
      <c r="A244" s="109">
        <v>111</v>
      </c>
      <c r="B244" s="109" t="s">
        <v>109</v>
      </c>
      <c r="C244" s="109" t="s">
        <v>1214</v>
      </c>
      <c r="D244" s="109">
        <v>9</v>
      </c>
      <c r="E244" s="109" t="s">
        <v>118</v>
      </c>
      <c r="F244" s="111" t="s">
        <v>471</v>
      </c>
      <c r="G244" s="112" t="s">
        <v>469</v>
      </c>
      <c r="H244" s="112" t="s">
        <v>472</v>
      </c>
      <c r="I244" s="113" t="s">
        <v>112</v>
      </c>
      <c r="J244" s="112" t="s">
        <v>470</v>
      </c>
      <c r="K244" s="112"/>
      <c r="L244" s="114"/>
      <c r="M244" s="114"/>
      <c r="N244" s="115">
        <v>44774</v>
      </c>
      <c r="O244" s="115">
        <v>45138</v>
      </c>
      <c r="P244" s="116">
        <f t="shared" si="53"/>
        <v>0.99726027397260275</v>
      </c>
      <c r="Q244" s="110" t="s">
        <v>35</v>
      </c>
      <c r="R244" s="110">
        <f t="shared" ca="1" si="62"/>
        <v>7.5904350694444505</v>
      </c>
      <c r="S244" s="110" t="str">
        <f t="shared" ca="1" si="54"/>
        <v>O</v>
      </c>
      <c r="T244" s="117">
        <v>3</v>
      </c>
      <c r="U244" s="117">
        <v>2</v>
      </c>
      <c r="V244" s="117">
        <v>2</v>
      </c>
      <c r="W244" s="117">
        <f t="shared" si="55"/>
        <v>7</v>
      </c>
      <c r="X244" s="117" t="str">
        <f t="shared" si="56"/>
        <v>Penting</v>
      </c>
      <c r="Y244" s="111"/>
      <c r="Z244" s="122"/>
      <c r="AA244" s="115"/>
      <c r="AB244" s="115"/>
      <c r="AC244" s="115"/>
      <c r="AD244" s="25" t="s">
        <v>122</v>
      </c>
      <c r="AE244" s="118">
        <v>44774</v>
      </c>
      <c r="AF244" s="110" t="s">
        <v>463</v>
      </c>
      <c r="AG244" s="110" t="s">
        <v>117</v>
      </c>
      <c r="AH244" s="25"/>
      <c r="AI244" s="25"/>
      <c r="AJ244" s="25"/>
      <c r="AK244" s="25"/>
      <c r="AL244" s="25"/>
      <c r="AM244" s="25"/>
      <c r="AN244" s="33" t="s">
        <v>136</v>
      </c>
      <c r="AO244" s="119">
        <v>44774</v>
      </c>
      <c r="AP244" s="120"/>
      <c r="AQ244" s="126"/>
      <c r="AR244" s="4"/>
      <c r="AS244" s="4"/>
      <c r="AT244" s="124"/>
      <c r="AU244" s="124"/>
      <c r="AV244" s="124"/>
    </row>
    <row r="245" spans="1:48" s="121" customFormat="1" ht="111.95" hidden="1" customHeight="1" x14ac:dyDescent="0.25">
      <c r="A245" s="109">
        <v>112</v>
      </c>
      <c r="B245" s="109" t="s">
        <v>109</v>
      </c>
      <c r="C245" s="109" t="s">
        <v>1214</v>
      </c>
      <c r="D245" s="109">
        <v>10</v>
      </c>
      <c r="E245" s="109" t="s">
        <v>118</v>
      </c>
      <c r="F245" s="111" t="s">
        <v>473</v>
      </c>
      <c r="G245" s="112" t="s">
        <v>465</v>
      </c>
      <c r="H245" s="112" t="s">
        <v>474</v>
      </c>
      <c r="I245" s="113" t="s">
        <v>112</v>
      </c>
      <c r="J245" s="112" t="s">
        <v>475</v>
      </c>
      <c r="K245" s="112" t="s">
        <v>476</v>
      </c>
      <c r="L245" s="114" t="s">
        <v>361</v>
      </c>
      <c r="M245" s="114"/>
      <c r="N245" s="115">
        <v>44758</v>
      </c>
      <c r="O245" s="115">
        <v>45122</v>
      </c>
      <c r="P245" s="116">
        <f t="shared" si="53"/>
        <v>0.99726027397260275</v>
      </c>
      <c r="Q245" s="110" t="s">
        <v>35</v>
      </c>
      <c r="R245" s="110">
        <f t="shared" ca="1" si="62"/>
        <v>7.0743060371863855</v>
      </c>
      <c r="S245" s="110" t="str">
        <f t="shared" ca="1" si="54"/>
        <v>O</v>
      </c>
      <c r="T245" s="117">
        <v>3</v>
      </c>
      <c r="U245" s="117">
        <v>2</v>
      </c>
      <c r="V245" s="117">
        <v>2</v>
      </c>
      <c r="W245" s="117">
        <f t="shared" si="55"/>
        <v>7</v>
      </c>
      <c r="X245" s="117" t="str">
        <f t="shared" si="56"/>
        <v>Penting</v>
      </c>
      <c r="Y245" s="111"/>
      <c r="Z245" s="122"/>
      <c r="AA245" s="115"/>
      <c r="AB245" s="115"/>
      <c r="AC245" s="115"/>
      <c r="AD245" s="25" t="s">
        <v>122</v>
      </c>
      <c r="AE245" s="118">
        <v>44044</v>
      </c>
      <c r="AF245" s="110" t="s">
        <v>463</v>
      </c>
      <c r="AG245" s="110" t="s">
        <v>117</v>
      </c>
      <c r="AH245" s="25"/>
      <c r="AI245" s="25"/>
      <c r="AJ245" s="25"/>
      <c r="AK245" s="25"/>
      <c r="AL245" s="25"/>
      <c r="AM245" s="25"/>
      <c r="AN245" s="33" t="s">
        <v>123</v>
      </c>
      <c r="AO245" s="119">
        <v>44720</v>
      </c>
      <c r="AP245" s="120"/>
      <c r="AQ245" s="126"/>
      <c r="AR245" s="4"/>
      <c r="AS245" s="4"/>
      <c r="AT245" s="124"/>
      <c r="AU245" s="124"/>
      <c r="AV245" s="124"/>
    </row>
    <row r="246" spans="1:48" s="121" customFormat="1" ht="111.95" hidden="1" customHeight="1" x14ac:dyDescent="0.25">
      <c r="A246" s="109">
        <v>113</v>
      </c>
      <c r="B246" s="109" t="s">
        <v>109</v>
      </c>
      <c r="C246" s="109" t="s">
        <v>1213</v>
      </c>
      <c r="D246" s="109">
        <v>1</v>
      </c>
      <c r="E246" s="109" t="s">
        <v>118</v>
      </c>
      <c r="F246" s="111" t="s">
        <v>932</v>
      </c>
      <c r="G246" s="112" t="s">
        <v>933</v>
      </c>
      <c r="H246" s="112" t="s">
        <v>934</v>
      </c>
      <c r="I246" s="113" t="s">
        <v>150</v>
      </c>
      <c r="J246" s="112" t="s">
        <v>935</v>
      </c>
      <c r="K246" s="112"/>
      <c r="L246" s="114">
        <v>37500000</v>
      </c>
      <c r="M246" s="114" t="s">
        <v>936</v>
      </c>
      <c r="N246" s="115">
        <v>44774</v>
      </c>
      <c r="O246" s="115">
        <v>45138</v>
      </c>
      <c r="P246" s="116">
        <f t="shared" ref="P246:P249" si="63">(O246-N246)/365</f>
        <v>0.99726027397260275</v>
      </c>
      <c r="Q246" s="110" t="s">
        <v>30</v>
      </c>
      <c r="R246" s="110">
        <f t="shared" ca="1" si="52"/>
        <v>7.5904350694444505</v>
      </c>
      <c r="S246" s="110" t="str">
        <f t="shared" ref="S246:S387" ca="1" si="64">IF(R246="End","Z",IF(R246="Cancel","C",IF(SUM(R246)&gt;0,"O",IF(ISBLANK(R246),"X",IF(SUM(R246)&lt;0,"Y",IF(SUM(R246),"-","O"))))))</f>
        <v>O</v>
      </c>
      <c r="T246" s="117">
        <v>3</v>
      </c>
      <c r="U246" s="117">
        <v>3</v>
      </c>
      <c r="V246" s="117">
        <v>2</v>
      </c>
      <c r="W246" s="117">
        <f t="shared" ref="W246:W386" si="65">T246+U246+V246</f>
        <v>8</v>
      </c>
      <c r="X246" s="117" t="str">
        <f t="shared" ref="X246:X387" si="66">IF(W246&gt;5,"Penting",IF(ISBLANK(W246),"","Biasa"))</f>
        <v>Penting</v>
      </c>
      <c r="Y246" s="111"/>
      <c r="Z246" s="122"/>
      <c r="AA246" s="115"/>
      <c r="AB246" s="115"/>
      <c r="AC246" s="115"/>
      <c r="AD246" s="25"/>
      <c r="AE246" s="118"/>
      <c r="AF246" s="110" t="s">
        <v>937</v>
      </c>
      <c r="AG246" s="110" t="s">
        <v>117</v>
      </c>
      <c r="AH246" s="25"/>
      <c r="AI246" s="25"/>
      <c r="AJ246" s="25"/>
      <c r="AK246" s="25"/>
      <c r="AL246" s="25"/>
      <c r="AM246" s="25"/>
      <c r="AN246" s="33" t="s">
        <v>136</v>
      </c>
      <c r="AO246" s="119">
        <v>44735</v>
      </c>
      <c r="AP246" s="120"/>
      <c r="AQ246" s="4"/>
      <c r="AR246" s="4"/>
      <c r="AS246" s="4"/>
      <c r="AT246" s="4"/>
      <c r="AU246" s="4"/>
    </row>
    <row r="247" spans="1:48" s="121" customFormat="1" ht="111.95" hidden="1" customHeight="1" x14ac:dyDescent="0.25">
      <c r="A247" s="109">
        <v>114</v>
      </c>
      <c r="B247" s="109" t="s">
        <v>109</v>
      </c>
      <c r="C247" s="109" t="s">
        <v>1213</v>
      </c>
      <c r="D247" s="109">
        <v>2</v>
      </c>
      <c r="E247" s="109" t="s">
        <v>118</v>
      </c>
      <c r="F247" s="111" t="s">
        <v>938</v>
      </c>
      <c r="G247" s="112" t="s">
        <v>939</v>
      </c>
      <c r="H247" s="112" t="s">
        <v>940</v>
      </c>
      <c r="I247" s="113" t="s">
        <v>112</v>
      </c>
      <c r="J247" s="112" t="s">
        <v>941</v>
      </c>
      <c r="K247" s="112"/>
      <c r="L247" s="114"/>
      <c r="M247" s="114"/>
      <c r="N247" s="115">
        <v>44774</v>
      </c>
      <c r="O247" s="115">
        <v>45138</v>
      </c>
      <c r="P247" s="116">
        <f t="shared" si="63"/>
        <v>0.99726027397260275</v>
      </c>
      <c r="Q247" s="110" t="s">
        <v>30</v>
      </c>
      <c r="R247" s="110">
        <f t="shared" ca="1" si="52"/>
        <v>7.5904350694444505</v>
      </c>
      <c r="S247" s="110" t="str">
        <f t="shared" ca="1" si="64"/>
        <v>O</v>
      </c>
      <c r="T247" s="117">
        <v>3</v>
      </c>
      <c r="U247" s="117">
        <v>3</v>
      </c>
      <c r="V247" s="117">
        <v>3</v>
      </c>
      <c r="W247" s="117">
        <f t="shared" si="65"/>
        <v>9</v>
      </c>
      <c r="X247" s="117" t="str">
        <f t="shared" si="66"/>
        <v>Penting</v>
      </c>
      <c r="Y247" s="111"/>
      <c r="Z247" s="122"/>
      <c r="AA247" s="115"/>
      <c r="AB247" s="115"/>
      <c r="AC247" s="115"/>
      <c r="AD247" s="25"/>
      <c r="AE247" s="118"/>
      <c r="AF247" s="110" t="s">
        <v>937</v>
      </c>
      <c r="AG247" s="110" t="s">
        <v>117</v>
      </c>
      <c r="AH247" s="25"/>
      <c r="AI247" s="25"/>
      <c r="AJ247" s="25"/>
      <c r="AK247" s="25"/>
      <c r="AL247" s="25"/>
      <c r="AM247" s="25"/>
      <c r="AN247" s="33" t="s">
        <v>136</v>
      </c>
      <c r="AO247" s="119">
        <v>44757</v>
      </c>
      <c r="AP247" s="120"/>
      <c r="AQ247" s="4"/>
      <c r="AR247" s="4"/>
      <c r="AS247" s="4"/>
      <c r="AT247" s="4"/>
      <c r="AU247" s="4"/>
    </row>
    <row r="248" spans="1:48" s="121" customFormat="1" ht="111.95" hidden="1" customHeight="1" x14ac:dyDescent="0.25">
      <c r="A248" s="109">
        <v>115</v>
      </c>
      <c r="B248" s="109" t="s">
        <v>109</v>
      </c>
      <c r="C248" s="109" t="s">
        <v>1213</v>
      </c>
      <c r="D248" s="109">
        <v>3</v>
      </c>
      <c r="E248" s="109" t="s">
        <v>118</v>
      </c>
      <c r="F248" s="111"/>
      <c r="G248" s="112" t="s">
        <v>939</v>
      </c>
      <c r="H248" s="112" t="s">
        <v>942</v>
      </c>
      <c r="I248" s="113" t="s">
        <v>112</v>
      </c>
      <c r="J248" s="112" t="s">
        <v>943</v>
      </c>
      <c r="K248" s="112"/>
      <c r="L248" s="114"/>
      <c r="M248" s="114"/>
      <c r="N248" s="115">
        <v>44866</v>
      </c>
      <c r="O248" s="115">
        <v>45596</v>
      </c>
      <c r="P248" s="116">
        <f t="shared" si="63"/>
        <v>2</v>
      </c>
      <c r="Q248" s="110" t="s">
        <v>30</v>
      </c>
      <c r="R248" s="110">
        <f t="shared" ca="1" si="52"/>
        <v>22.364628617831546</v>
      </c>
      <c r="S248" s="110" t="str">
        <f t="shared" ca="1" si="64"/>
        <v>O</v>
      </c>
      <c r="T248" s="117">
        <v>3</v>
      </c>
      <c r="U248" s="117">
        <v>3</v>
      </c>
      <c r="V248" s="117">
        <v>3</v>
      </c>
      <c r="W248" s="117">
        <f t="shared" si="65"/>
        <v>9</v>
      </c>
      <c r="X248" s="117" t="str">
        <f t="shared" si="66"/>
        <v>Penting</v>
      </c>
      <c r="Y248" s="111"/>
      <c r="Z248" s="122" t="s">
        <v>117</v>
      </c>
      <c r="AA248" s="115">
        <f>N248+270</f>
        <v>45136</v>
      </c>
      <c r="AB248" s="115"/>
      <c r="AC248" s="115"/>
      <c r="AD248" s="25"/>
      <c r="AE248" s="118"/>
      <c r="AF248" s="110" t="s">
        <v>937</v>
      </c>
      <c r="AG248" s="110" t="s">
        <v>117</v>
      </c>
      <c r="AH248" s="25"/>
      <c r="AI248" s="25"/>
      <c r="AJ248" s="25"/>
      <c r="AK248" s="25"/>
      <c r="AL248" s="25"/>
      <c r="AM248" s="25"/>
      <c r="AN248" s="33" t="s">
        <v>136</v>
      </c>
      <c r="AO248" s="119">
        <v>44851</v>
      </c>
      <c r="AP248" s="120"/>
      <c r="AQ248" s="4"/>
      <c r="AR248" s="4"/>
      <c r="AS248" s="4"/>
      <c r="AT248" s="4"/>
      <c r="AU248" s="4"/>
    </row>
    <row r="249" spans="1:48" s="121" customFormat="1" ht="111.95" hidden="1" customHeight="1" x14ac:dyDescent="0.25">
      <c r="A249" s="109">
        <v>116</v>
      </c>
      <c r="B249" s="109" t="s">
        <v>109</v>
      </c>
      <c r="C249" s="109" t="s">
        <v>1213</v>
      </c>
      <c r="D249" s="109">
        <v>4</v>
      </c>
      <c r="E249" s="109" t="s">
        <v>118</v>
      </c>
      <c r="F249" s="111" t="s">
        <v>944</v>
      </c>
      <c r="G249" s="112" t="s">
        <v>945</v>
      </c>
      <c r="H249" s="112" t="s">
        <v>946</v>
      </c>
      <c r="I249" s="113" t="s">
        <v>112</v>
      </c>
      <c r="J249" s="112" t="s">
        <v>947</v>
      </c>
      <c r="K249" s="112" t="s">
        <v>948</v>
      </c>
      <c r="L249" s="114" t="s">
        <v>226</v>
      </c>
      <c r="M249" s="114"/>
      <c r="N249" s="115">
        <v>44593</v>
      </c>
      <c r="O249" s="115">
        <v>44957</v>
      </c>
      <c r="P249" s="116">
        <f t="shared" si="63"/>
        <v>0.99726027397260275</v>
      </c>
      <c r="Q249" s="110" t="s">
        <v>30</v>
      </c>
      <c r="R249" s="110">
        <f t="shared" ca="1" si="52"/>
        <v>1.7517253920250955</v>
      </c>
      <c r="S249" s="110" t="str">
        <f t="shared" ca="1" si="64"/>
        <v>O</v>
      </c>
      <c r="T249" s="117">
        <v>3</v>
      </c>
      <c r="U249" s="117">
        <v>3</v>
      </c>
      <c r="V249" s="117">
        <v>3</v>
      </c>
      <c r="W249" s="117">
        <f t="shared" si="65"/>
        <v>9</v>
      </c>
      <c r="X249" s="117" t="str">
        <f t="shared" si="66"/>
        <v>Penting</v>
      </c>
      <c r="Y249" s="111"/>
      <c r="Z249" s="122"/>
      <c r="AA249" s="115"/>
      <c r="AB249" s="115"/>
      <c r="AC249" s="115"/>
      <c r="AD249" s="25"/>
      <c r="AE249" s="118"/>
      <c r="AF249" s="110" t="s">
        <v>937</v>
      </c>
      <c r="AG249" s="110" t="s">
        <v>117</v>
      </c>
      <c r="AH249" s="25"/>
      <c r="AI249" s="25"/>
      <c r="AJ249" s="25"/>
      <c r="AK249" s="25"/>
      <c r="AL249" s="25"/>
      <c r="AM249" s="25"/>
      <c r="AN249" s="33" t="s">
        <v>123</v>
      </c>
      <c r="AO249" s="119">
        <v>44617</v>
      </c>
      <c r="AP249" s="120"/>
      <c r="AQ249" s="4"/>
      <c r="AR249" s="4"/>
      <c r="AS249" s="4"/>
      <c r="AT249" s="4"/>
      <c r="AU249" s="4"/>
    </row>
    <row r="250" spans="1:48" s="121" customFormat="1" ht="111.95" hidden="1" customHeight="1" x14ac:dyDescent="0.25">
      <c r="A250" s="109">
        <v>117</v>
      </c>
      <c r="B250" s="109" t="s">
        <v>109</v>
      </c>
      <c r="C250" s="109" t="s">
        <v>1213</v>
      </c>
      <c r="D250" s="109">
        <v>5</v>
      </c>
      <c r="E250" s="109" t="s">
        <v>118</v>
      </c>
      <c r="F250" s="111" t="s">
        <v>953</v>
      </c>
      <c r="G250" s="112" t="s">
        <v>945</v>
      </c>
      <c r="H250" s="112" t="s">
        <v>954</v>
      </c>
      <c r="I250" s="113" t="s">
        <v>112</v>
      </c>
      <c r="J250" s="112" t="s">
        <v>951</v>
      </c>
      <c r="K250" s="112" t="s">
        <v>955</v>
      </c>
      <c r="L250" s="114" t="s">
        <v>226</v>
      </c>
      <c r="M250" s="114"/>
      <c r="N250" s="115">
        <v>44683</v>
      </c>
      <c r="O250" s="115">
        <v>45047</v>
      </c>
      <c r="P250" s="116">
        <f t="shared" ref="P250:P310" si="67">(O250-N250)/365</f>
        <v>0.99726027397260275</v>
      </c>
      <c r="Q250" s="110" t="s">
        <v>30</v>
      </c>
      <c r="R250" s="110">
        <f t="shared" ca="1" si="52"/>
        <v>4.6549511984767085</v>
      </c>
      <c r="S250" s="110" t="str">
        <f t="shared" ref="S250:S320" ca="1" si="68">IF(R250="End","Z",IF(R250="Cancel","C",IF(SUM(R250)&gt;0,"O",IF(ISBLANK(R250),"X",IF(SUM(R250)&lt;0,"Y",IF(SUM(R250),"-","O"))))))</f>
        <v>O</v>
      </c>
      <c r="T250" s="117">
        <v>3</v>
      </c>
      <c r="U250" s="117">
        <v>3</v>
      </c>
      <c r="V250" s="117">
        <v>3</v>
      </c>
      <c r="W250" s="117">
        <f t="shared" ref="W250:W260" si="69">T250+U250+V250</f>
        <v>9</v>
      </c>
      <c r="X250" s="117" t="str">
        <f t="shared" ref="X250:X320" si="70">IF(W250&gt;5,"Penting",IF(ISBLANK(W250),"","Biasa"))</f>
        <v>Penting</v>
      </c>
      <c r="Y250" s="111" t="s">
        <v>956</v>
      </c>
      <c r="Z250" s="122"/>
      <c r="AA250" s="115"/>
      <c r="AB250" s="115"/>
      <c r="AC250" s="115"/>
      <c r="AD250" s="25" t="s">
        <v>122</v>
      </c>
      <c r="AE250" s="118">
        <v>44694</v>
      </c>
      <c r="AF250" s="110" t="s">
        <v>937</v>
      </c>
      <c r="AG250" s="110" t="s">
        <v>117</v>
      </c>
      <c r="AH250" s="25"/>
      <c r="AI250" s="25"/>
      <c r="AJ250" s="25"/>
      <c r="AK250" s="25"/>
      <c r="AL250" s="25"/>
      <c r="AM250" s="25"/>
      <c r="AN250" s="33" t="s">
        <v>123</v>
      </c>
      <c r="AO250" s="119"/>
      <c r="AP250" s="120"/>
      <c r="AQ250" s="4"/>
      <c r="AR250" s="4"/>
      <c r="AS250" s="4"/>
      <c r="AT250" s="4"/>
      <c r="AU250" s="4"/>
    </row>
    <row r="251" spans="1:48" s="121" customFormat="1" ht="111.95" hidden="1" customHeight="1" x14ac:dyDescent="0.25">
      <c r="A251" s="109">
        <v>118</v>
      </c>
      <c r="B251" s="109" t="s">
        <v>109</v>
      </c>
      <c r="C251" s="109" t="s">
        <v>1212</v>
      </c>
      <c r="D251" s="109">
        <v>1</v>
      </c>
      <c r="E251" s="109" t="s">
        <v>118</v>
      </c>
      <c r="F251" s="111" t="s">
        <v>957</v>
      </c>
      <c r="G251" s="112" t="s">
        <v>933</v>
      </c>
      <c r="H251" s="112" t="s">
        <v>958</v>
      </c>
      <c r="I251" s="113" t="s">
        <v>112</v>
      </c>
      <c r="J251" s="112" t="s">
        <v>959</v>
      </c>
      <c r="K251" s="112"/>
      <c r="L251" s="114">
        <v>37500000</v>
      </c>
      <c r="M251" s="114" t="s">
        <v>960</v>
      </c>
      <c r="N251" s="115">
        <v>44744</v>
      </c>
      <c r="O251" s="115">
        <v>45108</v>
      </c>
      <c r="P251" s="116">
        <f t="shared" si="67"/>
        <v>0.99726027397260275</v>
      </c>
      <c r="Q251" s="110" t="s">
        <v>30</v>
      </c>
      <c r="R251" s="110">
        <f t="shared" ref="R251:R260" ca="1" si="71">(O251-NOW()+1)/31</f>
        <v>6.6226931339605795</v>
      </c>
      <c r="S251" s="110" t="str">
        <f t="shared" ca="1" si="68"/>
        <v>O</v>
      </c>
      <c r="T251" s="117">
        <v>3</v>
      </c>
      <c r="U251" s="117">
        <v>3</v>
      </c>
      <c r="V251" s="117">
        <v>2</v>
      </c>
      <c r="W251" s="117">
        <f t="shared" si="69"/>
        <v>8</v>
      </c>
      <c r="X251" s="117" t="str">
        <f t="shared" si="70"/>
        <v>Penting</v>
      </c>
      <c r="Y251" s="111"/>
      <c r="Z251" s="122"/>
      <c r="AA251" s="115"/>
      <c r="AB251" s="115"/>
      <c r="AC251" s="115"/>
      <c r="AD251" s="25" t="s">
        <v>122</v>
      </c>
      <c r="AE251" s="118">
        <v>43497</v>
      </c>
      <c r="AF251" s="110" t="s">
        <v>937</v>
      </c>
      <c r="AG251" s="110" t="s">
        <v>117</v>
      </c>
      <c r="AH251" s="25"/>
      <c r="AI251" s="25"/>
      <c r="AJ251" s="25"/>
      <c r="AK251" s="25"/>
      <c r="AL251" s="25"/>
      <c r="AM251" s="25"/>
      <c r="AN251" s="33" t="s">
        <v>136</v>
      </c>
      <c r="AO251" s="119">
        <v>44735</v>
      </c>
      <c r="AP251" s="120"/>
      <c r="AQ251" s="4"/>
      <c r="AR251" s="4"/>
      <c r="AS251" s="4"/>
      <c r="AT251" s="4"/>
      <c r="AU251" s="4"/>
    </row>
    <row r="252" spans="1:48" s="121" customFormat="1" ht="111.95" hidden="1" customHeight="1" x14ac:dyDescent="0.25">
      <c r="A252" s="109">
        <v>119</v>
      </c>
      <c r="B252" s="109" t="s">
        <v>109</v>
      </c>
      <c r="C252" s="109" t="s">
        <v>1212</v>
      </c>
      <c r="D252" s="109">
        <v>2</v>
      </c>
      <c r="E252" s="109" t="s">
        <v>118</v>
      </c>
      <c r="F252" s="111" t="s">
        <v>961</v>
      </c>
      <c r="G252" s="112" t="s">
        <v>945</v>
      </c>
      <c r="H252" s="112" t="s">
        <v>962</v>
      </c>
      <c r="I252" s="113" t="s">
        <v>112</v>
      </c>
      <c r="J252" s="112" t="s">
        <v>951</v>
      </c>
      <c r="K252" s="112" t="s">
        <v>963</v>
      </c>
      <c r="L252" s="114" t="s">
        <v>226</v>
      </c>
      <c r="M252" s="114"/>
      <c r="N252" s="115">
        <v>44774</v>
      </c>
      <c r="O252" s="115">
        <v>45138</v>
      </c>
      <c r="P252" s="116">
        <f t="shared" si="67"/>
        <v>0.99726027397260275</v>
      </c>
      <c r="Q252" s="110" t="s">
        <v>30</v>
      </c>
      <c r="R252" s="110">
        <f t="shared" ca="1" si="71"/>
        <v>7.5904350694444505</v>
      </c>
      <c r="S252" s="110" t="str">
        <f t="shared" ca="1" si="68"/>
        <v>O</v>
      </c>
      <c r="T252" s="117">
        <v>3</v>
      </c>
      <c r="U252" s="117">
        <v>3</v>
      </c>
      <c r="V252" s="117">
        <v>3</v>
      </c>
      <c r="W252" s="117">
        <f t="shared" si="69"/>
        <v>9</v>
      </c>
      <c r="X252" s="117" t="str">
        <f t="shared" si="70"/>
        <v>Penting</v>
      </c>
      <c r="Y252" s="111" t="s">
        <v>956</v>
      </c>
      <c r="Z252" s="122"/>
      <c r="AA252" s="115"/>
      <c r="AB252" s="115"/>
      <c r="AC252" s="115"/>
      <c r="AD252" s="25" t="s">
        <v>122</v>
      </c>
      <c r="AE252" s="118">
        <v>43602</v>
      </c>
      <c r="AF252" s="110" t="s">
        <v>937</v>
      </c>
      <c r="AG252" s="110" t="s">
        <v>117</v>
      </c>
      <c r="AH252" s="25"/>
      <c r="AI252" s="25"/>
      <c r="AJ252" s="25"/>
      <c r="AK252" s="25"/>
      <c r="AL252" s="25"/>
      <c r="AM252" s="25"/>
      <c r="AN252" s="33" t="s">
        <v>136</v>
      </c>
      <c r="AO252" s="119">
        <v>44764</v>
      </c>
      <c r="AP252" s="120"/>
      <c r="AQ252" s="4"/>
      <c r="AR252" s="4"/>
      <c r="AS252" s="4"/>
      <c r="AT252" s="4"/>
      <c r="AU252" s="4"/>
    </row>
    <row r="253" spans="1:48" s="121" customFormat="1" ht="111.75" hidden="1" customHeight="1" x14ac:dyDescent="0.25">
      <c r="A253" s="109">
        <v>120</v>
      </c>
      <c r="B253" s="109" t="s">
        <v>109</v>
      </c>
      <c r="C253" s="109" t="s">
        <v>1212</v>
      </c>
      <c r="D253" s="109">
        <v>3</v>
      </c>
      <c r="E253" s="109" t="s">
        <v>118</v>
      </c>
      <c r="F253" s="111" t="s">
        <v>964</v>
      </c>
      <c r="G253" s="112" t="s">
        <v>945</v>
      </c>
      <c r="H253" s="112" t="s">
        <v>965</v>
      </c>
      <c r="I253" s="113" t="s">
        <v>112</v>
      </c>
      <c r="J253" s="112" t="s">
        <v>947</v>
      </c>
      <c r="K253" s="112" t="s">
        <v>966</v>
      </c>
      <c r="L253" s="114">
        <v>1250000</v>
      </c>
      <c r="M253" s="114" t="s">
        <v>967</v>
      </c>
      <c r="N253" s="115">
        <v>44774</v>
      </c>
      <c r="O253" s="115">
        <v>45138</v>
      </c>
      <c r="P253" s="116">
        <f t="shared" si="67"/>
        <v>0.99726027397260275</v>
      </c>
      <c r="Q253" s="110" t="s">
        <v>30</v>
      </c>
      <c r="R253" s="110">
        <f t="shared" ca="1" si="71"/>
        <v>7.5904350694444505</v>
      </c>
      <c r="S253" s="110" t="str">
        <f t="shared" ca="1" si="68"/>
        <v>O</v>
      </c>
      <c r="T253" s="117">
        <v>3</v>
      </c>
      <c r="U253" s="117">
        <v>3</v>
      </c>
      <c r="V253" s="117">
        <v>3</v>
      </c>
      <c r="W253" s="117">
        <f t="shared" si="69"/>
        <v>9</v>
      </c>
      <c r="X253" s="117" t="str">
        <f t="shared" si="70"/>
        <v>Penting</v>
      </c>
      <c r="Y253" s="111"/>
      <c r="Z253" s="122"/>
      <c r="AA253" s="115"/>
      <c r="AB253" s="115"/>
      <c r="AC253" s="115"/>
      <c r="AD253" s="25" t="s">
        <v>122</v>
      </c>
      <c r="AE253" s="118">
        <v>43608</v>
      </c>
      <c r="AF253" s="110" t="s">
        <v>937</v>
      </c>
      <c r="AG253" s="110" t="s">
        <v>117</v>
      </c>
      <c r="AH253" s="25"/>
      <c r="AI253" s="25"/>
      <c r="AJ253" s="25"/>
      <c r="AK253" s="25"/>
      <c r="AL253" s="25"/>
      <c r="AM253" s="25"/>
      <c r="AN253" s="33" t="s">
        <v>136</v>
      </c>
      <c r="AO253" s="119">
        <v>44760</v>
      </c>
      <c r="AP253" s="120"/>
      <c r="AQ253" s="4"/>
      <c r="AR253" s="4"/>
      <c r="AS253" s="4"/>
      <c r="AT253" s="4"/>
      <c r="AU253" s="4"/>
    </row>
    <row r="254" spans="1:48" s="121" customFormat="1" ht="111.95" hidden="1" customHeight="1" x14ac:dyDescent="0.25">
      <c r="A254" s="109">
        <v>121</v>
      </c>
      <c r="B254" s="109" t="s">
        <v>109</v>
      </c>
      <c r="C254" s="109" t="s">
        <v>1212</v>
      </c>
      <c r="D254" s="109">
        <v>4</v>
      </c>
      <c r="E254" s="109" t="s">
        <v>118</v>
      </c>
      <c r="F254" s="111" t="s">
        <v>968</v>
      </c>
      <c r="G254" s="112" t="s">
        <v>969</v>
      </c>
      <c r="H254" s="112" t="s">
        <v>970</v>
      </c>
      <c r="I254" s="113" t="s">
        <v>112</v>
      </c>
      <c r="J254" s="112" t="s">
        <v>971</v>
      </c>
      <c r="K254" s="112" t="s">
        <v>972</v>
      </c>
      <c r="L254" s="114"/>
      <c r="M254" s="114"/>
      <c r="N254" s="115">
        <v>44652</v>
      </c>
      <c r="O254" s="115">
        <v>45016</v>
      </c>
      <c r="P254" s="116">
        <f t="shared" si="67"/>
        <v>0.99726027397260275</v>
      </c>
      <c r="Q254" s="110" t="s">
        <v>30</v>
      </c>
      <c r="R254" s="110">
        <f t="shared" ca="1" si="71"/>
        <v>3.6549511984767085</v>
      </c>
      <c r="S254" s="110" t="str">
        <f t="shared" ca="1" si="68"/>
        <v>O</v>
      </c>
      <c r="T254" s="117">
        <v>3</v>
      </c>
      <c r="U254" s="117">
        <v>3</v>
      </c>
      <c r="V254" s="117">
        <v>3</v>
      </c>
      <c r="W254" s="117">
        <f t="shared" si="69"/>
        <v>9</v>
      </c>
      <c r="X254" s="117" t="str">
        <f t="shared" si="70"/>
        <v>Penting</v>
      </c>
      <c r="Y254" s="111"/>
      <c r="Z254" s="122"/>
      <c r="AA254" s="115"/>
      <c r="AB254" s="115"/>
      <c r="AC254" s="115"/>
      <c r="AD254" s="25"/>
      <c r="AE254" s="118"/>
      <c r="AF254" s="110" t="s">
        <v>937</v>
      </c>
      <c r="AG254" s="110" t="s">
        <v>117</v>
      </c>
      <c r="AH254" s="25"/>
      <c r="AI254" s="25"/>
      <c r="AJ254" s="25"/>
      <c r="AK254" s="25"/>
      <c r="AL254" s="25"/>
      <c r="AM254" s="25"/>
      <c r="AN254" s="33" t="s">
        <v>123</v>
      </c>
      <c r="AO254" s="119">
        <v>44658</v>
      </c>
      <c r="AP254" s="120"/>
      <c r="AQ254" s="4"/>
      <c r="AR254" s="4"/>
      <c r="AS254" s="4"/>
      <c r="AT254" s="4"/>
      <c r="AU254" s="4"/>
    </row>
    <row r="255" spans="1:48" s="121" customFormat="1" ht="111.95" hidden="1" customHeight="1" x14ac:dyDescent="0.25">
      <c r="A255" s="109">
        <v>122</v>
      </c>
      <c r="B255" s="109" t="s">
        <v>109</v>
      </c>
      <c r="C255" s="109" t="s">
        <v>1212</v>
      </c>
      <c r="D255" s="109">
        <v>5</v>
      </c>
      <c r="E255" s="109" t="s">
        <v>118</v>
      </c>
      <c r="F255" s="111" t="s">
        <v>973</v>
      </c>
      <c r="G255" s="112" t="s">
        <v>969</v>
      </c>
      <c r="H255" s="112" t="s">
        <v>974</v>
      </c>
      <c r="I255" s="113" t="s">
        <v>112</v>
      </c>
      <c r="J255" s="112" t="s">
        <v>971</v>
      </c>
      <c r="K255" s="112" t="s">
        <v>975</v>
      </c>
      <c r="L255" s="114" t="s">
        <v>226</v>
      </c>
      <c r="M255" s="114"/>
      <c r="N255" s="115">
        <v>44582</v>
      </c>
      <c r="O255" s="115">
        <v>44946</v>
      </c>
      <c r="P255" s="116">
        <f t="shared" si="67"/>
        <v>0.99726027397260275</v>
      </c>
      <c r="Q255" s="110" t="s">
        <v>30</v>
      </c>
      <c r="R255" s="110">
        <f t="shared" ca="1" si="71"/>
        <v>1.3968866823476762</v>
      </c>
      <c r="S255" s="110" t="str">
        <f t="shared" ca="1" si="68"/>
        <v>O</v>
      </c>
      <c r="T255" s="117">
        <v>3</v>
      </c>
      <c r="U255" s="117">
        <v>3</v>
      </c>
      <c r="V255" s="117">
        <v>3</v>
      </c>
      <c r="W255" s="117">
        <f t="shared" si="69"/>
        <v>9</v>
      </c>
      <c r="X255" s="117" t="str">
        <f t="shared" si="70"/>
        <v>Penting</v>
      </c>
      <c r="Y255" s="111" t="s">
        <v>976</v>
      </c>
      <c r="Z255" s="122"/>
      <c r="AA255" s="115"/>
      <c r="AB255" s="115"/>
      <c r="AC255" s="115"/>
      <c r="AD255" s="25" t="s">
        <v>122</v>
      </c>
      <c r="AE255" s="118">
        <v>43608</v>
      </c>
      <c r="AF255" s="110" t="s">
        <v>937</v>
      </c>
      <c r="AG255" s="110" t="s">
        <v>117</v>
      </c>
      <c r="AH255" s="25"/>
      <c r="AI255" s="25"/>
      <c r="AJ255" s="25"/>
      <c r="AK255" s="25"/>
      <c r="AL255" s="25"/>
      <c r="AM255" s="25"/>
      <c r="AN255" s="33"/>
      <c r="AO255" s="119"/>
      <c r="AP255" s="120"/>
      <c r="AQ255" s="4"/>
      <c r="AR255" s="4"/>
      <c r="AS255" s="4"/>
      <c r="AT255" s="4"/>
      <c r="AU255" s="4"/>
    </row>
    <row r="256" spans="1:48" s="121" customFormat="1" ht="111.95" hidden="1" customHeight="1" x14ac:dyDescent="0.25">
      <c r="A256" s="109">
        <v>123</v>
      </c>
      <c r="B256" s="109" t="s">
        <v>109</v>
      </c>
      <c r="C256" s="109" t="s">
        <v>1215</v>
      </c>
      <c r="D256" s="109">
        <v>1</v>
      </c>
      <c r="E256" s="109" t="s">
        <v>1270</v>
      </c>
      <c r="F256" s="111" t="s">
        <v>978</v>
      </c>
      <c r="G256" s="112" t="s">
        <v>979</v>
      </c>
      <c r="H256" s="112" t="s">
        <v>980</v>
      </c>
      <c r="I256" s="113" t="s">
        <v>112</v>
      </c>
      <c r="J256" s="112" t="s">
        <v>981</v>
      </c>
      <c r="K256" s="112" t="s">
        <v>982</v>
      </c>
      <c r="L256" s="114" t="s">
        <v>226</v>
      </c>
      <c r="M256" s="114"/>
      <c r="N256" s="115">
        <v>44577</v>
      </c>
      <c r="O256" s="115">
        <v>44941</v>
      </c>
      <c r="P256" s="116">
        <f t="shared" si="67"/>
        <v>0.99726027397260275</v>
      </c>
      <c r="Q256" s="110" t="s">
        <v>30</v>
      </c>
      <c r="R256" s="110">
        <f t="shared" ca="1" si="71"/>
        <v>1.235596359767031</v>
      </c>
      <c r="S256" s="110" t="str">
        <f t="shared" ca="1" si="68"/>
        <v>O</v>
      </c>
      <c r="T256" s="117">
        <v>3</v>
      </c>
      <c r="U256" s="117">
        <v>3</v>
      </c>
      <c r="V256" s="117">
        <v>3</v>
      </c>
      <c r="W256" s="117">
        <f t="shared" si="69"/>
        <v>9</v>
      </c>
      <c r="X256" s="117" t="str">
        <f t="shared" si="70"/>
        <v>Penting</v>
      </c>
      <c r="Y256" s="111"/>
      <c r="Z256" s="122"/>
      <c r="AA256" s="115"/>
      <c r="AB256" s="115"/>
      <c r="AC256" s="115"/>
      <c r="AD256" s="25" t="s">
        <v>122</v>
      </c>
      <c r="AE256" s="118">
        <v>44576</v>
      </c>
      <c r="AF256" s="110" t="s">
        <v>937</v>
      </c>
      <c r="AG256" s="110" t="s">
        <v>117</v>
      </c>
      <c r="AH256" s="25"/>
      <c r="AI256" s="25"/>
      <c r="AJ256" s="25"/>
      <c r="AK256" s="25"/>
      <c r="AL256" s="25"/>
      <c r="AM256" s="25"/>
      <c r="AN256" s="33" t="s">
        <v>123</v>
      </c>
      <c r="AO256" s="119"/>
      <c r="AP256" s="120"/>
      <c r="AQ256" s="4"/>
      <c r="AR256" s="4"/>
      <c r="AS256" s="4"/>
      <c r="AT256" s="4"/>
      <c r="AU256" s="4"/>
    </row>
    <row r="257" spans="1:48" s="121" customFormat="1" ht="111.95" hidden="1" customHeight="1" x14ac:dyDescent="0.25">
      <c r="A257" s="109">
        <v>124</v>
      </c>
      <c r="B257" s="109" t="s">
        <v>109</v>
      </c>
      <c r="C257" s="109" t="s">
        <v>1215</v>
      </c>
      <c r="D257" s="109">
        <v>2</v>
      </c>
      <c r="E257" s="109" t="s">
        <v>118</v>
      </c>
      <c r="F257" s="111" t="s">
        <v>983</v>
      </c>
      <c r="G257" s="112" t="s">
        <v>979</v>
      </c>
      <c r="H257" s="112" t="s">
        <v>984</v>
      </c>
      <c r="I257" s="113" t="s">
        <v>112</v>
      </c>
      <c r="J257" s="112" t="s">
        <v>981</v>
      </c>
      <c r="K257" s="112" t="s">
        <v>985</v>
      </c>
      <c r="L257" s="114" t="s">
        <v>226</v>
      </c>
      <c r="M257" s="114"/>
      <c r="N257" s="115">
        <v>44608</v>
      </c>
      <c r="O257" s="115">
        <v>44972</v>
      </c>
      <c r="P257" s="116">
        <f t="shared" si="67"/>
        <v>0.99726027397260275</v>
      </c>
      <c r="Q257" s="110" t="s">
        <v>30</v>
      </c>
      <c r="R257" s="110">
        <f t="shared" ca="1" si="71"/>
        <v>2.235596359767031</v>
      </c>
      <c r="S257" s="110" t="str">
        <f t="shared" ca="1" si="68"/>
        <v>O</v>
      </c>
      <c r="T257" s="117">
        <v>3</v>
      </c>
      <c r="U257" s="117">
        <v>3</v>
      </c>
      <c r="V257" s="117">
        <v>3</v>
      </c>
      <c r="W257" s="117">
        <f t="shared" si="69"/>
        <v>9</v>
      </c>
      <c r="X257" s="117" t="str">
        <f t="shared" si="70"/>
        <v>Penting</v>
      </c>
      <c r="Y257" s="111"/>
      <c r="Z257" s="122"/>
      <c r="AA257" s="115"/>
      <c r="AB257" s="115"/>
      <c r="AC257" s="115"/>
      <c r="AD257" s="25" t="s">
        <v>122</v>
      </c>
      <c r="AE257" s="118">
        <v>44630</v>
      </c>
      <c r="AF257" s="110" t="s">
        <v>937</v>
      </c>
      <c r="AG257" s="110" t="s">
        <v>117</v>
      </c>
      <c r="AH257" s="25"/>
      <c r="AI257" s="25"/>
      <c r="AJ257" s="25"/>
      <c r="AK257" s="25"/>
      <c r="AL257" s="25"/>
      <c r="AM257" s="25"/>
      <c r="AN257" s="33" t="s">
        <v>123</v>
      </c>
      <c r="AO257" s="119"/>
      <c r="AP257" s="120"/>
      <c r="AQ257" s="4"/>
      <c r="AR257" s="4"/>
      <c r="AS257" s="4"/>
      <c r="AT257" s="4"/>
      <c r="AU257" s="4"/>
    </row>
    <row r="258" spans="1:48" s="121" customFormat="1" ht="111.95" hidden="1" customHeight="1" x14ac:dyDescent="0.25">
      <c r="A258" s="109">
        <v>125</v>
      </c>
      <c r="B258" s="109" t="s">
        <v>109</v>
      </c>
      <c r="C258" s="109" t="s">
        <v>1215</v>
      </c>
      <c r="D258" s="109">
        <v>3</v>
      </c>
      <c r="E258" s="109" t="s">
        <v>118</v>
      </c>
      <c r="F258" s="111" t="s">
        <v>986</v>
      </c>
      <c r="G258" s="112" t="s">
        <v>979</v>
      </c>
      <c r="H258" s="112" t="s">
        <v>987</v>
      </c>
      <c r="I258" s="113" t="s">
        <v>112</v>
      </c>
      <c r="J258" s="112" t="s">
        <v>981</v>
      </c>
      <c r="K258" s="112" t="s">
        <v>988</v>
      </c>
      <c r="L258" s="114" t="s">
        <v>226</v>
      </c>
      <c r="M258" s="114"/>
      <c r="N258" s="115">
        <v>44608</v>
      </c>
      <c r="O258" s="115">
        <v>44972</v>
      </c>
      <c r="P258" s="116">
        <f t="shared" si="67"/>
        <v>0.99726027397260275</v>
      </c>
      <c r="Q258" s="110" t="s">
        <v>30</v>
      </c>
      <c r="R258" s="110">
        <f t="shared" ca="1" si="71"/>
        <v>2.235596359767031</v>
      </c>
      <c r="S258" s="110" t="str">
        <f t="shared" ca="1" si="68"/>
        <v>O</v>
      </c>
      <c r="T258" s="117">
        <v>3</v>
      </c>
      <c r="U258" s="117">
        <v>3</v>
      </c>
      <c r="V258" s="117">
        <v>3</v>
      </c>
      <c r="W258" s="117">
        <f t="shared" si="69"/>
        <v>9</v>
      </c>
      <c r="X258" s="117" t="str">
        <f t="shared" si="70"/>
        <v>Penting</v>
      </c>
      <c r="Y258" s="111"/>
      <c r="Z258" s="122"/>
      <c r="AA258" s="115"/>
      <c r="AB258" s="115"/>
      <c r="AC258" s="115"/>
      <c r="AD258" s="25" t="s">
        <v>122</v>
      </c>
      <c r="AE258" s="118">
        <v>44630</v>
      </c>
      <c r="AF258" s="110" t="s">
        <v>937</v>
      </c>
      <c r="AG258" s="110" t="s">
        <v>117</v>
      </c>
      <c r="AH258" s="25"/>
      <c r="AI258" s="25"/>
      <c r="AJ258" s="25"/>
      <c r="AK258" s="25"/>
      <c r="AL258" s="25"/>
      <c r="AM258" s="25"/>
      <c r="AN258" s="33" t="s">
        <v>123</v>
      </c>
      <c r="AO258" s="119"/>
      <c r="AP258" s="120"/>
      <c r="AQ258" s="4"/>
      <c r="AR258" s="4"/>
      <c r="AS258" s="4"/>
      <c r="AT258" s="4"/>
      <c r="AU258" s="4"/>
    </row>
    <row r="259" spans="1:48" s="121" customFormat="1" ht="111.95" hidden="1" customHeight="1" x14ac:dyDescent="0.25">
      <c r="A259" s="109">
        <v>126</v>
      </c>
      <c r="B259" s="109" t="s">
        <v>109</v>
      </c>
      <c r="C259" s="109" t="s">
        <v>1215</v>
      </c>
      <c r="D259" s="109">
        <v>4</v>
      </c>
      <c r="E259" s="109" t="s">
        <v>118</v>
      </c>
      <c r="F259" s="111" t="s">
        <v>989</v>
      </c>
      <c r="G259" s="112" t="s">
        <v>969</v>
      </c>
      <c r="H259" s="112" t="s">
        <v>990</v>
      </c>
      <c r="I259" s="113" t="s">
        <v>112</v>
      </c>
      <c r="J259" s="112" t="s">
        <v>971</v>
      </c>
      <c r="K259" s="112" t="s">
        <v>991</v>
      </c>
      <c r="L259" s="114" t="s">
        <v>226</v>
      </c>
      <c r="M259" s="114"/>
      <c r="N259" s="115">
        <v>44805</v>
      </c>
      <c r="O259" s="115">
        <v>45169</v>
      </c>
      <c r="P259" s="116">
        <f t="shared" si="67"/>
        <v>0.99726027397260275</v>
      </c>
      <c r="Q259" s="110" t="s">
        <v>30</v>
      </c>
      <c r="R259" s="110">
        <f t="shared" ca="1" si="71"/>
        <v>8.5904350694444496</v>
      </c>
      <c r="S259" s="110" t="str">
        <f t="shared" ca="1" si="68"/>
        <v>O</v>
      </c>
      <c r="T259" s="117">
        <v>3</v>
      </c>
      <c r="U259" s="117">
        <v>3</v>
      </c>
      <c r="V259" s="117">
        <v>3</v>
      </c>
      <c r="W259" s="117">
        <f t="shared" si="69"/>
        <v>9</v>
      </c>
      <c r="X259" s="117" t="str">
        <f t="shared" si="70"/>
        <v>Penting</v>
      </c>
      <c r="Y259" s="111"/>
      <c r="Z259" s="122"/>
      <c r="AA259" s="115"/>
      <c r="AB259" s="115"/>
      <c r="AC259" s="115"/>
      <c r="AD259" s="25" t="s">
        <v>122</v>
      </c>
      <c r="AE259" s="118">
        <v>44805</v>
      </c>
      <c r="AF259" s="110" t="s">
        <v>937</v>
      </c>
      <c r="AG259" s="110" t="s">
        <v>117</v>
      </c>
      <c r="AH259" s="25"/>
      <c r="AI259" s="25"/>
      <c r="AJ259" s="25"/>
      <c r="AK259" s="25"/>
      <c r="AL259" s="25"/>
      <c r="AM259" s="25"/>
      <c r="AN259" s="33" t="s">
        <v>136</v>
      </c>
      <c r="AO259" s="119">
        <v>44819</v>
      </c>
      <c r="AP259" s="120"/>
      <c r="AQ259" s="4"/>
      <c r="AR259" s="4"/>
      <c r="AS259" s="4"/>
      <c r="AT259" s="4"/>
      <c r="AU259" s="4"/>
    </row>
    <row r="260" spans="1:48" s="121" customFormat="1" ht="111.95" hidden="1" customHeight="1" x14ac:dyDescent="0.25">
      <c r="A260" s="109">
        <v>127</v>
      </c>
      <c r="B260" s="109" t="s">
        <v>109</v>
      </c>
      <c r="C260" s="109" t="s">
        <v>1215</v>
      </c>
      <c r="D260" s="109">
        <v>5</v>
      </c>
      <c r="E260" s="109" t="s">
        <v>118</v>
      </c>
      <c r="F260" s="111" t="s">
        <v>110</v>
      </c>
      <c r="G260" s="112" t="s">
        <v>992</v>
      </c>
      <c r="H260" s="112" t="s">
        <v>993</v>
      </c>
      <c r="I260" s="113" t="s">
        <v>112</v>
      </c>
      <c r="J260" s="112" t="s">
        <v>994</v>
      </c>
      <c r="K260" s="112"/>
      <c r="L260" s="114" t="s">
        <v>226</v>
      </c>
      <c r="M260" s="114"/>
      <c r="N260" s="115">
        <v>44881</v>
      </c>
      <c r="O260" s="115">
        <v>45245</v>
      </c>
      <c r="P260" s="116">
        <f t="shared" si="67"/>
        <v>0.99726027397260275</v>
      </c>
      <c r="Q260" s="110" t="s">
        <v>30</v>
      </c>
      <c r="R260" s="110">
        <f t="shared" ca="1" si="71"/>
        <v>11.042047972670257</v>
      </c>
      <c r="S260" s="110" t="str">
        <f t="shared" ca="1" si="68"/>
        <v>O</v>
      </c>
      <c r="T260" s="117">
        <v>3</v>
      </c>
      <c r="U260" s="117">
        <v>3</v>
      </c>
      <c r="V260" s="117">
        <v>3</v>
      </c>
      <c r="W260" s="117">
        <f t="shared" si="69"/>
        <v>9</v>
      </c>
      <c r="X260" s="117" t="str">
        <f t="shared" si="70"/>
        <v>Penting</v>
      </c>
      <c r="Y260" s="111"/>
      <c r="Z260" s="122"/>
      <c r="AA260" s="115"/>
      <c r="AB260" s="115"/>
      <c r="AC260" s="115"/>
      <c r="AD260" s="25" t="s">
        <v>122</v>
      </c>
      <c r="AE260" s="118">
        <v>44866</v>
      </c>
      <c r="AF260" s="110" t="s">
        <v>937</v>
      </c>
      <c r="AG260" s="110" t="s">
        <v>189</v>
      </c>
      <c r="AH260" s="25"/>
      <c r="AI260" s="25"/>
      <c r="AJ260" s="25"/>
      <c r="AK260" s="25"/>
      <c r="AL260" s="25"/>
      <c r="AM260" s="25"/>
      <c r="AN260" s="33" t="s">
        <v>136</v>
      </c>
      <c r="AO260" s="119">
        <v>44860</v>
      </c>
      <c r="AP260" s="120"/>
      <c r="AQ260" s="4"/>
      <c r="AR260" s="4"/>
      <c r="AS260" s="4"/>
      <c r="AT260" s="4"/>
      <c r="AU260" s="4"/>
    </row>
    <row r="261" spans="1:48" s="121" customFormat="1" ht="111.95" hidden="1" customHeight="1" x14ac:dyDescent="0.25">
      <c r="A261" s="109">
        <v>128</v>
      </c>
      <c r="B261" s="109" t="s">
        <v>109</v>
      </c>
      <c r="C261" s="109" t="s">
        <v>1216</v>
      </c>
      <c r="D261" s="109">
        <v>1</v>
      </c>
      <c r="E261" s="109" t="s">
        <v>118</v>
      </c>
      <c r="F261" s="111" t="s">
        <v>208</v>
      </c>
      <c r="G261" s="112" t="s">
        <v>204</v>
      </c>
      <c r="H261" s="112" t="s">
        <v>209</v>
      </c>
      <c r="I261" s="113" t="s">
        <v>150</v>
      </c>
      <c r="J261" s="112" t="s">
        <v>210</v>
      </c>
      <c r="K261" s="112" t="s">
        <v>211</v>
      </c>
      <c r="L261" s="114">
        <v>93933496.989999995</v>
      </c>
      <c r="M261" s="114" t="s">
        <v>132</v>
      </c>
      <c r="N261" s="115">
        <v>44562</v>
      </c>
      <c r="O261" s="115">
        <v>44926</v>
      </c>
      <c r="P261" s="116">
        <f t="shared" si="67"/>
        <v>0.99726027397260275</v>
      </c>
      <c r="Q261" s="110" t="s">
        <v>28</v>
      </c>
      <c r="R261" s="110">
        <f ca="1">(O261-NOW()+1)/31</f>
        <v>0.75172539202509558</v>
      </c>
      <c r="S261" s="110" t="str">
        <f t="shared" ca="1" si="68"/>
        <v>O</v>
      </c>
      <c r="T261" s="117">
        <v>1</v>
      </c>
      <c r="U261" s="117">
        <v>2</v>
      </c>
      <c r="V261" s="117">
        <v>2</v>
      </c>
      <c r="W261" s="117">
        <v>5</v>
      </c>
      <c r="X261" s="117" t="str">
        <f t="shared" si="70"/>
        <v>Biasa</v>
      </c>
      <c r="Y261" s="111"/>
      <c r="Z261" s="122"/>
      <c r="AA261" s="115"/>
      <c r="AB261" s="115"/>
      <c r="AC261" s="115"/>
      <c r="AD261" s="25"/>
      <c r="AE261" s="118"/>
      <c r="AF261" s="110" t="s">
        <v>207</v>
      </c>
      <c r="AG261" s="110" t="s">
        <v>117</v>
      </c>
      <c r="AH261" s="25"/>
      <c r="AI261" s="25"/>
      <c r="AJ261" s="25"/>
      <c r="AK261" s="25"/>
      <c r="AL261" s="25"/>
      <c r="AM261" s="25"/>
      <c r="AN261" s="33" t="s">
        <v>123</v>
      </c>
      <c r="AO261" s="119">
        <v>44560</v>
      </c>
      <c r="AP261" s="120"/>
      <c r="AQ261" s="4"/>
      <c r="AR261" s="4"/>
      <c r="AS261" s="4"/>
      <c r="AT261" s="4"/>
      <c r="AU261" s="4"/>
    </row>
    <row r="262" spans="1:48" s="121" customFormat="1" ht="111.95" hidden="1" customHeight="1" x14ac:dyDescent="0.25">
      <c r="A262" s="109">
        <v>129</v>
      </c>
      <c r="B262" s="109" t="s">
        <v>109</v>
      </c>
      <c r="C262" s="109" t="s">
        <v>1216</v>
      </c>
      <c r="D262" s="109">
        <v>2</v>
      </c>
      <c r="E262" s="109" t="s">
        <v>118</v>
      </c>
      <c r="F262" s="111" t="s">
        <v>248</v>
      </c>
      <c r="G262" s="112" t="s">
        <v>249</v>
      </c>
      <c r="H262" s="112" t="s">
        <v>209</v>
      </c>
      <c r="I262" s="113" t="s">
        <v>150</v>
      </c>
      <c r="J262" s="112" t="s">
        <v>250</v>
      </c>
      <c r="K262" s="112" t="s">
        <v>251</v>
      </c>
      <c r="L262" s="114">
        <v>5997600</v>
      </c>
      <c r="M262" s="114" t="s">
        <v>132</v>
      </c>
      <c r="N262" s="115">
        <v>44562</v>
      </c>
      <c r="O262" s="115">
        <v>44926</v>
      </c>
      <c r="P262" s="116">
        <f t="shared" si="67"/>
        <v>0.99726027397260275</v>
      </c>
      <c r="Q262" s="110" t="s">
        <v>28</v>
      </c>
      <c r="R262" s="110">
        <f ca="1">(O262-NOW()+1)/31</f>
        <v>0.75172539202509558</v>
      </c>
      <c r="S262" s="110" t="str">
        <f t="shared" ca="1" si="68"/>
        <v>O</v>
      </c>
      <c r="T262" s="117">
        <v>1</v>
      </c>
      <c r="U262" s="117">
        <v>1</v>
      </c>
      <c r="V262" s="117">
        <v>1</v>
      </c>
      <c r="W262" s="117">
        <f t="shared" ref="W262:W320" si="72">T262+U262+V262</f>
        <v>3</v>
      </c>
      <c r="X262" s="117" t="str">
        <f t="shared" si="70"/>
        <v>Biasa</v>
      </c>
      <c r="Y262" s="111"/>
      <c r="Z262" s="122"/>
      <c r="AA262" s="115"/>
      <c r="AB262" s="115"/>
      <c r="AC262" s="115"/>
      <c r="AD262" s="25"/>
      <c r="AE262" s="118"/>
      <c r="AF262" s="110" t="s">
        <v>116</v>
      </c>
      <c r="AG262" s="110" t="s">
        <v>117</v>
      </c>
      <c r="AH262" s="25"/>
      <c r="AI262" s="25"/>
      <c r="AJ262" s="25"/>
      <c r="AK262" s="25"/>
      <c r="AL262" s="25"/>
      <c r="AM262" s="25"/>
      <c r="AN262" s="33" t="s">
        <v>123</v>
      </c>
      <c r="AO262" s="119">
        <v>44560</v>
      </c>
      <c r="AP262" s="120"/>
      <c r="AQ262" s="4"/>
      <c r="AR262" s="4"/>
      <c r="AS262" s="4"/>
      <c r="AT262" s="4"/>
      <c r="AU262" s="4"/>
    </row>
    <row r="263" spans="1:48" s="121" customFormat="1" ht="111.95" hidden="1" customHeight="1" x14ac:dyDescent="0.25">
      <c r="A263" s="109">
        <v>130</v>
      </c>
      <c r="B263" s="109" t="s">
        <v>109</v>
      </c>
      <c r="C263" s="109" t="s">
        <v>1216</v>
      </c>
      <c r="D263" s="109">
        <v>3</v>
      </c>
      <c r="E263" s="109" t="s">
        <v>118</v>
      </c>
      <c r="F263" s="111" t="s">
        <v>203</v>
      </c>
      <c r="G263" s="112" t="s">
        <v>204</v>
      </c>
      <c r="H263" s="112" t="s">
        <v>205</v>
      </c>
      <c r="I263" s="113" t="s">
        <v>112</v>
      </c>
      <c r="J263" s="112" t="s">
        <v>206</v>
      </c>
      <c r="K263" s="112"/>
      <c r="L263" s="114">
        <v>11956174</v>
      </c>
      <c r="M263" s="114" t="s">
        <v>132</v>
      </c>
      <c r="N263" s="115">
        <v>44743</v>
      </c>
      <c r="O263" s="115">
        <v>44926</v>
      </c>
      <c r="P263" s="116">
        <f t="shared" si="67"/>
        <v>0.50136986301369868</v>
      </c>
      <c r="Q263" s="110" t="s">
        <v>28</v>
      </c>
      <c r="R263" s="110">
        <f t="shared" ref="R263" ca="1" si="73">(O263-NOW()+1)/31</f>
        <v>0.75172539202509558</v>
      </c>
      <c r="S263" s="110" t="str">
        <f t="shared" ca="1" si="68"/>
        <v>O</v>
      </c>
      <c r="T263" s="117">
        <v>1</v>
      </c>
      <c r="U263" s="117">
        <v>1</v>
      </c>
      <c r="V263" s="117">
        <v>1</v>
      </c>
      <c r="W263" s="117">
        <f t="shared" si="72"/>
        <v>3</v>
      </c>
      <c r="X263" s="117" t="str">
        <f t="shared" si="70"/>
        <v>Biasa</v>
      </c>
      <c r="Y263" s="111"/>
      <c r="Z263" s="122"/>
      <c r="AA263" s="115"/>
      <c r="AB263" s="115"/>
      <c r="AC263" s="115"/>
      <c r="AD263" s="25"/>
      <c r="AE263" s="118"/>
      <c r="AF263" s="110" t="s">
        <v>207</v>
      </c>
      <c r="AG263" s="110" t="s">
        <v>117</v>
      </c>
      <c r="AH263" s="25"/>
      <c r="AI263" s="25"/>
      <c r="AJ263" s="25"/>
      <c r="AK263" s="25"/>
      <c r="AL263" s="25"/>
      <c r="AM263" s="25"/>
      <c r="AN263" s="33" t="s">
        <v>123</v>
      </c>
      <c r="AO263" s="119">
        <v>44720</v>
      </c>
      <c r="AP263" s="120"/>
      <c r="AQ263" s="4"/>
      <c r="AR263" s="4"/>
      <c r="AS263" s="4"/>
      <c r="AT263" s="4"/>
      <c r="AU263" s="4"/>
    </row>
    <row r="264" spans="1:48" s="121" customFormat="1" ht="111.95" hidden="1" customHeight="1" x14ac:dyDescent="0.25">
      <c r="A264" s="109">
        <v>131</v>
      </c>
      <c r="B264" s="109" t="s">
        <v>109</v>
      </c>
      <c r="C264" s="109" t="s">
        <v>1216</v>
      </c>
      <c r="D264" s="109">
        <v>4</v>
      </c>
      <c r="E264" s="109" t="s">
        <v>118</v>
      </c>
      <c r="F264" s="111" t="s">
        <v>213</v>
      </c>
      <c r="G264" s="112" t="s">
        <v>214</v>
      </c>
      <c r="H264" s="112" t="s">
        <v>205</v>
      </c>
      <c r="I264" s="113" t="s">
        <v>112</v>
      </c>
      <c r="J264" s="112" t="s">
        <v>212</v>
      </c>
      <c r="K264" s="112" t="s">
        <v>215</v>
      </c>
      <c r="L264" s="114">
        <v>74966218</v>
      </c>
      <c r="M264" s="114" t="s">
        <v>132</v>
      </c>
      <c r="N264" s="115">
        <v>44562</v>
      </c>
      <c r="O264" s="115">
        <v>44926</v>
      </c>
      <c r="P264" s="116">
        <f t="shared" si="67"/>
        <v>0.99726027397260275</v>
      </c>
      <c r="Q264" s="110" t="s">
        <v>28</v>
      </c>
      <c r="R264" s="110">
        <f ca="1">(O264-NOW()+1)/31</f>
        <v>0.75172539202509558</v>
      </c>
      <c r="S264" s="110" t="str">
        <f t="shared" ca="1" si="68"/>
        <v>O</v>
      </c>
      <c r="T264" s="117">
        <v>1</v>
      </c>
      <c r="U264" s="117">
        <v>2</v>
      </c>
      <c r="V264" s="117">
        <v>2</v>
      </c>
      <c r="W264" s="117">
        <f t="shared" si="72"/>
        <v>5</v>
      </c>
      <c r="X264" s="117" t="str">
        <f t="shared" si="70"/>
        <v>Biasa</v>
      </c>
      <c r="Y264" s="111"/>
      <c r="Z264" s="122"/>
      <c r="AA264" s="115"/>
      <c r="AB264" s="115"/>
      <c r="AC264" s="115"/>
      <c r="AD264" s="25"/>
      <c r="AE264" s="118"/>
      <c r="AF264" s="110" t="s">
        <v>207</v>
      </c>
      <c r="AG264" s="110" t="s">
        <v>117</v>
      </c>
      <c r="AH264" s="25"/>
      <c r="AI264" s="25"/>
      <c r="AJ264" s="25"/>
      <c r="AK264" s="25"/>
      <c r="AL264" s="25"/>
      <c r="AM264" s="25"/>
      <c r="AN264" s="33" t="s">
        <v>123</v>
      </c>
      <c r="AO264" s="119">
        <v>44537</v>
      </c>
      <c r="AP264" s="120"/>
      <c r="AQ264" s="4"/>
      <c r="AR264" s="4"/>
      <c r="AS264" s="4"/>
      <c r="AT264" s="4"/>
      <c r="AU264" s="4"/>
    </row>
    <row r="265" spans="1:48" s="121" customFormat="1" ht="111.95" hidden="1" customHeight="1" x14ac:dyDescent="0.25">
      <c r="A265" s="109">
        <v>132</v>
      </c>
      <c r="B265" s="109" t="s">
        <v>109</v>
      </c>
      <c r="C265" s="109" t="s">
        <v>1216</v>
      </c>
      <c r="D265" s="109">
        <v>5</v>
      </c>
      <c r="E265" s="109" t="s">
        <v>118</v>
      </c>
      <c r="F265" s="111" t="s">
        <v>240</v>
      </c>
      <c r="G265" s="112" t="s">
        <v>238</v>
      </c>
      <c r="H265" s="112" t="s">
        <v>241</v>
      </c>
      <c r="I265" s="113" t="s">
        <v>112</v>
      </c>
      <c r="J265" s="112" t="s">
        <v>239</v>
      </c>
      <c r="K265" s="112" t="s">
        <v>242</v>
      </c>
      <c r="L265" s="114"/>
      <c r="M265" s="114"/>
      <c r="N265" s="115">
        <v>44621</v>
      </c>
      <c r="O265" s="115">
        <v>44985</v>
      </c>
      <c r="P265" s="116">
        <f t="shared" si="67"/>
        <v>0.99726027397260275</v>
      </c>
      <c r="Q265" s="110" t="s">
        <v>28</v>
      </c>
      <c r="R265" s="110">
        <f ca="1">(O265-NOW()+1)/31</f>
        <v>2.6549511984767085</v>
      </c>
      <c r="S265" s="110" t="str">
        <f t="shared" ca="1" si="68"/>
        <v>O</v>
      </c>
      <c r="T265" s="117">
        <v>1</v>
      </c>
      <c r="U265" s="117">
        <v>1</v>
      </c>
      <c r="V265" s="117">
        <v>3</v>
      </c>
      <c r="W265" s="117">
        <f t="shared" si="72"/>
        <v>5</v>
      </c>
      <c r="X265" s="117" t="str">
        <f t="shared" si="70"/>
        <v>Biasa</v>
      </c>
      <c r="Y265" s="111"/>
      <c r="Z265" s="122"/>
      <c r="AA265" s="115"/>
      <c r="AB265" s="115"/>
      <c r="AC265" s="115"/>
      <c r="AD265" s="25" t="s">
        <v>122</v>
      </c>
      <c r="AE265" s="118">
        <v>44256</v>
      </c>
      <c r="AF265" s="110" t="s">
        <v>207</v>
      </c>
      <c r="AG265" s="110" t="s">
        <v>117</v>
      </c>
      <c r="AH265" s="25"/>
      <c r="AI265" s="25"/>
      <c r="AJ265" s="25"/>
      <c r="AK265" s="25"/>
      <c r="AL265" s="25"/>
      <c r="AM265" s="25"/>
      <c r="AN265" s="33" t="s">
        <v>123</v>
      </c>
      <c r="AO265" s="119"/>
      <c r="AP265" s="120"/>
      <c r="AQ265" s="4"/>
      <c r="AR265" s="4"/>
      <c r="AS265" s="4"/>
      <c r="AT265" s="4"/>
      <c r="AU265" s="4"/>
    </row>
    <row r="266" spans="1:48" s="121" customFormat="1" ht="111.95" hidden="1" customHeight="1" x14ac:dyDescent="0.25">
      <c r="A266" s="109">
        <v>133</v>
      </c>
      <c r="B266" s="109" t="s">
        <v>109</v>
      </c>
      <c r="C266" s="109" t="s">
        <v>1217</v>
      </c>
      <c r="D266" s="109">
        <v>1</v>
      </c>
      <c r="E266" s="109" t="s">
        <v>118</v>
      </c>
      <c r="F266" s="111" t="s">
        <v>729</v>
      </c>
      <c r="G266" s="112" t="s">
        <v>730</v>
      </c>
      <c r="H266" s="112" t="s">
        <v>731</v>
      </c>
      <c r="I266" s="113" t="s">
        <v>112</v>
      </c>
      <c r="J266" s="112" t="s">
        <v>732</v>
      </c>
      <c r="K266" s="112"/>
      <c r="L266" s="114" t="s">
        <v>226</v>
      </c>
      <c r="M266" s="114"/>
      <c r="N266" s="115">
        <v>44720</v>
      </c>
      <c r="O266" s="115">
        <v>45084</v>
      </c>
      <c r="P266" s="116">
        <f>(O266-N266)/365</f>
        <v>0.99726027397260275</v>
      </c>
      <c r="Q266" s="110" t="s">
        <v>29</v>
      </c>
      <c r="R266" s="110">
        <f ca="1">(O266-NOW()+1)/31</f>
        <v>5.8484995855734825</v>
      </c>
      <c r="S266" s="110" t="str">
        <f ca="1">IF(R266="End","Z",IF(R266="Cancel","C",IF(SUM(R266)&gt;0,"O",IF(ISBLANK(R266),"X",IF(SUM(R266)&lt;0,"Y",IF(SUM(R266),"-","O"))))))</f>
        <v>O</v>
      </c>
      <c r="T266" s="117">
        <v>3</v>
      </c>
      <c r="U266" s="117">
        <v>2</v>
      </c>
      <c r="V266" s="117">
        <v>2</v>
      </c>
      <c r="W266" s="117">
        <f>T266+U266+V266</f>
        <v>7</v>
      </c>
      <c r="X266" s="117" t="str">
        <f>IF(W266&gt;5,"Penting",IF(ISBLANK(W266),"","Biasa"))</f>
        <v>Penting</v>
      </c>
      <c r="Y266" s="111"/>
      <c r="Z266" s="122"/>
      <c r="AA266" s="115"/>
      <c r="AB266" s="115"/>
      <c r="AC266" s="115"/>
      <c r="AD266" s="25"/>
      <c r="AE266" s="118"/>
      <c r="AF266" s="110" t="s">
        <v>385</v>
      </c>
      <c r="AG266" s="110" t="s">
        <v>117</v>
      </c>
      <c r="AH266" s="25"/>
      <c r="AI266" s="25"/>
      <c r="AJ266" s="25"/>
      <c r="AK266" s="25"/>
      <c r="AL266" s="25"/>
      <c r="AM266" s="25"/>
      <c r="AN266" s="33" t="s">
        <v>123</v>
      </c>
      <c r="AO266" s="119">
        <v>44699</v>
      </c>
      <c r="AP266" s="120"/>
      <c r="AQ266" s="126"/>
      <c r="AR266" s="4"/>
      <c r="AS266" s="4"/>
      <c r="AT266" s="124"/>
      <c r="AU266" s="124"/>
      <c r="AV266" s="124"/>
    </row>
    <row r="267" spans="1:48" s="121" customFormat="1" ht="111.95" hidden="1" customHeight="1" x14ac:dyDescent="0.25">
      <c r="A267" s="109">
        <v>134</v>
      </c>
      <c r="B267" s="109" t="s">
        <v>109</v>
      </c>
      <c r="C267" s="109" t="s">
        <v>1217</v>
      </c>
      <c r="D267" s="109">
        <v>2</v>
      </c>
      <c r="E267" s="109" t="s">
        <v>118</v>
      </c>
      <c r="F267" s="111" t="s">
        <v>216</v>
      </c>
      <c r="G267" s="112" t="s">
        <v>217</v>
      </c>
      <c r="H267" s="112" t="s">
        <v>218</v>
      </c>
      <c r="I267" s="113" t="s">
        <v>150</v>
      </c>
      <c r="J267" s="112" t="s">
        <v>219</v>
      </c>
      <c r="K267" s="112" t="s">
        <v>220</v>
      </c>
      <c r="L267" s="114"/>
      <c r="M267" s="114"/>
      <c r="N267" s="115">
        <v>44774</v>
      </c>
      <c r="O267" s="115">
        <v>45169</v>
      </c>
      <c r="P267" s="116">
        <f t="shared" si="67"/>
        <v>1.0821917808219179</v>
      </c>
      <c r="Q267" s="110" t="s">
        <v>28</v>
      </c>
      <c r="R267" s="110">
        <f t="shared" ref="R267" ca="1" si="74">(O267-NOW()+1)/31</f>
        <v>8.5904350694444496</v>
      </c>
      <c r="S267" s="110" t="str">
        <f t="shared" ca="1" si="68"/>
        <v>O</v>
      </c>
      <c r="T267" s="117">
        <v>3</v>
      </c>
      <c r="U267" s="117">
        <v>3</v>
      </c>
      <c r="V267" s="117">
        <v>2</v>
      </c>
      <c r="W267" s="117">
        <f t="shared" si="72"/>
        <v>8</v>
      </c>
      <c r="X267" s="117" t="str">
        <f t="shared" si="70"/>
        <v>Penting</v>
      </c>
      <c r="Y267" s="111"/>
      <c r="Z267" s="122"/>
      <c r="AA267" s="115"/>
      <c r="AB267" s="115"/>
      <c r="AC267" s="115"/>
      <c r="AD267" s="25"/>
      <c r="AE267" s="118"/>
      <c r="AF267" s="110" t="s">
        <v>207</v>
      </c>
      <c r="AG267" s="110" t="s">
        <v>117</v>
      </c>
      <c r="AH267" s="25"/>
      <c r="AI267" s="25"/>
      <c r="AJ267" s="25"/>
      <c r="AK267" s="25"/>
      <c r="AL267" s="25"/>
      <c r="AM267" s="25"/>
      <c r="AN267" s="33" t="s">
        <v>136</v>
      </c>
      <c r="AO267" s="119">
        <v>44770</v>
      </c>
      <c r="AP267" s="120"/>
      <c r="AQ267" s="4"/>
      <c r="AR267" s="4"/>
      <c r="AS267" s="4"/>
      <c r="AT267" s="4"/>
      <c r="AU267" s="4"/>
    </row>
    <row r="268" spans="1:48" s="121" customFormat="1" ht="111.95" hidden="1" customHeight="1" x14ac:dyDescent="0.25">
      <c r="A268" s="109">
        <v>135</v>
      </c>
      <c r="B268" s="109" t="s">
        <v>109</v>
      </c>
      <c r="C268" s="109" t="s">
        <v>1217</v>
      </c>
      <c r="D268" s="109">
        <v>3</v>
      </c>
      <c r="E268" s="109" t="s">
        <v>118</v>
      </c>
      <c r="F268" s="111" t="s">
        <v>760</v>
      </c>
      <c r="G268" s="112" t="s">
        <v>761</v>
      </c>
      <c r="H268" s="112" t="s">
        <v>762</v>
      </c>
      <c r="I268" s="113" t="s">
        <v>150</v>
      </c>
      <c r="J268" s="112" t="s">
        <v>763</v>
      </c>
      <c r="K268" s="112" t="s">
        <v>764</v>
      </c>
      <c r="L268" s="114"/>
      <c r="M268" s="114"/>
      <c r="N268" s="115">
        <v>44820</v>
      </c>
      <c r="O268" s="115">
        <v>45184</v>
      </c>
      <c r="P268" s="116">
        <f>(O268-N268)/365</f>
        <v>0.99726027397260275</v>
      </c>
      <c r="Q268" s="110" t="s">
        <v>29</v>
      </c>
      <c r="R268" s="110">
        <f ca="1">(O268-NOW()+1)/31</f>
        <v>9.0743060371863855</v>
      </c>
      <c r="S268" s="110" t="str">
        <f ca="1">IF(R268="End","Z",IF(R268="Cancel","C",IF(SUM(R268)&gt;0,"O",IF(ISBLANK(R268),"X",IF(SUM(R268)&lt;0,"Y",IF(SUM(R268),"-","O"))))))</f>
        <v>O</v>
      </c>
      <c r="T268" s="117">
        <v>3</v>
      </c>
      <c r="U268" s="117">
        <v>2</v>
      </c>
      <c r="V268" s="117">
        <v>1</v>
      </c>
      <c r="W268" s="117">
        <f>T268+U268+V268</f>
        <v>6</v>
      </c>
      <c r="X268" s="117" t="str">
        <f>IF(W268&gt;5,"Penting",IF(ISBLANK(W268),"","Biasa"))</f>
        <v>Penting</v>
      </c>
      <c r="Y268" s="111"/>
      <c r="Z268" s="122"/>
      <c r="AA268" s="115"/>
      <c r="AB268" s="115"/>
      <c r="AC268" s="115"/>
      <c r="AD268" s="25"/>
      <c r="AE268" s="118"/>
      <c r="AF268" s="110" t="s">
        <v>385</v>
      </c>
      <c r="AG268" s="110" t="s">
        <v>117</v>
      </c>
      <c r="AH268" s="25"/>
      <c r="AI268" s="25"/>
      <c r="AJ268" s="25"/>
      <c r="AK268" s="25"/>
      <c r="AL268" s="25"/>
      <c r="AM268" s="25"/>
      <c r="AN268" s="33" t="s">
        <v>136</v>
      </c>
      <c r="AO268" s="119">
        <v>44819</v>
      </c>
      <c r="AP268" s="120"/>
      <c r="AQ268" s="126"/>
      <c r="AR268" s="4"/>
      <c r="AS268" s="4"/>
      <c r="AT268" s="124"/>
      <c r="AU268" s="124"/>
      <c r="AV268" s="124"/>
    </row>
    <row r="269" spans="1:48" s="121" customFormat="1" ht="111.95" hidden="1" customHeight="1" x14ac:dyDescent="0.25">
      <c r="A269" s="109">
        <v>136</v>
      </c>
      <c r="B269" s="109" t="s">
        <v>109</v>
      </c>
      <c r="C269" s="109" t="s">
        <v>1217</v>
      </c>
      <c r="D269" s="109">
        <v>4</v>
      </c>
      <c r="E269" s="109" t="s">
        <v>118</v>
      </c>
      <c r="F269" s="111" t="s">
        <v>1240</v>
      </c>
      <c r="G269" s="112" t="s">
        <v>765</v>
      </c>
      <c r="H269" s="112" t="s">
        <v>766</v>
      </c>
      <c r="I269" s="113" t="s">
        <v>112</v>
      </c>
      <c r="J269" s="112" t="s">
        <v>767</v>
      </c>
      <c r="K269" s="112" t="s">
        <v>1241</v>
      </c>
      <c r="L269" s="114">
        <v>22000000</v>
      </c>
      <c r="M269" s="114" t="s">
        <v>768</v>
      </c>
      <c r="N269" s="115">
        <v>44867</v>
      </c>
      <c r="O269" s="115">
        <v>45231</v>
      </c>
      <c r="P269" s="116">
        <f>(O269-N269)/365</f>
        <v>0.99726027397260275</v>
      </c>
      <c r="Q269" s="110" t="s">
        <v>29</v>
      </c>
      <c r="R269" s="110">
        <f ca="1">(O269-NOW()+1)/31</f>
        <v>10.59043506944445</v>
      </c>
      <c r="S269" s="110" t="str">
        <f ca="1">IF(R269="End","Z",IF(R269="Cancel","C",IF(SUM(R269)&gt;0,"O",IF(ISBLANK(R269),"X",IF(SUM(R269)&lt;0,"Y",IF(SUM(R269),"-","O"))))))</f>
        <v>O</v>
      </c>
      <c r="T269" s="117">
        <v>3</v>
      </c>
      <c r="U269" s="117">
        <v>2</v>
      </c>
      <c r="V269" s="117">
        <v>1</v>
      </c>
      <c r="W269" s="117">
        <f>T269+U269+V269</f>
        <v>6</v>
      </c>
      <c r="X269" s="117" t="str">
        <f>IF(W269&gt;5,"Penting",IF(ISBLANK(W269),"","Biasa"))</f>
        <v>Penting</v>
      </c>
      <c r="Y269" s="111"/>
      <c r="Z269" s="122"/>
      <c r="AA269" s="115"/>
      <c r="AB269" s="115"/>
      <c r="AC269" s="115"/>
      <c r="AD269" s="25"/>
      <c r="AE269" s="118"/>
      <c r="AF269" s="110" t="s">
        <v>385</v>
      </c>
      <c r="AG269" s="110" t="s">
        <v>117</v>
      </c>
      <c r="AH269" s="25"/>
      <c r="AI269" s="25"/>
      <c r="AJ269" s="25"/>
      <c r="AK269" s="25"/>
      <c r="AL269" s="25"/>
      <c r="AM269" s="25"/>
      <c r="AN269" s="33" t="s">
        <v>136</v>
      </c>
      <c r="AO269" s="119">
        <v>44883</v>
      </c>
      <c r="AP269" s="120"/>
      <c r="AQ269" s="126"/>
      <c r="AR269" s="4"/>
      <c r="AS269" s="4"/>
      <c r="AT269" s="124"/>
      <c r="AU269" s="124"/>
      <c r="AV269" s="124"/>
    </row>
    <row r="270" spans="1:48" s="121" customFormat="1" ht="111.95" hidden="1" customHeight="1" x14ac:dyDescent="0.25">
      <c r="A270" s="109">
        <v>137</v>
      </c>
      <c r="B270" s="109" t="s">
        <v>109</v>
      </c>
      <c r="C270" s="109" t="s">
        <v>1217</v>
      </c>
      <c r="D270" s="109">
        <v>5</v>
      </c>
      <c r="E270" s="109" t="s">
        <v>118</v>
      </c>
      <c r="F270" s="111" t="s">
        <v>233</v>
      </c>
      <c r="G270" s="112" t="s">
        <v>234</v>
      </c>
      <c r="H270" s="112" t="s">
        <v>235</v>
      </c>
      <c r="I270" s="113" t="s">
        <v>112</v>
      </c>
      <c r="J270" s="112" t="s">
        <v>236</v>
      </c>
      <c r="K270" s="112" t="s">
        <v>237</v>
      </c>
      <c r="L270" s="114"/>
      <c r="M270" s="114"/>
      <c r="N270" s="115">
        <v>44562</v>
      </c>
      <c r="O270" s="115">
        <v>44926</v>
      </c>
      <c r="P270" s="116">
        <f t="shared" si="67"/>
        <v>0.99726027397260275</v>
      </c>
      <c r="Q270" s="110" t="s">
        <v>28</v>
      </c>
      <c r="R270" s="110">
        <f t="shared" ref="R270:R275" ca="1" si="75">(O270-NOW()+1)/31</f>
        <v>0.75172539202509558</v>
      </c>
      <c r="S270" s="110" t="str">
        <f t="shared" ca="1" si="68"/>
        <v>O</v>
      </c>
      <c r="T270" s="117">
        <v>1</v>
      </c>
      <c r="U270" s="117">
        <v>1</v>
      </c>
      <c r="V270" s="117">
        <v>3</v>
      </c>
      <c r="W270" s="117">
        <f t="shared" si="72"/>
        <v>5</v>
      </c>
      <c r="X270" s="117" t="str">
        <f t="shared" si="70"/>
        <v>Biasa</v>
      </c>
      <c r="Y270" s="111"/>
      <c r="Z270" s="122"/>
      <c r="AA270" s="115"/>
      <c r="AB270" s="115"/>
      <c r="AC270" s="115"/>
      <c r="AD270" s="25"/>
      <c r="AE270" s="118"/>
      <c r="AF270" s="110" t="s">
        <v>116</v>
      </c>
      <c r="AG270" s="110" t="s">
        <v>117</v>
      </c>
      <c r="AH270" s="25"/>
      <c r="AI270" s="25"/>
      <c r="AJ270" s="25"/>
      <c r="AK270" s="25"/>
      <c r="AL270" s="25"/>
      <c r="AM270" s="25"/>
      <c r="AN270" s="33" t="s">
        <v>123</v>
      </c>
      <c r="AO270" s="119">
        <v>44720</v>
      </c>
      <c r="AP270" s="120"/>
      <c r="AQ270" s="4"/>
      <c r="AR270" s="4"/>
      <c r="AS270" s="4"/>
      <c r="AT270" s="4"/>
      <c r="AU270" s="4"/>
    </row>
    <row r="271" spans="1:48" s="121" customFormat="1" ht="111.95" hidden="1" customHeight="1" x14ac:dyDescent="0.25">
      <c r="A271" s="109">
        <v>138</v>
      </c>
      <c r="B271" s="109" t="s">
        <v>109</v>
      </c>
      <c r="C271" s="109" t="s">
        <v>1218</v>
      </c>
      <c r="D271" s="109">
        <v>1</v>
      </c>
      <c r="E271" s="109" t="s">
        <v>118</v>
      </c>
      <c r="F271" s="111" t="s">
        <v>265</v>
      </c>
      <c r="G271" s="112" t="s">
        <v>266</v>
      </c>
      <c r="H271" s="112" t="s">
        <v>267</v>
      </c>
      <c r="I271" s="113" t="s">
        <v>112</v>
      </c>
      <c r="J271" s="112" t="s">
        <v>268</v>
      </c>
      <c r="K271" s="112" t="s">
        <v>269</v>
      </c>
      <c r="L271" s="114" t="s">
        <v>270</v>
      </c>
      <c r="M271" s="114" t="s">
        <v>271</v>
      </c>
      <c r="N271" s="115">
        <v>44501</v>
      </c>
      <c r="O271" s="115">
        <v>45596</v>
      </c>
      <c r="P271" s="116">
        <f t="shared" si="67"/>
        <v>3</v>
      </c>
      <c r="Q271" s="110" t="s">
        <v>28</v>
      </c>
      <c r="R271" s="110">
        <f t="shared" ca="1" si="75"/>
        <v>22.364628617831546</v>
      </c>
      <c r="S271" s="110" t="str">
        <f t="shared" ca="1" si="68"/>
        <v>O</v>
      </c>
      <c r="T271" s="117">
        <v>1</v>
      </c>
      <c r="U271" s="117">
        <v>2</v>
      </c>
      <c r="V271" s="117">
        <v>3</v>
      </c>
      <c r="W271" s="117">
        <f t="shared" si="72"/>
        <v>6</v>
      </c>
      <c r="X271" s="117" t="str">
        <f t="shared" si="70"/>
        <v>Penting</v>
      </c>
      <c r="Y271" s="111"/>
      <c r="Z271" s="122" t="s">
        <v>117</v>
      </c>
      <c r="AA271" s="115">
        <f>N271+270</f>
        <v>44771</v>
      </c>
      <c r="AB271" s="115">
        <f>+N271+635</f>
        <v>45136</v>
      </c>
      <c r="AC271" s="115"/>
      <c r="AD271" s="25"/>
      <c r="AE271" s="118"/>
      <c r="AF271" s="110" t="s">
        <v>232</v>
      </c>
      <c r="AG271" s="110" t="s">
        <v>117</v>
      </c>
      <c r="AH271" s="25"/>
      <c r="AI271" s="25"/>
      <c r="AJ271" s="25"/>
      <c r="AK271" s="25"/>
      <c r="AL271" s="25"/>
      <c r="AM271" s="25"/>
      <c r="AN271" s="33" t="s">
        <v>123</v>
      </c>
      <c r="AO271" s="119">
        <v>44492</v>
      </c>
      <c r="AP271" s="120"/>
      <c r="AQ271" s="4"/>
      <c r="AR271" s="4"/>
      <c r="AS271" s="4"/>
      <c r="AT271" s="4"/>
      <c r="AU271" s="4"/>
    </row>
    <row r="272" spans="1:48" s="121" customFormat="1" ht="111.95" hidden="1" customHeight="1" x14ac:dyDescent="0.25">
      <c r="A272" s="109">
        <v>139</v>
      </c>
      <c r="B272" s="109" t="s">
        <v>109</v>
      </c>
      <c r="C272" s="109" t="s">
        <v>1218</v>
      </c>
      <c r="D272" s="109">
        <v>2</v>
      </c>
      <c r="E272" s="109" t="s">
        <v>118</v>
      </c>
      <c r="F272" s="111" t="s">
        <v>568</v>
      </c>
      <c r="G272" s="112" t="s">
        <v>266</v>
      </c>
      <c r="H272" s="112" t="s">
        <v>569</v>
      </c>
      <c r="I272" s="113" t="s">
        <v>112</v>
      </c>
      <c r="J272" s="112" t="s">
        <v>570</v>
      </c>
      <c r="K272" s="112" t="s">
        <v>571</v>
      </c>
      <c r="L272" s="114">
        <v>1100000</v>
      </c>
      <c r="M272" s="114" t="s">
        <v>132</v>
      </c>
      <c r="N272" s="115">
        <v>44805</v>
      </c>
      <c r="O272" s="115">
        <v>45169</v>
      </c>
      <c r="P272" s="116">
        <f t="shared" si="67"/>
        <v>0.99726027397260275</v>
      </c>
      <c r="Q272" s="110" t="s">
        <v>28</v>
      </c>
      <c r="R272" s="110">
        <f ca="1">(O272-NOW()+1)/31</f>
        <v>8.5904350694444496</v>
      </c>
      <c r="S272" s="110" t="str">
        <f t="shared" ca="1" si="68"/>
        <v>O</v>
      </c>
      <c r="T272" s="117">
        <v>1</v>
      </c>
      <c r="U272" s="117">
        <v>1</v>
      </c>
      <c r="V272" s="117">
        <v>1</v>
      </c>
      <c r="W272" s="117">
        <f t="shared" si="72"/>
        <v>3</v>
      </c>
      <c r="X272" s="117" t="str">
        <f t="shared" si="70"/>
        <v>Biasa</v>
      </c>
      <c r="Y272" s="111"/>
      <c r="Z272" s="122"/>
      <c r="AA272" s="115"/>
      <c r="AB272" s="115"/>
      <c r="AC272" s="115"/>
      <c r="AD272" s="25" t="s">
        <v>122</v>
      </c>
      <c r="AE272" s="118">
        <v>44501</v>
      </c>
      <c r="AF272" s="110" t="s">
        <v>232</v>
      </c>
      <c r="AG272" s="110" t="s">
        <v>117</v>
      </c>
      <c r="AH272" s="25"/>
      <c r="AI272" s="25"/>
      <c r="AJ272" s="25"/>
      <c r="AK272" s="25"/>
      <c r="AL272" s="25"/>
      <c r="AM272" s="25"/>
      <c r="AN272" s="33" t="s">
        <v>136</v>
      </c>
      <c r="AO272" s="119">
        <v>44799</v>
      </c>
      <c r="AP272" s="120"/>
      <c r="AQ272" s="4"/>
      <c r="AR272" s="4"/>
      <c r="AS272" s="4"/>
      <c r="AT272" s="4"/>
      <c r="AU272" s="4"/>
    </row>
    <row r="273" spans="1:47" s="121" customFormat="1" ht="111.95" hidden="1" customHeight="1" x14ac:dyDescent="0.25">
      <c r="A273" s="109">
        <v>140</v>
      </c>
      <c r="B273" s="109" t="s">
        <v>109</v>
      </c>
      <c r="C273" s="109" t="s">
        <v>1218</v>
      </c>
      <c r="D273" s="109">
        <v>3</v>
      </c>
      <c r="E273" s="109" t="s">
        <v>118</v>
      </c>
      <c r="F273" s="111" t="s">
        <v>560</v>
      </c>
      <c r="G273" s="112" t="s">
        <v>561</v>
      </c>
      <c r="H273" s="112" t="s">
        <v>562</v>
      </c>
      <c r="I273" s="113" t="s">
        <v>112</v>
      </c>
      <c r="J273" s="112" t="s">
        <v>563</v>
      </c>
      <c r="K273" s="112" t="s">
        <v>564</v>
      </c>
      <c r="L273" s="114">
        <v>5000000</v>
      </c>
      <c r="M273" s="114" t="s">
        <v>132</v>
      </c>
      <c r="N273" s="115">
        <v>44470</v>
      </c>
      <c r="O273" s="115">
        <v>46295</v>
      </c>
      <c r="P273" s="116">
        <f t="shared" si="67"/>
        <v>5</v>
      </c>
      <c r="Q273" s="110" t="s">
        <v>28</v>
      </c>
      <c r="R273" s="110">
        <f ca="1">(O273-NOW()+1)/31</f>
        <v>44.913015714605741</v>
      </c>
      <c r="S273" s="110" t="str">
        <f t="shared" ca="1" si="68"/>
        <v>O</v>
      </c>
      <c r="T273" s="117">
        <v>1</v>
      </c>
      <c r="U273" s="117">
        <v>1</v>
      </c>
      <c r="V273" s="117">
        <v>1</v>
      </c>
      <c r="W273" s="117">
        <f t="shared" si="72"/>
        <v>3</v>
      </c>
      <c r="X273" s="117" t="str">
        <f t="shared" si="70"/>
        <v>Biasa</v>
      </c>
      <c r="Y273" s="111"/>
      <c r="Z273" s="122" t="s">
        <v>117</v>
      </c>
      <c r="AA273" s="115">
        <f>N273+270</f>
        <v>44740</v>
      </c>
      <c r="AB273" s="115">
        <f>+N273+635</f>
        <v>45105</v>
      </c>
      <c r="AC273" s="115">
        <f>+N273+1000</f>
        <v>45470</v>
      </c>
      <c r="AD273" s="25" t="s">
        <v>122</v>
      </c>
      <c r="AE273" s="118">
        <v>44470</v>
      </c>
      <c r="AF273" s="110" t="s">
        <v>232</v>
      </c>
      <c r="AG273" s="110" t="s">
        <v>117</v>
      </c>
      <c r="AH273" s="25"/>
      <c r="AI273" s="25"/>
      <c r="AJ273" s="25"/>
      <c r="AK273" s="25"/>
      <c r="AL273" s="25"/>
      <c r="AM273" s="25"/>
      <c r="AN273" s="33" t="s">
        <v>123</v>
      </c>
      <c r="AO273" s="119"/>
      <c r="AP273" s="120"/>
      <c r="AQ273" s="4"/>
      <c r="AR273" s="4"/>
      <c r="AS273" s="4"/>
      <c r="AT273" s="4"/>
      <c r="AU273" s="4"/>
    </row>
    <row r="274" spans="1:47" s="121" customFormat="1" ht="111.95" hidden="1" customHeight="1" x14ac:dyDescent="0.25">
      <c r="A274" s="109">
        <v>141</v>
      </c>
      <c r="B274" s="109" t="s">
        <v>109</v>
      </c>
      <c r="C274" s="109" t="s">
        <v>1218</v>
      </c>
      <c r="D274" s="109">
        <v>4</v>
      </c>
      <c r="E274" s="109" t="s">
        <v>118</v>
      </c>
      <c r="F274" s="111" t="s">
        <v>295</v>
      </c>
      <c r="G274" s="112" t="s">
        <v>296</v>
      </c>
      <c r="H274" s="112" t="s">
        <v>297</v>
      </c>
      <c r="I274" s="113" t="s">
        <v>112</v>
      </c>
      <c r="J274" s="112" t="s">
        <v>298</v>
      </c>
      <c r="K274" s="112" t="s">
        <v>299</v>
      </c>
      <c r="L274" s="114">
        <v>600000</v>
      </c>
      <c r="M274" s="114" t="s">
        <v>132</v>
      </c>
      <c r="N274" s="115">
        <v>44738</v>
      </c>
      <c r="O274" s="115">
        <v>45102</v>
      </c>
      <c r="P274" s="116">
        <f t="shared" si="67"/>
        <v>0.99726027397260275</v>
      </c>
      <c r="Q274" s="110" t="s">
        <v>28</v>
      </c>
      <c r="R274" s="110">
        <f t="shared" ref="R274" ca="1" si="76">(O274-NOW()+1)/31</f>
        <v>6.4291447468638054</v>
      </c>
      <c r="S274" s="110" t="str">
        <f t="shared" ca="1" si="68"/>
        <v>O</v>
      </c>
      <c r="T274" s="117">
        <v>1</v>
      </c>
      <c r="U274" s="117">
        <v>1</v>
      </c>
      <c r="V274" s="117">
        <v>1</v>
      </c>
      <c r="W274" s="117">
        <f t="shared" si="72"/>
        <v>3</v>
      </c>
      <c r="X274" s="117" t="str">
        <f t="shared" si="70"/>
        <v>Biasa</v>
      </c>
      <c r="Y274" s="111"/>
      <c r="Z274" s="122"/>
      <c r="AA274" s="115"/>
      <c r="AB274" s="115"/>
      <c r="AC274" s="115"/>
      <c r="AD274" s="25" t="s">
        <v>122</v>
      </c>
      <c r="AE274" s="118">
        <v>44008</v>
      </c>
      <c r="AF274" s="110" t="s">
        <v>232</v>
      </c>
      <c r="AG274" s="110" t="s">
        <v>117</v>
      </c>
      <c r="AH274" s="25"/>
      <c r="AI274" s="25"/>
      <c r="AJ274" s="25"/>
      <c r="AK274" s="25"/>
      <c r="AL274" s="25"/>
      <c r="AM274" s="25"/>
      <c r="AN274" s="33" t="s">
        <v>136</v>
      </c>
      <c r="AO274" s="119">
        <v>44740</v>
      </c>
      <c r="AP274" s="120"/>
      <c r="AQ274" s="4"/>
      <c r="AR274" s="4"/>
      <c r="AS274" s="4"/>
      <c r="AT274" s="4"/>
      <c r="AU274" s="4"/>
    </row>
    <row r="275" spans="1:47" s="121" customFormat="1" ht="111.95" hidden="1" customHeight="1" x14ac:dyDescent="0.25">
      <c r="A275" s="109">
        <v>142</v>
      </c>
      <c r="B275" s="109" t="s">
        <v>109</v>
      </c>
      <c r="C275" s="109" t="s">
        <v>1218</v>
      </c>
      <c r="D275" s="109">
        <v>5</v>
      </c>
      <c r="E275" s="109" t="s">
        <v>118</v>
      </c>
      <c r="F275" s="111" t="s">
        <v>1219</v>
      </c>
      <c r="G275" s="112" t="s">
        <v>592</v>
      </c>
      <c r="H275" s="112" t="s">
        <v>593</v>
      </c>
      <c r="I275" s="113" t="s">
        <v>112</v>
      </c>
      <c r="J275" s="112" t="s">
        <v>594</v>
      </c>
      <c r="K275" s="112" t="s">
        <v>595</v>
      </c>
      <c r="L275" s="114">
        <v>825000</v>
      </c>
      <c r="M275" s="114" t="s">
        <v>596</v>
      </c>
      <c r="N275" s="115">
        <v>44866</v>
      </c>
      <c r="O275" s="115">
        <v>45230</v>
      </c>
      <c r="P275" s="116">
        <f t="shared" si="67"/>
        <v>0.99726027397260275</v>
      </c>
      <c r="Q275" s="110" t="s">
        <v>28</v>
      </c>
      <c r="R275" s="110">
        <f t="shared" ca="1" si="75"/>
        <v>10.558177004928321</v>
      </c>
      <c r="S275" s="110" t="str">
        <f t="shared" ca="1" si="68"/>
        <v>O</v>
      </c>
      <c r="T275" s="117">
        <v>3</v>
      </c>
      <c r="U275" s="117">
        <v>3</v>
      </c>
      <c r="V275" s="117">
        <v>3</v>
      </c>
      <c r="W275" s="117">
        <f t="shared" si="72"/>
        <v>9</v>
      </c>
      <c r="X275" s="117" t="str">
        <f t="shared" si="70"/>
        <v>Penting</v>
      </c>
      <c r="Y275" s="111"/>
      <c r="Z275" s="122"/>
      <c r="AA275" s="115"/>
      <c r="AB275" s="115"/>
      <c r="AC275" s="115"/>
      <c r="AD275" s="25" t="s">
        <v>122</v>
      </c>
      <c r="AE275" s="118">
        <v>44501</v>
      </c>
      <c r="AF275" s="110" t="s">
        <v>232</v>
      </c>
      <c r="AG275" s="110" t="s">
        <v>117</v>
      </c>
      <c r="AH275" s="25"/>
      <c r="AI275" s="25"/>
      <c r="AJ275" s="25"/>
      <c r="AK275" s="25"/>
      <c r="AL275" s="25"/>
      <c r="AM275" s="25"/>
      <c r="AN275" s="33" t="s">
        <v>136</v>
      </c>
      <c r="AO275" s="119">
        <v>44865</v>
      </c>
      <c r="AP275" s="120"/>
      <c r="AQ275" s="4"/>
      <c r="AR275" s="4"/>
      <c r="AS275" s="4"/>
      <c r="AT275" s="4"/>
      <c r="AU275" s="4"/>
    </row>
    <row r="276" spans="1:47" s="121" customFormat="1" ht="111.95" hidden="1" customHeight="1" x14ac:dyDescent="0.25">
      <c r="A276" s="109">
        <v>143</v>
      </c>
      <c r="B276" s="109" t="s">
        <v>109</v>
      </c>
      <c r="C276" s="109" t="s">
        <v>1220</v>
      </c>
      <c r="D276" s="109">
        <v>1</v>
      </c>
      <c r="E276" s="109" t="s">
        <v>118</v>
      </c>
      <c r="F276" s="111" t="s">
        <v>277</v>
      </c>
      <c r="G276" s="112" t="s">
        <v>278</v>
      </c>
      <c r="H276" s="112" t="s">
        <v>279</v>
      </c>
      <c r="I276" s="113" t="s">
        <v>112</v>
      </c>
      <c r="J276" s="112" t="s">
        <v>280</v>
      </c>
      <c r="K276" s="112" t="s">
        <v>281</v>
      </c>
      <c r="L276" s="114" t="s">
        <v>282</v>
      </c>
      <c r="M276" s="114" t="s">
        <v>283</v>
      </c>
      <c r="N276" s="115">
        <v>44743</v>
      </c>
      <c r="O276" s="115">
        <v>45107</v>
      </c>
      <c r="P276" s="116">
        <f>(O276-N276)/365</f>
        <v>0.99726027397260275</v>
      </c>
      <c r="Q276" s="110" t="s">
        <v>28</v>
      </c>
      <c r="R276" s="110">
        <f ca="1">(O276-NOW()+1)/31</f>
        <v>6.5904350694444505</v>
      </c>
      <c r="S276" s="110" t="str">
        <f ca="1">IF(R276="End","Z",IF(R276="Cancel","C",IF(SUM(R276)&gt;0,"O",IF(ISBLANK(R276),"X",IF(SUM(R276)&lt;0,"Y",IF(SUM(R276),"-","O"))))))</f>
        <v>O</v>
      </c>
      <c r="T276" s="117">
        <v>1</v>
      </c>
      <c r="U276" s="117">
        <v>1</v>
      </c>
      <c r="V276" s="117">
        <v>1</v>
      </c>
      <c r="W276" s="117">
        <f>T276+U276+V276</f>
        <v>3</v>
      </c>
      <c r="X276" s="117" t="str">
        <f>IF(W276&gt;5,"Penting",IF(ISBLANK(W276),"","Biasa"))</f>
        <v>Biasa</v>
      </c>
      <c r="Y276" s="111"/>
      <c r="Z276" s="122"/>
      <c r="AA276" s="115"/>
      <c r="AB276" s="115"/>
      <c r="AC276" s="115"/>
      <c r="AD276" s="25" t="s">
        <v>122</v>
      </c>
      <c r="AE276" s="118">
        <v>44743</v>
      </c>
      <c r="AF276" s="110" t="s">
        <v>207</v>
      </c>
      <c r="AG276" s="110" t="s">
        <v>117</v>
      </c>
      <c r="AH276" s="25"/>
      <c r="AI276" s="25"/>
      <c r="AJ276" s="25"/>
      <c r="AK276" s="25"/>
      <c r="AL276" s="25"/>
      <c r="AM276" s="25"/>
      <c r="AN276" s="33" t="s">
        <v>284</v>
      </c>
      <c r="AO276" s="119">
        <v>44750</v>
      </c>
      <c r="AP276" s="120"/>
      <c r="AQ276" s="4"/>
      <c r="AR276" s="4"/>
      <c r="AS276" s="4"/>
      <c r="AT276" s="4"/>
      <c r="AU276" s="4"/>
    </row>
    <row r="277" spans="1:47" s="121" customFormat="1" ht="111.95" hidden="1" customHeight="1" x14ac:dyDescent="0.25">
      <c r="A277" s="109">
        <v>144</v>
      </c>
      <c r="B277" s="109" t="s">
        <v>109</v>
      </c>
      <c r="C277" s="109" t="s">
        <v>1220</v>
      </c>
      <c r="D277" s="109">
        <v>2</v>
      </c>
      <c r="E277" s="109" t="s">
        <v>118</v>
      </c>
      <c r="F277" s="111" t="s">
        <v>285</v>
      </c>
      <c r="G277" s="112" t="s">
        <v>278</v>
      </c>
      <c r="H277" s="112" t="s">
        <v>286</v>
      </c>
      <c r="I277" s="113" t="s">
        <v>112</v>
      </c>
      <c r="J277" s="112" t="s">
        <v>287</v>
      </c>
      <c r="K277" s="112" t="s">
        <v>288</v>
      </c>
      <c r="L277" s="114" t="s">
        <v>289</v>
      </c>
      <c r="M277" s="114" t="s">
        <v>283</v>
      </c>
      <c r="N277" s="115">
        <v>44743</v>
      </c>
      <c r="O277" s="115">
        <v>45107</v>
      </c>
      <c r="P277" s="116">
        <f>(O277-N277)/365</f>
        <v>0.99726027397260275</v>
      </c>
      <c r="Q277" s="110" t="s">
        <v>28</v>
      </c>
      <c r="R277" s="110">
        <f ca="1">(O277-NOW()+1)/31</f>
        <v>6.5904350694444505</v>
      </c>
      <c r="S277" s="110" t="str">
        <f ca="1">IF(R277="End","Z",IF(R277="Cancel","C",IF(SUM(R277)&gt;0,"O",IF(ISBLANK(R277),"X",IF(SUM(R277)&lt;0,"Y",IF(SUM(R277),"-","O"))))))</f>
        <v>O</v>
      </c>
      <c r="T277" s="117">
        <v>1</v>
      </c>
      <c r="U277" s="117">
        <v>1</v>
      </c>
      <c r="V277" s="117">
        <v>1</v>
      </c>
      <c r="W277" s="117">
        <f>T277+U277+V277</f>
        <v>3</v>
      </c>
      <c r="X277" s="117" t="str">
        <f>IF(W277&gt;5,"Penting",IF(ISBLANK(W277),"","Biasa"))</f>
        <v>Biasa</v>
      </c>
      <c r="Y277" s="111"/>
      <c r="Z277" s="122"/>
      <c r="AA277" s="115"/>
      <c r="AB277" s="115"/>
      <c r="AC277" s="115"/>
      <c r="AD277" s="25" t="s">
        <v>122</v>
      </c>
      <c r="AE277" s="118">
        <v>44743</v>
      </c>
      <c r="AF277" s="110" t="s">
        <v>207</v>
      </c>
      <c r="AG277" s="110" t="s">
        <v>117</v>
      </c>
      <c r="AH277" s="25"/>
      <c r="AI277" s="25"/>
      <c r="AJ277" s="25"/>
      <c r="AK277" s="25"/>
      <c r="AL277" s="25"/>
      <c r="AM277" s="25"/>
      <c r="AN277" s="33" t="s">
        <v>284</v>
      </c>
      <c r="AO277" s="119">
        <v>44757</v>
      </c>
      <c r="AP277" s="120"/>
      <c r="AQ277" s="4"/>
      <c r="AR277" s="4"/>
      <c r="AS277" s="4"/>
      <c r="AT277" s="4"/>
      <c r="AU277" s="4"/>
    </row>
    <row r="278" spans="1:47" s="121" customFormat="1" ht="111.95" hidden="1" customHeight="1" x14ac:dyDescent="0.25">
      <c r="A278" s="109">
        <v>145</v>
      </c>
      <c r="B278" s="109" t="s">
        <v>109</v>
      </c>
      <c r="C278" s="109" t="s">
        <v>1220</v>
      </c>
      <c r="D278" s="109">
        <v>3</v>
      </c>
      <c r="E278" s="109" t="s">
        <v>118</v>
      </c>
      <c r="F278" s="111" t="s">
        <v>1248</v>
      </c>
      <c r="G278" s="112" t="s">
        <v>539</v>
      </c>
      <c r="H278" s="112" t="s">
        <v>324</v>
      </c>
      <c r="I278" s="113" t="s">
        <v>112</v>
      </c>
      <c r="J278" s="112" t="s">
        <v>540</v>
      </c>
      <c r="K278" s="112" t="s">
        <v>326</v>
      </c>
      <c r="L278" s="114" t="s">
        <v>1250</v>
      </c>
      <c r="M278" s="114" t="s">
        <v>1249</v>
      </c>
      <c r="N278" s="115">
        <v>44881</v>
      </c>
      <c r="O278" s="115">
        <v>45245</v>
      </c>
      <c r="P278" s="116">
        <f t="shared" si="67"/>
        <v>0.99726027397260275</v>
      </c>
      <c r="Q278" s="110" t="s">
        <v>28</v>
      </c>
      <c r="R278" s="110">
        <f t="shared" ref="R278:R310" ca="1" si="77">(O278-NOW()+1)/31</f>
        <v>11.042047972670257</v>
      </c>
      <c r="S278" s="110" t="str">
        <f t="shared" ca="1" si="68"/>
        <v>O</v>
      </c>
      <c r="T278" s="117">
        <v>1</v>
      </c>
      <c r="U278" s="117">
        <v>2</v>
      </c>
      <c r="V278" s="117">
        <v>3</v>
      </c>
      <c r="W278" s="117">
        <f t="shared" si="72"/>
        <v>6</v>
      </c>
      <c r="X278" s="117" t="str">
        <f t="shared" si="70"/>
        <v>Penting</v>
      </c>
      <c r="Y278" s="111"/>
      <c r="Z278" s="122"/>
      <c r="AA278" s="115"/>
      <c r="AB278" s="115"/>
      <c r="AC278" s="115"/>
      <c r="AD278" s="25"/>
      <c r="AE278" s="118"/>
      <c r="AF278" s="110" t="s">
        <v>232</v>
      </c>
      <c r="AG278" s="110" t="s">
        <v>117</v>
      </c>
      <c r="AH278" s="25"/>
      <c r="AI278" s="25"/>
      <c r="AJ278" s="25"/>
      <c r="AK278" s="25"/>
      <c r="AL278" s="25"/>
      <c r="AM278" s="25"/>
      <c r="AN278" s="33" t="s">
        <v>136</v>
      </c>
      <c r="AO278" s="119">
        <v>44883</v>
      </c>
      <c r="AP278" s="120"/>
      <c r="AQ278" s="4"/>
      <c r="AR278" s="4"/>
      <c r="AS278" s="4"/>
      <c r="AT278" s="4"/>
      <c r="AU278" s="4"/>
    </row>
    <row r="279" spans="1:47" s="121" customFormat="1" ht="111.75" hidden="1" customHeight="1" x14ac:dyDescent="0.25">
      <c r="A279" s="109">
        <v>146</v>
      </c>
      <c r="B279" s="109" t="s">
        <v>109</v>
      </c>
      <c r="C279" s="109" t="s">
        <v>1220</v>
      </c>
      <c r="D279" s="109">
        <v>4</v>
      </c>
      <c r="E279" s="109" t="s">
        <v>118</v>
      </c>
      <c r="F279" s="111" t="s">
        <v>386</v>
      </c>
      <c r="G279" s="112" t="s">
        <v>383</v>
      </c>
      <c r="H279" s="112" t="s">
        <v>387</v>
      </c>
      <c r="I279" s="113" t="s">
        <v>112</v>
      </c>
      <c r="J279" s="112" t="s">
        <v>388</v>
      </c>
      <c r="K279" s="112" t="s">
        <v>384</v>
      </c>
      <c r="L279" s="114">
        <v>156160000</v>
      </c>
      <c r="M279" s="114" t="s">
        <v>121</v>
      </c>
      <c r="N279" s="115">
        <v>44743</v>
      </c>
      <c r="O279" s="115">
        <v>45107</v>
      </c>
      <c r="P279" s="116">
        <f t="shared" si="67"/>
        <v>0.99726027397260275</v>
      </c>
      <c r="Q279" s="110" t="s">
        <v>28</v>
      </c>
      <c r="R279" s="110">
        <f t="shared" ca="1" si="77"/>
        <v>6.5904350694444505</v>
      </c>
      <c r="S279" s="110" t="str">
        <f t="shared" ca="1" si="68"/>
        <v>O</v>
      </c>
      <c r="T279" s="117">
        <v>1</v>
      </c>
      <c r="U279" s="117">
        <v>2</v>
      </c>
      <c r="V279" s="117">
        <v>3</v>
      </c>
      <c r="W279" s="117">
        <f t="shared" si="72"/>
        <v>6</v>
      </c>
      <c r="X279" s="117" t="str">
        <f t="shared" si="70"/>
        <v>Penting</v>
      </c>
      <c r="Y279" s="111"/>
      <c r="Z279" s="122"/>
      <c r="AA279" s="115"/>
      <c r="AB279" s="115"/>
      <c r="AC279" s="115"/>
      <c r="AD279" s="25"/>
      <c r="AE279" s="118"/>
      <c r="AF279" s="110" t="s">
        <v>232</v>
      </c>
      <c r="AG279" s="110" t="s">
        <v>117</v>
      </c>
      <c r="AH279" s="25"/>
      <c r="AI279" s="25"/>
      <c r="AJ279" s="25"/>
      <c r="AK279" s="25"/>
      <c r="AL279" s="25"/>
      <c r="AM279" s="25"/>
      <c r="AN279" s="33" t="s">
        <v>123</v>
      </c>
      <c r="AO279" s="119">
        <v>44720</v>
      </c>
      <c r="AP279" s="120"/>
      <c r="AQ279" s="4"/>
      <c r="AR279" s="4"/>
      <c r="AS279" s="4"/>
      <c r="AT279" s="4"/>
      <c r="AU279" s="4"/>
    </row>
    <row r="280" spans="1:47" s="121" customFormat="1" ht="111.95" hidden="1" customHeight="1" x14ac:dyDescent="0.25">
      <c r="A280" s="109">
        <v>147</v>
      </c>
      <c r="B280" s="109" t="s">
        <v>109</v>
      </c>
      <c r="C280" s="109" t="s">
        <v>1220</v>
      </c>
      <c r="D280" s="109">
        <v>5</v>
      </c>
      <c r="E280" s="109" t="s">
        <v>118</v>
      </c>
      <c r="F280" s="111" t="s">
        <v>389</v>
      </c>
      <c r="G280" s="112" t="s">
        <v>383</v>
      </c>
      <c r="H280" s="112" t="s">
        <v>390</v>
      </c>
      <c r="I280" s="113" t="s">
        <v>112</v>
      </c>
      <c r="J280" s="112" t="s">
        <v>391</v>
      </c>
      <c r="K280" s="112" t="s">
        <v>392</v>
      </c>
      <c r="L280" s="114" t="s">
        <v>393</v>
      </c>
      <c r="M280" s="114" t="s">
        <v>394</v>
      </c>
      <c r="N280" s="115">
        <v>44743</v>
      </c>
      <c r="O280" s="115">
        <v>45107</v>
      </c>
      <c r="P280" s="116">
        <f>(O280-N280)/365</f>
        <v>0.99726027397260275</v>
      </c>
      <c r="Q280" s="110" t="s">
        <v>28</v>
      </c>
      <c r="R280" s="110">
        <f ca="1">(O280-NOW()+1)/31</f>
        <v>6.5904350694444505</v>
      </c>
      <c r="S280" s="110" t="str">
        <f ca="1">IF(R280="End","Z",IF(R280="Cancel","C",IF(SUM(R280)&gt;0,"O",IF(ISBLANK(R280),"X",IF(SUM(R280)&lt;0,"Y",IF(SUM(R280),"-","O"))))))</f>
        <v>O</v>
      </c>
      <c r="T280" s="117">
        <v>1</v>
      </c>
      <c r="U280" s="117">
        <v>2</v>
      </c>
      <c r="V280" s="117">
        <v>3</v>
      </c>
      <c r="W280" s="117">
        <f>T280+U280+V280</f>
        <v>6</v>
      </c>
      <c r="X280" s="117" t="str">
        <f>IF(W280&gt;5,"Penting",IF(ISBLANK(W280),"","Biasa"))</f>
        <v>Penting</v>
      </c>
      <c r="Y280" s="111"/>
      <c r="Z280" s="122"/>
      <c r="AA280" s="115"/>
      <c r="AB280" s="115"/>
      <c r="AC280" s="115"/>
      <c r="AD280" s="25" t="s">
        <v>122</v>
      </c>
      <c r="AE280" s="118">
        <v>44743</v>
      </c>
      <c r="AF280" s="110" t="s">
        <v>232</v>
      </c>
      <c r="AG280" s="110" t="s">
        <v>117</v>
      </c>
      <c r="AH280" s="25"/>
      <c r="AI280" s="25"/>
      <c r="AJ280" s="25"/>
      <c r="AK280" s="25"/>
      <c r="AL280" s="25"/>
      <c r="AM280" s="25"/>
      <c r="AN280" s="33" t="s">
        <v>136</v>
      </c>
      <c r="AO280" s="119">
        <v>44750</v>
      </c>
      <c r="AP280" s="120"/>
      <c r="AQ280" s="4"/>
      <c r="AR280" s="4"/>
      <c r="AS280" s="4"/>
      <c r="AT280" s="4"/>
      <c r="AU280" s="4"/>
    </row>
    <row r="281" spans="1:47" s="121" customFormat="1" ht="111.95" hidden="1" customHeight="1" x14ac:dyDescent="0.25">
      <c r="A281" s="109">
        <v>148</v>
      </c>
      <c r="B281" s="109" t="s">
        <v>109</v>
      </c>
      <c r="C281" s="109" t="s">
        <v>1221</v>
      </c>
      <c r="D281" s="109">
        <v>1</v>
      </c>
      <c r="E281" s="109" t="s">
        <v>118</v>
      </c>
      <c r="F281" s="111" t="s">
        <v>565</v>
      </c>
      <c r="G281" s="112" t="s">
        <v>566</v>
      </c>
      <c r="H281" s="112" t="s">
        <v>562</v>
      </c>
      <c r="I281" s="113" t="s">
        <v>112</v>
      </c>
      <c r="J281" s="112" t="s">
        <v>567</v>
      </c>
      <c r="K281" s="112" t="s">
        <v>564</v>
      </c>
      <c r="L281" s="114">
        <v>5000000</v>
      </c>
      <c r="M281" s="114" t="s">
        <v>121</v>
      </c>
      <c r="N281" s="115">
        <v>44835</v>
      </c>
      <c r="O281" s="115">
        <v>45199</v>
      </c>
      <c r="P281" s="116">
        <f t="shared" si="67"/>
        <v>0.99726027397260275</v>
      </c>
      <c r="Q281" s="110" t="s">
        <v>28</v>
      </c>
      <c r="R281" s="110">
        <f t="shared" ca="1" si="77"/>
        <v>9.5581770049283215</v>
      </c>
      <c r="S281" s="110" t="str">
        <f t="shared" ca="1" si="68"/>
        <v>O</v>
      </c>
      <c r="T281" s="117">
        <v>1</v>
      </c>
      <c r="U281" s="117">
        <v>1</v>
      </c>
      <c r="V281" s="117">
        <v>1</v>
      </c>
      <c r="W281" s="117">
        <f t="shared" si="72"/>
        <v>3</v>
      </c>
      <c r="X281" s="117" t="str">
        <f t="shared" si="70"/>
        <v>Biasa</v>
      </c>
      <c r="Y281" s="111"/>
      <c r="Z281" s="122"/>
      <c r="AA281" s="115"/>
      <c r="AB281" s="115"/>
      <c r="AC281" s="115"/>
      <c r="AD281" s="25" t="s">
        <v>122</v>
      </c>
      <c r="AE281" s="118">
        <v>44470</v>
      </c>
      <c r="AF281" s="110" t="s">
        <v>232</v>
      </c>
      <c r="AG281" s="110" t="s">
        <v>117</v>
      </c>
      <c r="AH281" s="25"/>
      <c r="AI281" s="25"/>
      <c r="AJ281" s="25"/>
      <c r="AK281" s="25"/>
      <c r="AL281" s="25"/>
      <c r="AM281" s="25"/>
      <c r="AN281" s="33" t="s">
        <v>136</v>
      </c>
      <c r="AO281" s="119">
        <v>44819</v>
      </c>
      <c r="AP281" s="120"/>
      <c r="AQ281" s="4"/>
      <c r="AR281" s="4"/>
      <c r="AS281" s="4"/>
      <c r="AT281" s="4"/>
      <c r="AU281" s="4"/>
    </row>
    <row r="282" spans="1:47" s="121" customFormat="1" ht="111.95" hidden="1" customHeight="1" x14ac:dyDescent="0.25">
      <c r="A282" s="109">
        <v>149</v>
      </c>
      <c r="B282" s="109" t="s">
        <v>109</v>
      </c>
      <c r="C282" s="109" t="s">
        <v>1221</v>
      </c>
      <c r="D282" s="109">
        <v>2</v>
      </c>
      <c r="E282" s="109" t="s">
        <v>118</v>
      </c>
      <c r="F282" s="111" t="s">
        <v>272</v>
      </c>
      <c r="G282" s="112" t="s">
        <v>273</v>
      </c>
      <c r="H282" s="112" t="s">
        <v>267</v>
      </c>
      <c r="I282" s="113" t="s">
        <v>112</v>
      </c>
      <c r="J282" s="112" t="s">
        <v>274</v>
      </c>
      <c r="K282" s="112" t="s">
        <v>275</v>
      </c>
      <c r="L282" s="114">
        <v>4000000</v>
      </c>
      <c r="M282" s="114" t="s">
        <v>132</v>
      </c>
      <c r="N282" s="115">
        <v>44743</v>
      </c>
      <c r="O282" s="115">
        <v>45107</v>
      </c>
      <c r="P282" s="116">
        <f t="shared" ref="P282:P303" si="78">(O282-N282)/365</f>
        <v>0.99726027397260275</v>
      </c>
      <c r="Q282" s="110" t="s">
        <v>38</v>
      </c>
      <c r="R282" s="110">
        <f t="shared" ref="R282:R303" ca="1" si="79">(O282-NOW()+1)/31</f>
        <v>6.5904350694444505</v>
      </c>
      <c r="S282" s="110" t="str">
        <f t="shared" ref="S282:S303" ca="1" si="80">IF(R282="End","Z",IF(R282="Cancel","C",IF(SUM(R282)&gt;0,"O",IF(ISBLANK(R282),"X",IF(SUM(R282)&lt;0,"Y",IF(SUM(R282),"-","O"))))))</f>
        <v>O</v>
      </c>
      <c r="T282" s="117">
        <v>1</v>
      </c>
      <c r="U282" s="117">
        <v>2</v>
      </c>
      <c r="V282" s="117">
        <v>3</v>
      </c>
      <c r="W282" s="117">
        <f t="shared" ref="W282:W303" si="81">T282+U282+V282</f>
        <v>6</v>
      </c>
      <c r="X282" s="117" t="str">
        <f t="shared" ref="X282:X303" si="82">IF(W282&gt;5,"Penting",IF(ISBLANK(W282),"","Biasa"))</f>
        <v>Penting</v>
      </c>
      <c r="Y282" s="111"/>
      <c r="Z282" s="122"/>
      <c r="AA282" s="115"/>
      <c r="AB282" s="115"/>
      <c r="AC282" s="115"/>
      <c r="AD282" s="25" t="s">
        <v>122</v>
      </c>
      <c r="AE282" s="118">
        <v>44743</v>
      </c>
      <c r="AF282" s="110" t="s">
        <v>276</v>
      </c>
      <c r="AG282" s="110" t="s">
        <v>117</v>
      </c>
      <c r="AH282" s="25"/>
      <c r="AI282" s="25"/>
      <c r="AJ282" s="25"/>
      <c r="AK282" s="25"/>
      <c r="AL282" s="25"/>
      <c r="AM282" s="25"/>
      <c r="AN282" s="33" t="s">
        <v>136</v>
      </c>
      <c r="AO282" s="119">
        <v>44750</v>
      </c>
      <c r="AP282" s="120"/>
      <c r="AQ282" s="4"/>
      <c r="AR282" s="4"/>
      <c r="AS282" s="4"/>
      <c r="AT282" s="4"/>
      <c r="AU282" s="4"/>
    </row>
    <row r="283" spans="1:47" s="121" customFormat="1" ht="111.95" hidden="1" customHeight="1" x14ac:dyDescent="0.25">
      <c r="A283" s="109">
        <v>150</v>
      </c>
      <c r="B283" s="109" t="s">
        <v>109</v>
      </c>
      <c r="C283" s="109" t="s">
        <v>1221</v>
      </c>
      <c r="D283" s="109">
        <v>3</v>
      </c>
      <c r="E283" s="109" t="s">
        <v>118</v>
      </c>
      <c r="F283" s="111" t="s">
        <v>252</v>
      </c>
      <c r="G283" s="112" t="s">
        <v>253</v>
      </c>
      <c r="H283" s="112" t="s">
        <v>209</v>
      </c>
      <c r="I283" s="113" t="s">
        <v>150</v>
      </c>
      <c r="J283" s="112" t="s">
        <v>254</v>
      </c>
      <c r="K283" s="112" t="s">
        <v>251</v>
      </c>
      <c r="L283" s="114" t="s">
        <v>255</v>
      </c>
      <c r="M283" s="114" t="s">
        <v>256</v>
      </c>
      <c r="N283" s="115">
        <v>44795</v>
      </c>
      <c r="O283" s="115">
        <v>45159</v>
      </c>
      <c r="P283" s="116">
        <f t="shared" si="78"/>
        <v>0.99726027397260275</v>
      </c>
      <c r="Q283" s="110" t="s">
        <v>28</v>
      </c>
      <c r="R283" s="110">
        <f t="shared" ca="1" si="79"/>
        <v>8.2678544242831595</v>
      </c>
      <c r="S283" s="110" t="str">
        <f t="shared" ca="1" si="80"/>
        <v>O</v>
      </c>
      <c r="T283" s="117">
        <v>1</v>
      </c>
      <c r="U283" s="117">
        <v>1</v>
      </c>
      <c r="V283" s="117">
        <v>1</v>
      </c>
      <c r="W283" s="117">
        <f t="shared" si="81"/>
        <v>3</v>
      </c>
      <c r="X283" s="117" t="str">
        <f t="shared" si="82"/>
        <v>Biasa</v>
      </c>
      <c r="Y283" s="111"/>
      <c r="Z283" s="122"/>
      <c r="AA283" s="115"/>
      <c r="AB283" s="115"/>
      <c r="AC283" s="115"/>
      <c r="AD283" s="25" t="s">
        <v>122</v>
      </c>
      <c r="AE283" s="118">
        <v>44795</v>
      </c>
      <c r="AF283" s="110" t="s">
        <v>232</v>
      </c>
      <c r="AG283" s="110" t="s">
        <v>117</v>
      </c>
      <c r="AH283" s="25"/>
      <c r="AI283" s="25"/>
      <c r="AJ283" s="25"/>
      <c r="AK283" s="25"/>
      <c r="AL283" s="25"/>
      <c r="AM283" s="25"/>
      <c r="AN283" s="33" t="s">
        <v>136</v>
      </c>
      <c r="AO283" s="119">
        <v>44819</v>
      </c>
      <c r="AP283" s="120"/>
      <c r="AQ283" s="4"/>
      <c r="AR283" s="4"/>
      <c r="AS283" s="4"/>
      <c r="AT283" s="4"/>
      <c r="AU283" s="4"/>
    </row>
    <row r="284" spans="1:47" s="121" customFormat="1" ht="111.95" hidden="1" customHeight="1" x14ac:dyDescent="0.25">
      <c r="A284" s="109">
        <v>151</v>
      </c>
      <c r="B284" s="109" t="s">
        <v>109</v>
      </c>
      <c r="C284" s="109" t="s">
        <v>1221</v>
      </c>
      <c r="D284" s="109">
        <v>4</v>
      </c>
      <c r="E284" s="109" t="s">
        <v>118</v>
      </c>
      <c r="F284" s="111" t="s">
        <v>290</v>
      </c>
      <c r="G284" s="112" t="s">
        <v>291</v>
      </c>
      <c r="H284" s="112" t="s">
        <v>292</v>
      </c>
      <c r="I284" s="113" t="s">
        <v>112</v>
      </c>
      <c r="J284" s="112" t="s">
        <v>293</v>
      </c>
      <c r="K284" s="112" t="s">
        <v>294</v>
      </c>
      <c r="L284" s="114">
        <v>388000000</v>
      </c>
      <c r="M284" s="114" t="s">
        <v>121</v>
      </c>
      <c r="N284" s="115">
        <v>44743</v>
      </c>
      <c r="O284" s="115">
        <v>45107</v>
      </c>
      <c r="P284" s="116">
        <f t="shared" si="78"/>
        <v>0.99726027397260275</v>
      </c>
      <c r="Q284" s="110" t="s">
        <v>28</v>
      </c>
      <c r="R284" s="110">
        <f t="shared" ca="1" si="79"/>
        <v>6.5904350694444505</v>
      </c>
      <c r="S284" s="110" t="str">
        <f t="shared" ca="1" si="80"/>
        <v>O</v>
      </c>
      <c r="T284" s="117">
        <v>1</v>
      </c>
      <c r="U284" s="117">
        <v>1</v>
      </c>
      <c r="V284" s="117">
        <v>1</v>
      </c>
      <c r="W284" s="117">
        <f t="shared" si="81"/>
        <v>3</v>
      </c>
      <c r="X284" s="117" t="str">
        <f t="shared" si="82"/>
        <v>Biasa</v>
      </c>
      <c r="Y284" s="111"/>
      <c r="Z284" s="122"/>
      <c r="AA284" s="115"/>
      <c r="AB284" s="115"/>
      <c r="AC284" s="115"/>
      <c r="AD284" s="25" t="s">
        <v>122</v>
      </c>
      <c r="AE284" s="118">
        <v>44743</v>
      </c>
      <c r="AF284" s="110" t="s">
        <v>207</v>
      </c>
      <c r="AG284" s="110" t="s">
        <v>117</v>
      </c>
      <c r="AH284" s="25"/>
      <c r="AI284" s="25"/>
      <c r="AJ284" s="25"/>
      <c r="AK284" s="25"/>
      <c r="AL284" s="25"/>
      <c r="AM284" s="25"/>
      <c r="AN284" s="33" t="s">
        <v>284</v>
      </c>
      <c r="AO284" s="119">
        <v>44750</v>
      </c>
      <c r="AP284" s="120"/>
      <c r="AQ284" s="4"/>
      <c r="AR284" s="4"/>
      <c r="AS284" s="4"/>
      <c r="AT284" s="4"/>
      <c r="AU284" s="4"/>
    </row>
    <row r="285" spans="1:47" s="121" customFormat="1" ht="111.95" hidden="1" customHeight="1" x14ac:dyDescent="0.25">
      <c r="A285" s="109">
        <v>152</v>
      </c>
      <c r="B285" s="109" t="s">
        <v>109</v>
      </c>
      <c r="C285" s="109" t="s">
        <v>1221</v>
      </c>
      <c r="D285" s="109">
        <v>5</v>
      </c>
      <c r="E285" s="109" t="s">
        <v>118</v>
      </c>
      <c r="F285" s="111" t="s">
        <v>629</v>
      </c>
      <c r="G285" s="112" t="s">
        <v>630</v>
      </c>
      <c r="H285" s="112" t="s">
        <v>631</v>
      </c>
      <c r="I285" s="113" t="s">
        <v>112</v>
      </c>
      <c r="J285" s="112" t="s">
        <v>632</v>
      </c>
      <c r="K285" s="112" t="s">
        <v>633</v>
      </c>
      <c r="L285" s="114" t="s">
        <v>226</v>
      </c>
      <c r="M285" s="114"/>
      <c r="N285" s="115">
        <v>44562</v>
      </c>
      <c r="O285" s="115">
        <v>44926</v>
      </c>
      <c r="P285" s="116">
        <f t="shared" si="78"/>
        <v>0.99726027397260275</v>
      </c>
      <c r="Q285" s="110" t="s">
        <v>28</v>
      </c>
      <c r="R285" s="110">
        <f t="shared" ca="1" si="79"/>
        <v>0.75172539202509558</v>
      </c>
      <c r="S285" s="110" t="str">
        <f t="shared" ca="1" si="80"/>
        <v>O</v>
      </c>
      <c r="T285" s="117">
        <v>1</v>
      </c>
      <c r="U285" s="117">
        <v>1</v>
      </c>
      <c r="V285" s="117">
        <v>2</v>
      </c>
      <c r="W285" s="117">
        <f t="shared" si="81"/>
        <v>4</v>
      </c>
      <c r="X285" s="117" t="str">
        <f t="shared" si="82"/>
        <v>Biasa</v>
      </c>
      <c r="Y285" s="111"/>
      <c r="Z285" s="122"/>
      <c r="AA285" s="115"/>
      <c r="AB285" s="115"/>
      <c r="AC285" s="115"/>
      <c r="AD285" s="25" t="s">
        <v>122</v>
      </c>
      <c r="AE285" s="118">
        <v>44630</v>
      </c>
      <c r="AF285" s="110" t="s">
        <v>207</v>
      </c>
      <c r="AG285" s="110" t="s">
        <v>117</v>
      </c>
      <c r="AH285" s="25"/>
      <c r="AI285" s="25"/>
      <c r="AJ285" s="25"/>
      <c r="AK285" s="25"/>
      <c r="AL285" s="25"/>
      <c r="AM285" s="25"/>
      <c r="AN285" s="33" t="s">
        <v>123</v>
      </c>
      <c r="AO285" s="119"/>
      <c r="AP285" s="120"/>
      <c r="AQ285" s="4"/>
      <c r="AR285" s="4"/>
      <c r="AS285" s="4"/>
      <c r="AT285" s="4"/>
      <c r="AU285" s="4"/>
    </row>
    <row r="286" spans="1:47" s="121" customFormat="1" ht="111.95" hidden="1" customHeight="1" x14ac:dyDescent="0.25">
      <c r="A286" s="109">
        <v>153</v>
      </c>
      <c r="B286" s="109" t="s">
        <v>109</v>
      </c>
      <c r="C286" s="109" t="s">
        <v>1222</v>
      </c>
      <c r="D286" s="109">
        <v>1</v>
      </c>
      <c r="E286" s="109" t="s">
        <v>118</v>
      </c>
      <c r="F286" s="111" t="s">
        <v>816</v>
      </c>
      <c r="G286" s="112" t="s">
        <v>817</v>
      </c>
      <c r="H286" s="112" t="s">
        <v>818</v>
      </c>
      <c r="I286" s="113" t="s">
        <v>112</v>
      </c>
      <c r="J286" s="112" t="s">
        <v>819</v>
      </c>
      <c r="K286" s="112"/>
      <c r="L286" s="114">
        <v>52000000</v>
      </c>
      <c r="M286" s="114" t="s">
        <v>121</v>
      </c>
      <c r="N286" s="115">
        <v>44577</v>
      </c>
      <c r="O286" s="115">
        <v>44942</v>
      </c>
      <c r="P286" s="116">
        <f t="shared" si="78"/>
        <v>1</v>
      </c>
      <c r="Q286" s="110" t="s">
        <v>38</v>
      </c>
      <c r="R286" s="110">
        <f t="shared" ca="1" si="79"/>
        <v>1.26785442428316</v>
      </c>
      <c r="S286" s="110" t="str">
        <f t="shared" ca="1" si="80"/>
        <v>O</v>
      </c>
      <c r="T286" s="117">
        <v>1</v>
      </c>
      <c r="U286" s="117">
        <v>2</v>
      </c>
      <c r="V286" s="117">
        <v>2</v>
      </c>
      <c r="W286" s="117">
        <f t="shared" si="81"/>
        <v>5</v>
      </c>
      <c r="X286" s="117" t="str">
        <f t="shared" si="82"/>
        <v>Biasa</v>
      </c>
      <c r="Y286" s="111"/>
      <c r="Z286" s="122"/>
      <c r="AA286" s="115"/>
      <c r="AB286" s="115"/>
      <c r="AC286" s="115"/>
      <c r="AD286" s="25"/>
      <c r="AE286" s="118"/>
      <c r="AF286" s="110" t="s">
        <v>820</v>
      </c>
      <c r="AG286" s="110" t="s">
        <v>117</v>
      </c>
      <c r="AH286" s="25"/>
      <c r="AI286" s="25"/>
      <c r="AJ286" s="25"/>
      <c r="AK286" s="25"/>
      <c r="AL286" s="25"/>
      <c r="AM286" s="25"/>
      <c r="AN286" s="33" t="s">
        <v>123</v>
      </c>
      <c r="AO286" s="119">
        <v>44566</v>
      </c>
      <c r="AP286" s="120"/>
      <c r="AQ286" s="4"/>
      <c r="AR286" s="4"/>
      <c r="AS286" s="4"/>
      <c r="AT286" s="4"/>
      <c r="AU286" s="4"/>
    </row>
    <row r="287" spans="1:47" s="121" customFormat="1" ht="111.95" hidden="1" customHeight="1" x14ac:dyDescent="0.25">
      <c r="A287" s="109">
        <v>154</v>
      </c>
      <c r="B287" s="109" t="s">
        <v>109</v>
      </c>
      <c r="C287" s="109" t="s">
        <v>1222</v>
      </c>
      <c r="D287" s="109">
        <v>2</v>
      </c>
      <c r="E287" s="109" t="s">
        <v>118</v>
      </c>
      <c r="F287" s="111" t="s">
        <v>821</v>
      </c>
      <c r="G287" s="112" t="s">
        <v>822</v>
      </c>
      <c r="H287" s="112" t="s">
        <v>823</v>
      </c>
      <c r="I287" s="113" t="s">
        <v>112</v>
      </c>
      <c r="J287" s="112" t="s">
        <v>824</v>
      </c>
      <c r="K287" s="112"/>
      <c r="L287" s="114">
        <v>67822869</v>
      </c>
      <c r="M287" s="114" t="s">
        <v>132</v>
      </c>
      <c r="N287" s="115">
        <v>44743</v>
      </c>
      <c r="O287" s="115">
        <v>45107</v>
      </c>
      <c r="P287" s="116">
        <f t="shared" si="78"/>
        <v>0.99726027397260275</v>
      </c>
      <c r="Q287" s="110" t="s">
        <v>38</v>
      </c>
      <c r="R287" s="110">
        <f t="shared" ca="1" si="79"/>
        <v>6.5904350694444505</v>
      </c>
      <c r="S287" s="110" t="str">
        <f t="shared" ca="1" si="80"/>
        <v>O</v>
      </c>
      <c r="T287" s="117">
        <v>3</v>
      </c>
      <c r="U287" s="117">
        <v>2</v>
      </c>
      <c r="V287" s="117">
        <v>3</v>
      </c>
      <c r="W287" s="117">
        <f t="shared" si="81"/>
        <v>8</v>
      </c>
      <c r="X287" s="117" t="str">
        <f t="shared" si="82"/>
        <v>Penting</v>
      </c>
      <c r="Y287" s="111"/>
      <c r="Z287" s="122"/>
      <c r="AA287" s="115"/>
      <c r="AB287" s="115"/>
      <c r="AC287" s="115"/>
      <c r="AD287" s="25"/>
      <c r="AE287" s="118"/>
      <c r="AF287" s="110" t="s">
        <v>820</v>
      </c>
      <c r="AG287" s="110" t="s">
        <v>189</v>
      </c>
      <c r="AH287" s="25"/>
      <c r="AI287" s="25"/>
      <c r="AJ287" s="25"/>
      <c r="AK287" s="25"/>
      <c r="AL287" s="25"/>
      <c r="AM287" s="25"/>
      <c r="AN287" s="33" t="s">
        <v>136</v>
      </c>
      <c r="AO287" s="119">
        <v>44735</v>
      </c>
      <c r="AP287" s="120"/>
      <c r="AQ287" s="4"/>
      <c r="AR287" s="4"/>
      <c r="AS287" s="4"/>
      <c r="AT287" s="4"/>
      <c r="AU287" s="4"/>
    </row>
    <row r="288" spans="1:47" s="121" customFormat="1" ht="111.95" hidden="1" customHeight="1" x14ac:dyDescent="0.25">
      <c r="A288" s="109">
        <v>155</v>
      </c>
      <c r="B288" s="109" t="s">
        <v>109</v>
      </c>
      <c r="C288" s="109" t="s">
        <v>1222</v>
      </c>
      <c r="D288" s="109">
        <v>3</v>
      </c>
      <c r="E288" s="109" t="s">
        <v>118</v>
      </c>
      <c r="F288" s="111" t="s">
        <v>825</v>
      </c>
      <c r="G288" s="112" t="s">
        <v>832</v>
      </c>
      <c r="H288" s="112" t="s">
        <v>833</v>
      </c>
      <c r="I288" s="113" t="s">
        <v>112</v>
      </c>
      <c r="J288" s="112" t="s">
        <v>834</v>
      </c>
      <c r="K288" s="112" t="s">
        <v>835</v>
      </c>
      <c r="L288" s="114" t="s">
        <v>836</v>
      </c>
      <c r="M288" s="114" t="s">
        <v>837</v>
      </c>
      <c r="N288" s="115">
        <v>44743</v>
      </c>
      <c r="O288" s="115">
        <v>45107</v>
      </c>
      <c r="P288" s="116">
        <f t="shared" si="78"/>
        <v>0.99726027397260275</v>
      </c>
      <c r="Q288" s="110" t="s">
        <v>38</v>
      </c>
      <c r="R288" s="110">
        <f t="shared" ca="1" si="79"/>
        <v>6.5904350694444505</v>
      </c>
      <c r="S288" s="110" t="str">
        <f t="shared" ca="1" si="80"/>
        <v>O</v>
      </c>
      <c r="T288" s="117">
        <v>3</v>
      </c>
      <c r="U288" s="117">
        <v>1</v>
      </c>
      <c r="V288" s="117">
        <v>3</v>
      </c>
      <c r="W288" s="117">
        <f t="shared" si="81"/>
        <v>7</v>
      </c>
      <c r="X288" s="117" t="str">
        <f t="shared" si="82"/>
        <v>Penting</v>
      </c>
      <c r="Y288" s="111"/>
      <c r="Z288" s="122"/>
      <c r="AA288" s="115"/>
      <c r="AB288" s="115"/>
      <c r="AC288" s="115"/>
      <c r="AD288" s="25"/>
      <c r="AE288" s="118"/>
      <c r="AF288" s="110" t="s">
        <v>820</v>
      </c>
      <c r="AG288" s="110" t="s">
        <v>117</v>
      </c>
      <c r="AH288" s="25"/>
      <c r="AI288" s="25"/>
      <c r="AJ288" s="25"/>
      <c r="AK288" s="25"/>
      <c r="AL288" s="25"/>
      <c r="AM288" s="25"/>
      <c r="AN288" s="33" t="s">
        <v>136</v>
      </c>
      <c r="AO288" s="119">
        <v>44764</v>
      </c>
      <c r="AP288" s="120"/>
      <c r="AQ288" s="4"/>
      <c r="AR288" s="4"/>
      <c r="AS288" s="4"/>
      <c r="AT288" s="4"/>
      <c r="AU288" s="4"/>
    </row>
    <row r="289" spans="1:49" s="121" customFormat="1" ht="111.95" hidden="1" customHeight="1" x14ac:dyDescent="0.25">
      <c r="A289" s="109">
        <v>156</v>
      </c>
      <c r="B289" s="109" t="s">
        <v>109</v>
      </c>
      <c r="C289" s="109" t="s">
        <v>1222</v>
      </c>
      <c r="D289" s="109">
        <v>4</v>
      </c>
      <c r="E289" s="109" t="s">
        <v>118</v>
      </c>
      <c r="F289" s="111" t="s">
        <v>838</v>
      </c>
      <c r="G289" s="112" t="s">
        <v>832</v>
      </c>
      <c r="H289" s="112" t="s">
        <v>839</v>
      </c>
      <c r="I289" s="113" t="s">
        <v>112</v>
      </c>
      <c r="J289" s="112" t="s">
        <v>840</v>
      </c>
      <c r="K289" s="112" t="s">
        <v>841</v>
      </c>
      <c r="L289" s="114">
        <f>4750000/2</f>
        <v>2375000</v>
      </c>
      <c r="M289" s="114" t="s">
        <v>132</v>
      </c>
      <c r="N289" s="115">
        <v>44197</v>
      </c>
      <c r="O289" s="115">
        <v>44926</v>
      </c>
      <c r="P289" s="116">
        <f t="shared" si="78"/>
        <v>1.9972602739726026</v>
      </c>
      <c r="Q289" s="110" t="s">
        <v>38</v>
      </c>
      <c r="R289" s="110">
        <f t="shared" ca="1" si="79"/>
        <v>0.75172539202509558</v>
      </c>
      <c r="S289" s="110" t="str">
        <f t="shared" ca="1" si="80"/>
        <v>O</v>
      </c>
      <c r="T289" s="117">
        <v>3</v>
      </c>
      <c r="U289" s="117">
        <v>1</v>
      </c>
      <c r="V289" s="117">
        <v>3</v>
      </c>
      <c r="W289" s="117">
        <f t="shared" si="81"/>
        <v>7</v>
      </c>
      <c r="X289" s="117" t="str">
        <f t="shared" si="82"/>
        <v>Penting</v>
      </c>
      <c r="Y289" s="111"/>
      <c r="Z289" s="122" t="s">
        <v>117</v>
      </c>
      <c r="AA289" s="115">
        <f>N289+270</f>
        <v>44467</v>
      </c>
      <c r="AB289" s="115"/>
      <c r="AC289" s="115"/>
      <c r="AD289" s="25" t="s">
        <v>122</v>
      </c>
      <c r="AE289" s="118">
        <v>43497</v>
      </c>
      <c r="AF289" s="110" t="s">
        <v>820</v>
      </c>
      <c r="AG289" s="110" t="s">
        <v>117</v>
      </c>
      <c r="AH289" s="25"/>
      <c r="AI289" s="25"/>
      <c r="AJ289" s="25"/>
      <c r="AK289" s="25"/>
      <c r="AL289" s="25"/>
      <c r="AM289" s="25"/>
      <c r="AN289" s="33" t="s">
        <v>123</v>
      </c>
      <c r="AO289" s="119">
        <v>43834</v>
      </c>
      <c r="AP289" s="120"/>
      <c r="AQ289" s="4"/>
      <c r="AR289" s="4"/>
      <c r="AS289" s="4"/>
      <c r="AT289" s="4"/>
      <c r="AU289" s="4"/>
    </row>
    <row r="290" spans="1:49" s="121" customFormat="1" ht="111.95" hidden="1" customHeight="1" x14ac:dyDescent="0.25">
      <c r="A290" s="109">
        <v>157</v>
      </c>
      <c r="B290" s="109" t="s">
        <v>109</v>
      </c>
      <c r="C290" s="109" t="s">
        <v>1222</v>
      </c>
      <c r="D290" s="109">
        <v>5</v>
      </c>
      <c r="E290" s="109" t="s">
        <v>118</v>
      </c>
      <c r="F290" s="111" t="s">
        <v>842</v>
      </c>
      <c r="G290" s="112" t="s">
        <v>843</v>
      </c>
      <c r="H290" s="112" t="s">
        <v>844</v>
      </c>
      <c r="I290" s="113" t="s">
        <v>112</v>
      </c>
      <c r="J290" s="112" t="s">
        <v>845</v>
      </c>
      <c r="K290" s="112" t="s">
        <v>846</v>
      </c>
      <c r="L290" s="114">
        <v>53677777</v>
      </c>
      <c r="M290" s="114" t="s">
        <v>132</v>
      </c>
      <c r="N290" s="115">
        <v>44743</v>
      </c>
      <c r="O290" s="115">
        <v>45107</v>
      </c>
      <c r="P290" s="116">
        <f t="shared" si="78"/>
        <v>0.99726027397260275</v>
      </c>
      <c r="Q290" s="110" t="s">
        <v>38</v>
      </c>
      <c r="R290" s="110">
        <f t="shared" ca="1" si="79"/>
        <v>6.5904350694444505</v>
      </c>
      <c r="S290" s="110" t="str">
        <f t="shared" ca="1" si="80"/>
        <v>O</v>
      </c>
      <c r="T290" s="117">
        <v>3</v>
      </c>
      <c r="U290" s="117">
        <v>1</v>
      </c>
      <c r="V290" s="117">
        <v>3</v>
      </c>
      <c r="W290" s="117">
        <f t="shared" si="81"/>
        <v>7</v>
      </c>
      <c r="X290" s="117" t="str">
        <f t="shared" si="82"/>
        <v>Penting</v>
      </c>
      <c r="Y290" s="111"/>
      <c r="Z290" s="122"/>
      <c r="AA290" s="115"/>
      <c r="AB290" s="115"/>
      <c r="AC290" s="115"/>
      <c r="AD290" s="25" t="s">
        <v>122</v>
      </c>
      <c r="AE290" s="118">
        <v>43983</v>
      </c>
      <c r="AF290" s="110" t="s">
        <v>820</v>
      </c>
      <c r="AG290" s="110" t="s">
        <v>117</v>
      </c>
      <c r="AH290" s="25"/>
      <c r="AI290" s="25"/>
      <c r="AJ290" s="25"/>
      <c r="AK290" s="25"/>
      <c r="AL290" s="25"/>
      <c r="AM290" s="25"/>
      <c r="AN290" s="33" t="s">
        <v>136</v>
      </c>
      <c r="AO290" s="119">
        <v>44740</v>
      </c>
      <c r="AP290" s="120"/>
      <c r="AQ290" s="4"/>
      <c r="AR290" s="4"/>
      <c r="AS290" s="4"/>
      <c r="AT290" s="4"/>
      <c r="AU290" s="4"/>
    </row>
    <row r="291" spans="1:49" s="121" customFormat="1" ht="111.95" hidden="1" customHeight="1" x14ac:dyDescent="0.25">
      <c r="A291" s="109">
        <v>158</v>
      </c>
      <c r="B291" s="109" t="s">
        <v>109</v>
      </c>
      <c r="C291" s="109" t="s">
        <v>1223</v>
      </c>
      <c r="D291" s="109">
        <v>1</v>
      </c>
      <c r="E291" s="109" t="s">
        <v>118</v>
      </c>
      <c r="F291" s="111" t="s">
        <v>851</v>
      </c>
      <c r="G291" s="112" t="s">
        <v>852</v>
      </c>
      <c r="H291" s="112" t="s">
        <v>853</v>
      </c>
      <c r="I291" s="113" t="s">
        <v>112</v>
      </c>
      <c r="J291" s="112" t="s">
        <v>854</v>
      </c>
      <c r="K291" s="112" t="s">
        <v>855</v>
      </c>
      <c r="L291" s="114">
        <v>128400000</v>
      </c>
      <c r="M291" s="114" t="s">
        <v>121</v>
      </c>
      <c r="N291" s="115">
        <v>44743</v>
      </c>
      <c r="O291" s="115">
        <v>45107</v>
      </c>
      <c r="P291" s="116">
        <f t="shared" si="78"/>
        <v>0.99726027397260275</v>
      </c>
      <c r="Q291" s="110" t="s">
        <v>38</v>
      </c>
      <c r="R291" s="110">
        <f t="shared" ca="1" si="79"/>
        <v>6.5904350694444505</v>
      </c>
      <c r="S291" s="110" t="str">
        <f t="shared" ca="1" si="80"/>
        <v>O</v>
      </c>
      <c r="T291" s="117">
        <v>3</v>
      </c>
      <c r="U291" s="117">
        <v>1</v>
      </c>
      <c r="V291" s="117">
        <v>3</v>
      </c>
      <c r="W291" s="117">
        <f t="shared" si="81"/>
        <v>7</v>
      </c>
      <c r="X291" s="117" t="str">
        <f t="shared" si="82"/>
        <v>Penting</v>
      </c>
      <c r="Y291" s="111"/>
      <c r="Z291" s="122"/>
      <c r="AA291" s="115"/>
      <c r="AB291" s="115"/>
      <c r="AC291" s="115"/>
      <c r="AD291" s="25" t="s">
        <v>122</v>
      </c>
      <c r="AE291" s="118">
        <v>44741</v>
      </c>
      <c r="AF291" s="110" t="s">
        <v>820</v>
      </c>
      <c r="AG291" s="110" t="s">
        <v>117</v>
      </c>
      <c r="AH291" s="25"/>
      <c r="AI291" s="25"/>
      <c r="AJ291" s="25"/>
      <c r="AK291" s="25"/>
      <c r="AL291" s="25"/>
      <c r="AM291" s="25"/>
      <c r="AN291" s="33" t="s">
        <v>136</v>
      </c>
      <c r="AO291" s="119">
        <v>44740</v>
      </c>
      <c r="AP291" s="120"/>
      <c r="AQ291" s="4"/>
      <c r="AR291" s="4"/>
      <c r="AS291" s="4"/>
      <c r="AT291" s="4"/>
      <c r="AU291" s="4"/>
    </row>
    <row r="292" spans="1:49" s="121" customFormat="1" ht="111.95" hidden="1" customHeight="1" x14ac:dyDescent="0.25">
      <c r="A292" s="109">
        <v>159</v>
      </c>
      <c r="B292" s="109" t="s">
        <v>109</v>
      </c>
      <c r="C292" s="109" t="s">
        <v>1223</v>
      </c>
      <c r="D292" s="109">
        <v>2</v>
      </c>
      <c r="E292" s="109" t="s">
        <v>118</v>
      </c>
      <c r="F292" s="111"/>
      <c r="G292" s="112" t="s">
        <v>847</v>
      </c>
      <c r="H292" s="112" t="s">
        <v>848</v>
      </c>
      <c r="I292" s="113" t="s">
        <v>112</v>
      </c>
      <c r="J292" s="112" t="s">
        <v>849</v>
      </c>
      <c r="K292" s="112"/>
      <c r="L292" s="114"/>
      <c r="M292" s="114"/>
      <c r="N292" s="115">
        <v>41817</v>
      </c>
      <c r="O292" s="115">
        <v>44922</v>
      </c>
      <c r="P292" s="116">
        <f t="shared" si="78"/>
        <v>8.506849315068493</v>
      </c>
      <c r="Q292" s="110" t="s">
        <v>38</v>
      </c>
      <c r="R292" s="110">
        <f t="shared" ca="1" si="79"/>
        <v>0.62269313396057935</v>
      </c>
      <c r="S292" s="110" t="str">
        <f t="shared" ca="1" si="80"/>
        <v>O</v>
      </c>
      <c r="T292" s="117">
        <v>3</v>
      </c>
      <c r="U292" s="117">
        <v>1</v>
      </c>
      <c r="V292" s="117">
        <v>3</v>
      </c>
      <c r="W292" s="117">
        <f t="shared" si="81"/>
        <v>7</v>
      </c>
      <c r="X292" s="117" t="str">
        <f t="shared" si="82"/>
        <v>Penting</v>
      </c>
      <c r="Y292" s="111" t="s">
        <v>850</v>
      </c>
      <c r="Z292" s="122" t="s">
        <v>117</v>
      </c>
      <c r="AA292" s="115">
        <v>44769</v>
      </c>
      <c r="AB292" s="115">
        <v>45134</v>
      </c>
      <c r="AC292" s="115"/>
      <c r="AD292" s="25" t="s">
        <v>122</v>
      </c>
      <c r="AE292" s="118">
        <v>44501</v>
      </c>
      <c r="AF292" s="110" t="s">
        <v>820</v>
      </c>
      <c r="AG292" s="110" t="s">
        <v>189</v>
      </c>
      <c r="AH292" s="25"/>
      <c r="AI292" s="25"/>
      <c r="AJ292" s="25"/>
      <c r="AK292" s="25"/>
      <c r="AL292" s="25"/>
      <c r="AM292" s="25"/>
      <c r="AN292" s="33"/>
      <c r="AO292" s="119"/>
      <c r="AP292" s="120"/>
      <c r="AQ292" s="4"/>
      <c r="AR292" s="4"/>
      <c r="AS292" s="4"/>
      <c r="AT292" s="4"/>
      <c r="AU292" s="4"/>
    </row>
    <row r="293" spans="1:49" s="121" customFormat="1" ht="111.95" hidden="1" customHeight="1" x14ac:dyDescent="0.25">
      <c r="A293" s="109">
        <v>160</v>
      </c>
      <c r="B293" s="109" t="s">
        <v>109</v>
      </c>
      <c r="C293" s="109" t="s">
        <v>1223</v>
      </c>
      <c r="D293" s="109">
        <v>3</v>
      </c>
      <c r="E293" s="109" t="s">
        <v>118</v>
      </c>
      <c r="F293" s="111" t="s">
        <v>477</v>
      </c>
      <c r="G293" s="112" t="s">
        <v>478</v>
      </c>
      <c r="H293" s="112" t="s">
        <v>479</v>
      </c>
      <c r="I293" s="113" t="s">
        <v>112</v>
      </c>
      <c r="J293" s="112" t="s">
        <v>478</v>
      </c>
      <c r="K293" s="112"/>
      <c r="L293" s="114" t="s">
        <v>480</v>
      </c>
      <c r="M293" s="114" t="s">
        <v>481</v>
      </c>
      <c r="N293" s="115">
        <v>44564</v>
      </c>
      <c r="O293" s="115">
        <v>45443</v>
      </c>
      <c r="P293" s="116">
        <f t="shared" si="78"/>
        <v>2.408219178082192</v>
      </c>
      <c r="Q293" s="110" t="s">
        <v>28</v>
      </c>
      <c r="R293" s="110">
        <f t="shared" ca="1" si="79"/>
        <v>17.429144746863805</v>
      </c>
      <c r="S293" s="110" t="str">
        <f t="shared" ca="1" si="80"/>
        <v>O</v>
      </c>
      <c r="T293" s="117">
        <v>3</v>
      </c>
      <c r="U293" s="117">
        <v>2</v>
      </c>
      <c r="V293" s="117">
        <v>2</v>
      </c>
      <c r="W293" s="117">
        <f t="shared" si="81"/>
        <v>7</v>
      </c>
      <c r="X293" s="117" t="str">
        <f t="shared" si="82"/>
        <v>Penting</v>
      </c>
      <c r="Y293" s="111"/>
      <c r="Z293" s="122" t="s">
        <v>117</v>
      </c>
      <c r="AA293" s="115">
        <f>N293+365</f>
        <v>44929</v>
      </c>
      <c r="AB293" s="115"/>
      <c r="AC293" s="115"/>
      <c r="AD293" s="25" t="s">
        <v>122</v>
      </c>
      <c r="AE293" s="118">
        <v>43497</v>
      </c>
      <c r="AF293" s="110" t="s">
        <v>482</v>
      </c>
      <c r="AG293" s="110" t="s">
        <v>117</v>
      </c>
      <c r="AH293" s="25"/>
      <c r="AI293" s="25"/>
      <c r="AJ293" s="25"/>
      <c r="AK293" s="25"/>
      <c r="AL293" s="25"/>
      <c r="AM293" s="25"/>
      <c r="AN293" s="33" t="s">
        <v>123</v>
      </c>
      <c r="AO293" s="119">
        <v>44566</v>
      </c>
      <c r="AP293" s="120"/>
      <c r="AQ293" s="4"/>
      <c r="AR293" s="4"/>
      <c r="AS293" s="4"/>
      <c r="AT293" s="4"/>
      <c r="AU293" s="4"/>
    </row>
    <row r="294" spans="1:49" s="121" customFormat="1" ht="111.95" hidden="1" customHeight="1" x14ac:dyDescent="0.25">
      <c r="A294" s="109">
        <v>161</v>
      </c>
      <c r="B294" s="109" t="s">
        <v>109</v>
      </c>
      <c r="C294" s="109" t="s">
        <v>1223</v>
      </c>
      <c r="D294" s="109">
        <v>4</v>
      </c>
      <c r="E294" s="109" t="s">
        <v>118</v>
      </c>
      <c r="F294" s="111"/>
      <c r="G294" s="112" t="s">
        <v>483</v>
      </c>
      <c r="H294" s="112" t="s">
        <v>484</v>
      </c>
      <c r="I294" s="113" t="s">
        <v>150</v>
      </c>
      <c r="J294" s="112" t="s">
        <v>485</v>
      </c>
      <c r="K294" s="112"/>
      <c r="L294" s="114"/>
      <c r="M294" s="114"/>
      <c r="N294" s="115">
        <v>44065</v>
      </c>
      <c r="O294" s="115">
        <v>45159</v>
      </c>
      <c r="P294" s="116">
        <f t="shared" si="78"/>
        <v>2.9972602739726026</v>
      </c>
      <c r="Q294" s="110" t="s">
        <v>28</v>
      </c>
      <c r="R294" s="110">
        <f t="shared" ca="1" si="79"/>
        <v>8.2678544242831595</v>
      </c>
      <c r="S294" s="110" t="str">
        <f t="shared" ca="1" si="80"/>
        <v>O</v>
      </c>
      <c r="T294" s="117">
        <v>3</v>
      </c>
      <c r="U294" s="117">
        <v>1</v>
      </c>
      <c r="V294" s="117">
        <v>1</v>
      </c>
      <c r="W294" s="117">
        <f t="shared" si="81"/>
        <v>5</v>
      </c>
      <c r="X294" s="117" t="str">
        <f t="shared" si="82"/>
        <v>Biasa</v>
      </c>
      <c r="Y294" s="111" t="s">
        <v>486</v>
      </c>
      <c r="Z294" s="122" t="s">
        <v>117</v>
      </c>
      <c r="AA294" s="115">
        <f>N294+270</f>
        <v>44335</v>
      </c>
      <c r="AB294" s="115">
        <f>+N294+635</f>
        <v>44700</v>
      </c>
      <c r="AC294" s="115"/>
      <c r="AD294" s="25" t="s">
        <v>122</v>
      </c>
      <c r="AE294" s="118">
        <v>43497</v>
      </c>
      <c r="AF294" s="110" t="s">
        <v>482</v>
      </c>
      <c r="AG294" s="110" t="s">
        <v>189</v>
      </c>
      <c r="AH294" s="25"/>
      <c r="AI294" s="25"/>
      <c r="AJ294" s="25"/>
      <c r="AK294" s="25"/>
      <c r="AL294" s="25"/>
      <c r="AM294" s="25"/>
      <c r="AN294" s="33" t="s">
        <v>123</v>
      </c>
      <c r="AO294" s="119">
        <v>44099</v>
      </c>
      <c r="AP294" s="120"/>
      <c r="AQ294" s="4"/>
      <c r="AR294" s="4"/>
      <c r="AS294" s="4"/>
      <c r="AT294" s="4"/>
      <c r="AU294" s="4"/>
    </row>
    <row r="295" spans="1:49" s="121" customFormat="1" ht="111.95" hidden="1" customHeight="1" x14ac:dyDescent="0.25">
      <c r="A295" s="109">
        <v>162</v>
      </c>
      <c r="B295" s="109" t="s">
        <v>109</v>
      </c>
      <c r="C295" s="109" t="s">
        <v>1223</v>
      </c>
      <c r="D295" s="109">
        <v>5</v>
      </c>
      <c r="E295" s="109" t="s">
        <v>118</v>
      </c>
      <c r="F295" s="111" t="s">
        <v>637</v>
      </c>
      <c r="G295" s="112" t="s">
        <v>624</v>
      </c>
      <c r="H295" s="112" t="s">
        <v>635</v>
      </c>
      <c r="I295" s="113" t="s">
        <v>112</v>
      </c>
      <c r="J295" s="112" t="s">
        <v>638</v>
      </c>
      <c r="K295" s="112"/>
      <c r="L295" s="114">
        <v>12000000</v>
      </c>
      <c r="M295" s="114" t="s">
        <v>132</v>
      </c>
      <c r="N295" s="115">
        <v>44136</v>
      </c>
      <c r="O295" s="115">
        <v>45230</v>
      </c>
      <c r="P295" s="116">
        <f t="shared" si="78"/>
        <v>2.9972602739726026</v>
      </c>
      <c r="Q295" s="110" t="s">
        <v>36</v>
      </c>
      <c r="R295" s="110">
        <f t="shared" ca="1" si="79"/>
        <v>10.558177004928321</v>
      </c>
      <c r="S295" s="110" t="str">
        <f t="shared" ca="1" si="80"/>
        <v>O</v>
      </c>
      <c r="T295" s="117">
        <v>1</v>
      </c>
      <c r="U295" s="117">
        <v>1</v>
      </c>
      <c r="V295" s="117">
        <v>1</v>
      </c>
      <c r="W295" s="117">
        <f t="shared" si="81"/>
        <v>3</v>
      </c>
      <c r="X295" s="117" t="str">
        <f t="shared" si="82"/>
        <v>Biasa</v>
      </c>
      <c r="Y295" s="111"/>
      <c r="Z295" s="122" t="s">
        <v>117</v>
      </c>
      <c r="AA295" s="115">
        <f>N295+270</f>
        <v>44406</v>
      </c>
      <c r="AB295" s="115">
        <f>+N295+635</f>
        <v>44771</v>
      </c>
      <c r="AC295" s="115"/>
      <c r="AD295" s="25" t="s">
        <v>122</v>
      </c>
      <c r="AE295" s="118">
        <v>44105</v>
      </c>
      <c r="AF295" s="110" t="s">
        <v>628</v>
      </c>
      <c r="AG295" s="110" t="s">
        <v>117</v>
      </c>
      <c r="AH295" s="25"/>
      <c r="AI295" s="25"/>
      <c r="AJ295" s="25"/>
      <c r="AK295" s="25"/>
      <c r="AL295" s="25"/>
      <c r="AM295" s="25"/>
      <c r="AN295" s="33" t="s">
        <v>123</v>
      </c>
      <c r="AO295" s="119">
        <v>44104</v>
      </c>
      <c r="AP295" s="120"/>
      <c r="AQ295" s="4"/>
      <c r="AR295" s="4"/>
      <c r="AS295" s="4"/>
      <c r="AT295" s="4"/>
      <c r="AU295" s="4"/>
    </row>
    <row r="296" spans="1:49" s="121" customFormat="1" ht="111.95" hidden="1" customHeight="1" x14ac:dyDescent="0.25">
      <c r="A296" s="109">
        <v>163</v>
      </c>
      <c r="B296" s="109" t="s">
        <v>109</v>
      </c>
      <c r="C296" s="109" t="s">
        <v>1223</v>
      </c>
      <c r="D296" s="109">
        <v>6</v>
      </c>
      <c r="E296" s="109" t="s">
        <v>118</v>
      </c>
      <c r="F296" s="111" t="s">
        <v>634</v>
      </c>
      <c r="G296" s="112" t="s">
        <v>624</v>
      </c>
      <c r="H296" s="112" t="s">
        <v>635</v>
      </c>
      <c r="I296" s="113" t="s">
        <v>112</v>
      </c>
      <c r="J296" s="112" t="s">
        <v>636</v>
      </c>
      <c r="K296" s="112"/>
      <c r="L296" s="114">
        <v>8250000</v>
      </c>
      <c r="M296" s="114" t="s">
        <v>132</v>
      </c>
      <c r="N296" s="115">
        <v>44378</v>
      </c>
      <c r="O296" s="115">
        <v>45107</v>
      </c>
      <c r="P296" s="116">
        <f t="shared" si="78"/>
        <v>1.9972602739726026</v>
      </c>
      <c r="Q296" s="110" t="s">
        <v>36</v>
      </c>
      <c r="R296" s="110">
        <f t="shared" ca="1" si="79"/>
        <v>6.5904350694444505</v>
      </c>
      <c r="S296" s="110" t="str">
        <f t="shared" ca="1" si="80"/>
        <v>O</v>
      </c>
      <c r="T296" s="117">
        <v>1</v>
      </c>
      <c r="U296" s="117">
        <v>1</v>
      </c>
      <c r="V296" s="117">
        <v>1</v>
      </c>
      <c r="W296" s="117">
        <f t="shared" si="81"/>
        <v>3</v>
      </c>
      <c r="X296" s="117" t="str">
        <f t="shared" si="82"/>
        <v>Biasa</v>
      </c>
      <c r="Y296" s="111"/>
      <c r="Z296" s="122" t="s">
        <v>117</v>
      </c>
      <c r="AA296" s="115">
        <f>N296+270</f>
        <v>44648</v>
      </c>
      <c r="AB296" s="115"/>
      <c r="AC296" s="115"/>
      <c r="AD296" s="25" t="s">
        <v>122</v>
      </c>
      <c r="AE296" s="118">
        <v>43601</v>
      </c>
      <c r="AF296" s="110" t="s">
        <v>628</v>
      </c>
      <c r="AG296" s="110" t="s">
        <v>117</v>
      </c>
      <c r="AH296" s="25"/>
      <c r="AI296" s="25"/>
      <c r="AJ296" s="25"/>
      <c r="AK296" s="25"/>
      <c r="AL296" s="25"/>
      <c r="AM296" s="25"/>
      <c r="AN296" s="33" t="s">
        <v>123</v>
      </c>
      <c r="AO296" s="119">
        <v>44295</v>
      </c>
      <c r="AP296" s="120"/>
      <c r="AQ296" s="4"/>
      <c r="AR296" s="4"/>
      <c r="AS296" s="4"/>
      <c r="AT296" s="4"/>
      <c r="AU296" s="4"/>
    </row>
    <row r="297" spans="1:49" s="121" customFormat="1" ht="111.95" hidden="1" customHeight="1" x14ac:dyDescent="0.25">
      <c r="A297" s="109">
        <v>164</v>
      </c>
      <c r="B297" s="109" t="s">
        <v>109</v>
      </c>
      <c r="C297" s="109" t="s">
        <v>1224</v>
      </c>
      <c r="D297" s="109">
        <v>1</v>
      </c>
      <c r="E297" s="109" t="s">
        <v>118</v>
      </c>
      <c r="F297" s="111" t="s">
        <v>794</v>
      </c>
      <c r="G297" s="112" t="s">
        <v>795</v>
      </c>
      <c r="H297" s="112" t="s">
        <v>796</v>
      </c>
      <c r="I297" s="113" t="s">
        <v>112</v>
      </c>
      <c r="J297" s="112" t="s">
        <v>797</v>
      </c>
      <c r="K297" s="112"/>
      <c r="L297" s="114"/>
      <c r="M297" s="114"/>
      <c r="N297" s="115">
        <v>44085</v>
      </c>
      <c r="O297" s="115">
        <v>45179</v>
      </c>
      <c r="P297" s="116">
        <f t="shared" si="78"/>
        <v>2.9972602739726026</v>
      </c>
      <c r="Q297" s="110" t="s">
        <v>34</v>
      </c>
      <c r="R297" s="110">
        <f t="shared" ca="1" si="79"/>
        <v>8.9130157146057414</v>
      </c>
      <c r="S297" s="110" t="str">
        <f t="shared" ca="1" si="80"/>
        <v>O</v>
      </c>
      <c r="T297" s="117">
        <v>1</v>
      </c>
      <c r="U297" s="117">
        <v>1</v>
      </c>
      <c r="V297" s="117">
        <v>1</v>
      </c>
      <c r="W297" s="117">
        <f t="shared" si="81"/>
        <v>3</v>
      </c>
      <c r="X297" s="117" t="str">
        <f t="shared" si="82"/>
        <v>Biasa</v>
      </c>
      <c r="Y297" s="111"/>
      <c r="Z297" s="122" t="s">
        <v>117</v>
      </c>
      <c r="AA297" s="115">
        <f>N297+270</f>
        <v>44355</v>
      </c>
      <c r="AB297" s="115">
        <f>+N297+635</f>
        <v>44720</v>
      </c>
      <c r="AC297" s="115"/>
      <c r="AD297" s="25"/>
      <c r="AE297" s="118"/>
      <c r="AF297" s="110" t="s">
        <v>774</v>
      </c>
      <c r="AG297" s="110" t="s">
        <v>117</v>
      </c>
      <c r="AH297" s="25"/>
      <c r="AI297" s="25"/>
      <c r="AJ297" s="25"/>
      <c r="AK297" s="25"/>
      <c r="AL297" s="25"/>
      <c r="AM297" s="25"/>
      <c r="AN297" s="33" t="s">
        <v>123</v>
      </c>
      <c r="AO297" s="119">
        <v>44102</v>
      </c>
      <c r="AP297" s="120"/>
      <c r="AQ297" s="4"/>
      <c r="AR297" s="4"/>
      <c r="AS297" s="4"/>
      <c r="AT297" s="4"/>
      <c r="AU297" s="4"/>
    </row>
    <row r="298" spans="1:49" s="121" customFormat="1" ht="111.95" hidden="1" customHeight="1" x14ac:dyDescent="0.25">
      <c r="A298" s="109">
        <v>165</v>
      </c>
      <c r="B298" s="109" t="s">
        <v>109</v>
      </c>
      <c r="C298" s="109" t="s">
        <v>1224</v>
      </c>
      <c r="D298" s="109">
        <v>2</v>
      </c>
      <c r="E298" s="109" t="s">
        <v>118</v>
      </c>
      <c r="F298" s="111" t="s">
        <v>110</v>
      </c>
      <c r="G298" s="112" t="s">
        <v>811</v>
      </c>
      <c r="H298" s="112" t="s">
        <v>812</v>
      </c>
      <c r="I298" s="113" t="s">
        <v>112</v>
      </c>
      <c r="J298" s="112" t="s">
        <v>813</v>
      </c>
      <c r="K298" s="112"/>
      <c r="L298" s="114"/>
      <c r="M298" s="114"/>
      <c r="N298" s="115">
        <v>40210</v>
      </c>
      <c r="O298" s="115">
        <v>45322</v>
      </c>
      <c r="P298" s="116">
        <f t="shared" si="78"/>
        <v>14.005479452054795</v>
      </c>
      <c r="Q298" s="110" t="s">
        <v>34</v>
      </c>
      <c r="R298" s="110">
        <f t="shared" ca="1" si="79"/>
        <v>13.525918940412192</v>
      </c>
      <c r="S298" s="110" t="str">
        <f t="shared" ca="1" si="80"/>
        <v>O</v>
      </c>
      <c r="T298" s="117">
        <v>1</v>
      </c>
      <c r="U298" s="117">
        <v>1</v>
      </c>
      <c r="V298" s="117">
        <v>1</v>
      </c>
      <c r="W298" s="117">
        <f t="shared" si="81"/>
        <v>3</v>
      </c>
      <c r="X298" s="117" t="str">
        <f t="shared" si="82"/>
        <v>Biasa</v>
      </c>
      <c r="Y298" s="111" t="s">
        <v>814</v>
      </c>
      <c r="Z298" s="122" t="s">
        <v>117</v>
      </c>
      <c r="AA298" s="115">
        <f>N298+4285</f>
        <v>44495</v>
      </c>
      <c r="AB298" s="115">
        <f>N298+4650</f>
        <v>44860</v>
      </c>
      <c r="AC298" s="115"/>
      <c r="AD298" s="25" t="s">
        <v>122</v>
      </c>
      <c r="AE298" s="118">
        <v>44501</v>
      </c>
      <c r="AF298" s="110" t="s">
        <v>774</v>
      </c>
      <c r="AG298" s="110" t="s">
        <v>189</v>
      </c>
      <c r="AH298" s="25"/>
      <c r="AI298" s="25"/>
      <c r="AJ298" s="25"/>
      <c r="AK298" s="25"/>
      <c r="AL298" s="25"/>
      <c r="AM298" s="25"/>
      <c r="AN298" s="33" t="s">
        <v>815</v>
      </c>
      <c r="AO298" s="119">
        <v>40331</v>
      </c>
      <c r="AP298" s="120"/>
      <c r="AQ298" s="4"/>
      <c r="AR298" s="4"/>
      <c r="AS298" s="4"/>
      <c r="AT298" s="4"/>
      <c r="AU298" s="4"/>
    </row>
    <row r="299" spans="1:49" s="121" customFormat="1" ht="111.95" hidden="1" customHeight="1" x14ac:dyDescent="0.25">
      <c r="A299" s="109">
        <v>166</v>
      </c>
      <c r="B299" s="109" t="s">
        <v>109</v>
      </c>
      <c r="C299" s="109" t="s">
        <v>1224</v>
      </c>
      <c r="D299" s="109">
        <v>3</v>
      </c>
      <c r="E299" s="109" t="s">
        <v>118</v>
      </c>
      <c r="F299" s="111" t="s">
        <v>804</v>
      </c>
      <c r="G299" s="112" t="s">
        <v>805</v>
      </c>
      <c r="H299" s="112" t="s">
        <v>800</v>
      </c>
      <c r="I299" s="113" t="s">
        <v>112</v>
      </c>
      <c r="J299" s="112" t="s">
        <v>806</v>
      </c>
      <c r="K299" s="112" t="s">
        <v>807</v>
      </c>
      <c r="L299" s="114"/>
      <c r="M299" s="114"/>
      <c r="N299" s="115">
        <v>44652</v>
      </c>
      <c r="O299" s="115">
        <v>45382</v>
      </c>
      <c r="P299" s="116">
        <f t="shared" si="78"/>
        <v>2</v>
      </c>
      <c r="Q299" s="110" t="s">
        <v>34</v>
      </c>
      <c r="R299" s="110">
        <f t="shared" ca="1" si="79"/>
        <v>15.461402811379934</v>
      </c>
      <c r="S299" s="110" t="str">
        <f t="shared" ca="1" si="80"/>
        <v>O</v>
      </c>
      <c r="T299" s="117">
        <v>1</v>
      </c>
      <c r="U299" s="117">
        <v>3</v>
      </c>
      <c r="V299" s="117">
        <v>3</v>
      </c>
      <c r="W299" s="117">
        <f t="shared" si="81"/>
        <v>7</v>
      </c>
      <c r="X299" s="117" t="str">
        <f t="shared" si="82"/>
        <v>Penting</v>
      </c>
      <c r="Y299" s="111"/>
      <c r="Z299" s="122" t="s">
        <v>117</v>
      </c>
      <c r="AA299" s="115">
        <f>N299+270</f>
        <v>44922</v>
      </c>
      <c r="AB299" s="115"/>
      <c r="AC299" s="115"/>
      <c r="AD299" s="25" t="s">
        <v>122</v>
      </c>
      <c r="AE299" s="118">
        <v>44713</v>
      </c>
      <c r="AF299" s="110" t="s">
        <v>774</v>
      </c>
      <c r="AG299" s="110" t="s">
        <v>117</v>
      </c>
      <c r="AH299" s="25"/>
      <c r="AI299" s="25"/>
      <c r="AJ299" s="25"/>
      <c r="AK299" s="25"/>
      <c r="AL299" s="25"/>
      <c r="AM299" s="25"/>
      <c r="AN299" s="33" t="s">
        <v>123</v>
      </c>
      <c r="AO299" s="119"/>
      <c r="AP299" s="120"/>
      <c r="AQ299" s="4"/>
      <c r="AR299" s="4"/>
      <c r="AS299" s="4"/>
      <c r="AT299" s="4"/>
      <c r="AU299" s="4"/>
    </row>
    <row r="300" spans="1:49" s="121" customFormat="1" ht="111.95" hidden="1" customHeight="1" x14ac:dyDescent="0.25">
      <c r="A300" s="109">
        <v>167</v>
      </c>
      <c r="B300" s="109" t="s">
        <v>109</v>
      </c>
      <c r="C300" s="109" t="s">
        <v>1224</v>
      </c>
      <c r="D300" s="109">
        <v>4</v>
      </c>
      <c r="E300" s="109" t="s">
        <v>118</v>
      </c>
      <c r="F300" s="111" t="s">
        <v>790</v>
      </c>
      <c r="G300" s="112" t="s">
        <v>770</v>
      </c>
      <c r="H300" s="112" t="s">
        <v>791</v>
      </c>
      <c r="I300" s="113" t="s">
        <v>150</v>
      </c>
      <c r="J300" s="112" t="s">
        <v>772</v>
      </c>
      <c r="K300" s="112" t="s">
        <v>792</v>
      </c>
      <c r="L300" s="114"/>
      <c r="M300" s="114"/>
      <c r="N300" s="115">
        <v>44256</v>
      </c>
      <c r="O300" s="115">
        <v>44985</v>
      </c>
      <c r="P300" s="116">
        <f t="shared" si="78"/>
        <v>1.9972602739726026</v>
      </c>
      <c r="Q300" s="110" t="s">
        <v>34</v>
      </c>
      <c r="R300" s="110">
        <f t="shared" ca="1" si="79"/>
        <v>2.6549511984767085</v>
      </c>
      <c r="S300" s="110" t="str">
        <f t="shared" ca="1" si="80"/>
        <v>O</v>
      </c>
      <c r="T300" s="117">
        <v>1</v>
      </c>
      <c r="U300" s="117">
        <v>1</v>
      </c>
      <c r="V300" s="117">
        <v>1</v>
      </c>
      <c r="W300" s="117">
        <f t="shared" si="81"/>
        <v>3</v>
      </c>
      <c r="X300" s="117" t="str">
        <f t="shared" si="82"/>
        <v>Biasa</v>
      </c>
      <c r="Y300" s="111" t="s">
        <v>793</v>
      </c>
      <c r="Z300" s="122" t="s">
        <v>117</v>
      </c>
      <c r="AA300" s="115">
        <f>N300+270</f>
        <v>44526</v>
      </c>
      <c r="AB300" s="115"/>
      <c r="AC300" s="115"/>
      <c r="AD300" s="25"/>
      <c r="AE300" s="118"/>
      <c r="AF300" s="110" t="s">
        <v>774</v>
      </c>
      <c r="AG300" s="110" t="s">
        <v>117</v>
      </c>
      <c r="AH300" s="25"/>
      <c r="AI300" s="25"/>
      <c r="AJ300" s="25"/>
      <c r="AK300" s="25"/>
      <c r="AL300" s="25"/>
      <c r="AM300" s="25"/>
      <c r="AN300" s="33" t="s">
        <v>123</v>
      </c>
      <c r="AO300" s="119">
        <v>44295</v>
      </c>
      <c r="AP300" s="120"/>
      <c r="AQ300" s="4"/>
      <c r="AR300" s="4"/>
      <c r="AS300" s="4"/>
      <c r="AT300" s="4"/>
      <c r="AU300" s="4"/>
    </row>
    <row r="301" spans="1:49" s="121" customFormat="1" ht="111.95" hidden="1" customHeight="1" x14ac:dyDescent="0.25">
      <c r="A301" s="109">
        <v>168</v>
      </c>
      <c r="B301" s="109" t="s">
        <v>109</v>
      </c>
      <c r="C301" s="109" t="s">
        <v>1224</v>
      </c>
      <c r="D301" s="109">
        <v>5</v>
      </c>
      <c r="E301" s="109" t="s">
        <v>118</v>
      </c>
      <c r="F301" s="111" t="s">
        <v>769</v>
      </c>
      <c r="G301" s="112" t="s">
        <v>770</v>
      </c>
      <c r="H301" s="112" t="s">
        <v>771</v>
      </c>
      <c r="I301" s="113" t="s">
        <v>112</v>
      </c>
      <c r="J301" s="112" t="s">
        <v>772</v>
      </c>
      <c r="K301" s="112" t="s">
        <v>773</v>
      </c>
      <c r="L301" s="114"/>
      <c r="M301" s="114"/>
      <c r="N301" s="115">
        <v>44713</v>
      </c>
      <c r="O301" s="115">
        <v>45808</v>
      </c>
      <c r="P301" s="116">
        <f t="shared" si="78"/>
        <v>3</v>
      </c>
      <c r="Q301" s="110" t="s">
        <v>34</v>
      </c>
      <c r="R301" s="110">
        <f t="shared" ca="1" si="79"/>
        <v>29.203338295250902</v>
      </c>
      <c r="S301" s="110" t="str">
        <f t="shared" ca="1" si="80"/>
        <v>O</v>
      </c>
      <c r="T301" s="117">
        <v>1</v>
      </c>
      <c r="U301" s="117">
        <v>1</v>
      </c>
      <c r="V301" s="117">
        <v>1</v>
      </c>
      <c r="W301" s="117">
        <f t="shared" si="81"/>
        <v>3</v>
      </c>
      <c r="X301" s="117" t="str">
        <f t="shared" si="82"/>
        <v>Biasa</v>
      </c>
      <c r="Y301" s="111"/>
      <c r="Z301" s="122" t="s">
        <v>117</v>
      </c>
      <c r="AA301" s="115">
        <f>N301+270</f>
        <v>44983</v>
      </c>
      <c r="AB301" s="115">
        <f>+N301+635</f>
        <v>45348</v>
      </c>
      <c r="AC301" s="115"/>
      <c r="AD301" s="25"/>
      <c r="AE301" s="118"/>
      <c r="AF301" s="110" t="s">
        <v>774</v>
      </c>
      <c r="AG301" s="110" t="s">
        <v>117</v>
      </c>
      <c r="AH301" s="25"/>
      <c r="AI301" s="25"/>
      <c r="AJ301" s="25"/>
      <c r="AK301" s="25"/>
      <c r="AL301" s="25"/>
      <c r="AM301" s="25"/>
      <c r="AN301" s="33" t="s">
        <v>123</v>
      </c>
      <c r="AO301" s="119">
        <v>44720</v>
      </c>
      <c r="AP301" s="120"/>
      <c r="AQ301" s="4"/>
      <c r="AR301" s="4"/>
      <c r="AS301" s="4"/>
      <c r="AT301" s="4"/>
      <c r="AU301" s="4"/>
    </row>
    <row r="302" spans="1:49" s="121" customFormat="1" ht="111.95" hidden="1" customHeight="1" x14ac:dyDescent="0.25">
      <c r="A302" s="109">
        <v>169</v>
      </c>
      <c r="B302" s="109" t="s">
        <v>109</v>
      </c>
      <c r="C302" s="109" t="s">
        <v>1224</v>
      </c>
      <c r="D302" s="109">
        <v>6</v>
      </c>
      <c r="E302" s="109" t="s">
        <v>118</v>
      </c>
      <c r="F302" s="111" t="s">
        <v>779</v>
      </c>
      <c r="G302" s="112" t="s">
        <v>770</v>
      </c>
      <c r="H302" s="112" t="s">
        <v>780</v>
      </c>
      <c r="I302" s="113" t="s">
        <v>112</v>
      </c>
      <c r="J302" s="112" t="s">
        <v>772</v>
      </c>
      <c r="K302" s="112" t="s">
        <v>781</v>
      </c>
      <c r="L302" s="114"/>
      <c r="M302" s="114"/>
      <c r="N302" s="115">
        <v>44470</v>
      </c>
      <c r="O302" s="115">
        <v>45199</v>
      </c>
      <c r="P302" s="116">
        <f t="shared" si="78"/>
        <v>1.9972602739726026</v>
      </c>
      <c r="Q302" s="110" t="s">
        <v>34</v>
      </c>
      <c r="R302" s="110">
        <f t="shared" ca="1" si="79"/>
        <v>9.5581770049283215</v>
      </c>
      <c r="S302" s="110" t="str">
        <f t="shared" ca="1" si="80"/>
        <v>O</v>
      </c>
      <c r="T302" s="117">
        <v>1</v>
      </c>
      <c r="U302" s="117">
        <v>1</v>
      </c>
      <c r="V302" s="117">
        <v>1</v>
      </c>
      <c r="W302" s="117">
        <f t="shared" si="81"/>
        <v>3</v>
      </c>
      <c r="X302" s="117" t="str">
        <f t="shared" si="82"/>
        <v>Biasa</v>
      </c>
      <c r="Y302" s="111"/>
      <c r="Z302" s="122" t="s">
        <v>117</v>
      </c>
      <c r="AA302" s="115">
        <f>N302+270</f>
        <v>44740</v>
      </c>
      <c r="AB302" s="115"/>
      <c r="AC302" s="115"/>
      <c r="AD302" s="25"/>
      <c r="AE302" s="118"/>
      <c r="AF302" s="110" t="s">
        <v>774</v>
      </c>
      <c r="AG302" s="110" t="s">
        <v>117</v>
      </c>
      <c r="AH302" s="25"/>
      <c r="AI302" s="25"/>
      <c r="AJ302" s="25"/>
      <c r="AK302" s="25"/>
      <c r="AL302" s="25"/>
      <c r="AM302" s="25"/>
      <c r="AN302" s="33" t="s">
        <v>123</v>
      </c>
      <c r="AO302" s="119">
        <v>44469</v>
      </c>
      <c r="AP302" s="120"/>
      <c r="AQ302" s="4"/>
      <c r="AR302" s="4"/>
      <c r="AS302" s="4"/>
      <c r="AT302" s="4"/>
      <c r="AU302" s="4"/>
    </row>
    <row r="303" spans="1:49" s="121" customFormat="1" ht="111.95" hidden="1" customHeight="1" x14ac:dyDescent="0.25">
      <c r="A303" s="109">
        <v>170</v>
      </c>
      <c r="B303" s="109" t="s">
        <v>109</v>
      </c>
      <c r="C303" s="109" t="s">
        <v>1224</v>
      </c>
      <c r="D303" s="109">
        <v>7</v>
      </c>
      <c r="E303" s="109" t="s">
        <v>118</v>
      </c>
      <c r="F303" s="111" t="s">
        <v>808</v>
      </c>
      <c r="G303" s="112" t="s">
        <v>770</v>
      </c>
      <c r="H303" s="112" t="s">
        <v>809</v>
      </c>
      <c r="I303" s="113" t="s">
        <v>112</v>
      </c>
      <c r="J303" s="112" t="s">
        <v>772</v>
      </c>
      <c r="K303" s="112" t="s">
        <v>810</v>
      </c>
      <c r="L303" s="114"/>
      <c r="M303" s="114"/>
      <c r="N303" s="115">
        <v>44569</v>
      </c>
      <c r="O303" s="115">
        <v>45298</v>
      </c>
      <c r="P303" s="116">
        <f t="shared" si="78"/>
        <v>1.9972602739726026</v>
      </c>
      <c r="Q303" s="110" t="s">
        <v>34</v>
      </c>
      <c r="R303" s="110">
        <f t="shared" ca="1" si="79"/>
        <v>12.751725392025095</v>
      </c>
      <c r="S303" s="110" t="str">
        <f t="shared" ca="1" si="80"/>
        <v>O</v>
      </c>
      <c r="T303" s="117">
        <v>1</v>
      </c>
      <c r="U303" s="117">
        <v>1</v>
      </c>
      <c r="V303" s="117">
        <v>1</v>
      </c>
      <c r="W303" s="117">
        <f t="shared" si="81"/>
        <v>3</v>
      </c>
      <c r="X303" s="117" t="str">
        <f t="shared" si="82"/>
        <v>Biasa</v>
      </c>
      <c r="Y303" s="111"/>
      <c r="Z303" s="122" t="s">
        <v>117</v>
      </c>
      <c r="AA303" s="115">
        <f>N303+270</f>
        <v>44839</v>
      </c>
      <c r="AB303" s="115"/>
      <c r="AC303" s="115"/>
      <c r="AD303" s="25" t="s">
        <v>122</v>
      </c>
      <c r="AE303" s="118">
        <v>44257</v>
      </c>
      <c r="AF303" s="110" t="s">
        <v>774</v>
      </c>
      <c r="AG303" s="110" t="s">
        <v>117</v>
      </c>
      <c r="AH303" s="25"/>
      <c r="AI303" s="25"/>
      <c r="AJ303" s="25"/>
      <c r="AK303" s="25"/>
      <c r="AL303" s="25"/>
      <c r="AM303" s="25"/>
      <c r="AN303" s="33" t="s">
        <v>123</v>
      </c>
      <c r="AO303" s="119">
        <v>44658</v>
      </c>
      <c r="AP303" s="120"/>
      <c r="AQ303" s="4"/>
      <c r="AR303" s="4"/>
      <c r="AS303" s="4"/>
      <c r="AT303" s="4"/>
      <c r="AU303" s="4"/>
      <c r="AW303" s="121" t="s">
        <v>887</v>
      </c>
    </row>
    <row r="304" spans="1:49" s="121" customFormat="1" ht="111.95" hidden="1" customHeight="1" x14ac:dyDescent="0.25">
      <c r="A304" s="109">
        <v>171</v>
      </c>
      <c r="B304" s="109" t="s">
        <v>109</v>
      </c>
      <c r="C304" s="109" t="s">
        <v>1225</v>
      </c>
      <c r="D304" s="109">
        <v>1</v>
      </c>
      <c r="E304" s="109" t="s">
        <v>118</v>
      </c>
      <c r="F304" s="111" t="s">
        <v>733</v>
      </c>
      <c r="G304" s="112" t="s">
        <v>734</v>
      </c>
      <c r="H304" s="112" t="s">
        <v>735</v>
      </c>
      <c r="I304" s="113" t="s">
        <v>150</v>
      </c>
      <c r="J304" s="112" t="s">
        <v>736</v>
      </c>
      <c r="K304" s="112" t="s">
        <v>737</v>
      </c>
      <c r="L304" s="114">
        <v>9000</v>
      </c>
      <c r="M304" s="114" t="s">
        <v>738</v>
      </c>
      <c r="N304" s="115">
        <v>44820</v>
      </c>
      <c r="O304" s="115">
        <v>44941</v>
      </c>
      <c r="P304" s="116">
        <f t="shared" si="67"/>
        <v>0.33150684931506852</v>
      </c>
      <c r="Q304" s="110" t="s">
        <v>28</v>
      </c>
      <c r="R304" s="110">
        <f t="shared" ca="1" si="77"/>
        <v>1.235596359767031</v>
      </c>
      <c r="S304" s="110" t="str">
        <f t="shared" ca="1" si="68"/>
        <v>O</v>
      </c>
      <c r="T304" s="117">
        <v>3</v>
      </c>
      <c r="U304" s="117">
        <v>2</v>
      </c>
      <c r="V304" s="117">
        <v>2</v>
      </c>
      <c r="W304" s="117">
        <f t="shared" si="72"/>
        <v>7</v>
      </c>
      <c r="X304" s="117" t="str">
        <f t="shared" si="70"/>
        <v>Penting</v>
      </c>
      <c r="Y304" s="111"/>
      <c r="Z304" s="122"/>
      <c r="AA304" s="115"/>
      <c r="AB304" s="115"/>
      <c r="AC304" s="115"/>
      <c r="AD304" s="25"/>
      <c r="AE304" s="118"/>
      <c r="AF304" s="110" t="s">
        <v>232</v>
      </c>
      <c r="AG304" s="110" t="s">
        <v>117</v>
      </c>
      <c r="AH304" s="25"/>
      <c r="AI304" s="25"/>
      <c r="AJ304" s="25"/>
      <c r="AK304" s="25"/>
      <c r="AL304" s="25"/>
      <c r="AM304" s="25"/>
      <c r="AN304" s="33" t="s">
        <v>136</v>
      </c>
      <c r="AO304" s="119">
        <v>44819</v>
      </c>
      <c r="AP304" s="120"/>
      <c r="AQ304" s="4"/>
      <c r="AR304" s="4"/>
      <c r="AS304" s="4"/>
      <c r="AT304" s="4"/>
      <c r="AU304" s="4"/>
    </row>
    <row r="305" spans="1:47" s="121" customFormat="1" ht="111.95" hidden="1" customHeight="1" x14ac:dyDescent="0.25">
      <c r="A305" s="109">
        <v>172</v>
      </c>
      <c r="B305" s="109" t="s">
        <v>109</v>
      </c>
      <c r="C305" s="109" t="s">
        <v>1225</v>
      </c>
      <c r="D305" s="109">
        <v>2</v>
      </c>
      <c r="E305" s="109" t="s">
        <v>118</v>
      </c>
      <c r="F305" s="111" t="s">
        <v>739</v>
      </c>
      <c r="G305" s="112" t="s">
        <v>734</v>
      </c>
      <c r="H305" s="112" t="s">
        <v>740</v>
      </c>
      <c r="I305" s="113" t="s">
        <v>150</v>
      </c>
      <c r="J305" s="112" t="s">
        <v>736</v>
      </c>
      <c r="K305" s="112" t="s">
        <v>741</v>
      </c>
      <c r="L305" s="114">
        <v>9000</v>
      </c>
      <c r="M305" s="114" t="s">
        <v>738</v>
      </c>
      <c r="N305" s="115">
        <v>44820</v>
      </c>
      <c r="O305" s="115">
        <v>44941</v>
      </c>
      <c r="P305" s="116">
        <f t="shared" si="67"/>
        <v>0.33150684931506852</v>
      </c>
      <c r="Q305" s="110" t="s">
        <v>28</v>
      </c>
      <c r="R305" s="110">
        <f t="shared" ca="1" si="77"/>
        <v>1.235596359767031</v>
      </c>
      <c r="S305" s="110" t="str">
        <f t="shared" ca="1" si="68"/>
        <v>O</v>
      </c>
      <c r="T305" s="117">
        <v>3</v>
      </c>
      <c r="U305" s="117">
        <v>2</v>
      </c>
      <c r="V305" s="117">
        <v>2</v>
      </c>
      <c r="W305" s="117">
        <f t="shared" si="72"/>
        <v>7</v>
      </c>
      <c r="X305" s="117" t="str">
        <f t="shared" si="70"/>
        <v>Penting</v>
      </c>
      <c r="Y305" s="111"/>
      <c r="Z305" s="122"/>
      <c r="AA305" s="115"/>
      <c r="AB305" s="115"/>
      <c r="AC305" s="115"/>
      <c r="AD305" s="25"/>
      <c r="AE305" s="118"/>
      <c r="AF305" s="110" t="s">
        <v>232</v>
      </c>
      <c r="AG305" s="110" t="s">
        <v>117</v>
      </c>
      <c r="AH305" s="25"/>
      <c r="AI305" s="25"/>
      <c r="AJ305" s="25"/>
      <c r="AK305" s="25"/>
      <c r="AL305" s="25"/>
      <c r="AM305" s="25"/>
      <c r="AN305" s="33" t="s">
        <v>136</v>
      </c>
      <c r="AO305" s="119">
        <v>44819</v>
      </c>
      <c r="AP305" s="120"/>
      <c r="AQ305" s="4"/>
      <c r="AR305" s="4"/>
      <c r="AS305" s="4"/>
      <c r="AT305" s="4"/>
      <c r="AU305" s="4"/>
    </row>
    <row r="306" spans="1:47" s="121" customFormat="1" ht="111.95" hidden="1" customHeight="1" x14ac:dyDescent="0.25">
      <c r="A306" s="109">
        <v>173</v>
      </c>
      <c r="B306" s="109" t="s">
        <v>109</v>
      </c>
      <c r="C306" s="109" t="s">
        <v>1225</v>
      </c>
      <c r="D306" s="109">
        <v>3</v>
      </c>
      <c r="E306" s="109" t="s">
        <v>118</v>
      </c>
      <c r="F306" s="111" t="s">
        <v>742</v>
      </c>
      <c r="G306" s="112" t="s">
        <v>734</v>
      </c>
      <c r="H306" s="112" t="s">
        <v>743</v>
      </c>
      <c r="I306" s="113" t="s">
        <v>150</v>
      </c>
      <c r="J306" s="112" t="s">
        <v>736</v>
      </c>
      <c r="K306" s="112" t="s">
        <v>744</v>
      </c>
      <c r="L306" s="114">
        <v>9000</v>
      </c>
      <c r="M306" s="114" t="s">
        <v>738</v>
      </c>
      <c r="N306" s="115">
        <v>44820</v>
      </c>
      <c r="O306" s="115">
        <v>44941</v>
      </c>
      <c r="P306" s="116">
        <f t="shared" si="67"/>
        <v>0.33150684931506852</v>
      </c>
      <c r="Q306" s="110" t="s">
        <v>28</v>
      </c>
      <c r="R306" s="110">
        <f t="shared" ca="1" si="77"/>
        <v>1.235596359767031</v>
      </c>
      <c r="S306" s="110" t="str">
        <f t="shared" ca="1" si="68"/>
        <v>O</v>
      </c>
      <c r="T306" s="117">
        <v>3</v>
      </c>
      <c r="U306" s="117">
        <v>2</v>
      </c>
      <c r="V306" s="117">
        <v>2</v>
      </c>
      <c r="W306" s="117">
        <f t="shared" si="72"/>
        <v>7</v>
      </c>
      <c r="X306" s="117" t="str">
        <f t="shared" si="70"/>
        <v>Penting</v>
      </c>
      <c r="Y306" s="111"/>
      <c r="Z306" s="122"/>
      <c r="AA306" s="115"/>
      <c r="AB306" s="115"/>
      <c r="AC306" s="115"/>
      <c r="AD306" s="25"/>
      <c r="AE306" s="118"/>
      <c r="AF306" s="110" t="s">
        <v>232</v>
      </c>
      <c r="AG306" s="110" t="s">
        <v>117</v>
      </c>
      <c r="AH306" s="25"/>
      <c r="AI306" s="25"/>
      <c r="AJ306" s="25"/>
      <c r="AK306" s="25"/>
      <c r="AL306" s="25"/>
      <c r="AM306" s="25"/>
      <c r="AN306" s="33" t="s">
        <v>136</v>
      </c>
      <c r="AO306" s="119">
        <v>44819</v>
      </c>
      <c r="AP306" s="120"/>
      <c r="AQ306" s="4"/>
      <c r="AR306" s="4"/>
      <c r="AS306" s="4"/>
      <c r="AT306" s="4"/>
      <c r="AU306" s="4"/>
    </row>
    <row r="307" spans="1:47" s="121" customFormat="1" ht="111.95" hidden="1" customHeight="1" x14ac:dyDescent="0.25">
      <c r="A307" s="109">
        <v>174</v>
      </c>
      <c r="B307" s="109" t="s">
        <v>109</v>
      </c>
      <c r="C307" s="109" t="s">
        <v>1225</v>
      </c>
      <c r="D307" s="109">
        <v>4</v>
      </c>
      <c r="E307" s="109" t="s">
        <v>118</v>
      </c>
      <c r="F307" s="111" t="s">
        <v>748</v>
      </c>
      <c r="G307" s="112" t="s">
        <v>734</v>
      </c>
      <c r="H307" s="112" t="s">
        <v>749</v>
      </c>
      <c r="I307" s="113" t="s">
        <v>150</v>
      </c>
      <c r="J307" s="112" t="s">
        <v>736</v>
      </c>
      <c r="K307" s="112" t="s">
        <v>750</v>
      </c>
      <c r="L307" s="114">
        <v>9000</v>
      </c>
      <c r="M307" s="114" t="s">
        <v>738</v>
      </c>
      <c r="N307" s="115">
        <v>44820</v>
      </c>
      <c r="O307" s="115">
        <v>44941</v>
      </c>
      <c r="P307" s="116">
        <f t="shared" si="67"/>
        <v>0.33150684931506852</v>
      </c>
      <c r="Q307" s="110" t="s">
        <v>28</v>
      </c>
      <c r="R307" s="110">
        <f t="shared" ca="1" si="77"/>
        <v>1.235596359767031</v>
      </c>
      <c r="S307" s="110" t="str">
        <f t="shared" ca="1" si="68"/>
        <v>O</v>
      </c>
      <c r="T307" s="117">
        <v>3</v>
      </c>
      <c r="U307" s="117">
        <v>2</v>
      </c>
      <c r="V307" s="117">
        <v>2</v>
      </c>
      <c r="W307" s="117">
        <f t="shared" si="72"/>
        <v>7</v>
      </c>
      <c r="X307" s="117" t="str">
        <f t="shared" si="70"/>
        <v>Penting</v>
      </c>
      <c r="Y307" s="111"/>
      <c r="Z307" s="122"/>
      <c r="AA307" s="115"/>
      <c r="AB307" s="115"/>
      <c r="AC307" s="115"/>
      <c r="AD307" s="25"/>
      <c r="AE307" s="118"/>
      <c r="AF307" s="110" t="s">
        <v>232</v>
      </c>
      <c r="AG307" s="110" t="s">
        <v>117</v>
      </c>
      <c r="AH307" s="25"/>
      <c r="AI307" s="25"/>
      <c r="AJ307" s="25"/>
      <c r="AK307" s="25"/>
      <c r="AL307" s="25"/>
      <c r="AM307" s="25"/>
      <c r="AN307" s="33" t="s">
        <v>136</v>
      </c>
      <c r="AO307" s="119">
        <v>44819</v>
      </c>
      <c r="AP307" s="120"/>
      <c r="AQ307" s="4"/>
      <c r="AR307" s="4"/>
      <c r="AS307" s="4"/>
      <c r="AT307" s="4"/>
      <c r="AU307" s="4"/>
    </row>
    <row r="308" spans="1:47" s="121" customFormat="1" ht="111.95" hidden="1" customHeight="1" x14ac:dyDescent="0.25">
      <c r="A308" s="109">
        <v>175</v>
      </c>
      <c r="B308" s="109" t="s">
        <v>109</v>
      </c>
      <c r="C308" s="109" t="s">
        <v>1225</v>
      </c>
      <c r="D308" s="109">
        <v>5</v>
      </c>
      <c r="E308" s="109" t="s">
        <v>118</v>
      </c>
      <c r="F308" s="111" t="s">
        <v>754</v>
      </c>
      <c r="G308" s="112" t="s">
        <v>734</v>
      </c>
      <c r="H308" s="112" t="s">
        <v>755</v>
      </c>
      <c r="I308" s="113" t="s">
        <v>150</v>
      </c>
      <c r="J308" s="112" t="s">
        <v>736</v>
      </c>
      <c r="K308" s="112" t="s">
        <v>756</v>
      </c>
      <c r="L308" s="114">
        <v>9000</v>
      </c>
      <c r="M308" s="114" t="s">
        <v>738</v>
      </c>
      <c r="N308" s="115">
        <v>44820</v>
      </c>
      <c r="O308" s="115">
        <v>44941</v>
      </c>
      <c r="P308" s="116">
        <f t="shared" si="67"/>
        <v>0.33150684931506852</v>
      </c>
      <c r="Q308" s="110" t="s">
        <v>28</v>
      </c>
      <c r="R308" s="110">
        <f t="shared" ca="1" si="77"/>
        <v>1.235596359767031</v>
      </c>
      <c r="S308" s="110" t="str">
        <f t="shared" ca="1" si="68"/>
        <v>O</v>
      </c>
      <c r="T308" s="117">
        <v>3</v>
      </c>
      <c r="U308" s="117">
        <v>2</v>
      </c>
      <c r="V308" s="117">
        <v>2</v>
      </c>
      <c r="W308" s="117">
        <f t="shared" si="72"/>
        <v>7</v>
      </c>
      <c r="X308" s="117" t="str">
        <f t="shared" si="70"/>
        <v>Penting</v>
      </c>
      <c r="Y308" s="111"/>
      <c r="Z308" s="122"/>
      <c r="AA308" s="115"/>
      <c r="AB308" s="115"/>
      <c r="AC308" s="115"/>
      <c r="AD308" s="25"/>
      <c r="AE308" s="118"/>
      <c r="AF308" s="110" t="s">
        <v>232</v>
      </c>
      <c r="AG308" s="110" t="s">
        <v>117</v>
      </c>
      <c r="AH308" s="25"/>
      <c r="AI308" s="25"/>
      <c r="AJ308" s="25"/>
      <c r="AK308" s="25"/>
      <c r="AL308" s="25"/>
      <c r="AM308" s="25"/>
      <c r="AN308" s="33" t="s">
        <v>136</v>
      </c>
      <c r="AO308" s="119">
        <v>44819</v>
      </c>
      <c r="AP308" s="120"/>
      <c r="AQ308" s="4"/>
      <c r="AR308" s="4"/>
      <c r="AS308" s="4"/>
      <c r="AT308" s="4"/>
      <c r="AU308" s="4"/>
    </row>
    <row r="309" spans="1:47" s="121" customFormat="1" ht="111.95" hidden="1" customHeight="1" x14ac:dyDescent="0.25">
      <c r="A309" s="109">
        <v>176</v>
      </c>
      <c r="B309" s="109" t="s">
        <v>109</v>
      </c>
      <c r="C309" s="109" t="s">
        <v>1226</v>
      </c>
      <c r="D309" s="109">
        <v>1</v>
      </c>
      <c r="E309" s="109" t="s">
        <v>118</v>
      </c>
      <c r="F309" s="111" t="s">
        <v>757</v>
      </c>
      <c r="G309" s="112" t="s">
        <v>734</v>
      </c>
      <c r="H309" s="112" t="s">
        <v>758</v>
      </c>
      <c r="I309" s="113" t="s">
        <v>112</v>
      </c>
      <c r="J309" s="112" t="s">
        <v>736</v>
      </c>
      <c r="K309" s="112" t="s">
        <v>759</v>
      </c>
      <c r="L309" s="114">
        <v>9000</v>
      </c>
      <c r="M309" s="114" t="s">
        <v>738</v>
      </c>
      <c r="N309" s="115">
        <v>44820</v>
      </c>
      <c r="O309" s="115">
        <v>44941</v>
      </c>
      <c r="P309" s="116">
        <f t="shared" si="67"/>
        <v>0.33150684931506852</v>
      </c>
      <c r="Q309" s="110" t="s">
        <v>28</v>
      </c>
      <c r="R309" s="110">
        <f t="shared" ca="1" si="77"/>
        <v>1.235596359767031</v>
      </c>
      <c r="S309" s="110" t="str">
        <f t="shared" ca="1" si="68"/>
        <v>O</v>
      </c>
      <c r="T309" s="117">
        <v>3</v>
      </c>
      <c r="U309" s="117">
        <v>2</v>
      </c>
      <c r="V309" s="117">
        <v>2</v>
      </c>
      <c r="W309" s="117">
        <f t="shared" si="72"/>
        <v>7</v>
      </c>
      <c r="X309" s="117" t="str">
        <f t="shared" si="70"/>
        <v>Penting</v>
      </c>
      <c r="Y309" s="111"/>
      <c r="Z309" s="122"/>
      <c r="AA309" s="115"/>
      <c r="AB309" s="115"/>
      <c r="AC309" s="115"/>
      <c r="AD309" s="25" t="s">
        <v>122</v>
      </c>
      <c r="AE309" s="118">
        <v>44562</v>
      </c>
      <c r="AF309" s="110" t="s">
        <v>232</v>
      </c>
      <c r="AG309" s="110" t="s">
        <v>117</v>
      </c>
      <c r="AH309" s="25"/>
      <c r="AI309" s="25"/>
      <c r="AJ309" s="25"/>
      <c r="AK309" s="25"/>
      <c r="AL309" s="25"/>
      <c r="AM309" s="25"/>
      <c r="AN309" s="33" t="s">
        <v>136</v>
      </c>
      <c r="AO309" s="119">
        <v>44819</v>
      </c>
      <c r="AP309" s="120"/>
      <c r="AQ309" s="4"/>
      <c r="AR309" s="4"/>
      <c r="AS309" s="4"/>
      <c r="AT309" s="4"/>
      <c r="AU309" s="4"/>
    </row>
    <row r="310" spans="1:47" s="121" customFormat="1" ht="111.95" hidden="1" customHeight="1" x14ac:dyDescent="0.25">
      <c r="A310" s="109">
        <v>177</v>
      </c>
      <c r="B310" s="109" t="s">
        <v>109</v>
      </c>
      <c r="C310" s="109" t="s">
        <v>1226</v>
      </c>
      <c r="D310" s="109">
        <v>2</v>
      </c>
      <c r="E310" s="109" t="s">
        <v>118</v>
      </c>
      <c r="F310" s="111" t="s">
        <v>1257</v>
      </c>
      <c r="G310" s="112" t="s">
        <v>734</v>
      </c>
      <c r="H310" s="112" t="s">
        <v>1260</v>
      </c>
      <c r="I310" s="113" t="s">
        <v>112</v>
      </c>
      <c r="J310" s="112" t="s">
        <v>736</v>
      </c>
      <c r="K310" s="112" t="s">
        <v>1263</v>
      </c>
      <c r="L310" s="114">
        <v>9000</v>
      </c>
      <c r="M310" s="114" t="s">
        <v>738</v>
      </c>
      <c r="N310" s="115">
        <v>44896</v>
      </c>
      <c r="O310" s="115">
        <v>44941</v>
      </c>
      <c r="P310" s="116">
        <f t="shared" si="67"/>
        <v>0.12328767123287671</v>
      </c>
      <c r="Q310" s="110" t="s">
        <v>28</v>
      </c>
      <c r="R310" s="110">
        <f t="shared" ca="1" si="77"/>
        <v>1.235596359767031</v>
      </c>
      <c r="S310" s="110" t="str">
        <f t="shared" ca="1" si="68"/>
        <v>O</v>
      </c>
      <c r="T310" s="117">
        <v>3</v>
      </c>
      <c r="U310" s="117">
        <v>2</v>
      </c>
      <c r="V310" s="117">
        <v>2</v>
      </c>
      <c r="W310" s="117">
        <f t="shared" ref="W310:W312" si="83">T310+U310+V310</f>
        <v>7</v>
      </c>
      <c r="X310" s="117" t="str">
        <f t="shared" ref="X310:X312" si="84">IF(W310&gt;5,"Penting",IF(ISBLANK(W310),"","Biasa"))</f>
        <v>Penting</v>
      </c>
      <c r="Y310" s="111"/>
      <c r="Z310" s="122"/>
      <c r="AA310" s="115"/>
      <c r="AB310" s="115"/>
      <c r="AC310" s="115"/>
      <c r="AD310" s="25" t="s">
        <v>122</v>
      </c>
      <c r="AE310" s="118">
        <v>44896</v>
      </c>
      <c r="AF310" s="110" t="s">
        <v>232</v>
      </c>
      <c r="AG310" s="110" t="s">
        <v>117</v>
      </c>
      <c r="AH310" s="25"/>
      <c r="AI310" s="25"/>
      <c r="AJ310" s="25"/>
      <c r="AK310" s="25"/>
      <c r="AL310" s="25"/>
      <c r="AM310" s="25"/>
      <c r="AN310" s="33" t="s">
        <v>136</v>
      </c>
      <c r="AO310" s="119">
        <v>44890</v>
      </c>
      <c r="AP310" s="120"/>
      <c r="AQ310" s="4"/>
      <c r="AR310" s="4"/>
      <c r="AS310" s="4"/>
      <c r="AT310" s="4"/>
      <c r="AU310" s="4"/>
    </row>
    <row r="311" spans="1:47" s="121" customFormat="1" ht="111.95" hidden="1" customHeight="1" x14ac:dyDescent="0.25">
      <c r="A311" s="109">
        <v>178</v>
      </c>
      <c r="B311" s="109" t="s">
        <v>109</v>
      </c>
      <c r="C311" s="109" t="s">
        <v>1226</v>
      </c>
      <c r="D311" s="109">
        <v>3</v>
      </c>
      <c r="E311" s="109" t="s">
        <v>118</v>
      </c>
      <c r="F311" s="111" t="s">
        <v>1258</v>
      </c>
      <c r="G311" s="112" t="s">
        <v>734</v>
      </c>
      <c r="H311" s="112" t="s">
        <v>1261</v>
      </c>
      <c r="I311" s="113" t="s">
        <v>112</v>
      </c>
      <c r="J311" s="112" t="s">
        <v>736</v>
      </c>
      <c r="K311" s="112" t="s">
        <v>1264</v>
      </c>
      <c r="L311" s="114">
        <v>9000</v>
      </c>
      <c r="M311" s="114" t="s">
        <v>738</v>
      </c>
      <c r="N311" s="115">
        <v>44896</v>
      </c>
      <c r="O311" s="115">
        <v>44941</v>
      </c>
      <c r="P311" s="116">
        <f t="shared" ref="P311:P312" si="85">(O311-N311)/365</f>
        <v>0.12328767123287671</v>
      </c>
      <c r="Q311" s="110" t="s">
        <v>28</v>
      </c>
      <c r="R311" s="110">
        <f t="shared" ref="R311:R312" ca="1" si="86">(O311-NOW()+1)/31</f>
        <v>1.235596359767031</v>
      </c>
      <c r="S311" s="110" t="str">
        <f t="shared" ref="S311:S312" ca="1" si="87">IF(R311="End","Z",IF(R311="Cancel","C",IF(SUM(R311)&gt;0,"O",IF(ISBLANK(R311),"X",IF(SUM(R311)&lt;0,"Y",IF(SUM(R311),"-","O"))))))</f>
        <v>O</v>
      </c>
      <c r="T311" s="117">
        <v>3</v>
      </c>
      <c r="U311" s="117">
        <v>2</v>
      </c>
      <c r="V311" s="117">
        <v>2</v>
      </c>
      <c r="W311" s="117">
        <f t="shared" si="83"/>
        <v>7</v>
      </c>
      <c r="X311" s="117" t="str">
        <f t="shared" si="84"/>
        <v>Penting</v>
      </c>
      <c r="Y311" s="111"/>
      <c r="Z311" s="122"/>
      <c r="AA311" s="115"/>
      <c r="AB311" s="115"/>
      <c r="AC311" s="115"/>
      <c r="AD311" s="25" t="s">
        <v>122</v>
      </c>
      <c r="AE311" s="118">
        <v>44896</v>
      </c>
      <c r="AF311" s="110" t="s">
        <v>232</v>
      </c>
      <c r="AG311" s="110" t="s">
        <v>117</v>
      </c>
      <c r="AH311" s="25"/>
      <c r="AI311" s="25"/>
      <c r="AJ311" s="25"/>
      <c r="AK311" s="25"/>
      <c r="AL311" s="25"/>
      <c r="AM311" s="25"/>
      <c r="AN311" s="33" t="s">
        <v>136</v>
      </c>
      <c r="AO311" s="119">
        <v>44890</v>
      </c>
      <c r="AP311" s="120"/>
      <c r="AQ311" s="4"/>
      <c r="AR311" s="4"/>
      <c r="AS311" s="4"/>
      <c r="AT311" s="4"/>
      <c r="AU311" s="4"/>
    </row>
    <row r="312" spans="1:47" s="121" customFormat="1" ht="111.95" hidden="1" customHeight="1" x14ac:dyDescent="0.25">
      <c r="A312" s="109">
        <v>179</v>
      </c>
      <c r="B312" s="109" t="s">
        <v>109</v>
      </c>
      <c r="C312" s="109" t="s">
        <v>1226</v>
      </c>
      <c r="D312" s="109">
        <v>4</v>
      </c>
      <c r="E312" s="109" t="s">
        <v>118</v>
      </c>
      <c r="F312" s="111" t="s">
        <v>1259</v>
      </c>
      <c r="G312" s="112" t="s">
        <v>734</v>
      </c>
      <c r="H312" s="112" t="s">
        <v>1262</v>
      </c>
      <c r="I312" s="113" t="s">
        <v>112</v>
      </c>
      <c r="J312" s="112" t="s">
        <v>736</v>
      </c>
      <c r="K312" s="112" t="s">
        <v>1265</v>
      </c>
      <c r="L312" s="114">
        <v>9000</v>
      </c>
      <c r="M312" s="114" t="s">
        <v>738</v>
      </c>
      <c r="N312" s="115">
        <v>44896</v>
      </c>
      <c r="O312" s="115">
        <v>44941</v>
      </c>
      <c r="P312" s="116">
        <f t="shared" si="85"/>
        <v>0.12328767123287671</v>
      </c>
      <c r="Q312" s="110" t="s">
        <v>28</v>
      </c>
      <c r="R312" s="110">
        <f t="shared" ca="1" si="86"/>
        <v>1.235596359767031</v>
      </c>
      <c r="S312" s="110" t="str">
        <f t="shared" ca="1" si="87"/>
        <v>O</v>
      </c>
      <c r="T312" s="117">
        <v>3</v>
      </c>
      <c r="U312" s="117">
        <v>2</v>
      </c>
      <c r="V312" s="117">
        <v>2</v>
      </c>
      <c r="W312" s="117">
        <f t="shared" si="83"/>
        <v>7</v>
      </c>
      <c r="X312" s="117" t="str">
        <f t="shared" si="84"/>
        <v>Penting</v>
      </c>
      <c r="Y312" s="111"/>
      <c r="Z312" s="122"/>
      <c r="AA312" s="115"/>
      <c r="AB312" s="115"/>
      <c r="AC312" s="115"/>
      <c r="AD312" s="25" t="s">
        <v>122</v>
      </c>
      <c r="AE312" s="118">
        <v>44896</v>
      </c>
      <c r="AF312" s="110" t="s">
        <v>232</v>
      </c>
      <c r="AG312" s="110" t="s">
        <v>117</v>
      </c>
      <c r="AH312" s="25"/>
      <c r="AI312" s="25"/>
      <c r="AJ312" s="25"/>
      <c r="AK312" s="25"/>
      <c r="AL312" s="25"/>
      <c r="AM312" s="25"/>
      <c r="AN312" s="33" t="s">
        <v>136</v>
      </c>
      <c r="AO312" s="119">
        <v>44890</v>
      </c>
      <c r="AP312" s="120"/>
      <c r="AQ312" s="4"/>
      <c r="AR312" s="4"/>
      <c r="AS312" s="4"/>
      <c r="AT312" s="4"/>
      <c r="AU312" s="4"/>
    </row>
    <row r="313" spans="1:47" s="121" customFormat="1" ht="111.95" hidden="1" customHeight="1" x14ac:dyDescent="0.25">
      <c r="A313" s="109">
        <v>180</v>
      </c>
      <c r="B313" s="109" t="s">
        <v>109</v>
      </c>
      <c r="C313" s="109" t="s">
        <v>1226</v>
      </c>
      <c r="D313" s="109">
        <v>5</v>
      </c>
      <c r="E313" s="109" t="s">
        <v>118</v>
      </c>
      <c r="F313" s="111" t="s">
        <v>110</v>
      </c>
      <c r="G313" s="112" t="s">
        <v>229</v>
      </c>
      <c r="H313" s="112" t="s">
        <v>230</v>
      </c>
      <c r="I313" s="113" t="s">
        <v>112</v>
      </c>
      <c r="J313" s="112" t="s">
        <v>231</v>
      </c>
      <c r="K313" s="112" t="s">
        <v>110</v>
      </c>
      <c r="L313" s="114" t="s">
        <v>110</v>
      </c>
      <c r="M313" s="114"/>
      <c r="N313" s="115" t="s">
        <v>110</v>
      </c>
      <c r="O313" s="115" t="s">
        <v>110</v>
      </c>
      <c r="P313" s="116" t="s">
        <v>110</v>
      </c>
      <c r="Q313" s="110" t="s">
        <v>28</v>
      </c>
      <c r="R313" s="110" t="s">
        <v>110</v>
      </c>
      <c r="S313" s="110" t="str">
        <f t="shared" si="68"/>
        <v>O</v>
      </c>
      <c r="T313" s="117">
        <v>3</v>
      </c>
      <c r="U313" s="117">
        <v>3</v>
      </c>
      <c r="V313" s="117">
        <v>3</v>
      </c>
      <c r="W313" s="117">
        <f t="shared" si="72"/>
        <v>9</v>
      </c>
      <c r="X313" s="117" t="str">
        <f t="shared" si="70"/>
        <v>Penting</v>
      </c>
      <c r="Y313" s="111"/>
      <c r="Z313" s="122"/>
      <c r="AA313" s="115"/>
      <c r="AB313" s="115"/>
      <c r="AC313" s="115"/>
      <c r="AD313" s="25"/>
      <c r="AE313" s="118"/>
      <c r="AF313" s="110" t="s">
        <v>232</v>
      </c>
      <c r="AG313" s="110" t="s">
        <v>189</v>
      </c>
      <c r="AH313" s="25"/>
      <c r="AI313" s="25"/>
      <c r="AJ313" s="25"/>
      <c r="AK313" s="25"/>
      <c r="AL313" s="25"/>
      <c r="AM313" s="25"/>
      <c r="AN313" s="33"/>
      <c r="AO313" s="119"/>
      <c r="AP313" s="120"/>
      <c r="AQ313" s="4"/>
      <c r="AR313" s="4"/>
      <c r="AS313" s="4"/>
      <c r="AT313" s="4"/>
      <c r="AU313" s="4"/>
    </row>
    <row r="314" spans="1:47" s="121" customFormat="1" ht="111.95" hidden="1" customHeight="1" x14ac:dyDescent="0.25">
      <c r="A314" s="109">
        <v>181</v>
      </c>
      <c r="B314" s="109" t="s">
        <v>109</v>
      </c>
      <c r="C314" s="109" t="s">
        <v>1227</v>
      </c>
      <c r="D314" s="109">
        <v>1</v>
      </c>
      <c r="E314" s="109" t="s">
        <v>118</v>
      </c>
      <c r="F314" s="111"/>
      <c r="G314" s="112" t="s">
        <v>1041</v>
      </c>
      <c r="H314" s="112" t="s">
        <v>717</v>
      </c>
      <c r="I314" s="113" t="s">
        <v>112</v>
      </c>
      <c r="J314" s="112"/>
      <c r="K314" s="112" t="s">
        <v>1042</v>
      </c>
      <c r="L314" s="114"/>
      <c r="M314" s="114"/>
      <c r="N314" s="115">
        <v>42767</v>
      </c>
      <c r="O314" s="115">
        <v>44957</v>
      </c>
      <c r="P314" s="116">
        <f t="shared" ref="P314:P319" si="88">(O314-N314)/365</f>
        <v>6</v>
      </c>
      <c r="Q314" s="110" t="s">
        <v>47</v>
      </c>
      <c r="R314" s="110">
        <f t="shared" ref="R314:R319" ca="1" si="89">(O314-NOW()+1)/31</f>
        <v>1.7517253920250955</v>
      </c>
      <c r="S314" s="110" t="str">
        <f t="shared" ca="1" si="68"/>
        <v>O</v>
      </c>
      <c r="T314" s="117">
        <v>3</v>
      </c>
      <c r="U314" s="117">
        <v>3</v>
      </c>
      <c r="V314" s="117">
        <v>1</v>
      </c>
      <c r="W314" s="117">
        <f t="shared" si="72"/>
        <v>7</v>
      </c>
      <c r="X314" s="117" t="str">
        <f t="shared" si="70"/>
        <v>Penting</v>
      </c>
      <c r="Y314" s="111" t="s">
        <v>1043</v>
      </c>
      <c r="Z314" s="122" t="s">
        <v>117</v>
      </c>
      <c r="AA314" s="115">
        <f>N314+1730</f>
        <v>44497</v>
      </c>
      <c r="AB314" s="115">
        <f>N314+2095</f>
        <v>44862</v>
      </c>
      <c r="AC314" s="115"/>
      <c r="AD314" s="25"/>
      <c r="AE314" s="118"/>
      <c r="AF314" s="110" t="s">
        <v>1044</v>
      </c>
      <c r="AG314" s="110" t="s">
        <v>189</v>
      </c>
      <c r="AH314" s="25"/>
      <c r="AI314" s="25"/>
      <c r="AJ314" s="25"/>
      <c r="AK314" s="25"/>
      <c r="AL314" s="25"/>
      <c r="AM314" s="25"/>
      <c r="AN314" s="33"/>
      <c r="AO314" s="119"/>
      <c r="AP314" s="120"/>
      <c r="AQ314" s="4"/>
      <c r="AR314" s="4"/>
      <c r="AS314" s="4"/>
      <c r="AT314" s="4"/>
      <c r="AU314" s="4"/>
    </row>
    <row r="315" spans="1:47" s="121" customFormat="1" ht="111.95" hidden="1" customHeight="1" x14ac:dyDescent="0.25">
      <c r="A315" s="109">
        <v>182</v>
      </c>
      <c r="B315" s="109" t="s">
        <v>109</v>
      </c>
      <c r="C315" s="109" t="s">
        <v>1227</v>
      </c>
      <c r="D315" s="109">
        <v>2</v>
      </c>
      <c r="E315" s="109" t="s">
        <v>118</v>
      </c>
      <c r="F315" s="111"/>
      <c r="G315" s="112" t="s">
        <v>1045</v>
      </c>
      <c r="H315" s="112" t="s">
        <v>717</v>
      </c>
      <c r="I315" s="113" t="s">
        <v>112</v>
      </c>
      <c r="J315" s="112"/>
      <c r="K315" s="112" t="s">
        <v>1042</v>
      </c>
      <c r="L315" s="114">
        <v>5000</v>
      </c>
      <c r="M315" s="114" t="s">
        <v>132</v>
      </c>
      <c r="N315" s="115">
        <v>44743</v>
      </c>
      <c r="O315" s="115">
        <v>45107</v>
      </c>
      <c r="P315" s="116">
        <f t="shared" si="88"/>
        <v>0.99726027397260275</v>
      </c>
      <c r="Q315" s="110" t="s">
        <v>47</v>
      </c>
      <c r="R315" s="110">
        <f t="shared" ca="1" si="89"/>
        <v>6.5904350694444505</v>
      </c>
      <c r="S315" s="110" t="str">
        <f t="shared" ca="1" si="68"/>
        <v>O</v>
      </c>
      <c r="T315" s="117">
        <v>1</v>
      </c>
      <c r="U315" s="117">
        <v>3</v>
      </c>
      <c r="V315" s="117">
        <v>1</v>
      </c>
      <c r="W315" s="117">
        <f t="shared" si="72"/>
        <v>5</v>
      </c>
      <c r="X315" s="117" t="str">
        <f t="shared" si="70"/>
        <v>Biasa</v>
      </c>
      <c r="Y315" s="111"/>
      <c r="Z315" s="122"/>
      <c r="AA315" s="115"/>
      <c r="AB315" s="115"/>
      <c r="AC315" s="115"/>
      <c r="AD315" s="25"/>
      <c r="AE315" s="118"/>
      <c r="AF315" s="110" t="s">
        <v>1044</v>
      </c>
      <c r="AG315" s="110" t="s">
        <v>189</v>
      </c>
      <c r="AH315" s="25"/>
      <c r="AI315" s="25"/>
      <c r="AJ315" s="25"/>
      <c r="AK315" s="25"/>
      <c r="AL315" s="25"/>
      <c r="AM315" s="25"/>
      <c r="AN315" s="33" t="s">
        <v>1046</v>
      </c>
      <c r="AO315" s="119">
        <v>44718</v>
      </c>
      <c r="AP315" s="120"/>
      <c r="AQ315" s="4"/>
      <c r="AR315" s="4"/>
      <c r="AS315" s="4"/>
      <c r="AT315" s="4"/>
      <c r="AU315" s="4"/>
    </row>
    <row r="316" spans="1:47" s="121" customFormat="1" ht="111.95" hidden="1" customHeight="1" x14ac:dyDescent="0.25">
      <c r="A316" s="109">
        <v>183</v>
      </c>
      <c r="B316" s="109" t="s">
        <v>109</v>
      </c>
      <c r="C316" s="109" t="s">
        <v>1227</v>
      </c>
      <c r="D316" s="109">
        <v>3</v>
      </c>
      <c r="E316" s="109" t="s">
        <v>118</v>
      </c>
      <c r="F316" s="111"/>
      <c r="G316" s="112" t="s">
        <v>1047</v>
      </c>
      <c r="H316" s="112" t="s">
        <v>1048</v>
      </c>
      <c r="I316" s="113" t="s">
        <v>112</v>
      </c>
      <c r="J316" s="112" t="s">
        <v>1049</v>
      </c>
      <c r="K316" s="112" t="s">
        <v>1050</v>
      </c>
      <c r="L316" s="114"/>
      <c r="M316" s="114"/>
      <c r="N316" s="115">
        <v>44732</v>
      </c>
      <c r="O316" s="115">
        <v>45097</v>
      </c>
      <c r="P316" s="116">
        <f t="shared" si="88"/>
        <v>1</v>
      </c>
      <c r="Q316" s="110" t="s">
        <v>47</v>
      </c>
      <c r="R316" s="110">
        <f t="shared" ca="1" si="89"/>
        <v>6.2678544242831604</v>
      </c>
      <c r="S316" s="110" t="str">
        <f t="shared" ca="1" si="68"/>
        <v>O</v>
      </c>
      <c r="T316" s="117">
        <v>1</v>
      </c>
      <c r="U316" s="117">
        <v>3</v>
      </c>
      <c r="V316" s="117">
        <v>1</v>
      </c>
      <c r="W316" s="117">
        <f t="shared" si="72"/>
        <v>5</v>
      </c>
      <c r="X316" s="117" t="str">
        <f t="shared" si="70"/>
        <v>Biasa</v>
      </c>
      <c r="Y316" s="111"/>
      <c r="Z316" s="122"/>
      <c r="AA316" s="115"/>
      <c r="AB316" s="115"/>
      <c r="AC316" s="115"/>
      <c r="AD316" s="25"/>
      <c r="AE316" s="118"/>
      <c r="AF316" s="110" t="s">
        <v>1044</v>
      </c>
      <c r="AG316" s="110" t="s">
        <v>189</v>
      </c>
      <c r="AH316" s="25"/>
      <c r="AI316" s="25"/>
      <c r="AJ316" s="25"/>
      <c r="AK316" s="25"/>
      <c r="AL316" s="25"/>
      <c r="AM316" s="25"/>
      <c r="AN316" s="33" t="s">
        <v>1051</v>
      </c>
      <c r="AO316" s="119">
        <v>44732</v>
      </c>
      <c r="AP316" s="120"/>
      <c r="AQ316" s="4"/>
      <c r="AR316" s="4"/>
      <c r="AS316" s="4"/>
      <c r="AT316" s="4"/>
      <c r="AU316" s="4"/>
    </row>
    <row r="317" spans="1:47" s="121" customFormat="1" ht="111.95" hidden="1" customHeight="1" x14ac:dyDescent="0.25">
      <c r="A317" s="109">
        <v>184</v>
      </c>
      <c r="B317" s="109" t="s">
        <v>109</v>
      </c>
      <c r="C317" s="109" t="s">
        <v>1227</v>
      </c>
      <c r="D317" s="109">
        <v>4</v>
      </c>
      <c r="E317" s="109" t="s">
        <v>118</v>
      </c>
      <c r="F317" s="111" t="s">
        <v>1052</v>
      </c>
      <c r="G317" s="112" t="s">
        <v>1053</v>
      </c>
      <c r="H317" s="112" t="s">
        <v>823</v>
      </c>
      <c r="I317" s="113" t="s">
        <v>112</v>
      </c>
      <c r="J317" s="112" t="s">
        <v>1054</v>
      </c>
      <c r="K317" s="112" t="s">
        <v>1055</v>
      </c>
      <c r="L317" s="114"/>
      <c r="M317" s="114"/>
      <c r="N317" s="115">
        <v>44013</v>
      </c>
      <c r="O317" s="115">
        <v>45107</v>
      </c>
      <c r="P317" s="116">
        <f t="shared" si="88"/>
        <v>2.9972602739726026</v>
      </c>
      <c r="Q317" s="110" t="s">
        <v>47</v>
      </c>
      <c r="R317" s="110">
        <f t="shared" ca="1" si="89"/>
        <v>6.5904350694444505</v>
      </c>
      <c r="S317" s="110" t="str">
        <f t="shared" ca="1" si="68"/>
        <v>O</v>
      </c>
      <c r="T317" s="117">
        <v>3</v>
      </c>
      <c r="U317" s="117">
        <v>3</v>
      </c>
      <c r="V317" s="117">
        <v>1</v>
      </c>
      <c r="W317" s="117">
        <f t="shared" si="72"/>
        <v>7</v>
      </c>
      <c r="X317" s="117" t="str">
        <f t="shared" si="70"/>
        <v>Penting</v>
      </c>
      <c r="Y317" s="111" t="s">
        <v>1056</v>
      </c>
      <c r="Z317" s="122" t="s">
        <v>117</v>
      </c>
      <c r="AA317" s="115">
        <f>N317+635</f>
        <v>44648</v>
      </c>
      <c r="AB317" s="115"/>
      <c r="AC317" s="115"/>
      <c r="AD317" s="25"/>
      <c r="AE317" s="118"/>
      <c r="AF317" s="110" t="s">
        <v>1044</v>
      </c>
      <c r="AG317" s="110" t="s">
        <v>189</v>
      </c>
      <c r="AH317" s="25"/>
      <c r="AI317" s="25"/>
      <c r="AJ317" s="25"/>
      <c r="AK317" s="25"/>
      <c r="AL317" s="25"/>
      <c r="AM317" s="25"/>
      <c r="AN317" s="33"/>
      <c r="AO317" s="119"/>
      <c r="AP317" s="120"/>
      <c r="AQ317" s="4"/>
      <c r="AR317" s="4"/>
      <c r="AS317" s="4"/>
      <c r="AT317" s="4"/>
      <c r="AU317" s="4"/>
    </row>
    <row r="318" spans="1:47" s="121" customFormat="1" ht="111.95" hidden="1" customHeight="1" x14ac:dyDescent="0.25">
      <c r="A318" s="109">
        <v>185</v>
      </c>
      <c r="B318" s="109" t="s">
        <v>109</v>
      </c>
      <c r="C318" s="109" t="s">
        <v>1227</v>
      </c>
      <c r="D318" s="109">
        <v>5</v>
      </c>
      <c r="E318" s="109" t="s">
        <v>118</v>
      </c>
      <c r="F318" s="111"/>
      <c r="G318" s="112" t="s">
        <v>1057</v>
      </c>
      <c r="H318" s="112" t="s">
        <v>717</v>
      </c>
      <c r="I318" s="113" t="s">
        <v>112</v>
      </c>
      <c r="J318" s="112" t="s">
        <v>1058</v>
      </c>
      <c r="K318" s="112" t="s">
        <v>1059</v>
      </c>
      <c r="L318" s="114"/>
      <c r="M318" s="114"/>
      <c r="N318" s="115">
        <v>39845</v>
      </c>
      <c r="O318" s="115">
        <v>45322</v>
      </c>
      <c r="P318" s="116">
        <f t="shared" si="88"/>
        <v>15.005479452054795</v>
      </c>
      <c r="Q318" s="110" t="s">
        <v>47</v>
      </c>
      <c r="R318" s="110">
        <f t="shared" ca="1" si="89"/>
        <v>13.525918940412192</v>
      </c>
      <c r="S318" s="110" t="str">
        <f t="shared" ca="1" si="68"/>
        <v>O</v>
      </c>
      <c r="T318" s="117">
        <v>3</v>
      </c>
      <c r="U318" s="117">
        <v>3</v>
      </c>
      <c r="V318" s="117">
        <v>1</v>
      </c>
      <c r="W318" s="117">
        <f t="shared" si="72"/>
        <v>7</v>
      </c>
      <c r="X318" s="117" t="str">
        <f t="shared" si="70"/>
        <v>Penting</v>
      </c>
      <c r="Y318" s="111" t="s">
        <v>1060</v>
      </c>
      <c r="Z318" s="122" t="s">
        <v>117</v>
      </c>
      <c r="AA318" s="115">
        <f>N318+4650</f>
        <v>44495</v>
      </c>
      <c r="AB318" s="115">
        <f>N318+5015</f>
        <v>44860</v>
      </c>
      <c r="AC318" s="115">
        <f>+N318+5380</f>
        <v>45225</v>
      </c>
      <c r="AD318" s="25"/>
      <c r="AE318" s="118"/>
      <c r="AF318" s="110" t="s">
        <v>1044</v>
      </c>
      <c r="AG318" s="110" t="s">
        <v>189</v>
      </c>
      <c r="AH318" s="25"/>
      <c r="AI318" s="25"/>
      <c r="AJ318" s="25"/>
      <c r="AK318" s="25"/>
      <c r="AL318" s="25"/>
      <c r="AM318" s="25"/>
      <c r="AN318" s="33"/>
      <c r="AO318" s="119"/>
      <c r="AP318" s="120"/>
      <c r="AQ318" s="4"/>
      <c r="AR318" s="4"/>
      <c r="AS318" s="4"/>
      <c r="AT318" s="4"/>
      <c r="AU318" s="4"/>
    </row>
    <row r="319" spans="1:47" s="121" customFormat="1" ht="111.95" hidden="1" customHeight="1" x14ac:dyDescent="0.25">
      <c r="A319" s="109">
        <v>186</v>
      </c>
      <c r="B319" s="109" t="s">
        <v>109</v>
      </c>
      <c r="C319" s="109" t="s">
        <v>1227</v>
      </c>
      <c r="D319" s="109">
        <v>6</v>
      </c>
      <c r="E319" s="109" t="s">
        <v>118</v>
      </c>
      <c r="F319" s="111" t="s">
        <v>1061</v>
      </c>
      <c r="G319" s="112" t="s">
        <v>1062</v>
      </c>
      <c r="H319" s="112" t="s">
        <v>1048</v>
      </c>
      <c r="I319" s="113" t="s">
        <v>112</v>
      </c>
      <c r="J319" s="112" t="s">
        <v>1062</v>
      </c>
      <c r="K319" s="112" t="s">
        <v>1050</v>
      </c>
      <c r="L319" s="114"/>
      <c r="M319" s="114"/>
      <c r="N319" s="115">
        <v>44801</v>
      </c>
      <c r="O319" s="115">
        <v>45166</v>
      </c>
      <c r="P319" s="116">
        <f t="shared" si="88"/>
        <v>1</v>
      </c>
      <c r="Q319" s="110" t="s">
        <v>47</v>
      </c>
      <c r="R319" s="110">
        <f t="shared" ca="1" si="89"/>
        <v>8.4936608758960634</v>
      </c>
      <c r="S319" s="110" t="str">
        <f t="shared" ca="1" si="68"/>
        <v>O</v>
      </c>
      <c r="T319" s="117">
        <v>3</v>
      </c>
      <c r="U319" s="117">
        <v>3</v>
      </c>
      <c r="V319" s="117">
        <v>1</v>
      </c>
      <c r="W319" s="117">
        <f t="shared" si="72"/>
        <v>7</v>
      </c>
      <c r="X319" s="117" t="str">
        <f t="shared" si="70"/>
        <v>Penting</v>
      </c>
      <c r="Y319" s="111"/>
      <c r="Z319" s="122"/>
      <c r="AA319" s="115"/>
      <c r="AB319" s="115"/>
      <c r="AC319" s="115"/>
      <c r="AD319" s="25"/>
      <c r="AE319" s="118"/>
      <c r="AF319" s="110" t="s">
        <v>1044</v>
      </c>
      <c r="AG319" s="110" t="s">
        <v>189</v>
      </c>
      <c r="AH319" s="25"/>
      <c r="AI319" s="25"/>
      <c r="AJ319" s="25"/>
      <c r="AK319" s="25"/>
      <c r="AL319" s="25"/>
      <c r="AM319" s="25"/>
      <c r="AN319" s="33" t="s">
        <v>1051</v>
      </c>
      <c r="AO319" s="119">
        <v>44801</v>
      </c>
      <c r="AP319" s="120"/>
      <c r="AQ319" s="4"/>
      <c r="AR319" s="4"/>
      <c r="AS319" s="4"/>
      <c r="AT319" s="4"/>
      <c r="AU319" s="4"/>
    </row>
    <row r="320" spans="1:47" s="121" customFormat="1" ht="111.95" hidden="1" customHeight="1" x14ac:dyDescent="0.25">
      <c r="A320" s="109">
        <v>187</v>
      </c>
      <c r="B320" s="109" t="s">
        <v>109</v>
      </c>
      <c r="C320" s="109" t="s">
        <v>1227</v>
      </c>
      <c r="D320" s="109">
        <v>7</v>
      </c>
      <c r="E320" s="109" t="s">
        <v>118</v>
      </c>
      <c r="F320" s="111" t="s">
        <v>1067</v>
      </c>
      <c r="G320" s="112" t="s">
        <v>1068</v>
      </c>
      <c r="H320" s="112" t="s">
        <v>1069</v>
      </c>
      <c r="I320" s="113" t="s">
        <v>112</v>
      </c>
      <c r="J320" s="112" t="s">
        <v>1070</v>
      </c>
      <c r="K320" s="112"/>
      <c r="L320" s="114"/>
      <c r="M320" s="114"/>
      <c r="N320" s="115">
        <v>44827</v>
      </c>
      <c r="O320" s="115" t="s">
        <v>110</v>
      </c>
      <c r="P320" s="116" t="s">
        <v>110</v>
      </c>
      <c r="Q320" s="110" t="s">
        <v>47</v>
      </c>
      <c r="R320" s="110" t="s">
        <v>110</v>
      </c>
      <c r="S320" s="110" t="str">
        <f t="shared" si="68"/>
        <v>O</v>
      </c>
      <c r="T320" s="117">
        <v>3</v>
      </c>
      <c r="U320" s="117">
        <v>3</v>
      </c>
      <c r="V320" s="117">
        <v>1</v>
      </c>
      <c r="W320" s="117">
        <f t="shared" si="72"/>
        <v>7</v>
      </c>
      <c r="X320" s="117" t="str">
        <f t="shared" si="70"/>
        <v>Penting</v>
      </c>
      <c r="Y320" s="111"/>
      <c r="Z320" s="122"/>
      <c r="AA320" s="115"/>
      <c r="AB320" s="115"/>
      <c r="AC320" s="115"/>
      <c r="AD320" s="25" t="s">
        <v>122</v>
      </c>
      <c r="AE320" s="118">
        <v>44805</v>
      </c>
      <c r="AF320" s="110" t="s">
        <v>1044</v>
      </c>
      <c r="AG320" s="110" t="s">
        <v>117</v>
      </c>
      <c r="AH320" s="25"/>
      <c r="AI320" s="25"/>
      <c r="AJ320" s="25"/>
      <c r="AK320" s="25"/>
      <c r="AL320" s="25"/>
      <c r="AM320" s="25"/>
      <c r="AN320" s="33" t="s">
        <v>136</v>
      </c>
      <c r="AO320" s="119">
        <v>44827</v>
      </c>
      <c r="AP320" s="120"/>
      <c r="AQ320" s="4"/>
      <c r="AR320" s="4"/>
      <c r="AS320" s="4"/>
      <c r="AT320" s="4"/>
      <c r="AU320" s="4"/>
    </row>
    <row r="321" spans="1:48" s="121" customFormat="1" ht="111.95" hidden="1" customHeight="1" x14ac:dyDescent="0.25">
      <c r="A321" s="109">
        <v>188</v>
      </c>
      <c r="B321" s="109" t="s">
        <v>109</v>
      </c>
      <c r="C321" s="109" t="s">
        <v>1227</v>
      </c>
      <c r="D321" s="109">
        <v>8</v>
      </c>
      <c r="E321" s="109" t="s">
        <v>118</v>
      </c>
      <c r="F321" s="111"/>
      <c r="G321" s="112" t="s">
        <v>905</v>
      </c>
      <c r="H321" s="112" t="s">
        <v>717</v>
      </c>
      <c r="I321" s="113" t="s">
        <v>112</v>
      </c>
      <c r="J321" s="112" t="s">
        <v>906</v>
      </c>
      <c r="K321" s="112"/>
      <c r="L321" s="114"/>
      <c r="M321" s="114"/>
      <c r="N321" s="115">
        <v>39845</v>
      </c>
      <c r="O321" s="115">
        <v>44957</v>
      </c>
      <c r="P321" s="116">
        <f>(O321-N321)/365</f>
        <v>14.005479452054795</v>
      </c>
      <c r="Q321" s="110" t="s">
        <v>39</v>
      </c>
      <c r="R321" s="110">
        <f ca="1">(O321-NOW()+1)/31</f>
        <v>1.7517253920250955</v>
      </c>
      <c r="S321" s="110" t="str">
        <f t="shared" ref="S321:S345" ca="1" si="90">IF(R321="End","Z",IF(R321="Cancel","C",IF(SUM(R321)&gt;0,"O",IF(ISBLANK(R321),"X",IF(SUM(R321)&lt;0,"Y",IF(SUM(R321),"-","O"))))))</f>
        <v>O</v>
      </c>
      <c r="T321" s="117">
        <v>3</v>
      </c>
      <c r="U321" s="117">
        <v>3</v>
      </c>
      <c r="V321" s="117">
        <v>3</v>
      </c>
      <c r="W321" s="117">
        <f t="shared" ref="W321:W344" si="91">T321+U321+V321</f>
        <v>9</v>
      </c>
      <c r="X321" s="117" t="str">
        <f t="shared" ref="X321:X345" si="92">IF(W321&gt;5,"Penting",IF(ISBLANK(W321),"","Biasa"))</f>
        <v>Penting</v>
      </c>
      <c r="Y321" s="111" t="s">
        <v>907</v>
      </c>
      <c r="Z321" s="122" t="s">
        <v>117</v>
      </c>
      <c r="AA321" s="115">
        <f>N321+4650</f>
        <v>44495</v>
      </c>
      <c r="AB321" s="115">
        <f>N321+5015</f>
        <v>44860</v>
      </c>
      <c r="AC321" s="115"/>
      <c r="AD321" s="25" t="s">
        <v>154</v>
      </c>
      <c r="AE321" s="118">
        <v>43497</v>
      </c>
      <c r="AF321" s="110" t="s">
        <v>908</v>
      </c>
      <c r="AG321" s="110" t="s">
        <v>189</v>
      </c>
      <c r="AH321" s="25"/>
      <c r="AI321" s="25"/>
      <c r="AJ321" s="25"/>
      <c r="AK321" s="25"/>
      <c r="AL321" s="25"/>
      <c r="AM321" s="25"/>
      <c r="AN321" s="33"/>
      <c r="AO321" s="119"/>
      <c r="AP321" s="120"/>
      <c r="AQ321" s="126"/>
      <c r="AR321" s="4"/>
      <c r="AS321" s="4"/>
      <c r="AT321" s="4"/>
      <c r="AU321" s="4"/>
    </row>
    <row r="322" spans="1:48" s="121" customFormat="1" ht="111.95" hidden="1" customHeight="1" x14ac:dyDescent="0.25">
      <c r="A322" s="109">
        <v>189</v>
      </c>
      <c r="B322" s="109" t="s">
        <v>109</v>
      </c>
      <c r="C322" s="109" t="s">
        <v>1227</v>
      </c>
      <c r="D322" s="109">
        <v>9</v>
      </c>
      <c r="E322" s="109" t="s">
        <v>118</v>
      </c>
      <c r="F322" s="111" t="s">
        <v>909</v>
      </c>
      <c r="G322" s="112" t="s">
        <v>910</v>
      </c>
      <c r="H322" s="112" t="s">
        <v>823</v>
      </c>
      <c r="I322" s="113" t="s">
        <v>112</v>
      </c>
      <c r="J322" s="112" t="s">
        <v>911</v>
      </c>
      <c r="K322" s="112"/>
      <c r="L322" s="114"/>
      <c r="M322" s="114"/>
      <c r="N322" s="115">
        <v>40119</v>
      </c>
      <c r="O322" s="115" t="s">
        <v>110</v>
      </c>
      <c r="P322" s="116" t="s">
        <v>110</v>
      </c>
      <c r="Q322" s="110" t="s">
        <v>39</v>
      </c>
      <c r="R322" s="110" t="s">
        <v>110</v>
      </c>
      <c r="S322" s="110" t="str">
        <f t="shared" si="90"/>
        <v>O</v>
      </c>
      <c r="T322" s="117">
        <v>3</v>
      </c>
      <c r="U322" s="117">
        <v>3</v>
      </c>
      <c r="V322" s="117">
        <v>3</v>
      </c>
      <c r="W322" s="117">
        <f t="shared" si="91"/>
        <v>9</v>
      </c>
      <c r="X322" s="117" t="str">
        <f t="shared" si="92"/>
        <v>Penting</v>
      </c>
      <c r="Y322" s="111" t="s">
        <v>912</v>
      </c>
      <c r="Z322" s="122" t="s">
        <v>117</v>
      </c>
      <c r="AA322" s="115">
        <f>N322+4650</f>
        <v>44769</v>
      </c>
      <c r="AB322" s="115">
        <f>N322+5015</f>
        <v>45134</v>
      </c>
      <c r="AC322" s="115"/>
      <c r="AD322" s="25"/>
      <c r="AE322" s="118"/>
      <c r="AF322" s="110" t="s">
        <v>908</v>
      </c>
      <c r="AG322" s="110" t="s">
        <v>189</v>
      </c>
      <c r="AH322" s="25"/>
      <c r="AI322" s="25"/>
      <c r="AJ322" s="25"/>
      <c r="AK322" s="25"/>
      <c r="AL322" s="25"/>
      <c r="AM322" s="25"/>
      <c r="AN322" s="33"/>
      <c r="AO322" s="119"/>
      <c r="AP322" s="120"/>
      <c r="AQ322" s="126"/>
      <c r="AR322" s="4"/>
      <c r="AS322" s="4"/>
      <c r="AT322" s="4"/>
      <c r="AU322" s="4"/>
    </row>
    <row r="323" spans="1:48" s="121" customFormat="1" ht="111.95" hidden="1" customHeight="1" x14ac:dyDescent="0.25">
      <c r="A323" s="109">
        <v>190</v>
      </c>
      <c r="B323" s="109" t="s">
        <v>109</v>
      </c>
      <c r="C323" s="109" t="s">
        <v>1227</v>
      </c>
      <c r="D323" s="109">
        <v>9</v>
      </c>
      <c r="E323" s="109" t="s">
        <v>118</v>
      </c>
      <c r="F323" s="111" t="s">
        <v>913</v>
      </c>
      <c r="G323" s="112" t="s">
        <v>914</v>
      </c>
      <c r="H323" s="112" t="s">
        <v>823</v>
      </c>
      <c r="I323" s="113" t="s">
        <v>112</v>
      </c>
      <c r="J323" s="112" t="s">
        <v>911</v>
      </c>
      <c r="K323" s="112"/>
      <c r="L323" s="114">
        <v>64061</v>
      </c>
      <c r="M323" s="114" t="s">
        <v>915</v>
      </c>
      <c r="N323" s="115">
        <v>44743</v>
      </c>
      <c r="O323" s="115" t="s">
        <v>110</v>
      </c>
      <c r="P323" s="116" t="s">
        <v>110</v>
      </c>
      <c r="Q323" s="110" t="s">
        <v>39</v>
      </c>
      <c r="R323" s="110" t="s">
        <v>110</v>
      </c>
      <c r="S323" s="110" t="str">
        <f t="shared" si="90"/>
        <v>O</v>
      </c>
      <c r="T323" s="117">
        <v>3</v>
      </c>
      <c r="U323" s="117">
        <v>3</v>
      </c>
      <c r="V323" s="117">
        <v>3</v>
      </c>
      <c r="W323" s="117">
        <f t="shared" si="91"/>
        <v>9</v>
      </c>
      <c r="X323" s="117" t="str">
        <f t="shared" si="92"/>
        <v>Penting</v>
      </c>
      <c r="Y323" s="111" t="s">
        <v>916</v>
      </c>
      <c r="Z323" s="122" t="s">
        <v>117</v>
      </c>
      <c r="AA323" s="115">
        <f>N323+270</f>
        <v>45013</v>
      </c>
      <c r="AB323" s="115">
        <f>+N323+635</f>
        <v>45378</v>
      </c>
      <c r="AC323" s="115">
        <f>N323+1000</f>
        <v>45743</v>
      </c>
      <c r="AD323" s="25"/>
      <c r="AE323" s="118"/>
      <c r="AF323" s="110" t="s">
        <v>908</v>
      </c>
      <c r="AG323" s="110" t="s">
        <v>189</v>
      </c>
      <c r="AH323" s="25"/>
      <c r="AI323" s="25"/>
      <c r="AJ323" s="25"/>
      <c r="AK323" s="25"/>
      <c r="AL323" s="25"/>
      <c r="AM323" s="25"/>
      <c r="AN323" s="33" t="s">
        <v>136</v>
      </c>
      <c r="AO323" s="119">
        <v>44764</v>
      </c>
      <c r="AP323" s="120"/>
      <c r="AQ323" s="126"/>
      <c r="AR323" s="4"/>
      <c r="AS323" s="4"/>
      <c r="AT323" s="4"/>
      <c r="AU323" s="4"/>
    </row>
    <row r="324" spans="1:48" s="121" customFormat="1" ht="111.95" hidden="1" customHeight="1" x14ac:dyDescent="0.25">
      <c r="A324" s="109">
        <v>191</v>
      </c>
      <c r="B324" s="109" t="s">
        <v>109</v>
      </c>
      <c r="C324" s="109" t="s">
        <v>1227</v>
      </c>
      <c r="D324" s="109">
        <v>10</v>
      </c>
      <c r="E324" s="109" t="s">
        <v>118</v>
      </c>
      <c r="F324" s="111" t="s">
        <v>917</v>
      </c>
      <c r="G324" s="112" t="s">
        <v>914</v>
      </c>
      <c r="H324" s="112" t="s">
        <v>918</v>
      </c>
      <c r="I324" s="113" t="s">
        <v>150</v>
      </c>
      <c r="J324" s="112" t="s">
        <v>919</v>
      </c>
      <c r="K324" s="112"/>
      <c r="L324" s="114"/>
      <c r="M324" s="114"/>
      <c r="N324" s="115">
        <v>44846</v>
      </c>
      <c r="O324" s="115">
        <v>45210</v>
      </c>
      <c r="P324" s="116">
        <f>(O324-N324)/365</f>
        <v>0.99726027397260275</v>
      </c>
      <c r="Q324" s="110" t="s">
        <v>39</v>
      </c>
      <c r="R324" s="110">
        <f ca="1">(O324-NOW()+1)/31</f>
        <v>9.9130157146057414</v>
      </c>
      <c r="S324" s="110" t="str">
        <f t="shared" ca="1" si="90"/>
        <v>O</v>
      </c>
      <c r="T324" s="117">
        <v>3</v>
      </c>
      <c r="U324" s="117">
        <v>3</v>
      </c>
      <c r="V324" s="117">
        <v>3</v>
      </c>
      <c r="W324" s="117">
        <f t="shared" si="91"/>
        <v>9</v>
      </c>
      <c r="X324" s="117" t="str">
        <f t="shared" si="92"/>
        <v>Penting</v>
      </c>
      <c r="Y324" s="111"/>
      <c r="Z324" s="122"/>
      <c r="AA324" s="115"/>
      <c r="AB324" s="115"/>
      <c r="AC324" s="115"/>
      <c r="AD324" s="25"/>
      <c r="AE324" s="118"/>
      <c r="AF324" s="110" t="s">
        <v>908</v>
      </c>
      <c r="AG324" s="110" t="s">
        <v>117</v>
      </c>
      <c r="AH324" s="25"/>
      <c r="AI324" s="25"/>
      <c r="AJ324" s="25"/>
      <c r="AK324" s="25"/>
      <c r="AL324" s="25"/>
      <c r="AM324" s="25"/>
      <c r="AN324" s="33" t="s">
        <v>136</v>
      </c>
      <c r="AO324" s="119">
        <v>44851</v>
      </c>
      <c r="AP324" s="120"/>
      <c r="AQ324" s="126"/>
      <c r="AR324" s="4"/>
      <c r="AS324" s="4"/>
      <c r="AT324" s="4"/>
      <c r="AU324" s="4"/>
    </row>
    <row r="325" spans="1:48" s="121" customFormat="1" ht="111.95" hidden="1" customHeight="1" x14ac:dyDescent="0.25">
      <c r="A325" s="109">
        <v>192</v>
      </c>
      <c r="B325" s="109" t="s">
        <v>109</v>
      </c>
      <c r="C325" s="109" t="s">
        <v>1227</v>
      </c>
      <c r="D325" s="109">
        <v>11</v>
      </c>
      <c r="E325" s="109" t="s">
        <v>118</v>
      </c>
      <c r="F325" s="111"/>
      <c r="G325" s="112" t="s">
        <v>920</v>
      </c>
      <c r="H325" s="112" t="s">
        <v>921</v>
      </c>
      <c r="I325" s="113" t="s">
        <v>112</v>
      </c>
      <c r="J325" s="112" t="s">
        <v>922</v>
      </c>
      <c r="K325" s="112"/>
      <c r="L325" s="114"/>
      <c r="M325" s="114"/>
      <c r="N325" s="115">
        <v>43283</v>
      </c>
      <c r="O325" s="115">
        <v>45108</v>
      </c>
      <c r="P325" s="116">
        <f>(O325-N325)/365</f>
        <v>5</v>
      </c>
      <c r="Q325" s="110" t="s">
        <v>39</v>
      </c>
      <c r="R325" s="110">
        <f ca="1">(O325-NOW()+1)/31</f>
        <v>6.6226931339605795</v>
      </c>
      <c r="S325" s="110" t="str">
        <f t="shared" ca="1" si="90"/>
        <v>O</v>
      </c>
      <c r="T325" s="117">
        <v>3</v>
      </c>
      <c r="U325" s="117">
        <v>3</v>
      </c>
      <c r="V325" s="117">
        <v>3</v>
      </c>
      <c r="W325" s="117">
        <f t="shared" si="91"/>
        <v>9</v>
      </c>
      <c r="X325" s="117" t="str">
        <f t="shared" si="92"/>
        <v>Penting</v>
      </c>
      <c r="Y325" s="111" t="s">
        <v>486</v>
      </c>
      <c r="Z325" s="122" t="s">
        <v>117</v>
      </c>
      <c r="AA325" s="115">
        <f>N325+1365</f>
        <v>44648</v>
      </c>
      <c r="AB325" s="115">
        <f>+N325+1730</f>
        <v>45013</v>
      </c>
      <c r="AC325" s="115"/>
      <c r="AD325" s="25"/>
      <c r="AE325" s="118"/>
      <c r="AF325" s="110" t="s">
        <v>908</v>
      </c>
      <c r="AG325" s="110" t="s">
        <v>117</v>
      </c>
      <c r="AH325" s="25"/>
      <c r="AI325" s="25"/>
      <c r="AJ325" s="25"/>
      <c r="AK325" s="25"/>
      <c r="AL325" s="25"/>
      <c r="AM325" s="25"/>
      <c r="AN325" s="33"/>
      <c r="AO325" s="119"/>
      <c r="AP325" s="120"/>
      <c r="AQ325" s="126"/>
      <c r="AR325" s="4"/>
      <c r="AS325" s="4"/>
    </row>
    <row r="326" spans="1:48" s="121" customFormat="1" ht="111.95" hidden="1" customHeight="1" x14ac:dyDescent="0.25">
      <c r="A326" s="109">
        <v>193</v>
      </c>
      <c r="B326" s="109" t="s">
        <v>109</v>
      </c>
      <c r="C326" s="109" t="s">
        <v>1227</v>
      </c>
      <c r="D326" s="109">
        <v>12</v>
      </c>
      <c r="E326" s="109" t="s">
        <v>118</v>
      </c>
      <c r="F326" s="111"/>
      <c r="G326" s="112" t="s">
        <v>905</v>
      </c>
      <c r="H326" s="112" t="s">
        <v>927</v>
      </c>
      <c r="I326" s="113" t="s">
        <v>112</v>
      </c>
      <c r="J326" s="112" t="s">
        <v>928</v>
      </c>
      <c r="K326" s="112"/>
      <c r="L326" s="114"/>
      <c r="M326" s="114"/>
      <c r="N326" s="115">
        <v>39845</v>
      </c>
      <c r="O326" s="115" t="s">
        <v>110</v>
      </c>
      <c r="P326" s="116" t="s">
        <v>110</v>
      </c>
      <c r="Q326" s="110" t="s">
        <v>39</v>
      </c>
      <c r="R326" s="110" t="s">
        <v>110</v>
      </c>
      <c r="S326" s="110" t="str">
        <f t="shared" si="90"/>
        <v>O</v>
      </c>
      <c r="T326" s="117">
        <v>3</v>
      </c>
      <c r="U326" s="117">
        <v>3</v>
      </c>
      <c r="V326" s="117">
        <v>3</v>
      </c>
      <c r="W326" s="117">
        <f t="shared" si="91"/>
        <v>9</v>
      </c>
      <c r="X326" s="117" t="str">
        <f t="shared" si="92"/>
        <v>Penting</v>
      </c>
      <c r="Y326" s="111"/>
      <c r="Z326" s="122" t="s">
        <v>117</v>
      </c>
      <c r="AA326" s="115">
        <f>N326+4650</f>
        <v>44495</v>
      </c>
      <c r="AB326" s="115">
        <f>N326+5015</f>
        <v>44860</v>
      </c>
      <c r="AC326" s="115"/>
      <c r="AD326" s="25" t="s">
        <v>122</v>
      </c>
      <c r="AE326" s="118">
        <v>43556</v>
      </c>
      <c r="AF326" s="110" t="s">
        <v>908</v>
      </c>
      <c r="AG326" s="110" t="s">
        <v>189</v>
      </c>
      <c r="AH326" s="25"/>
      <c r="AI326" s="25"/>
      <c r="AJ326" s="25"/>
      <c r="AK326" s="25"/>
      <c r="AL326" s="25"/>
      <c r="AM326" s="25"/>
      <c r="AN326" s="33"/>
      <c r="AO326" s="119"/>
      <c r="AP326" s="120"/>
      <c r="AQ326" s="126"/>
      <c r="AR326" s="4"/>
      <c r="AS326" s="4"/>
      <c r="AT326" s="124"/>
      <c r="AU326" s="124"/>
      <c r="AV326" s="124"/>
    </row>
    <row r="327" spans="1:48" s="121" customFormat="1" ht="111.95" hidden="1" customHeight="1" x14ac:dyDescent="0.25">
      <c r="A327" s="109">
        <v>194</v>
      </c>
      <c r="B327" s="109" t="s">
        <v>109</v>
      </c>
      <c r="C327" s="109" t="s">
        <v>1227</v>
      </c>
      <c r="D327" s="109">
        <v>13</v>
      </c>
      <c r="E327" s="109" t="s">
        <v>118</v>
      </c>
      <c r="F327" s="111" t="s">
        <v>110</v>
      </c>
      <c r="G327" s="112" t="s">
        <v>929</v>
      </c>
      <c r="H327" s="112" t="s">
        <v>930</v>
      </c>
      <c r="I327" s="113" t="s">
        <v>112</v>
      </c>
      <c r="J327" s="112" t="s">
        <v>931</v>
      </c>
      <c r="K327" s="112"/>
      <c r="L327" s="114"/>
      <c r="M327" s="114"/>
      <c r="N327" s="115">
        <v>42461</v>
      </c>
      <c r="O327" s="115">
        <v>45016</v>
      </c>
      <c r="P327" s="116">
        <f>(O327-N327)/365</f>
        <v>7</v>
      </c>
      <c r="Q327" s="110" t="s">
        <v>39</v>
      </c>
      <c r="R327" s="110">
        <f ca="1">(O327-NOW()+1)/31</f>
        <v>3.6549511984767085</v>
      </c>
      <c r="S327" s="110" t="str">
        <f t="shared" ca="1" si="90"/>
        <v>O</v>
      </c>
      <c r="T327" s="117">
        <v>3</v>
      </c>
      <c r="U327" s="117">
        <v>3</v>
      </c>
      <c r="V327" s="117">
        <v>2</v>
      </c>
      <c r="W327" s="117">
        <f t="shared" si="91"/>
        <v>8</v>
      </c>
      <c r="X327" s="117" t="str">
        <f t="shared" si="92"/>
        <v>Penting</v>
      </c>
      <c r="Y327" s="111" t="s">
        <v>865</v>
      </c>
      <c r="Z327" s="122" t="s">
        <v>117</v>
      </c>
      <c r="AA327" s="115">
        <f>N327+2095</f>
        <v>44556</v>
      </c>
      <c r="AB327" s="115">
        <f>N327+2460</f>
        <v>44921</v>
      </c>
      <c r="AC327" s="115"/>
      <c r="AD327" s="25" t="s">
        <v>122</v>
      </c>
      <c r="AE327" s="118">
        <v>43709</v>
      </c>
      <c r="AF327" s="110" t="s">
        <v>908</v>
      </c>
      <c r="AG327" s="110" t="s">
        <v>117</v>
      </c>
      <c r="AH327" s="25"/>
      <c r="AI327" s="25"/>
      <c r="AJ327" s="25"/>
      <c r="AK327" s="25"/>
      <c r="AL327" s="25"/>
      <c r="AM327" s="25"/>
      <c r="AN327" s="33"/>
      <c r="AO327" s="119"/>
      <c r="AP327" s="120"/>
      <c r="AQ327" s="126"/>
      <c r="AR327" s="4"/>
      <c r="AS327" s="4"/>
      <c r="AT327" s="124"/>
      <c r="AU327" s="124"/>
      <c r="AV327" s="124"/>
    </row>
    <row r="328" spans="1:48" s="121" customFormat="1" ht="111.95" hidden="1" customHeight="1" x14ac:dyDescent="0.25">
      <c r="A328" s="109">
        <v>195</v>
      </c>
      <c r="B328" s="109" t="s">
        <v>109</v>
      </c>
      <c r="C328" s="109" t="s">
        <v>1227</v>
      </c>
      <c r="D328" s="109">
        <v>14</v>
      </c>
      <c r="E328" s="109" t="s">
        <v>118</v>
      </c>
      <c r="F328" s="111" t="s">
        <v>923</v>
      </c>
      <c r="G328" s="112" t="s">
        <v>924</v>
      </c>
      <c r="H328" s="112" t="s">
        <v>925</v>
      </c>
      <c r="I328" s="113" t="s">
        <v>112</v>
      </c>
      <c r="J328" s="112" t="s">
        <v>926</v>
      </c>
      <c r="K328" s="112"/>
      <c r="L328" s="114"/>
      <c r="M328" s="114"/>
      <c r="N328" s="115">
        <v>43983</v>
      </c>
      <c r="O328" s="115">
        <v>45077</v>
      </c>
      <c r="P328" s="116">
        <f>(O328-N328)/365</f>
        <v>2.9972602739726026</v>
      </c>
      <c r="Q328" s="110" t="s">
        <v>39</v>
      </c>
      <c r="R328" s="110">
        <f ca="1">(O328-NOW()+1)/31</f>
        <v>5.6226931339605795</v>
      </c>
      <c r="S328" s="110" t="str">
        <f t="shared" ca="1" si="90"/>
        <v>O</v>
      </c>
      <c r="T328" s="117">
        <v>3</v>
      </c>
      <c r="U328" s="117">
        <v>3</v>
      </c>
      <c r="V328" s="117">
        <v>3</v>
      </c>
      <c r="W328" s="117">
        <f t="shared" si="91"/>
        <v>9</v>
      </c>
      <c r="X328" s="117" t="str">
        <f t="shared" si="92"/>
        <v>Penting</v>
      </c>
      <c r="Y328" s="111" t="s">
        <v>865</v>
      </c>
      <c r="Z328" s="122" t="s">
        <v>117</v>
      </c>
      <c r="AA328" s="115">
        <f>N328+635</f>
        <v>44618</v>
      </c>
      <c r="AB328" s="115">
        <f>+N328+1000</f>
        <v>44983</v>
      </c>
      <c r="AC328" s="115"/>
      <c r="AD328" s="25" t="s">
        <v>122</v>
      </c>
      <c r="AE328" s="118">
        <v>43497</v>
      </c>
      <c r="AF328" s="110" t="s">
        <v>908</v>
      </c>
      <c r="AG328" s="110" t="s">
        <v>189</v>
      </c>
      <c r="AH328" s="25"/>
      <c r="AI328" s="25"/>
      <c r="AJ328" s="25"/>
      <c r="AK328" s="25"/>
      <c r="AL328" s="25"/>
      <c r="AM328" s="25"/>
      <c r="AN328" s="33"/>
      <c r="AO328" s="119">
        <v>44166</v>
      </c>
      <c r="AP328" s="120"/>
      <c r="AQ328" s="126"/>
      <c r="AR328" s="4"/>
      <c r="AS328" s="4"/>
      <c r="AT328" s="124"/>
      <c r="AU328" s="124"/>
      <c r="AV328" s="124"/>
    </row>
    <row r="329" spans="1:48" s="121" customFormat="1" ht="111.95" hidden="1" customHeight="1" x14ac:dyDescent="0.25">
      <c r="A329" s="109">
        <v>196</v>
      </c>
      <c r="B329" s="109" t="s">
        <v>109</v>
      </c>
      <c r="C329" s="109" t="s">
        <v>1228</v>
      </c>
      <c r="D329" s="109">
        <v>1</v>
      </c>
      <c r="E329" s="109" t="s">
        <v>118</v>
      </c>
      <c r="F329" s="111"/>
      <c r="G329" s="112" t="s">
        <v>856</v>
      </c>
      <c r="H329" s="112" t="s">
        <v>860</v>
      </c>
      <c r="I329" s="113" t="s">
        <v>112</v>
      </c>
      <c r="J329" s="112"/>
      <c r="K329" s="112"/>
      <c r="L329" s="114"/>
      <c r="M329" s="114"/>
      <c r="N329" s="115">
        <v>43523</v>
      </c>
      <c r="O329" s="115" t="s">
        <v>110</v>
      </c>
      <c r="P329" s="116" t="s">
        <v>110</v>
      </c>
      <c r="Q329" s="110" t="s">
        <v>32</v>
      </c>
      <c r="R329" s="110" t="s">
        <v>110</v>
      </c>
      <c r="S329" s="110" t="str">
        <f t="shared" si="90"/>
        <v>O</v>
      </c>
      <c r="T329" s="117">
        <v>3</v>
      </c>
      <c r="U329" s="117">
        <v>3</v>
      </c>
      <c r="V329" s="117">
        <v>3</v>
      </c>
      <c r="W329" s="117">
        <f t="shared" si="91"/>
        <v>9</v>
      </c>
      <c r="X329" s="117" t="str">
        <f t="shared" si="92"/>
        <v>Penting</v>
      </c>
      <c r="Y329" s="111" t="s">
        <v>861</v>
      </c>
      <c r="Z329" s="122" t="s">
        <v>117</v>
      </c>
      <c r="AA329" s="115">
        <f>N329+1000</f>
        <v>44523</v>
      </c>
      <c r="AB329" s="115">
        <f>+N329+1365</f>
        <v>44888</v>
      </c>
      <c r="AC329" s="115">
        <f>+N329+1730</f>
        <v>45253</v>
      </c>
      <c r="AD329" s="25"/>
      <c r="AE329" s="118"/>
      <c r="AF329" s="110" t="s">
        <v>859</v>
      </c>
      <c r="AG329" s="110" t="s">
        <v>189</v>
      </c>
      <c r="AH329" s="25"/>
      <c r="AI329" s="25"/>
      <c r="AJ329" s="25"/>
      <c r="AK329" s="25"/>
      <c r="AL329" s="25"/>
      <c r="AM329" s="25"/>
      <c r="AN329" s="33"/>
      <c r="AO329" s="119"/>
      <c r="AP329" s="120"/>
      <c r="AQ329" s="4"/>
      <c r="AR329" s="4"/>
      <c r="AS329" s="4"/>
      <c r="AT329" s="4"/>
      <c r="AU329" s="4"/>
    </row>
    <row r="330" spans="1:48" s="121" customFormat="1" ht="111.95" hidden="1" customHeight="1" x14ac:dyDescent="0.25">
      <c r="A330" s="109">
        <v>197</v>
      </c>
      <c r="B330" s="109" t="s">
        <v>109</v>
      </c>
      <c r="C330" s="109" t="s">
        <v>1228</v>
      </c>
      <c r="D330" s="109">
        <v>2</v>
      </c>
      <c r="E330" s="109" t="s">
        <v>118</v>
      </c>
      <c r="F330" s="111" t="s">
        <v>862</v>
      </c>
      <c r="G330" s="112" t="s">
        <v>856</v>
      </c>
      <c r="H330" s="112" t="s">
        <v>863</v>
      </c>
      <c r="I330" s="113" t="s">
        <v>112</v>
      </c>
      <c r="J330" s="112" t="s">
        <v>864</v>
      </c>
      <c r="K330" s="112"/>
      <c r="L330" s="114"/>
      <c r="M330" s="114"/>
      <c r="N330" s="115">
        <v>41081</v>
      </c>
      <c r="O330" s="115">
        <v>45097</v>
      </c>
      <c r="P330" s="116">
        <f>(O330-N330)/365</f>
        <v>11.002739726027396</v>
      </c>
      <c r="Q330" s="110" t="s">
        <v>32</v>
      </c>
      <c r="R330" s="110">
        <f ca="1">(O330-NOW()+1)/31</f>
        <v>6.2678544242831604</v>
      </c>
      <c r="S330" s="110" t="str">
        <f t="shared" ca="1" si="90"/>
        <v>O</v>
      </c>
      <c r="T330" s="117">
        <v>3</v>
      </c>
      <c r="U330" s="117">
        <v>3</v>
      </c>
      <c r="V330" s="117">
        <v>3</v>
      </c>
      <c r="W330" s="117">
        <f t="shared" si="91"/>
        <v>9</v>
      </c>
      <c r="X330" s="117" t="str">
        <f t="shared" si="92"/>
        <v>Penting</v>
      </c>
      <c r="Y330" s="111" t="s">
        <v>865</v>
      </c>
      <c r="Z330" s="122" t="s">
        <v>117</v>
      </c>
      <c r="AA330" s="115">
        <f>N330+3555</f>
        <v>44636</v>
      </c>
      <c r="AB330" s="115">
        <f>+N330+3920</f>
        <v>45001</v>
      </c>
      <c r="AC330" s="115"/>
      <c r="AD330" s="25"/>
      <c r="AE330" s="118"/>
      <c r="AF330" s="110" t="s">
        <v>859</v>
      </c>
      <c r="AG330" s="110" t="s">
        <v>189</v>
      </c>
      <c r="AH330" s="25"/>
      <c r="AI330" s="25"/>
      <c r="AJ330" s="25"/>
      <c r="AK330" s="25"/>
      <c r="AL330" s="25"/>
      <c r="AM330" s="25"/>
      <c r="AN330" s="33"/>
      <c r="AO330" s="119"/>
      <c r="AP330" s="120"/>
      <c r="AQ330" s="4"/>
      <c r="AR330" s="4"/>
      <c r="AS330" s="4"/>
      <c r="AT330" s="4"/>
      <c r="AU330" s="4"/>
    </row>
    <row r="331" spans="1:48" s="121" customFormat="1" ht="111.95" hidden="1" customHeight="1" x14ac:dyDescent="0.25">
      <c r="A331" s="109">
        <v>198</v>
      </c>
      <c r="B331" s="109" t="s">
        <v>109</v>
      </c>
      <c r="C331" s="109" t="s">
        <v>1228</v>
      </c>
      <c r="D331" s="109">
        <v>3</v>
      </c>
      <c r="E331" s="109" t="s">
        <v>118</v>
      </c>
      <c r="F331" s="111"/>
      <c r="G331" s="112" t="s">
        <v>856</v>
      </c>
      <c r="H331" s="112" t="s">
        <v>867</v>
      </c>
      <c r="I331" s="113" t="s">
        <v>112</v>
      </c>
      <c r="J331" s="112" t="s">
        <v>864</v>
      </c>
      <c r="K331" s="112"/>
      <c r="L331" s="114"/>
      <c r="M331" s="114"/>
      <c r="N331" s="115">
        <v>43966</v>
      </c>
      <c r="O331" s="115" t="s">
        <v>110</v>
      </c>
      <c r="P331" s="116"/>
      <c r="Q331" s="110" t="s">
        <v>32</v>
      </c>
      <c r="R331" s="110"/>
      <c r="S331" s="110" t="str">
        <f t="shared" si="90"/>
        <v>X</v>
      </c>
      <c r="T331" s="117">
        <v>3</v>
      </c>
      <c r="U331" s="117">
        <v>3</v>
      </c>
      <c r="V331" s="117">
        <v>3</v>
      </c>
      <c r="W331" s="117">
        <f t="shared" si="91"/>
        <v>9</v>
      </c>
      <c r="X331" s="117" t="str">
        <f t="shared" si="92"/>
        <v>Penting</v>
      </c>
      <c r="Y331" s="111" t="s">
        <v>868</v>
      </c>
      <c r="Z331" s="122"/>
      <c r="AA331" s="115"/>
      <c r="AB331" s="115"/>
      <c r="AC331" s="115"/>
      <c r="AD331" s="25"/>
      <c r="AE331" s="118"/>
      <c r="AF331" s="110" t="s">
        <v>859</v>
      </c>
      <c r="AG331" s="110"/>
      <c r="AH331" s="25"/>
      <c r="AI331" s="25" t="s">
        <v>117</v>
      </c>
      <c r="AJ331" s="25"/>
      <c r="AK331" s="25"/>
      <c r="AL331" s="25"/>
      <c r="AM331" s="25"/>
      <c r="AN331" s="33"/>
      <c r="AO331" s="119" t="s">
        <v>117</v>
      </c>
      <c r="AP331" s="120"/>
      <c r="AQ331" s="4"/>
      <c r="AR331" s="4"/>
      <c r="AS331" s="4"/>
      <c r="AT331" s="4"/>
      <c r="AU331" s="4"/>
    </row>
    <row r="332" spans="1:48" s="121" customFormat="1" ht="111.95" hidden="1" customHeight="1" x14ac:dyDescent="0.25">
      <c r="A332" s="109">
        <v>199</v>
      </c>
      <c r="B332" s="109" t="s">
        <v>109</v>
      </c>
      <c r="C332" s="109" t="s">
        <v>1228</v>
      </c>
      <c r="D332" s="109">
        <v>4</v>
      </c>
      <c r="E332" s="109" t="s">
        <v>118</v>
      </c>
      <c r="F332" s="111"/>
      <c r="G332" s="112" t="s">
        <v>856</v>
      </c>
      <c r="H332" s="112" t="s">
        <v>869</v>
      </c>
      <c r="I332" s="113" t="s">
        <v>112</v>
      </c>
      <c r="J332" s="112" t="s">
        <v>864</v>
      </c>
      <c r="K332" s="112"/>
      <c r="L332" s="114"/>
      <c r="M332" s="114"/>
      <c r="N332" s="115">
        <v>39547</v>
      </c>
      <c r="O332" s="115">
        <v>45024</v>
      </c>
      <c r="P332" s="116">
        <f t="shared" ref="P332:P338" si="93">(O332-N332)/365</f>
        <v>15.005479452054795</v>
      </c>
      <c r="Q332" s="110" t="s">
        <v>32</v>
      </c>
      <c r="R332" s="110">
        <f t="shared" ref="R332:R338" ca="1" si="94">(O332-NOW()+1)/31</f>
        <v>3.9130157146057405</v>
      </c>
      <c r="S332" s="110" t="str">
        <f t="shared" ca="1" si="90"/>
        <v>O</v>
      </c>
      <c r="T332" s="117">
        <v>3</v>
      </c>
      <c r="U332" s="117">
        <v>3</v>
      </c>
      <c r="V332" s="117">
        <v>3</v>
      </c>
      <c r="W332" s="117">
        <f t="shared" si="91"/>
        <v>9</v>
      </c>
      <c r="X332" s="117" t="str">
        <f t="shared" si="92"/>
        <v>Penting</v>
      </c>
      <c r="Y332" s="111" t="s">
        <v>865</v>
      </c>
      <c r="Z332" s="122" t="s">
        <v>117</v>
      </c>
      <c r="AA332" s="115">
        <f>N332+5015</f>
        <v>44562</v>
      </c>
      <c r="AB332" s="115">
        <f>+N332+5380</f>
        <v>44927</v>
      </c>
      <c r="AC332" s="115"/>
      <c r="AD332" s="25"/>
      <c r="AE332" s="118"/>
      <c r="AF332" s="110" t="s">
        <v>859</v>
      </c>
      <c r="AG332" s="110" t="s">
        <v>117</v>
      </c>
      <c r="AH332" s="25"/>
      <c r="AI332" s="25"/>
      <c r="AJ332" s="25"/>
      <c r="AK332" s="25"/>
      <c r="AL332" s="25"/>
      <c r="AM332" s="25"/>
      <c r="AN332" s="33"/>
      <c r="AO332" s="119"/>
      <c r="AP332" s="120"/>
      <c r="AQ332" s="4"/>
      <c r="AR332" s="4"/>
      <c r="AS332" s="4"/>
      <c r="AT332" s="4"/>
      <c r="AU332" s="4"/>
    </row>
    <row r="333" spans="1:48" s="121" customFormat="1" ht="111.95" hidden="1" customHeight="1" x14ac:dyDescent="0.25">
      <c r="A333" s="109">
        <v>200</v>
      </c>
      <c r="B333" s="109" t="s">
        <v>109</v>
      </c>
      <c r="C333" s="109" t="s">
        <v>1228</v>
      </c>
      <c r="D333" s="109">
        <v>5</v>
      </c>
      <c r="E333" s="109" t="s">
        <v>118</v>
      </c>
      <c r="F333" s="111"/>
      <c r="G333" s="112" t="s">
        <v>856</v>
      </c>
      <c r="H333" s="112" t="s">
        <v>874</v>
      </c>
      <c r="I333" s="113" t="s">
        <v>112</v>
      </c>
      <c r="J333" s="112"/>
      <c r="K333" s="112"/>
      <c r="L333" s="114"/>
      <c r="M333" s="114"/>
      <c r="N333" s="115">
        <v>43371</v>
      </c>
      <c r="O333" s="115">
        <v>45197</v>
      </c>
      <c r="P333" s="116">
        <f t="shared" si="93"/>
        <v>5.0027397260273974</v>
      </c>
      <c r="Q333" s="110" t="s">
        <v>32</v>
      </c>
      <c r="R333" s="110">
        <f t="shared" ca="1" si="94"/>
        <v>9.4936608758960634</v>
      </c>
      <c r="S333" s="110" t="str">
        <f t="shared" ca="1" si="90"/>
        <v>O</v>
      </c>
      <c r="T333" s="117">
        <v>3</v>
      </c>
      <c r="U333" s="117">
        <v>3</v>
      </c>
      <c r="V333" s="117">
        <v>3</v>
      </c>
      <c r="W333" s="117">
        <f t="shared" si="91"/>
        <v>9</v>
      </c>
      <c r="X333" s="117" t="str">
        <f t="shared" si="92"/>
        <v>Penting</v>
      </c>
      <c r="Y333" s="111" t="s">
        <v>865</v>
      </c>
      <c r="Z333" s="122" t="s">
        <v>117</v>
      </c>
      <c r="AA333" s="115">
        <f>+N333+1365</f>
        <v>44736</v>
      </c>
      <c r="AB333" s="115">
        <f>N333+1730</f>
        <v>45101</v>
      </c>
      <c r="AC333" s="115"/>
      <c r="AD333" s="25"/>
      <c r="AE333" s="118"/>
      <c r="AF333" s="110" t="s">
        <v>859</v>
      </c>
      <c r="AG333" s="110" t="s">
        <v>189</v>
      </c>
      <c r="AH333" s="25"/>
      <c r="AI333" s="25"/>
      <c r="AJ333" s="25"/>
      <c r="AK333" s="25"/>
      <c r="AL333" s="25"/>
      <c r="AM333" s="25"/>
      <c r="AN333" s="33"/>
      <c r="AO333" s="119"/>
      <c r="AP333" s="120"/>
      <c r="AQ333" s="4"/>
      <c r="AR333" s="4"/>
      <c r="AS333" s="4"/>
      <c r="AT333" s="4"/>
      <c r="AU333" s="4"/>
    </row>
    <row r="334" spans="1:48" s="121" customFormat="1" ht="111.95" hidden="1" customHeight="1" x14ac:dyDescent="0.25">
      <c r="A334" s="109">
        <v>201</v>
      </c>
      <c r="B334" s="109" t="s">
        <v>109</v>
      </c>
      <c r="C334" s="109" t="s">
        <v>1228</v>
      </c>
      <c r="D334" s="109">
        <v>6</v>
      </c>
      <c r="E334" s="109" t="s">
        <v>118</v>
      </c>
      <c r="F334" s="111" t="s">
        <v>110</v>
      </c>
      <c r="G334" s="112" t="s">
        <v>856</v>
      </c>
      <c r="H334" s="112" t="s">
        <v>877</v>
      </c>
      <c r="I334" s="113" t="s">
        <v>112</v>
      </c>
      <c r="J334" s="112" t="s">
        <v>864</v>
      </c>
      <c r="K334" s="112"/>
      <c r="L334" s="114"/>
      <c r="M334" s="114"/>
      <c r="N334" s="115">
        <v>42879</v>
      </c>
      <c r="O334" s="115">
        <v>45069</v>
      </c>
      <c r="P334" s="116">
        <f t="shared" si="93"/>
        <v>6</v>
      </c>
      <c r="Q334" s="110" t="s">
        <v>32</v>
      </c>
      <c r="R334" s="110">
        <f t="shared" ca="1" si="94"/>
        <v>5.3646286178315474</v>
      </c>
      <c r="S334" s="110" t="str">
        <f t="shared" ca="1" si="90"/>
        <v>O</v>
      </c>
      <c r="T334" s="117">
        <v>3</v>
      </c>
      <c r="U334" s="117">
        <v>3</v>
      </c>
      <c r="V334" s="117">
        <v>3</v>
      </c>
      <c r="W334" s="117">
        <f t="shared" si="91"/>
        <v>9</v>
      </c>
      <c r="X334" s="117" t="str">
        <f t="shared" si="92"/>
        <v>Penting</v>
      </c>
      <c r="Y334" s="111" t="s">
        <v>865</v>
      </c>
      <c r="Z334" s="122" t="s">
        <v>117</v>
      </c>
      <c r="AA334" s="115">
        <f>N334+1730</f>
        <v>44609</v>
      </c>
      <c r="AB334" s="115">
        <f>N334+2095</f>
        <v>44974</v>
      </c>
      <c r="AC334" s="115"/>
      <c r="AD334" s="25"/>
      <c r="AE334" s="118"/>
      <c r="AF334" s="110" t="s">
        <v>859</v>
      </c>
      <c r="AG334" s="110" t="s">
        <v>189</v>
      </c>
      <c r="AH334" s="25"/>
      <c r="AI334" s="25"/>
      <c r="AJ334" s="25"/>
      <c r="AK334" s="25"/>
      <c r="AL334" s="25"/>
      <c r="AM334" s="25"/>
      <c r="AN334" s="33"/>
      <c r="AO334" s="119"/>
      <c r="AP334" s="120"/>
      <c r="AQ334" s="4"/>
      <c r="AR334" s="4"/>
      <c r="AS334" s="4"/>
      <c r="AT334" s="4"/>
      <c r="AU334" s="4"/>
    </row>
    <row r="335" spans="1:48" s="121" customFormat="1" ht="111.95" hidden="1" customHeight="1" x14ac:dyDescent="0.25">
      <c r="A335" s="109">
        <v>202</v>
      </c>
      <c r="B335" s="109" t="s">
        <v>109</v>
      </c>
      <c r="C335" s="109" t="s">
        <v>1228</v>
      </c>
      <c r="D335" s="109">
        <v>7</v>
      </c>
      <c r="E335" s="109" t="s">
        <v>118</v>
      </c>
      <c r="F335" s="111" t="s">
        <v>110</v>
      </c>
      <c r="G335" s="112" t="s">
        <v>856</v>
      </c>
      <c r="H335" s="112" t="s">
        <v>879</v>
      </c>
      <c r="I335" s="113" t="s">
        <v>112</v>
      </c>
      <c r="J335" s="112" t="s">
        <v>864</v>
      </c>
      <c r="K335" s="112"/>
      <c r="L335" s="114"/>
      <c r="M335" s="114"/>
      <c r="N335" s="115">
        <v>42879</v>
      </c>
      <c r="O335" s="115">
        <v>45069</v>
      </c>
      <c r="P335" s="116">
        <f t="shared" si="93"/>
        <v>6</v>
      </c>
      <c r="Q335" s="110" t="s">
        <v>32</v>
      </c>
      <c r="R335" s="110">
        <f t="shared" ca="1" si="94"/>
        <v>5.3646286178315474</v>
      </c>
      <c r="S335" s="110" t="str">
        <f t="shared" ca="1" si="90"/>
        <v>O</v>
      </c>
      <c r="T335" s="117">
        <v>3</v>
      </c>
      <c r="U335" s="117">
        <v>3</v>
      </c>
      <c r="V335" s="117">
        <v>3</v>
      </c>
      <c r="W335" s="117">
        <f t="shared" si="91"/>
        <v>9</v>
      </c>
      <c r="X335" s="117" t="str">
        <f t="shared" si="92"/>
        <v>Penting</v>
      </c>
      <c r="Y335" s="111" t="s">
        <v>865</v>
      </c>
      <c r="Z335" s="122" t="s">
        <v>117</v>
      </c>
      <c r="AA335" s="115">
        <f>N335+1730</f>
        <v>44609</v>
      </c>
      <c r="AB335" s="115">
        <f>N335+2095</f>
        <v>44974</v>
      </c>
      <c r="AC335" s="115"/>
      <c r="AD335" s="25"/>
      <c r="AE335" s="118"/>
      <c r="AF335" s="110" t="s">
        <v>859</v>
      </c>
      <c r="AG335" s="110" t="s">
        <v>117</v>
      </c>
      <c r="AH335" s="25"/>
      <c r="AI335" s="25"/>
      <c r="AJ335" s="25"/>
      <c r="AK335" s="25"/>
      <c r="AL335" s="25"/>
      <c r="AM335" s="25"/>
      <c r="AN335" s="33"/>
      <c r="AO335" s="119"/>
      <c r="AP335" s="120"/>
      <c r="AQ335" s="4"/>
      <c r="AR335" s="4"/>
      <c r="AS335" s="4"/>
      <c r="AT335" s="4"/>
      <c r="AU335" s="4"/>
    </row>
    <row r="336" spans="1:48" s="121" customFormat="1" ht="111.95" hidden="1" customHeight="1" x14ac:dyDescent="0.25">
      <c r="A336" s="109">
        <v>203</v>
      </c>
      <c r="B336" s="109" t="s">
        <v>109</v>
      </c>
      <c r="C336" s="109" t="s">
        <v>1228</v>
      </c>
      <c r="D336" s="109">
        <v>8</v>
      </c>
      <c r="E336" s="109" t="s">
        <v>118</v>
      </c>
      <c r="F336" s="111" t="s">
        <v>110</v>
      </c>
      <c r="G336" s="112" t="s">
        <v>856</v>
      </c>
      <c r="H336" s="112" t="s">
        <v>881</v>
      </c>
      <c r="I336" s="113" t="s">
        <v>112</v>
      </c>
      <c r="J336" s="112" t="s">
        <v>864</v>
      </c>
      <c r="K336" s="112"/>
      <c r="L336" s="114"/>
      <c r="M336" s="114"/>
      <c r="N336" s="115">
        <v>42662</v>
      </c>
      <c r="O336" s="115">
        <v>45217</v>
      </c>
      <c r="P336" s="116">
        <f t="shared" si="93"/>
        <v>7</v>
      </c>
      <c r="Q336" s="110" t="s">
        <v>32</v>
      </c>
      <c r="R336" s="110">
        <f t="shared" ca="1" si="94"/>
        <v>10.138822166218644</v>
      </c>
      <c r="S336" s="110" t="str">
        <f t="shared" ca="1" si="90"/>
        <v>O</v>
      </c>
      <c r="T336" s="117">
        <v>3</v>
      </c>
      <c r="U336" s="117">
        <v>3</v>
      </c>
      <c r="V336" s="117">
        <v>3</v>
      </c>
      <c r="W336" s="117">
        <f t="shared" si="91"/>
        <v>9</v>
      </c>
      <c r="X336" s="117" t="str">
        <f t="shared" si="92"/>
        <v>Penting</v>
      </c>
      <c r="Y336" s="111" t="s">
        <v>865</v>
      </c>
      <c r="Z336" s="122" t="s">
        <v>117</v>
      </c>
      <c r="AA336" s="115">
        <f>N336+1730</f>
        <v>44392</v>
      </c>
      <c r="AB336" s="115">
        <f>N336+2095</f>
        <v>44757</v>
      </c>
      <c r="AC336" s="115"/>
      <c r="AD336" s="25"/>
      <c r="AE336" s="118"/>
      <c r="AF336" s="110" t="s">
        <v>859</v>
      </c>
      <c r="AG336" s="110" t="s">
        <v>189</v>
      </c>
      <c r="AH336" s="25"/>
      <c r="AI336" s="25"/>
      <c r="AJ336" s="25"/>
      <c r="AK336" s="25"/>
      <c r="AL336" s="25"/>
      <c r="AM336" s="25"/>
      <c r="AN336" s="33"/>
      <c r="AO336" s="119"/>
      <c r="AP336" s="120"/>
      <c r="AQ336" s="4"/>
      <c r="AR336" s="4"/>
      <c r="AS336" s="4"/>
      <c r="AT336" s="4"/>
      <c r="AU336" s="4"/>
    </row>
    <row r="337" spans="1:49" s="121" customFormat="1" ht="111.95" hidden="1" customHeight="1" x14ac:dyDescent="0.25">
      <c r="A337" s="109">
        <v>204</v>
      </c>
      <c r="B337" s="109" t="s">
        <v>109</v>
      </c>
      <c r="C337" s="109" t="s">
        <v>1228</v>
      </c>
      <c r="D337" s="109">
        <v>9</v>
      </c>
      <c r="E337" s="109" t="s">
        <v>118</v>
      </c>
      <c r="F337" s="111" t="s">
        <v>862</v>
      </c>
      <c r="G337" s="112" t="s">
        <v>856</v>
      </c>
      <c r="H337" s="112" t="s">
        <v>882</v>
      </c>
      <c r="I337" s="113" t="s">
        <v>112</v>
      </c>
      <c r="J337" s="112" t="s">
        <v>864</v>
      </c>
      <c r="K337" s="112"/>
      <c r="L337" s="114"/>
      <c r="M337" s="114"/>
      <c r="N337" s="115">
        <v>43922</v>
      </c>
      <c r="O337" s="115">
        <v>45016</v>
      </c>
      <c r="P337" s="116">
        <f t="shared" si="93"/>
        <v>2.9972602739726026</v>
      </c>
      <c r="Q337" s="110" t="s">
        <v>32</v>
      </c>
      <c r="R337" s="110">
        <f t="shared" ca="1" si="94"/>
        <v>3.6549511984767085</v>
      </c>
      <c r="S337" s="110" t="str">
        <f t="shared" ca="1" si="90"/>
        <v>O</v>
      </c>
      <c r="T337" s="117">
        <v>3</v>
      </c>
      <c r="U337" s="117">
        <v>3</v>
      </c>
      <c r="V337" s="117">
        <v>3</v>
      </c>
      <c r="W337" s="117">
        <f t="shared" si="91"/>
        <v>9</v>
      </c>
      <c r="X337" s="117" t="str">
        <f t="shared" si="92"/>
        <v>Penting</v>
      </c>
      <c r="Y337" s="111" t="s">
        <v>865</v>
      </c>
      <c r="Z337" s="122" t="s">
        <v>117</v>
      </c>
      <c r="AA337" s="115">
        <f>N337+635</f>
        <v>44557</v>
      </c>
      <c r="AB337" s="115">
        <f>+N337+1000</f>
        <v>44922</v>
      </c>
      <c r="AC337" s="115"/>
      <c r="AD337" s="25"/>
      <c r="AE337" s="118"/>
      <c r="AF337" s="110" t="s">
        <v>859</v>
      </c>
      <c r="AG337" s="110" t="s">
        <v>189</v>
      </c>
      <c r="AH337" s="25"/>
      <c r="AI337" s="25"/>
      <c r="AJ337" s="25"/>
      <c r="AK337" s="25"/>
      <c r="AL337" s="25"/>
      <c r="AM337" s="25"/>
      <c r="AN337" s="33"/>
      <c r="AO337" s="119">
        <v>44158</v>
      </c>
      <c r="AP337" s="120"/>
      <c r="AQ337" s="4"/>
      <c r="AR337" s="4"/>
      <c r="AS337" s="4"/>
      <c r="AT337" s="4"/>
      <c r="AU337" s="4"/>
    </row>
    <row r="338" spans="1:49" s="121" customFormat="1" ht="111.95" hidden="1" customHeight="1" x14ac:dyDescent="0.25">
      <c r="A338" s="109">
        <v>205</v>
      </c>
      <c r="B338" s="109" t="s">
        <v>109</v>
      </c>
      <c r="C338" s="109" t="s">
        <v>1228</v>
      </c>
      <c r="D338" s="109">
        <v>10</v>
      </c>
      <c r="E338" s="109" t="s">
        <v>118</v>
      </c>
      <c r="F338" s="111"/>
      <c r="G338" s="112" t="s">
        <v>856</v>
      </c>
      <c r="H338" s="112" t="s">
        <v>904</v>
      </c>
      <c r="I338" s="113" t="s">
        <v>112</v>
      </c>
      <c r="J338" s="112" t="s">
        <v>864</v>
      </c>
      <c r="K338" s="112"/>
      <c r="L338" s="114"/>
      <c r="M338" s="114"/>
      <c r="N338" s="115">
        <v>43966</v>
      </c>
      <c r="O338" s="115">
        <v>45060</v>
      </c>
      <c r="P338" s="116">
        <f t="shared" si="93"/>
        <v>2.9972602739726026</v>
      </c>
      <c r="Q338" s="110" t="s">
        <v>32</v>
      </c>
      <c r="R338" s="110">
        <f t="shared" ca="1" si="94"/>
        <v>5.0743060371863855</v>
      </c>
      <c r="S338" s="110" t="str">
        <f t="shared" ca="1" si="90"/>
        <v>O</v>
      </c>
      <c r="T338" s="117">
        <v>3</v>
      </c>
      <c r="U338" s="117">
        <v>3</v>
      </c>
      <c r="V338" s="117">
        <v>3</v>
      </c>
      <c r="W338" s="117">
        <f t="shared" si="91"/>
        <v>9</v>
      </c>
      <c r="X338" s="117" t="str">
        <f t="shared" si="92"/>
        <v>Penting</v>
      </c>
      <c r="Y338" s="111" t="s">
        <v>865</v>
      </c>
      <c r="Z338" s="122" t="s">
        <v>117</v>
      </c>
      <c r="AA338" s="115">
        <f>N338+635</f>
        <v>44601</v>
      </c>
      <c r="AB338" s="115">
        <f>+N338+1000</f>
        <v>44966</v>
      </c>
      <c r="AC338" s="115"/>
      <c r="AD338" s="25" t="s">
        <v>122</v>
      </c>
      <c r="AE338" s="118">
        <v>43966</v>
      </c>
      <c r="AF338" s="110" t="s">
        <v>859</v>
      </c>
      <c r="AG338" s="110" t="s">
        <v>189</v>
      </c>
      <c r="AH338" s="25"/>
      <c r="AI338" s="25"/>
      <c r="AJ338" s="25"/>
      <c r="AK338" s="25"/>
      <c r="AL338" s="25"/>
      <c r="AM338" s="25"/>
      <c r="AN338" s="33"/>
      <c r="AO338" s="119">
        <v>43990</v>
      </c>
      <c r="AP338" s="120"/>
      <c r="AQ338" s="4"/>
      <c r="AR338" s="4"/>
      <c r="AS338" s="4"/>
      <c r="AT338" s="4"/>
      <c r="AU338" s="4"/>
    </row>
    <row r="339" spans="1:49" s="121" customFormat="1" ht="111.75" hidden="1" customHeight="1" x14ac:dyDescent="0.25">
      <c r="A339" s="109">
        <v>206</v>
      </c>
      <c r="B339" s="109" t="s">
        <v>109</v>
      </c>
      <c r="C339" s="109" t="s">
        <v>1228</v>
      </c>
      <c r="D339" s="109">
        <v>11</v>
      </c>
      <c r="E339" s="109" t="s">
        <v>118</v>
      </c>
      <c r="F339" s="111" t="s">
        <v>884</v>
      </c>
      <c r="G339" s="112" t="s">
        <v>856</v>
      </c>
      <c r="H339" s="112" t="s">
        <v>823</v>
      </c>
      <c r="I339" s="113" t="s">
        <v>112</v>
      </c>
      <c r="J339" s="112" t="s">
        <v>864</v>
      </c>
      <c r="K339" s="112"/>
      <c r="L339" s="114"/>
      <c r="M339" s="114"/>
      <c r="N339" s="115">
        <v>41000</v>
      </c>
      <c r="O339" s="115" t="s">
        <v>110</v>
      </c>
      <c r="P339" s="116" t="s">
        <v>110</v>
      </c>
      <c r="Q339" s="110" t="s">
        <v>32</v>
      </c>
      <c r="R339" s="110" t="s">
        <v>110</v>
      </c>
      <c r="S339" s="110" t="str">
        <f t="shared" si="90"/>
        <v>O</v>
      </c>
      <c r="T339" s="117">
        <v>3</v>
      </c>
      <c r="U339" s="117">
        <v>3</v>
      </c>
      <c r="V339" s="117">
        <v>3</v>
      </c>
      <c r="W339" s="117">
        <f t="shared" si="91"/>
        <v>9</v>
      </c>
      <c r="X339" s="117" t="str">
        <f t="shared" si="92"/>
        <v>Penting</v>
      </c>
      <c r="Y339" s="111" t="s">
        <v>885</v>
      </c>
      <c r="Z339" s="122" t="s">
        <v>117</v>
      </c>
      <c r="AA339" s="115">
        <f>N339+3555</f>
        <v>44555</v>
      </c>
      <c r="AB339" s="115">
        <f>N339+3920</f>
        <v>44920</v>
      </c>
      <c r="AC339" s="115"/>
      <c r="AD339" s="25"/>
      <c r="AE339" s="118"/>
      <c r="AF339" s="110" t="s">
        <v>859</v>
      </c>
      <c r="AG339" s="110" t="s">
        <v>189</v>
      </c>
      <c r="AH339" s="25"/>
      <c r="AI339" s="25"/>
      <c r="AJ339" s="25"/>
      <c r="AK339" s="25"/>
      <c r="AL339" s="25"/>
      <c r="AM339" s="25"/>
      <c r="AN339" s="33"/>
      <c r="AO339" s="119"/>
      <c r="AP339" s="120"/>
      <c r="AQ339" s="4"/>
      <c r="AR339" s="4"/>
      <c r="AS339" s="4"/>
      <c r="AT339" s="4"/>
      <c r="AU339" s="4"/>
    </row>
    <row r="340" spans="1:49" s="121" customFormat="1" ht="111.95" hidden="1" customHeight="1" x14ac:dyDescent="0.25">
      <c r="A340" s="109">
        <v>207</v>
      </c>
      <c r="B340" s="109" t="s">
        <v>109</v>
      </c>
      <c r="C340" s="109" t="s">
        <v>1228</v>
      </c>
      <c r="D340" s="109">
        <v>12</v>
      </c>
      <c r="E340" s="109" t="s">
        <v>118</v>
      </c>
      <c r="F340" s="111" t="s">
        <v>110</v>
      </c>
      <c r="G340" s="112" t="s">
        <v>856</v>
      </c>
      <c r="H340" s="112" t="s">
        <v>886</v>
      </c>
      <c r="I340" s="113" t="s">
        <v>112</v>
      </c>
      <c r="J340" s="112" t="s">
        <v>864</v>
      </c>
      <c r="K340" s="112"/>
      <c r="L340" s="114"/>
      <c r="M340" s="114"/>
      <c r="N340" s="115">
        <v>42983</v>
      </c>
      <c r="O340" s="115">
        <v>45173</v>
      </c>
      <c r="P340" s="116">
        <f t="shared" ref="P340:P345" si="95">(O340-N340)/365</f>
        <v>6</v>
      </c>
      <c r="Q340" s="110" t="s">
        <v>32</v>
      </c>
      <c r="R340" s="110">
        <f t="shared" ref="R340:R345" ca="1" si="96">(O340-NOW()+1)/31</f>
        <v>8.7194673275089674</v>
      </c>
      <c r="S340" s="110" t="str">
        <f t="shared" ca="1" si="90"/>
        <v>O</v>
      </c>
      <c r="T340" s="117">
        <v>3</v>
      </c>
      <c r="U340" s="117">
        <v>3</v>
      </c>
      <c r="V340" s="117">
        <v>3</v>
      </c>
      <c r="W340" s="117">
        <f t="shared" si="91"/>
        <v>9</v>
      </c>
      <c r="X340" s="117" t="str">
        <f t="shared" si="92"/>
        <v>Penting</v>
      </c>
      <c r="Y340" s="111" t="s">
        <v>865</v>
      </c>
      <c r="Z340" s="122" t="s">
        <v>117</v>
      </c>
      <c r="AA340" s="115">
        <f>N340+1730</f>
        <v>44713</v>
      </c>
      <c r="AB340" s="115">
        <f>N340+2095</f>
        <v>45078</v>
      </c>
      <c r="AC340" s="115"/>
      <c r="AD340" s="25"/>
      <c r="AE340" s="118"/>
      <c r="AF340" s="110" t="s">
        <v>859</v>
      </c>
      <c r="AG340" s="110" t="s">
        <v>189</v>
      </c>
      <c r="AH340" s="25"/>
      <c r="AI340" s="25"/>
      <c r="AJ340" s="25"/>
      <c r="AK340" s="25"/>
      <c r="AL340" s="25"/>
      <c r="AM340" s="25"/>
      <c r="AN340" s="33"/>
      <c r="AO340" s="119"/>
      <c r="AP340" s="120"/>
      <c r="AQ340" s="4"/>
      <c r="AR340" s="4"/>
      <c r="AS340" s="4"/>
      <c r="AT340" s="4"/>
      <c r="AU340" s="4"/>
    </row>
    <row r="341" spans="1:49" s="121" customFormat="1" ht="111.95" hidden="1" customHeight="1" x14ac:dyDescent="0.25">
      <c r="A341" s="109">
        <v>208</v>
      </c>
      <c r="B341" s="109" t="s">
        <v>109</v>
      </c>
      <c r="C341" s="109" t="s">
        <v>1228</v>
      </c>
      <c r="D341" s="109">
        <v>13</v>
      </c>
      <c r="E341" s="109" t="s">
        <v>118</v>
      </c>
      <c r="F341" s="111" t="s">
        <v>110</v>
      </c>
      <c r="G341" s="112" t="s">
        <v>856</v>
      </c>
      <c r="H341" s="112" t="s">
        <v>888</v>
      </c>
      <c r="I341" s="113" t="s">
        <v>112</v>
      </c>
      <c r="J341" s="112" t="s">
        <v>889</v>
      </c>
      <c r="K341" s="112"/>
      <c r="L341" s="114"/>
      <c r="M341" s="114"/>
      <c r="N341" s="115">
        <v>42374</v>
      </c>
      <c r="O341" s="115">
        <v>44930</v>
      </c>
      <c r="P341" s="116">
        <f t="shared" si="95"/>
        <v>7.0027397260273974</v>
      </c>
      <c r="Q341" s="110" t="s">
        <v>32</v>
      </c>
      <c r="R341" s="110">
        <f t="shared" ca="1" si="96"/>
        <v>0.88075765008961171</v>
      </c>
      <c r="S341" s="110" t="str">
        <f t="shared" ca="1" si="90"/>
        <v>O</v>
      </c>
      <c r="T341" s="117">
        <v>3</v>
      </c>
      <c r="U341" s="117">
        <v>3</v>
      </c>
      <c r="V341" s="117">
        <v>3</v>
      </c>
      <c r="W341" s="117">
        <f t="shared" si="91"/>
        <v>9</v>
      </c>
      <c r="X341" s="117" t="str">
        <f t="shared" si="92"/>
        <v>Penting</v>
      </c>
      <c r="Y341" s="111" t="s">
        <v>865</v>
      </c>
      <c r="Z341" s="122" t="s">
        <v>117</v>
      </c>
      <c r="AA341" s="115">
        <f>N341+2095</f>
        <v>44469</v>
      </c>
      <c r="AB341" s="115">
        <f>N341+2460</f>
        <v>44834</v>
      </c>
      <c r="AC341" s="115"/>
      <c r="AD341" s="25"/>
      <c r="AE341" s="118"/>
      <c r="AF341" s="110" t="s">
        <v>859</v>
      </c>
      <c r="AG341" s="110" t="s">
        <v>189</v>
      </c>
      <c r="AH341" s="25"/>
      <c r="AI341" s="25"/>
      <c r="AJ341" s="25"/>
      <c r="AK341" s="25"/>
      <c r="AL341" s="25"/>
      <c r="AM341" s="25"/>
      <c r="AN341" s="33"/>
      <c r="AO341" s="119"/>
      <c r="AP341" s="120"/>
      <c r="AQ341" s="125"/>
      <c r="AR341" s="4"/>
      <c r="AS341" s="4"/>
      <c r="AT341" s="4"/>
      <c r="AU341" s="4"/>
    </row>
    <row r="342" spans="1:49" s="121" customFormat="1" ht="111.95" hidden="1" customHeight="1" x14ac:dyDescent="0.25">
      <c r="A342" s="109">
        <v>209</v>
      </c>
      <c r="B342" s="109" t="s">
        <v>109</v>
      </c>
      <c r="C342" s="109" t="s">
        <v>1228</v>
      </c>
      <c r="D342" s="109">
        <v>14</v>
      </c>
      <c r="E342" s="109" t="s">
        <v>118</v>
      </c>
      <c r="F342" s="111" t="s">
        <v>110</v>
      </c>
      <c r="G342" s="112" t="s">
        <v>856</v>
      </c>
      <c r="H342" s="112" t="s">
        <v>890</v>
      </c>
      <c r="I342" s="113" t="s">
        <v>112</v>
      </c>
      <c r="J342" s="112" t="s">
        <v>864</v>
      </c>
      <c r="K342" s="112"/>
      <c r="L342" s="114"/>
      <c r="M342" s="114"/>
      <c r="N342" s="115">
        <v>42352</v>
      </c>
      <c r="O342" s="115">
        <v>44908</v>
      </c>
      <c r="P342" s="116">
        <f t="shared" si="95"/>
        <v>7.0027397260273974</v>
      </c>
      <c r="Q342" s="110" t="s">
        <v>32</v>
      </c>
      <c r="R342" s="110">
        <f t="shared" ca="1" si="96"/>
        <v>0.17108023073477294</v>
      </c>
      <c r="S342" s="110" t="str">
        <f t="shared" ca="1" si="90"/>
        <v>O</v>
      </c>
      <c r="T342" s="117">
        <v>3</v>
      </c>
      <c r="U342" s="117">
        <v>3</v>
      </c>
      <c r="V342" s="117">
        <v>3</v>
      </c>
      <c r="W342" s="117">
        <f t="shared" si="91"/>
        <v>9</v>
      </c>
      <c r="X342" s="117" t="str">
        <f t="shared" si="92"/>
        <v>Penting</v>
      </c>
      <c r="Y342" s="111" t="s">
        <v>865</v>
      </c>
      <c r="Z342" s="122" t="s">
        <v>117</v>
      </c>
      <c r="AA342" s="115">
        <f>N342+2095</f>
        <v>44447</v>
      </c>
      <c r="AB342" s="115">
        <f>+N342+2460</f>
        <v>44812</v>
      </c>
      <c r="AC342" s="115"/>
      <c r="AD342" s="25"/>
      <c r="AE342" s="118"/>
      <c r="AF342" s="110" t="s">
        <v>859</v>
      </c>
      <c r="AG342" s="110" t="s">
        <v>189</v>
      </c>
      <c r="AH342" s="25"/>
      <c r="AI342" s="25"/>
      <c r="AJ342" s="25"/>
      <c r="AK342" s="25"/>
      <c r="AL342" s="25"/>
      <c r="AM342" s="25"/>
      <c r="AN342" s="33"/>
      <c r="AO342" s="119"/>
      <c r="AP342" s="120"/>
      <c r="AQ342" s="4"/>
      <c r="AR342" s="4"/>
      <c r="AS342" s="4"/>
      <c r="AT342" s="4"/>
      <c r="AU342" s="4"/>
    </row>
    <row r="343" spans="1:49" s="121" customFormat="1" ht="111.95" hidden="1" customHeight="1" x14ac:dyDescent="0.25">
      <c r="A343" s="109">
        <v>210</v>
      </c>
      <c r="B343" s="109" t="s">
        <v>109</v>
      </c>
      <c r="C343" s="109" t="s">
        <v>1228</v>
      </c>
      <c r="D343" s="109">
        <v>15</v>
      </c>
      <c r="E343" s="109" t="s">
        <v>118</v>
      </c>
      <c r="F343" s="111" t="s">
        <v>110</v>
      </c>
      <c r="G343" s="112" t="s">
        <v>856</v>
      </c>
      <c r="H343" s="112" t="s">
        <v>903</v>
      </c>
      <c r="I343" s="113" t="s">
        <v>112</v>
      </c>
      <c r="J343" s="112" t="s">
        <v>864</v>
      </c>
      <c r="K343" s="112"/>
      <c r="L343" s="114"/>
      <c r="M343" s="114"/>
      <c r="N343" s="115">
        <v>43453</v>
      </c>
      <c r="O343" s="115">
        <v>44913</v>
      </c>
      <c r="P343" s="116">
        <f t="shared" si="95"/>
        <v>4</v>
      </c>
      <c r="Q343" s="110" t="s">
        <v>32</v>
      </c>
      <c r="R343" s="110">
        <f t="shared" ca="1" si="96"/>
        <v>0.33237055331541809</v>
      </c>
      <c r="S343" s="110" t="str">
        <f t="shared" ca="1" si="90"/>
        <v>O</v>
      </c>
      <c r="T343" s="117">
        <v>3</v>
      </c>
      <c r="U343" s="117">
        <v>3</v>
      </c>
      <c r="V343" s="117">
        <v>3</v>
      </c>
      <c r="W343" s="117">
        <f t="shared" si="91"/>
        <v>9</v>
      </c>
      <c r="X343" s="117" t="str">
        <f t="shared" si="92"/>
        <v>Penting</v>
      </c>
      <c r="Y343" s="111" t="s">
        <v>865</v>
      </c>
      <c r="Z343" s="122" t="s">
        <v>117</v>
      </c>
      <c r="AA343" s="115">
        <f>+N343+1000</f>
        <v>44453</v>
      </c>
      <c r="AB343" s="115">
        <f>N343+1365</f>
        <v>44818</v>
      </c>
      <c r="AC343" s="115"/>
      <c r="AD343" s="25"/>
      <c r="AE343" s="118"/>
      <c r="AF343" s="110" t="s">
        <v>859</v>
      </c>
      <c r="AG343" s="110" t="s">
        <v>189</v>
      </c>
      <c r="AH343" s="25"/>
      <c r="AI343" s="25"/>
      <c r="AJ343" s="25"/>
      <c r="AK343" s="25"/>
      <c r="AL343" s="25"/>
      <c r="AM343" s="25"/>
      <c r="AN343" s="33"/>
      <c r="AO343" s="119"/>
      <c r="AP343" s="120"/>
      <c r="AQ343" s="4"/>
      <c r="AR343" s="4"/>
      <c r="AS343" s="4"/>
      <c r="AT343" s="4"/>
      <c r="AU343" s="4"/>
    </row>
    <row r="344" spans="1:49" s="121" customFormat="1" ht="111.95" hidden="1" customHeight="1" x14ac:dyDescent="0.25">
      <c r="A344" s="109">
        <v>211</v>
      </c>
      <c r="B344" s="109" t="s">
        <v>109</v>
      </c>
      <c r="C344" s="109" t="s">
        <v>1228</v>
      </c>
      <c r="D344" s="109">
        <v>16</v>
      </c>
      <c r="E344" s="109" t="s">
        <v>118</v>
      </c>
      <c r="F344" s="111" t="s">
        <v>896</v>
      </c>
      <c r="G344" s="112" t="s">
        <v>897</v>
      </c>
      <c r="H344" s="112" t="s">
        <v>898</v>
      </c>
      <c r="I344" s="113" t="s">
        <v>112</v>
      </c>
      <c r="J344" s="112" t="s">
        <v>899</v>
      </c>
      <c r="K344" s="112"/>
      <c r="L344" s="114" t="s">
        <v>900</v>
      </c>
      <c r="M344" s="114" t="s">
        <v>901</v>
      </c>
      <c r="N344" s="115">
        <v>43466</v>
      </c>
      <c r="O344" s="115">
        <v>45291</v>
      </c>
      <c r="P344" s="116">
        <f t="shared" si="95"/>
        <v>5</v>
      </c>
      <c r="Q344" s="110" t="s">
        <v>36</v>
      </c>
      <c r="R344" s="110">
        <f t="shared" ca="1" si="96"/>
        <v>12.525918940412192</v>
      </c>
      <c r="S344" s="110" t="str">
        <f t="shared" ca="1" si="90"/>
        <v>O</v>
      </c>
      <c r="T344" s="117">
        <v>3</v>
      </c>
      <c r="U344" s="117">
        <v>3</v>
      </c>
      <c r="V344" s="117">
        <v>3</v>
      </c>
      <c r="W344" s="117">
        <f t="shared" si="91"/>
        <v>9</v>
      </c>
      <c r="X344" s="117" t="str">
        <f t="shared" si="92"/>
        <v>Penting</v>
      </c>
      <c r="Y344" s="111" t="s">
        <v>902</v>
      </c>
      <c r="Z344" s="122" t="s">
        <v>117</v>
      </c>
      <c r="AA344" s="115">
        <f>N344+1000</f>
        <v>44466</v>
      </c>
      <c r="AB344" s="115">
        <f>+N344+1365</f>
        <v>44831</v>
      </c>
      <c r="AC344" s="115"/>
      <c r="AD344" s="25"/>
      <c r="AE344" s="118"/>
      <c r="AF344" s="110" t="s">
        <v>895</v>
      </c>
      <c r="AG344" s="110" t="s">
        <v>117</v>
      </c>
      <c r="AH344" s="25"/>
      <c r="AI344" s="25"/>
      <c r="AJ344" s="25"/>
      <c r="AK344" s="25"/>
      <c r="AL344" s="25"/>
      <c r="AM344" s="25"/>
      <c r="AN344" s="33"/>
      <c r="AO344" s="119"/>
      <c r="AP344" s="120"/>
      <c r="AQ344" s="126"/>
      <c r="AR344" s="4"/>
      <c r="AS344" s="4"/>
      <c r="AW344" s="127"/>
    </row>
    <row r="345" spans="1:49" s="121" customFormat="1" ht="111.95" hidden="1" customHeight="1" x14ac:dyDescent="0.25">
      <c r="A345" s="109">
        <v>212</v>
      </c>
      <c r="B345" s="109" t="s">
        <v>109</v>
      </c>
      <c r="C345" s="109" t="s">
        <v>1230</v>
      </c>
      <c r="D345" s="109">
        <v>1</v>
      </c>
      <c r="E345" s="109" t="s">
        <v>118</v>
      </c>
      <c r="F345" s="111" t="s">
        <v>1231</v>
      </c>
      <c r="G345" s="112" t="s">
        <v>1232</v>
      </c>
      <c r="H345" s="112" t="s">
        <v>1233</v>
      </c>
      <c r="I345" s="113" t="s">
        <v>112</v>
      </c>
      <c r="J345" s="112" t="s">
        <v>1234</v>
      </c>
      <c r="K345" s="112"/>
      <c r="L345" s="114" t="s">
        <v>226</v>
      </c>
      <c r="M345" s="114"/>
      <c r="N345" s="115">
        <v>44805</v>
      </c>
      <c r="O345" s="115">
        <v>45169</v>
      </c>
      <c r="P345" s="116">
        <f t="shared" si="95"/>
        <v>0.99726027397260275</v>
      </c>
      <c r="Q345" s="110" t="s">
        <v>30</v>
      </c>
      <c r="R345" s="110">
        <f t="shared" ca="1" si="96"/>
        <v>8.5904350694444496</v>
      </c>
      <c r="S345" s="110" t="str">
        <f t="shared" ca="1" si="90"/>
        <v>O</v>
      </c>
      <c r="T345" s="117">
        <v>3</v>
      </c>
      <c r="U345" s="117">
        <v>3</v>
      </c>
      <c r="V345" s="117">
        <v>3</v>
      </c>
      <c r="W345" s="117">
        <f t="shared" ref="W345" si="97">T345+U345+V345</f>
        <v>9</v>
      </c>
      <c r="X345" s="117" t="str">
        <f t="shared" si="92"/>
        <v>Penting</v>
      </c>
      <c r="Y345" s="111"/>
      <c r="Z345" s="122"/>
      <c r="AA345" s="115"/>
      <c r="AB345" s="115"/>
      <c r="AC345" s="115"/>
      <c r="AD345" s="25"/>
      <c r="AE345" s="118"/>
      <c r="AF345" s="110" t="s">
        <v>937</v>
      </c>
      <c r="AG345" s="110" t="s">
        <v>117</v>
      </c>
      <c r="AH345" s="25"/>
      <c r="AI345" s="25"/>
      <c r="AJ345" s="25"/>
      <c r="AK345" s="25"/>
      <c r="AL345" s="25"/>
      <c r="AM345" s="25"/>
      <c r="AN345" s="33" t="s">
        <v>136</v>
      </c>
      <c r="AO345" s="119">
        <v>44861</v>
      </c>
      <c r="AP345" s="120"/>
      <c r="AQ345" s="150"/>
      <c r="AR345" s="4"/>
      <c r="AS345" s="4"/>
      <c r="AW345" s="127"/>
    </row>
    <row r="346" spans="1:49" s="121" customFormat="1" ht="111.95" hidden="1" customHeight="1" x14ac:dyDescent="0.25">
      <c r="A346" s="109">
        <v>213</v>
      </c>
      <c r="B346" s="109" t="s">
        <v>109</v>
      </c>
      <c r="C346" s="109" t="s">
        <v>1246</v>
      </c>
      <c r="D346" s="109">
        <v>1</v>
      </c>
      <c r="E346" s="109" t="s">
        <v>257</v>
      </c>
      <c r="F346" s="111" t="s">
        <v>653</v>
      </c>
      <c r="G346" s="112" t="s">
        <v>654</v>
      </c>
      <c r="H346" s="112" t="s">
        <v>646</v>
      </c>
      <c r="I346" s="113" t="s">
        <v>112</v>
      </c>
      <c r="J346" s="112" t="s">
        <v>655</v>
      </c>
      <c r="K346" s="112" t="s">
        <v>651</v>
      </c>
      <c r="L346" s="114">
        <v>1930000000</v>
      </c>
      <c r="M346" s="114" t="s">
        <v>322</v>
      </c>
      <c r="N346" s="115">
        <v>44802</v>
      </c>
      <c r="O346" s="115">
        <v>48638</v>
      </c>
      <c r="P346" s="116">
        <f t="shared" ref="P346:P357" si="98">(O346-N346)/365</f>
        <v>10.509589041095891</v>
      </c>
      <c r="Q346" s="110" t="s">
        <v>28</v>
      </c>
      <c r="R346" s="110">
        <f t="shared" ref="R346:R354" ca="1" si="99">(O346-NOW()+1)/31</f>
        <v>120.49366087589607</v>
      </c>
      <c r="S346" s="110" t="str">
        <f t="shared" ref="S346:S357" ca="1" si="100">IF(R346="End","Z",IF(R346="Cancel","C",IF(SUM(R346)&gt;0,"O",IF(ISBLANK(R346),"X",IF(SUM(R346)&lt;0,"Y",IF(SUM(R346),"-","O"))))))</f>
        <v>O</v>
      </c>
      <c r="T346" s="117">
        <v>1</v>
      </c>
      <c r="U346" s="117">
        <v>3</v>
      </c>
      <c r="V346" s="117">
        <v>3</v>
      </c>
      <c r="W346" s="117">
        <f t="shared" ref="W346:W357" si="101">T346+U346+V346</f>
        <v>7</v>
      </c>
      <c r="X346" s="117" t="str">
        <f t="shared" ref="X346:X357" si="102">IF(W346&gt;5,"Penting",IF(ISBLANK(W346),"","Biasa"))</f>
        <v>Penting</v>
      </c>
      <c r="Y346" s="111" t="s">
        <v>644</v>
      </c>
      <c r="Z346" s="122"/>
      <c r="AA346" s="115"/>
      <c r="AB346" s="115"/>
      <c r="AC346" s="115"/>
      <c r="AD346" s="25" t="s">
        <v>122</v>
      </c>
      <c r="AE346" s="118">
        <v>44805</v>
      </c>
      <c r="AF346" s="110" t="s">
        <v>207</v>
      </c>
      <c r="AG346" s="110" t="s">
        <v>117</v>
      </c>
      <c r="AH346" s="25"/>
      <c r="AI346" s="25"/>
      <c r="AJ346" s="25"/>
      <c r="AK346" s="25"/>
      <c r="AL346" s="25"/>
      <c r="AM346" s="25"/>
      <c r="AN346" s="33" t="s">
        <v>136</v>
      </c>
      <c r="AO346" s="119">
        <v>44819</v>
      </c>
      <c r="AP346" s="120"/>
      <c r="AQ346" s="4"/>
      <c r="AR346" s="4"/>
      <c r="AS346" s="4"/>
      <c r="AT346" s="4"/>
      <c r="AU346" s="4"/>
    </row>
    <row r="347" spans="1:49" s="121" customFormat="1" ht="111.95" hidden="1" customHeight="1" x14ac:dyDescent="0.25">
      <c r="A347" s="109">
        <v>214</v>
      </c>
      <c r="B347" s="109" t="s">
        <v>109</v>
      </c>
      <c r="C347" s="109" t="s">
        <v>1246</v>
      </c>
      <c r="D347" s="109">
        <v>2</v>
      </c>
      <c r="E347" s="109" t="s">
        <v>257</v>
      </c>
      <c r="F347" s="111" t="s">
        <v>645</v>
      </c>
      <c r="G347" s="112" t="s">
        <v>640</v>
      </c>
      <c r="H347" s="112" t="s">
        <v>646</v>
      </c>
      <c r="I347" s="113" t="s">
        <v>112</v>
      </c>
      <c r="J347" s="112" t="s">
        <v>647</v>
      </c>
      <c r="K347" s="112" t="s">
        <v>648</v>
      </c>
      <c r="L347" s="114">
        <v>589380000</v>
      </c>
      <c r="M347" s="114" t="s">
        <v>322</v>
      </c>
      <c r="N347" s="115">
        <v>44044</v>
      </c>
      <c r="O347" s="115">
        <v>47727</v>
      </c>
      <c r="P347" s="116">
        <f t="shared" si="98"/>
        <v>10.09041095890411</v>
      </c>
      <c r="Q347" s="110" t="s">
        <v>28</v>
      </c>
      <c r="R347" s="110">
        <f t="shared" ca="1" si="99"/>
        <v>91.106564101702517</v>
      </c>
      <c r="S347" s="110" t="str">
        <f t="shared" ca="1" si="100"/>
        <v>O</v>
      </c>
      <c r="T347" s="117">
        <v>1</v>
      </c>
      <c r="U347" s="117">
        <v>3</v>
      </c>
      <c r="V347" s="117">
        <v>3</v>
      </c>
      <c r="W347" s="117">
        <f t="shared" si="101"/>
        <v>7</v>
      </c>
      <c r="X347" s="117" t="str">
        <f t="shared" si="102"/>
        <v>Penting</v>
      </c>
      <c r="Y347" s="111" t="s">
        <v>644</v>
      </c>
      <c r="Z347" s="122"/>
      <c r="AA347" s="115"/>
      <c r="AB347" s="115"/>
      <c r="AC347" s="115"/>
      <c r="AD347" s="25" t="s">
        <v>122</v>
      </c>
      <c r="AE347" s="118">
        <v>44044</v>
      </c>
      <c r="AF347" s="110" t="s">
        <v>207</v>
      </c>
      <c r="AG347" s="110" t="s">
        <v>117</v>
      </c>
      <c r="AH347" s="25"/>
      <c r="AI347" s="25"/>
      <c r="AJ347" s="25"/>
      <c r="AK347" s="25"/>
      <c r="AL347" s="25"/>
      <c r="AM347" s="25"/>
      <c r="AN347" s="33" t="s">
        <v>123</v>
      </c>
      <c r="AO347" s="119">
        <v>44067</v>
      </c>
      <c r="AP347" s="120"/>
      <c r="AQ347" s="4"/>
      <c r="AR347" s="4"/>
      <c r="AS347" s="4"/>
      <c r="AT347" s="4"/>
      <c r="AU347" s="4"/>
    </row>
    <row r="348" spans="1:49" s="121" customFormat="1" ht="111.95" hidden="1" customHeight="1" x14ac:dyDescent="0.25">
      <c r="A348" s="109">
        <v>215</v>
      </c>
      <c r="B348" s="109" t="s">
        <v>109</v>
      </c>
      <c r="C348" s="109" t="s">
        <v>1246</v>
      </c>
      <c r="D348" s="109">
        <v>3</v>
      </c>
      <c r="E348" s="109" t="s">
        <v>257</v>
      </c>
      <c r="F348" s="111" t="s">
        <v>639</v>
      </c>
      <c r="G348" s="112" t="s">
        <v>640</v>
      </c>
      <c r="H348" s="112" t="s">
        <v>641</v>
      </c>
      <c r="I348" s="113" t="s">
        <v>112</v>
      </c>
      <c r="J348" s="112" t="s">
        <v>642</v>
      </c>
      <c r="K348" s="112" t="s">
        <v>643</v>
      </c>
      <c r="L348" s="114">
        <v>296140000</v>
      </c>
      <c r="M348" s="114" t="s">
        <v>322</v>
      </c>
      <c r="N348" s="115">
        <v>43696</v>
      </c>
      <c r="O348" s="115">
        <v>47392</v>
      </c>
      <c r="P348" s="116">
        <f t="shared" si="98"/>
        <v>10.126027397260273</v>
      </c>
      <c r="Q348" s="110" t="s">
        <v>28</v>
      </c>
      <c r="R348" s="110">
        <f t="shared" ca="1" si="99"/>
        <v>80.300112488799286</v>
      </c>
      <c r="S348" s="110" t="str">
        <f t="shared" ca="1" si="100"/>
        <v>O</v>
      </c>
      <c r="T348" s="117">
        <v>1</v>
      </c>
      <c r="U348" s="117">
        <v>3</v>
      </c>
      <c r="V348" s="117">
        <v>3</v>
      </c>
      <c r="W348" s="117">
        <f t="shared" si="101"/>
        <v>7</v>
      </c>
      <c r="X348" s="117" t="str">
        <f t="shared" si="102"/>
        <v>Penting</v>
      </c>
      <c r="Y348" s="111" t="s">
        <v>644</v>
      </c>
      <c r="Z348" s="122"/>
      <c r="AA348" s="115"/>
      <c r="AB348" s="115"/>
      <c r="AC348" s="115"/>
      <c r="AD348" s="25" t="s">
        <v>122</v>
      </c>
      <c r="AE348" s="118">
        <v>43696</v>
      </c>
      <c r="AF348" s="110" t="s">
        <v>207</v>
      </c>
      <c r="AG348" s="110" t="s">
        <v>117</v>
      </c>
      <c r="AH348" s="25"/>
      <c r="AI348" s="25"/>
      <c r="AJ348" s="25"/>
      <c r="AK348" s="25"/>
      <c r="AL348" s="25"/>
      <c r="AM348" s="25"/>
      <c r="AN348" s="33" t="s">
        <v>123</v>
      </c>
      <c r="AO348" s="119"/>
      <c r="AP348" s="120"/>
      <c r="AQ348" s="4"/>
      <c r="AR348" s="4"/>
      <c r="AS348" s="4"/>
      <c r="AT348" s="4"/>
      <c r="AU348" s="4"/>
    </row>
    <row r="349" spans="1:49" s="121" customFormat="1" ht="111.95" hidden="1" customHeight="1" x14ac:dyDescent="0.25">
      <c r="A349" s="109">
        <v>216</v>
      </c>
      <c r="B349" s="109" t="s">
        <v>109</v>
      </c>
      <c r="C349" s="109" t="s">
        <v>1246</v>
      </c>
      <c r="D349" s="109">
        <v>4</v>
      </c>
      <c r="E349" s="109" t="s">
        <v>257</v>
      </c>
      <c r="F349" s="111" t="s">
        <v>588</v>
      </c>
      <c r="G349" s="112" t="s">
        <v>244</v>
      </c>
      <c r="H349" s="112" t="s">
        <v>589</v>
      </c>
      <c r="I349" s="113" t="s">
        <v>112</v>
      </c>
      <c r="J349" s="112" t="s">
        <v>590</v>
      </c>
      <c r="K349" s="112" t="s">
        <v>591</v>
      </c>
      <c r="L349" s="114">
        <v>112700000</v>
      </c>
      <c r="M349" s="114" t="s">
        <v>322</v>
      </c>
      <c r="N349" s="115">
        <v>44743</v>
      </c>
      <c r="O349" s="115">
        <v>46568</v>
      </c>
      <c r="P349" s="116">
        <f t="shared" si="98"/>
        <v>5</v>
      </c>
      <c r="Q349" s="110" t="s">
        <v>28</v>
      </c>
      <c r="R349" s="110">
        <f t="shared" ca="1" si="99"/>
        <v>53.719467327508966</v>
      </c>
      <c r="S349" s="110" t="str">
        <f t="shared" ca="1" si="100"/>
        <v>O</v>
      </c>
      <c r="T349" s="117">
        <v>1</v>
      </c>
      <c r="U349" s="117">
        <v>3</v>
      </c>
      <c r="V349" s="117">
        <v>3</v>
      </c>
      <c r="W349" s="117">
        <f t="shared" si="101"/>
        <v>7</v>
      </c>
      <c r="X349" s="117" t="str">
        <f t="shared" si="102"/>
        <v>Penting</v>
      </c>
      <c r="Y349" s="111"/>
      <c r="Z349" s="122"/>
      <c r="AA349" s="115"/>
      <c r="AB349" s="115"/>
      <c r="AC349" s="115"/>
      <c r="AD349" s="25" t="s">
        <v>122</v>
      </c>
      <c r="AE349" s="118">
        <v>44743</v>
      </c>
      <c r="AF349" s="110" t="s">
        <v>232</v>
      </c>
      <c r="AG349" s="110" t="s">
        <v>117</v>
      </c>
      <c r="AH349" s="25"/>
      <c r="AI349" s="25"/>
      <c r="AJ349" s="25"/>
      <c r="AK349" s="25"/>
      <c r="AL349" s="25"/>
      <c r="AM349" s="25"/>
      <c r="AN349" s="33" t="s">
        <v>136</v>
      </c>
      <c r="AO349" s="119">
        <v>44757</v>
      </c>
      <c r="AP349" s="120"/>
      <c r="AQ349" s="4"/>
      <c r="AR349" s="4"/>
      <c r="AS349" s="4"/>
      <c r="AT349" s="4"/>
      <c r="AU349" s="4"/>
    </row>
    <row r="350" spans="1:49" s="121" customFormat="1" ht="111.95" hidden="1" customHeight="1" x14ac:dyDescent="0.25">
      <c r="A350" s="109">
        <v>217</v>
      </c>
      <c r="B350" s="109" t="s">
        <v>109</v>
      </c>
      <c r="C350" s="109" t="s">
        <v>1246</v>
      </c>
      <c r="D350" s="109">
        <v>5</v>
      </c>
      <c r="E350" s="109" t="s">
        <v>257</v>
      </c>
      <c r="F350" s="111" t="s">
        <v>579</v>
      </c>
      <c r="G350" s="112" t="s">
        <v>244</v>
      </c>
      <c r="H350" s="112" t="s">
        <v>580</v>
      </c>
      <c r="I350" s="113" t="s">
        <v>112</v>
      </c>
      <c r="J350" s="112" t="s">
        <v>581</v>
      </c>
      <c r="K350" s="112" t="s">
        <v>582</v>
      </c>
      <c r="L350" s="114">
        <v>126000000</v>
      </c>
      <c r="M350" s="114" t="s">
        <v>322</v>
      </c>
      <c r="N350" s="115">
        <v>44655</v>
      </c>
      <c r="O350" s="115">
        <v>45808</v>
      </c>
      <c r="P350" s="116">
        <f t="shared" si="98"/>
        <v>3.1589041095890411</v>
      </c>
      <c r="Q350" s="110" t="s">
        <v>28</v>
      </c>
      <c r="R350" s="110">
        <f t="shared" ca="1" si="99"/>
        <v>29.203338295250902</v>
      </c>
      <c r="S350" s="110" t="str">
        <f t="shared" ca="1" si="100"/>
        <v>O</v>
      </c>
      <c r="T350" s="117">
        <v>3</v>
      </c>
      <c r="U350" s="117">
        <v>3</v>
      </c>
      <c r="V350" s="117">
        <v>3</v>
      </c>
      <c r="W350" s="117">
        <f t="shared" si="101"/>
        <v>9</v>
      </c>
      <c r="X350" s="117" t="str">
        <f t="shared" si="102"/>
        <v>Penting</v>
      </c>
      <c r="Y350" s="111"/>
      <c r="Z350" s="122"/>
      <c r="AA350" s="115"/>
      <c r="AB350" s="115"/>
      <c r="AC350" s="115"/>
      <c r="AD350" s="25" t="s">
        <v>122</v>
      </c>
      <c r="AE350" s="118">
        <v>44655</v>
      </c>
      <c r="AF350" s="110" t="s">
        <v>232</v>
      </c>
      <c r="AG350" s="110" t="s">
        <v>117</v>
      </c>
      <c r="AH350" s="25"/>
      <c r="AI350" s="25"/>
      <c r="AJ350" s="25"/>
      <c r="AK350" s="25"/>
      <c r="AL350" s="25"/>
      <c r="AM350" s="25"/>
      <c r="AN350" s="33" t="s">
        <v>123</v>
      </c>
      <c r="AO350" s="119">
        <v>44658</v>
      </c>
      <c r="AP350" s="120"/>
      <c r="AQ350" s="4"/>
      <c r="AR350" s="4"/>
      <c r="AS350" s="4"/>
      <c r="AT350" s="4"/>
      <c r="AU350" s="4"/>
    </row>
    <row r="351" spans="1:49" s="121" customFormat="1" ht="111.95" hidden="1" customHeight="1" x14ac:dyDescent="0.25">
      <c r="A351" s="109">
        <v>218</v>
      </c>
      <c r="B351" s="109" t="s">
        <v>109</v>
      </c>
      <c r="C351" s="109" t="s">
        <v>1246</v>
      </c>
      <c r="D351" s="109">
        <v>6</v>
      </c>
      <c r="E351" s="109" t="s">
        <v>257</v>
      </c>
      <c r="F351" s="111" t="s">
        <v>348</v>
      </c>
      <c r="G351" s="112" t="s">
        <v>244</v>
      </c>
      <c r="H351" s="112" t="s">
        <v>324</v>
      </c>
      <c r="I351" s="113" t="s">
        <v>112</v>
      </c>
      <c r="J351" s="112" t="s">
        <v>325</v>
      </c>
      <c r="K351" s="112" t="s">
        <v>326</v>
      </c>
      <c r="L351" s="114">
        <v>107000000</v>
      </c>
      <c r="M351" s="114" t="s">
        <v>327</v>
      </c>
      <c r="N351" s="115">
        <v>44564</v>
      </c>
      <c r="O351" s="115">
        <v>45660</v>
      </c>
      <c r="P351" s="116">
        <f t="shared" si="98"/>
        <v>3.0027397260273974</v>
      </c>
      <c r="Q351" s="110" t="s">
        <v>28</v>
      </c>
      <c r="R351" s="110">
        <f t="shared" ca="1" si="99"/>
        <v>24.429144746863805</v>
      </c>
      <c r="S351" s="110" t="str">
        <f t="shared" ca="1" si="100"/>
        <v>O</v>
      </c>
      <c r="T351" s="117">
        <v>1</v>
      </c>
      <c r="U351" s="117">
        <v>1</v>
      </c>
      <c r="V351" s="117">
        <v>1</v>
      </c>
      <c r="W351" s="117">
        <f t="shared" si="101"/>
        <v>3</v>
      </c>
      <c r="X351" s="117" t="str">
        <f t="shared" si="102"/>
        <v>Biasa</v>
      </c>
      <c r="Y351" s="111" t="s">
        <v>328</v>
      </c>
      <c r="Z351" s="122"/>
      <c r="AA351" s="115"/>
      <c r="AB351" s="115"/>
      <c r="AC351" s="115"/>
      <c r="AD351" s="25" t="s">
        <v>122</v>
      </c>
      <c r="AE351" s="118">
        <v>44562</v>
      </c>
      <c r="AF351" s="110" t="s">
        <v>232</v>
      </c>
      <c r="AG351" s="110" t="s">
        <v>117</v>
      </c>
      <c r="AH351" s="25"/>
      <c r="AI351" s="25"/>
      <c r="AJ351" s="25"/>
      <c r="AK351" s="25"/>
      <c r="AL351" s="25"/>
      <c r="AM351" s="25"/>
      <c r="AN351" s="33" t="s">
        <v>123</v>
      </c>
      <c r="AO351" s="119"/>
      <c r="AP351" s="120"/>
      <c r="AQ351" s="4"/>
      <c r="AR351" s="4"/>
      <c r="AS351" s="4"/>
      <c r="AT351" s="4"/>
      <c r="AU351" s="4"/>
    </row>
    <row r="352" spans="1:49" s="121" customFormat="1" ht="111.95" hidden="1" customHeight="1" x14ac:dyDescent="0.25">
      <c r="A352" s="109">
        <v>219</v>
      </c>
      <c r="B352" s="109" t="s">
        <v>109</v>
      </c>
      <c r="C352" s="109" t="s">
        <v>1246</v>
      </c>
      <c r="D352" s="109">
        <v>7</v>
      </c>
      <c r="E352" s="109" t="s">
        <v>257</v>
      </c>
      <c r="F352" s="111" t="s">
        <v>338</v>
      </c>
      <c r="G352" s="112" t="s">
        <v>244</v>
      </c>
      <c r="H352" s="112" t="s">
        <v>339</v>
      </c>
      <c r="I352" s="113" t="s">
        <v>112</v>
      </c>
      <c r="J352" s="112" t="s">
        <v>340</v>
      </c>
      <c r="K352" s="112" t="s">
        <v>341</v>
      </c>
      <c r="L352" s="114" t="s">
        <v>342</v>
      </c>
      <c r="M352" s="114" t="s">
        <v>343</v>
      </c>
      <c r="N352" s="115">
        <v>44392</v>
      </c>
      <c r="O352" s="115">
        <v>45657</v>
      </c>
      <c r="P352" s="116">
        <f t="shared" si="98"/>
        <v>3.4657534246575343</v>
      </c>
      <c r="Q352" s="110" t="s">
        <v>28</v>
      </c>
      <c r="R352" s="110">
        <f t="shared" ca="1" si="99"/>
        <v>24.332370553315418</v>
      </c>
      <c r="S352" s="110" t="str">
        <f t="shared" ca="1" si="100"/>
        <v>O</v>
      </c>
      <c r="T352" s="117">
        <v>1</v>
      </c>
      <c r="U352" s="117">
        <v>1</v>
      </c>
      <c r="V352" s="117">
        <v>1</v>
      </c>
      <c r="W352" s="117">
        <f t="shared" si="101"/>
        <v>3</v>
      </c>
      <c r="X352" s="117" t="str">
        <f t="shared" si="102"/>
        <v>Biasa</v>
      </c>
      <c r="Y352" s="111"/>
      <c r="Z352" s="122"/>
      <c r="AA352" s="115"/>
      <c r="AB352" s="115"/>
      <c r="AC352" s="115"/>
      <c r="AD352" s="25" t="s">
        <v>122</v>
      </c>
      <c r="AE352" s="118">
        <v>44531</v>
      </c>
      <c r="AF352" s="110" t="s">
        <v>232</v>
      </c>
      <c r="AG352" s="110" t="s">
        <v>117</v>
      </c>
      <c r="AH352" s="25"/>
      <c r="AI352" s="25"/>
      <c r="AJ352" s="25"/>
      <c r="AK352" s="25"/>
      <c r="AL352" s="25"/>
      <c r="AM352" s="25"/>
      <c r="AN352" s="33" t="s">
        <v>123</v>
      </c>
      <c r="AO352" s="119"/>
      <c r="AP352" s="120"/>
      <c r="AQ352" s="4"/>
      <c r="AR352" s="4"/>
      <c r="AS352" s="4"/>
      <c r="AT352" s="4"/>
      <c r="AU352" s="4"/>
    </row>
    <row r="353" spans="1:47" s="121" customFormat="1" ht="111.95" hidden="1" customHeight="1" x14ac:dyDescent="0.25">
      <c r="A353" s="109">
        <v>220</v>
      </c>
      <c r="B353" s="109" t="s">
        <v>109</v>
      </c>
      <c r="C353" s="109" t="s">
        <v>1246</v>
      </c>
      <c r="D353" s="109">
        <v>8</v>
      </c>
      <c r="E353" s="109" t="s">
        <v>257</v>
      </c>
      <c r="F353" s="111" t="s">
        <v>649</v>
      </c>
      <c r="G353" s="112" t="s">
        <v>650</v>
      </c>
      <c r="H353" s="112" t="s">
        <v>646</v>
      </c>
      <c r="I353" s="113" t="s">
        <v>112</v>
      </c>
      <c r="J353" s="112" t="s">
        <v>650</v>
      </c>
      <c r="K353" s="112" t="s">
        <v>651</v>
      </c>
      <c r="L353" s="114">
        <v>1530000000</v>
      </c>
      <c r="M353" s="114" t="s">
        <v>322</v>
      </c>
      <c r="N353" s="115">
        <v>44409</v>
      </c>
      <c r="O353" s="115">
        <v>45596</v>
      </c>
      <c r="P353" s="116">
        <f t="shared" si="98"/>
        <v>3.2520547945205478</v>
      </c>
      <c r="Q353" s="110" t="s">
        <v>28</v>
      </c>
      <c r="R353" s="110">
        <f t="shared" ca="1" si="99"/>
        <v>22.364628617831546</v>
      </c>
      <c r="S353" s="110" t="str">
        <f t="shared" ca="1" si="100"/>
        <v>O</v>
      </c>
      <c r="T353" s="117">
        <v>1</v>
      </c>
      <c r="U353" s="117">
        <v>3</v>
      </c>
      <c r="V353" s="117">
        <v>3</v>
      </c>
      <c r="W353" s="117">
        <f t="shared" si="101"/>
        <v>7</v>
      </c>
      <c r="X353" s="117" t="str">
        <f t="shared" si="102"/>
        <v>Penting</v>
      </c>
      <c r="Y353" s="111" t="s">
        <v>652</v>
      </c>
      <c r="Z353" s="122"/>
      <c r="AA353" s="115"/>
      <c r="AB353" s="115"/>
      <c r="AC353" s="115"/>
      <c r="AD353" s="25" t="s">
        <v>122</v>
      </c>
      <c r="AE353" s="118">
        <v>44409</v>
      </c>
      <c r="AF353" s="110" t="s">
        <v>207</v>
      </c>
      <c r="AG353" s="110" t="s">
        <v>117</v>
      </c>
      <c r="AH353" s="25"/>
      <c r="AI353" s="25"/>
      <c r="AJ353" s="25"/>
      <c r="AK353" s="25"/>
      <c r="AL353" s="25"/>
      <c r="AM353" s="25"/>
      <c r="AN353" s="33" t="s">
        <v>123</v>
      </c>
      <c r="AO353" s="119">
        <v>44440</v>
      </c>
      <c r="AP353" s="120"/>
      <c r="AQ353" s="4"/>
      <c r="AR353" s="4"/>
      <c r="AS353" s="4"/>
      <c r="AT353" s="4"/>
      <c r="AU353" s="4"/>
    </row>
    <row r="354" spans="1:47" s="121" customFormat="1" ht="111.95" hidden="1" customHeight="1" x14ac:dyDescent="0.25">
      <c r="A354" s="109">
        <v>221</v>
      </c>
      <c r="B354" s="109" t="s">
        <v>109</v>
      </c>
      <c r="C354" s="109" t="s">
        <v>1246</v>
      </c>
      <c r="D354" s="109">
        <v>9</v>
      </c>
      <c r="E354" s="109" t="s">
        <v>257</v>
      </c>
      <c r="F354" s="111" t="s">
        <v>323</v>
      </c>
      <c r="G354" s="112" t="s">
        <v>244</v>
      </c>
      <c r="H354" s="112" t="s">
        <v>324</v>
      </c>
      <c r="I354" s="113" t="s">
        <v>112</v>
      </c>
      <c r="J354" s="112" t="s">
        <v>325</v>
      </c>
      <c r="K354" s="112" t="s">
        <v>326</v>
      </c>
      <c r="L354" s="114">
        <v>107000000</v>
      </c>
      <c r="M354" s="114" t="s">
        <v>327</v>
      </c>
      <c r="N354" s="115">
        <v>44478</v>
      </c>
      <c r="O354" s="115">
        <v>45574</v>
      </c>
      <c r="P354" s="116">
        <f t="shared" si="98"/>
        <v>3.0027397260273974</v>
      </c>
      <c r="Q354" s="110" t="s">
        <v>28</v>
      </c>
      <c r="R354" s="110">
        <f t="shared" ca="1" si="99"/>
        <v>21.654951198476709</v>
      </c>
      <c r="S354" s="110" t="str">
        <f t="shared" ca="1" si="100"/>
        <v>O</v>
      </c>
      <c r="T354" s="117">
        <v>1</v>
      </c>
      <c r="U354" s="117">
        <v>1</v>
      </c>
      <c r="V354" s="117">
        <v>1</v>
      </c>
      <c r="W354" s="117">
        <f t="shared" si="101"/>
        <v>3</v>
      </c>
      <c r="X354" s="117" t="str">
        <f t="shared" si="102"/>
        <v>Biasa</v>
      </c>
      <c r="Y354" s="111" t="s">
        <v>328</v>
      </c>
      <c r="Z354" s="122"/>
      <c r="AA354" s="115"/>
      <c r="AB354" s="115"/>
      <c r="AC354" s="115"/>
      <c r="AD354" s="25" t="s">
        <v>122</v>
      </c>
      <c r="AE354" s="118">
        <v>44501</v>
      </c>
      <c r="AF354" s="110" t="s">
        <v>232</v>
      </c>
      <c r="AG354" s="110" t="s">
        <v>117</v>
      </c>
      <c r="AH354" s="25"/>
      <c r="AI354" s="25"/>
      <c r="AJ354" s="25"/>
      <c r="AK354" s="25"/>
      <c r="AL354" s="25"/>
      <c r="AM354" s="25"/>
      <c r="AN354" s="33" t="s">
        <v>123</v>
      </c>
      <c r="AO354" s="119">
        <v>44502</v>
      </c>
      <c r="AP354" s="120"/>
      <c r="AQ354" s="4"/>
      <c r="AR354" s="4"/>
      <c r="AS354" s="4"/>
      <c r="AT354" s="4"/>
      <c r="AU354" s="4"/>
    </row>
    <row r="355" spans="1:47" s="121" customFormat="1" ht="111.95" hidden="1" customHeight="1" x14ac:dyDescent="0.25">
      <c r="A355" s="109">
        <v>222</v>
      </c>
      <c r="B355" s="109" t="s">
        <v>109</v>
      </c>
      <c r="C355" s="109" t="s">
        <v>1246</v>
      </c>
      <c r="D355" s="109">
        <v>10</v>
      </c>
      <c r="E355" s="109" t="s">
        <v>257</v>
      </c>
      <c r="F355" s="111" t="s">
        <v>349</v>
      </c>
      <c r="G355" s="112" t="s">
        <v>350</v>
      </c>
      <c r="H355" s="112" t="s">
        <v>324</v>
      </c>
      <c r="I355" s="113" t="s">
        <v>112</v>
      </c>
      <c r="J355" s="112" t="s">
        <v>351</v>
      </c>
      <c r="K355" s="112" t="s">
        <v>352</v>
      </c>
      <c r="L355" s="114">
        <v>1995811852</v>
      </c>
      <c r="M355" s="114" t="s">
        <v>322</v>
      </c>
      <c r="N355" s="115">
        <v>44777</v>
      </c>
      <c r="O355" s="115">
        <v>45508</v>
      </c>
      <c r="P355" s="116">
        <f t="shared" si="98"/>
        <v>2.0027397260273974</v>
      </c>
      <c r="Q355" s="110" t="s">
        <v>28</v>
      </c>
      <c r="R355" s="110">
        <f t="shared" ref="R355" ca="1" si="103">(O355-NOW()+1)/31</f>
        <v>19.525918940412193</v>
      </c>
      <c r="S355" s="110" t="str">
        <f t="shared" ca="1" si="100"/>
        <v>O</v>
      </c>
      <c r="T355" s="117">
        <v>1</v>
      </c>
      <c r="U355" s="117">
        <v>1</v>
      </c>
      <c r="V355" s="117">
        <v>1</v>
      </c>
      <c r="W355" s="117">
        <f t="shared" si="101"/>
        <v>3</v>
      </c>
      <c r="X355" s="117" t="str">
        <f t="shared" si="102"/>
        <v>Biasa</v>
      </c>
      <c r="Y355" s="111" t="s">
        <v>353</v>
      </c>
      <c r="Z355" s="122"/>
      <c r="AA355" s="115"/>
      <c r="AB355" s="115"/>
      <c r="AC355" s="115"/>
      <c r="AD355" s="25" t="s">
        <v>122</v>
      </c>
      <c r="AE355" s="118">
        <v>44774</v>
      </c>
      <c r="AF355" s="110" t="s">
        <v>207</v>
      </c>
      <c r="AG355" s="110" t="s">
        <v>189</v>
      </c>
      <c r="AH355" s="25"/>
      <c r="AI355" s="25"/>
      <c r="AJ355" s="25"/>
      <c r="AK355" s="25"/>
      <c r="AL355" s="25"/>
      <c r="AM355" s="25"/>
      <c r="AN355" s="33" t="s">
        <v>136</v>
      </c>
      <c r="AO355" s="119">
        <v>44777</v>
      </c>
      <c r="AP355" s="120"/>
      <c r="AQ355" s="4"/>
      <c r="AR355" s="4"/>
      <c r="AS355" s="4"/>
      <c r="AT355" s="4"/>
      <c r="AU355" s="4"/>
    </row>
    <row r="356" spans="1:47" s="121" customFormat="1" ht="111.95" hidden="1" customHeight="1" x14ac:dyDescent="0.25">
      <c r="A356" s="109">
        <v>223</v>
      </c>
      <c r="B356" s="109" t="s">
        <v>109</v>
      </c>
      <c r="C356" s="109" t="s">
        <v>1246</v>
      </c>
      <c r="D356" s="109">
        <v>11</v>
      </c>
      <c r="E356" s="109" t="s">
        <v>257</v>
      </c>
      <c r="F356" s="111" t="s">
        <v>344</v>
      </c>
      <c r="G356" s="112" t="s">
        <v>244</v>
      </c>
      <c r="H356" s="112" t="s">
        <v>339</v>
      </c>
      <c r="I356" s="113" t="s">
        <v>112</v>
      </c>
      <c r="J356" s="112" t="s">
        <v>345</v>
      </c>
      <c r="K356" s="112" t="s">
        <v>341</v>
      </c>
      <c r="L356" s="114" t="s">
        <v>346</v>
      </c>
      <c r="M356" s="114" t="s">
        <v>343</v>
      </c>
      <c r="N356" s="115">
        <v>44743</v>
      </c>
      <c r="O356" s="115">
        <v>45291</v>
      </c>
      <c r="P356" s="116">
        <f t="shared" si="98"/>
        <v>1.5013698630136987</v>
      </c>
      <c r="Q356" s="110" t="s">
        <v>28</v>
      </c>
      <c r="R356" s="110">
        <f t="shared" ref="R356:R373" ca="1" si="104">(O356-NOW()+1)/31</f>
        <v>12.525918940412192</v>
      </c>
      <c r="S356" s="110" t="str">
        <f t="shared" ca="1" si="100"/>
        <v>O</v>
      </c>
      <c r="T356" s="117">
        <v>1</v>
      </c>
      <c r="U356" s="117">
        <v>1</v>
      </c>
      <c r="V356" s="117">
        <v>1</v>
      </c>
      <c r="W356" s="117">
        <f t="shared" si="101"/>
        <v>3</v>
      </c>
      <c r="X356" s="117" t="str">
        <f t="shared" si="102"/>
        <v>Biasa</v>
      </c>
      <c r="Y356" s="111" t="s">
        <v>347</v>
      </c>
      <c r="Z356" s="122"/>
      <c r="AA356" s="115"/>
      <c r="AB356" s="115"/>
      <c r="AC356" s="115"/>
      <c r="AD356" s="25" t="s">
        <v>122</v>
      </c>
      <c r="AE356" s="118">
        <v>44378</v>
      </c>
      <c r="AF356" s="110" t="s">
        <v>232</v>
      </c>
      <c r="AG356" s="110" t="s">
        <v>117</v>
      </c>
      <c r="AH356" s="25"/>
      <c r="AI356" s="25"/>
      <c r="AJ356" s="25"/>
      <c r="AK356" s="25"/>
      <c r="AL356" s="25"/>
      <c r="AM356" s="25"/>
      <c r="AN356" s="33" t="s">
        <v>136</v>
      </c>
      <c r="AO356" s="119">
        <v>44764</v>
      </c>
      <c r="AP356" s="120"/>
      <c r="AQ356" s="4"/>
      <c r="AR356" s="4"/>
      <c r="AS356" s="4"/>
      <c r="AT356" s="4"/>
      <c r="AU356" s="4"/>
    </row>
    <row r="357" spans="1:47" s="121" customFormat="1" ht="111.95" hidden="1" customHeight="1" x14ac:dyDescent="0.25">
      <c r="A357" s="109">
        <v>224</v>
      </c>
      <c r="B357" s="109" t="s">
        <v>109</v>
      </c>
      <c r="C357" s="109" t="s">
        <v>1246</v>
      </c>
      <c r="D357" s="109">
        <v>12</v>
      </c>
      <c r="E357" s="109" t="s">
        <v>257</v>
      </c>
      <c r="F357" s="111" t="s">
        <v>661</v>
      </c>
      <c r="G357" s="112" t="s">
        <v>662</v>
      </c>
      <c r="H357" s="112" t="s">
        <v>663</v>
      </c>
      <c r="I357" s="113" t="s">
        <v>112</v>
      </c>
      <c r="J357" s="112" t="s">
        <v>662</v>
      </c>
      <c r="K357" s="112" t="s">
        <v>664</v>
      </c>
      <c r="L357" s="114">
        <v>108000000</v>
      </c>
      <c r="M357" s="114" t="s">
        <v>322</v>
      </c>
      <c r="N357" s="115">
        <v>44851</v>
      </c>
      <c r="O357" s="115">
        <v>45246</v>
      </c>
      <c r="P357" s="116">
        <f t="shared" si="98"/>
        <v>1.0821917808219179</v>
      </c>
      <c r="Q357" s="110" t="s">
        <v>28</v>
      </c>
      <c r="R357" s="110">
        <f t="shared" ca="1" si="104"/>
        <v>11.074306037186386</v>
      </c>
      <c r="S357" s="110" t="str">
        <f t="shared" ca="1" si="100"/>
        <v>O</v>
      </c>
      <c r="T357" s="117">
        <v>1</v>
      </c>
      <c r="U357" s="117">
        <v>3</v>
      </c>
      <c r="V357" s="117">
        <v>3</v>
      </c>
      <c r="W357" s="117">
        <f t="shared" si="101"/>
        <v>7</v>
      </c>
      <c r="X357" s="117" t="str">
        <f t="shared" si="102"/>
        <v>Penting</v>
      </c>
      <c r="Y357" s="111" t="s">
        <v>665</v>
      </c>
      <c r="Z357" s="122"/>
      <c r="AA357" s="115"/>
      <c r="AB357" s="115"/>
      <c r="AC357" s="115"/>
      <c r="AD357" s="25" t="s">
        <v>666</v>
      </c>
      <c r="AE357" s="118">
        <v>44835</v>
      </c>
      <c r="AF357" s="110" t="s">
        <v>207</v>
      </c>
      <c r="AG357" s="110" t="s">
        <v>117</v>
      </c>
      <c r="AH357" s="25"/>
      <c r="AI357" s="25"/>
      <c r="AJ357" s="25"/>
      <c r="AK357" s="25"/>
      <c r="AL357" s="25"/>
      <c r="AM357" s="25"/>
      <c r="AN357" s="33" t="s">
        <v>136</v>
      </c>
      <c r="AO357" s="119">
        <v>44851</v>
      </c>
      <c r="AP357" s="120"/>
      <c r="AQ357" s="4"/>
      <c r="AR357" s="4"/>
      <c r="AS357" s="4"/>
      <c r="AT357" s="4"/>
      <c r="AU357" s="4"/>
    </row>
    <row r="358" spans="1:47" s="121" customFormat="1" ht="111.95" hidden="1" customHeight="1" x14ac:dyDescent="0.25">
      <c r="A358" s="109">
        <v>225</v>
      </c>
      <c r="B358" s="109" t="s">
        <v>109</v>
      </c>
      <c r="C358" s="109" t="s">
        <v>1246</v>
      </c>
      <c r="D358" s="109">
        <v>13</v>
      </c>
      <c r="E358" s="109" t="s">
        <v>257</v>
      </c>
      <c r="F358" s="111" t="s">
        <v>1236</v>
      </c>
      <c r="G358" s="112" t="s">
        <v>258</v>
      </c>
      <c r="H358" s="112" t="s">
        <v>1237</v>
      </c>
      <c r="I358" s="113" t="s">
        <v>112</v>
      </c>
      <c r="J358" s="112" t="s">
        <v>260</v>
      </c>
      <c r="K358" s="112" t="s">
        <v>1238</v>
      </c>
      <c r="L358" s="151">
        <v>0.02</v>
      </c>
      <c r="M358" s="114" t="s">
        <v>262</v>
      </c>
      <c r="N358" s="115">
        <v>44866</v>
      </c>
      <c r="O358" s="115">
        <v>45230</v>
      </c>
      <c r="P358" s="116">
        <f t="shared" ref="P358" si="105">(O358-N358)/365</f>
        <v>0.99726027397260275</v>
      </c>
      <c r="Q358" s="110" t="s">
        <v>28</v>
      </c>
      <c r="R358" s="110">
        <f t="shared" ca="1" si="104"/>
        <v>10.558177004928321</v>
      </c>
      <c r="S358" s="110" t="str">
        <f t="shared" ref="S358" ca="1" si="106">IF(R358="End","Z",IF(R358="Cancel","C",IF(SUM(R358)&gt;0,"O",IF(ISBLANK(R358),"X",IF(SUM(R358)&lt;0,"Y",IF(SUM(R358),"-","O"))))))</f>
        <v>O</v>
      </c>
      <c r="T358" s="117">
        <v>1</v>
      </c>
      <c r="U358" s="117">
        <v>2</v>
      </c>
      <c r="V358" s="117">
        <v>3</v>
      </c>
      <c r="W358" s="117">
        <f t="shared" ref="W358" si="107">T358+U358+V358</f>
        <v>6</v>
      </c>
      <c r="X358" s="117" t="str">
        <f t="shared" ref="X358" si="108">IF(W358&gt;5,"Penting",IF(ISBLANK(W358),"","Biasa"))</f>
        <v>Penting</v>
      </c>
      <c r="Y358" s="111"/>
      <c r="Z358" s="122"/>
      <c r="AA358" s="115"/>
      <c r="AB358" s="115"/>
      <c r="AC358" s="115"/>
      <c r="AD358" s="25" t="s">
        <v>122</v>
      </c>
      <c r="AE358" s="118">
        <v>44866</v>
      </c>
      <c r="AF358" s="110" t="s">
        <v>264</v>
      </c>
      <c r="AG358" s="110" t="s">
        <v>117</v>
      </c>
      <c r="AH358" s="25"/>
      <c r="AI358" s="25"/>
      <c r="AJ358" s="25"/>
      <c r="AK358" s="25"/>
      <c r="AL358" s="25"/>
      <c r="AM358" s="25"/>
      <c r="AN358" s="33" t="s">
        <v>136</v>
      </c>
      <c r="AO358" s="119">
        <v>44865</v>
      </c>
      <c r="AP358" s="120"/>
      <c r="AQ358" s="4"/>
      <c r="AR358" s="4"/>
      <c r="AS358" s="4"/>
      <c r="AT358" s="4"/>
      <c r="AU358" s="4"/>
    </row>
    <row r="359" spans="1:47" s="121" customFormat="1" ht="111.95" hidden="1" customHeight="1" x14ac:dyDescent="0.25">
      <c r="A359" s="109">
        <v>226</v>
      </c>
      <c r="B359" s="109" t="s">
        <v>109</v>
      </c>
      <c r="C359" s="109" t="s">
        <v>1246</v>
      </c>
      <c r="D359" s="109">
        <v>14</v>
      </c>
      <c r="E359" s="109" t="s">
        <v>257</v>
      </c>
      <c r="F359" s="111" t="s">
        <v>680</v>
      </c>
      <c r="G359" s="112" t="s">
        <v>244</v>
      </c>
      <c r="H359" s="112" t="s">
        <v>681</v>
      </c>
      <c r="I359" s="113" t="s">
        <v>112</v>
      </c>
      <c r="J359" s="112" t="s">
        <v>682</v>
      </c>
      <c r="K359" s="112" t="s">
        <v>683</v>
      </c>
      <c r="L359" s="114"/>
      <c r="M359" s="114">
        <v>460000000</v>
      </c>
      <c r="N359" s="115">
        <v>44743</v>
      </c>
      <c r="O359" s="115">
        <v>45230</v>
      </c>
      <c r="P359" s="116">
        <f t="shared" ref="P359:P376" si="109">(O359-N359)/365</f>
        <v>1.3342465753424657</v>
      </c>
      <c r="Q359" s="110" t="s">
        <v>28</v>
      </c>
      <c r="R359" s="110">
        <f t="shared" ca="1" si="104"/>
        <v>10.558177004928321</v>
      </c>
      <c r="S359" s="110" t="str">
        <f t="shared" ref="S359:S368" ca="1" si="110">IF(R359="End","Z",IF(R359="Cancel","C",IF(SUM(R359)&gt;0,"O",IF(ISBLANK(R359),"X",IF(SUM(R359)&lt;0,"Y",IF(SUM(R359),"-","O"))))))</f>
        <v>O</v>
      </c>
      <c r="T359" s="117">
        <v>1</v>
      </c>
      <c r="U359" s="117">
        <v>3</v>
      </c>
      <c r="V359" s="117">
        <v>3</v>
      </c>
      <c r="W359" s="117">
        <f t="shared" ref="W359:W365" si="111">T359+U359+V359</f>
        <v>7</v>
      </c>
      <c r="X359" s="117" t="str">
        <f t="shared" ref="X359:X365" si="112">IF(W359&gt;5,"Penting",IF(ISBLANK(W359),"","Biasa"))</f>
        <v>Penting</v>
      </c>
      <c r="Y359" s="111" t="s">
        <v>684</v>
      </c>
      <c r="Z359" s="122"/>
      <c r="AA359" s="115"/>
      <c r="AB359" s="115"/>
      <c r="AC359" s="115"/>
      <c r="AD359" s="25" t="s">
        <v>122</v>
      </c>
      <c r="AE359" s="118">
        <v>44743</v>
      </c>
      <c r="AF359" s="110" t="s">
        <v>232</v>
      </c>
      <c r="AG359" s="110" t="s">
        <v>117</v>
      </c>
      <c r="AH359" s="25"/>
      <c r="AI359" s="25"/>
      <c r="AJ359" s="25"/>
      <c r="AK359" s="25"/>
      <c r="AL359" s="25"/>
      <c r="AM359" s="25"/>
      <c r="AN359" s="33" t="s">
        <v>136</v>
      </c>
      <c r="AO359" s="119">
        <v>44757</v>
      </c>
      <c r="AP359" s="120"/>
      <c r="AQ359" s="4"/>
      <c r="AR359" s="4"/>
      <c r="AS359" s="4"/>
      <c r="AT359" s="4"/>
      <c r="AU359" s="4"/>
    </row>
    <row r="360" spans="1:47" s="121" customFormat="1" ht="111.95" hidden="1" customHeight="1" x14ac:dyDescent="0.25">
      <c r="A360" s="109">
        <v>227</v>
      </c>
      <c r="B360" s="109" t="s">
        <v>109</v>
      </c>
      <c r="C360" s="109" t="s">
        <v>1246</v>
      </c>
      <c r="D360" s="109">
        <v>15</v>
      </c>
      <c r="E360" s="109" t="s">
        <v>257</v>
      </c>
      <c r="F360" s="111" t="s">
        <v>507</v>
      </c>
      <c r="G360" s="112" t="s">
        <v>244</v>
      </c>
      <c r="H360" s="112" t="s">
        <v>504</v>
      </c>
      <c r="I360" s="113" t="s">
        <v>112</v>
      </c>
      <c r="J360" s="112" t="s">
        <v>508</v>
      </c>
      <c r="K360" s="112" t="s">
        <v>506</v>
      </c>
      <c r="L360" s="114">
        <v>145000000</v>
      </c>
      <c r="M360" s="114" t="s">
        <v>509</v>
      </c>
      <c r="N360" s="115">
        <v>44816</v>
      </c>
      <c r="O360" s="115">
        <v>45180</v>
      </c>
      <c r="P360" s="116">
        <f t="shared" si="109"/>
        <v>0.99726027397260275</v>
      </c>
      <c r="Q360" s="110" t="s">
        <v>28</v>
      </c>
      <c r="R360" s="110">
        <f t="shared" ca="1" si="104"/>
        <v>8.9452737791218695</v>
      </c>
      <c r="S360" s="110" t="str">
        <f t="shared" ca="1" si="110"/>
        <v>O</v>
      </c>
      <c r="T360" s="117">
        <v>1</v>
      </c>
      <c r="U360" s="117">
        <v>1</v>
      </c>
      <c r="V360" s="117">
        <v>1</v>
      </c>
      <c r="W360" s="117">
        <f t="shared" si="111"/>
        <v>3</v>
      </c>
      <c r="X360" s="117" t="str">
        <f t="shared" si="112"/>
        <v>Biasa</v>
      </c>
      <c r="Y360" s="111"/>
      <c r="Z360" s="122"/>
      <c r="AA360" s="115"/>
      <c r="AB360" s="115"/>
      <c r="AC360" s="115"/>
      <c r="AD360" s="25" t="s">
        <v>122</v>
      </c>
      <c r="AE360" s="118">
        <v>44805</v>
      </c>
      <c r="AF360" s="110" t="s">
        <v>232</v>
      </c>
      <c r="AG360" s="110" t="s">
        <v>117</v>
      </c>
      <c r="AH360" s="25"/>
      <c r="AI360" s="25"/>
      <c r="AJ360" s="25"/>
      <c r="AK360" s="25"/>
      <c r="AL360" s="25"/>
      <c r="AM360" s="25"/>
      <c r="AN360" s="33" t="s">
        <v>136</v>
      </c>
      <c r="AO360" s="119">
        <v>44819</v>
      </c>
      <c r="AP360" s="120"/>
      <c r="AQ360" s="4"/>
      <c r="AR360" s="4"/>
      <c r="AS360" s="4"/>
      <c r="AT360" s="4"/>
      <c r="AU360" s="4"/>
    </row>
    <row r="361" spans="1:47" s="121" customFormat="1" ht="111.95" hidden="1" customHeight="1" x14ac:dyDescent="0.25">
      <c r="A361" s="109">
        <v>228</v>
      </c>
      <c r="B361" s="109" t="s">
        <v>109</v>
      </c>
      <c r="C361" s="109" t="s">
        <v>1246</v>
      </c>
      <c r="D361" s="109">
        <v>16</v>
      </c>
      <c r="E361" s="109" t="s">
        <v>257</v>
      </c>
      <c r="F361" s="111" t="s">
        <v>354</v>
      </c>
      <c r="G361" s="112" t="s">
        <v>355</v>
      </c>
      <c r="H361" s="112" t="s">
        <v>356</v>
      </c>
      <c r="I361" s="113" t="s">
        <v>112</v>
      </c>
      <c r="J361" s="112" t="s">
        <v>357</v>
      </c>
      <c r="K361" s="112" t="s">
        <v>358</v>
      </c>
      <c r="L361" s="114">
        <v>2790000000</v>
      </c>
      <c r="M361" s="114" t="s">
        <v>322</v>
      </c>
      <c r="N361" s="115">
        <v>44785</v>
      </c>
      <c r="O361" s="115">
        <v>45150</v>
      </c>
      <c r="P361" s="116">
        <f t="shared" si="109"/>
        <v>1</v>
      </c>
      <c r="Q361" s="110" t="s">
        <v>28</v>
      </c>
      <c r="R361" s="110">
        <f t="shared" ca="1" si="104"/>
        <v>7.9775318436379985</v>
      </c>
      <c r="S361" s="110" t="str">
        <f t="shared" ca="1" si="110"/>
        <v>O</v>
      </c>
      <c r="T361" s="117">
        <v>1</v>
      </c>
      <c r="U361" s="117">
        <v>1</v>
      </c>
      <c r="V361" s="117">
        <v>1</v>
      </c>
      <c r="W361" s="117">
        <f t="shared" si="111"/>
        <v>3</v>
      </c>
      <c r="X361" s="117" t="str">
        <f t="shared" si="112"/>
        <v>Biasa</v>
      </c>
      <c r="Y361" s="111" t="s">
        <v>359</v>
      </c>
      <c r="Z361" s="122"/>
      <c r="AA361" s="115"/>
      <c r="AB361" s="115"/>
      <c r="AC361" s="115"/>
      <c r="AD361" s="25" t="s">
        <v>122</v>
      </c>
      <c r="AE361" s="118">
        <v>44774</v>
      </c>
      <c r="AF361" s="110" t="s">
        <v>207</v>
      </c>
      <c r="AG361" s="110" t="s">
        <v>189</v>
      </c>
      <c r="AH361" s="25"/>
      <c r="AI361" s="25"/>
      <c r="AJ361" s="25"/>
      <c r="AK361" s="25"/>
      <c r="AL361" s="25"/>
      <c r="AM361" s="25"/>
      <c r="AN361" s="33" t="s">
        <v>136</v>
      </c>
      <c r="AO361" s="119">
        <v>44785</v>
      </c>
      <c r="AP361" s="120"/>
      <c r="AQ361" s="4"/>
      <c r="AR361" s="4"/>
      <c r="AS361" s="4"/>
      <c r="AT361" s="4"/>
      <c r="AU361" s="4"/>
    </row>
    <row r="362" spans="1:47" s="121" customFormat="1" ht="111.95" hidden="1" customHeight="1" x14ac:dyDescent="0.25">
      <c r="A362" s="109">
        <v>229</v>
      </c>
      <c r="B362" s="109" t="s">
        <v>109</v>
      </c>
      <c r="C362" s="109" t="s">
        <v>1247</v>
      </c>
      <c r="D362" s="109">
        <v>17</v>
      </c>
      <c r="E362" s="109" t="s">
        <v>257</v>
      </c>
      <c r="F362" s="111" t="s">
        <v>676</v>
      </c>
      <c r="G362" s="112" t="s">
        <v>244</v>
      </c>
      <c r="H362" s="112" t="s">
        <v>677</v>
      </c>
      <c r="I362" s="113" t="s">
        <v>112</v>
      </c>
      <c r="J362" s="112" t="s">
        <v>678</v>
      </c>
      <c r="K362" s="112"/>
      <c r="L362" s="114"/>
      <c r="M362" s="114"/>
      <c r="N362" s="115">
        <v>44713</v>
      </c>
      <c r="O362" s="115">
        <v>45138</v>
      </c>
      <c r="P362" s="116">
        <f t="shared" si="109"/>
        <v>1.1643835616438356</v>
      </c>
      <c r="Q362" s="110" t="s">
        <v>28</v>
      </c>
      <c r="R362" s="110">
        <f t="shared" ca="1" si="104"/>
        <v>7.5904350694444505</v>
      </c>
      <c r="S362" s="110" t="str">
        <f t="shared" ca="1" si="110"/>
        <v>O</v>
      </c>
      <c r="T362" s="117">
        <v>1</v>
      </c>
      <c r="U362" s="117">
        <v>3</v>
      </c>
      <c r="V362" s="117">
        <v>1</v>
      </c>
      <c r="W362" s="117">
        <f t="shared" si="111"/>
        <v>5</v>
      </c>
      <c r="X362" s="117" t="str">
        <f t="shared" si="112"/>
        <v>Biasa</v>
      </c>
      <c r="Y362" s="111"/>
      <c r="Z362" s="122"/>
      <c r="AA362" s="115"/>
      <c r="AB362" s="115"/>
      <c r="AC362" s="115"/>
      <c r="AD362" s="25" t="s">
        <v>122</v>
      </c>
      <c r="AE362" s="118">
        <v>44743</v>
      </c>
      <c r="AF362" s="110" t="s">
        <v>116</v>
      </c>
      <c r="AG362" s="110"/>
      <c r="AH362" s="25"/>
      <c r="AI362" s="25"/>
      <c r="AJ362" s="25"/>
      <c r="AK362" s="25"/>
      <c r="AL362" s="25"/>
      <c r="AM362" s="25"/>
      <c r="AN362" s="33" t="s">
        <v>679</v>
      </c>
      <c r="AO362" s="119">
        <v>44757</v>
      </c>
      <c r="AP362" s="120"/>
      <c r="AQ362" s="4"/>
      <c r="AR362" s="4"/>
      <c r="AS362" s="4"/>
      <c r="AT362" s="4"/>
      <c r="AU362" s="4"/>
    </row>
    <row r="363" spans="1:47" s="121" customFormat="1" ht="111.95" hidden="1" customHeight="1" x14ac:dyDescent="0.25">
      <c r="A363" s="109">
        <v>230</v>
      </c>
      <c r="B363" s="109" t="s">
        <v>109</v>
      </c>
      <c r="C363" s="109" t="s">
        <v>1246</v>
      </c>
      <c r="D363" s="109">
        <v>18</v>
      </c>
      <c r="E363" s="109" t="s">
        <v>257</v>
      </c>
      <c r="F363" s="111" t="s">
        <v>713</v>
      </c>
      <c r="G363" s="112" t="s">
        <v>711</v>
      </c>
      <c r="H363" s="112" t="s">
        <v>712</v>
      </c>
      <c r="I363" s="113" t="s">
        <v>112</v>
      </c>
      <c r="J363" s="112" t="s">
        <v>714</v>
      </c>
      <c r="K363" s="112" t="s">
        <v>715</v>
      </c>
      <c r="L363" s="114">
        <v>1289000233</v>
      </c>
      <c r="M363" s="114"/>
      <c r="N363" s="115">
        <v>44032</v>
      </c>
      <c r="O363" s="115">
        <v>45127</v>
      </c>
      <c r="P363" s="116">
        <f t="shared" si="109"/>
        <v>3</v>
      </c>
      <c r="Q363" s="110" t="s">
        <v>28</v>
      </c>
      <c r="R363" s="110">
        <f t="shared" ca="1" si="104"/>
        <v>7.2355963597670314</v>
      </c>
      <c r="S363" s="110" t="str">
        <f t="shared" ca="1" si="110"/>
        <v>O</v>
      </c>
      <c r="T363" s="117">
        <v>3</v>
      </c>
      <c r="U363" s="117">
        <v>3</v>
      </c>
      <c r="V363" s="117">
        <v>3</v>
      </c>
      <c r="W363" s="117">
        <f t="shared" si="111"/>
        <v>9</v>
      </c>
      <c r="X363" s="117" t="str">
        <f t="shared" si="112"/>
        <v>Penting</v>
      </c>
      <c r="Y363" s="111"/>
      <c r="Z363" s="122"/>
      <c r="AA363" s="115"/>
      <c r="AB363" s="115"/>
      <c r="AC363" s="115"/>
      <c r="AD363" s="25" t="s">
        <v>122</v>
      </c>
      <c r="AE363" s="118">
        <v>44044</v>
      </c>
      <c r="AF363" s="110" t="s">
        <v>232</v>
      </c>
      <c r="AG363" s="110" t="s">
        <v>117</v>
      </c>
      <c r="AH363" s="25"/>
      <c r="AI363" s="25"/>
      <c r="AJ363" s="25"/>
      <c r="AK363" s="25"/>
      <c r="AL363" s="25"/>
      <c r="AM363" s="25"/>
      <c r="AN363" s="33" t="s">
        <v>123</v>
      </c>
      <c r="AO363" s="119">
        <v>44057</v>
      </c>
      <c r="AP363" s="120"/>
      <c r="AQ363" s="4"/>
      <c r="AR363" s="4"/>
      <c r="AS363" s="4"/>
      <c r="AT363" s="4"/>
      <c r="AU363" s="4"/>
    </row>
    <row r="364" spans="1:47" s="121" customFormat="1" ht="111.95" hidden="1" customHeight="1" x14ac:dyDescent="0.25">
      <c r="A364" s="109">
        <v>231</v>
      </c>
      <c r="B364" s="109" t="s">
        <v>109</v>
      </c>
      <c r="C364" s="109" t="s">
        <v>1246</v>
      </c>
      <c r="D364" s="109">
        <v>19</v>
      </c>
      <c r="E364" s="109" t="s">
        <v>257</v>
      </c>
      <c r="F364" s="111" t="s">
        <v>656</v>
      </c>
      <c r="G364" s="112" t="s">
        <v>320</v>
      </c>
      <c r="H364" s="112" t="s">
        <v>657</v>
      </c>
      <c r="I364" s="113" t="s">
        <v>112</v>
      </c>
      <c r="J364" s="112" t="s">
        <v>658</v>
      </c>
      <c r="K364" s="112" t="s">
        <v>659</v>
      </c>
      <c r="L364" s="114">
        <v>1206218034</v>
      </c>
      <c r="M364" s="114" t="s">
        <v>322</v>
      </c>
      <c r="N364" s="115">
        <v>44851</v>
      </c>
      <c r="O364" s="115">
        <v>45123</v>
      </c>
      <c r="P364" s="116">
        <f t="shared" si="109"/>
        <v>0.74520547945205484</v>
      </c>
      <c r="Q364" s="110" t="s">
        <v>28</v>
      </c>
      <c r="R364" s="110">
        <f t="shared" ca="1" si="104"/>
        <v>7.1065641017025145</v>
      </c>
      <c r="S364" s="110" t="str">
        <f t="shared" ca="1" si="110"/>
        <v>O</v>
      </c>
      <c r="T364" s="117">
        <v>1</v>
      </c>
      <c r="U364" s="117">
        <v>3</v>
      </c>
      <c r="V364" s="117">
        <v>3</v>
      </c>
      <c r="W364" s="117">
        <f t="shared" si="111"/>
        <v>7</v>
      </c>
      <c r="X364" s="117" t="str">
        <f t="shared" si="112"/>
        <v>Penting</v>
      </c>
      <c r="Y364" s="111" t="s">
        <v>660</v>
      </c>
      <c r="Z364" s="122"/>
      <c r="AA364" s="115"/>
      <c r="AB364" s="115"/>
      <c r="AC364" s="115"/>
      <c r="AD364" s="25" t="s">
        <v>122</v>
      </c>
      <c r="AE364" s="118">
        <v>44835</v>
      </c>
      <c r="AF364" s="110" t="s">
        <v>207</v>
      </c>
      <c r="AG364" s="110" t="s">
        <v>117</v>
      </c>
      <c r="AH364" s="25"/>
      <c r="AI364" s="25"/>
      <c r="AJ364" s="25"/>
      <c r="AK364" s="25"/>
      <c r="AL364" s="25"/>
      <c r="AM364" s="25"/>
      <c r="AN364" s="33" t="s">
        <v>136</v>
      </c>
      <c r="AO364" s="119">
        <v>44851</v>
      </c>
      <c r="AP364" s="120"/>
      <c r="AQ364" s="4"/>
      <c r="AR364" s="4"/>
      <c r="AS364" s="4"/>
      <c r="AT364" s="4"/>
      <c r="AU364" s="4"/>
    </row>
    <row r="365" spans="1:47" s="121" customFormat="1" ht="111.95" hidden="1" customHeight="1" x14ac:dyDescent="0.25">
      <c r="A365" s="109">
        <v>232</v>
      </c>
      <c r="B365" s="109" t="s">
        <v>109</v>
      </c>
      <c r="C365" s="109" t="s">
        <v>1246</v>
      </c>
      <c r="D365" s="109">
        <v>20</v>
      </c>
      <c r="E365" s="109" t="s">
        <v>257</v>
      </c>
      <c r="F365" s="111" t="s">
        <v>300</v>
      </c>
      <c r="G365" s="112" t="s">
        <v>244</v>
      </c>
      <c r="H365" s="112" t="s">
        <v>301</v>
      </c>
      <c r="I365" s="113" t="s">
        <v>112</v>
      </c>
      <c r="J365" s="112" t="s">
        <v>302</v>
      </c>
      <c r="K365" s="112" t="s">
        <v>303</v>
      </c>
      <c r="L365" s="114">
        <v>310861042</v>
      </c>
      <c r="M365" s="114" t="s">
        <v>304</v>
      </c>
      <c r="N365" s="115">
        <v>44004</v>
      </c>
      <c r="O365" s="115">
        <v>45098</v>
      </c>
      <c r="P365" s="116">
        <f t="shared" si="109"/>
        <v>2.9972602739726026</v>
      </c>
      <c r="Q365" s="110" t="s">
        <v>28</v>
      </c>
      <c r="R365" s="110">
        <f t="shared" ca="1" si="104"/>
        <v>6.3001124887992894</v>
      </c>
      <c r="S365" s="110" t="str">
        <f t="shared" ca="1" si="110"/>
        <v>O</v>
      </c>
      <c r="T365" s="117">
        <v>1</v>
      </c>
      <c r="U365" s="117">
        <v>1</v>
      </c>
      <c r="V365" s="117">
        <v>1</v>
      </c>
      <c r="W365" s="117">
        <f t="shared" si="111"/>
        <v>3</v>
      </c>
      <c r="X365" s="117" t="str">
        <f t="shared" si="112"/>
        <v>Biasa</v>
      </c>
      <c r="Y365" s="111" t="s">
        <v>305</v>
      </c>
      <c r="Z365" s="122"/>
      <c r="AA365" s="115"/>
      <c r="AB365" s="115"/>
      <c r="AC365" s="115"/>
      <c r="AD365" s="25" t="s">
        <v>122</v>
      </c>
      <c r="AE365" s="118">
        <v>44008</v>
      </c>
      <c r="AF365" s="110" t="s">
        <v>232</v>
      </c>
      <c r="AG365" s="110" t="s">
        <v>117</v>
      </c>
      <c r="AH365" s="25"/>
      <c r="AI365" s="25"/>
      <c r="AJ365" s="25"/>
      <c r="AK365" s="25"/>
      <c r="AL365" s="25"/>
      <c r="AM365" s="25"/>
      <c r="AN365" s="33" t="s">
        <v>123</v>
      </c>
      <c r="AO365" s="119">
        <v>44008</v>
      </c>
      <c r="AP365" s="120"/>
      <c r="AQ365" s="4"/>
      <c r="AR365" s="4"/>
      <c r="AS365" s="4"/>
      <c r="AT365" s="4"/>
      <c r="AU365" s="4"/>
    </row>
    <row r="366" spans="1:47" s="121" customFormat="1" ht="111.95" hidden="1" customHeight="1" x14ac:dyDescent="0.25">
      <c r="A366" s="109">
        <v>233</v>
      </c>
      <c r="B366" s="109" t="s">
        <v>109</v>
      </c>
      <c r="C366" s="109" t="s">
        <v>1246</v>
      </c>
      <c r="D366" s="109">
        <v>21</v>
      </c>
      <c r="E366" s="109" t="s">
        <v>257</v>
      </c>
      <c r="F366" s="111" t="s">
        <v>1242</v>
      </c>
      <c r="G366" s="112" t="s">
        <v>1243</v>
      </c>
      <c r="H366" s="112" t="s">
        <v>331</v>
      </c>
      <c r="I366" s="113" t="s">
        <v>112</v>
      </c>
      <c r="J366" s="112" t="s">
        <v>1244</v>
      </c>
      <c r="K366" s="112"/>
      <c r="L366" s="114">
        <v>110000000</v>
      </c>
      <c r="M366" s="114" t="s">
        <v>322</v>
      </c>
      <c r="N366" s="115">
        <v>44866</v>
      </c>
      <c r="O366" s="115">
        <v>45092</v>
      </c>
      <c r="P366" s="116">
        <f t="shared" si="109"/>
        <v>0.61917808219178083</v>
      </c>
      <c r="Q366" s="110" t="s">
        <v>28</v>
      </c>
      <c r="R366" s="110">
        <f t="shared" ca="1" si="104"/>
        <v>6.1065641017025145</v>
      </c>
      <c r="S366" s="110" t="str">
        <f t="shared" ca="1" si="110"/>
        <v>O</v>
      </c>
      <c r="T366" s="117">
        <v>3</v>
      </c>
      <c r="U366" s="117">
        <v>3</v>
      </c>
      <c r="V366" s="117">
        <v>1</v>
      </c>
      <c r="W366" s="117">
        <f t="shared" ref="W366" si="113">T366+U366+V366</f>
        <v>7</v>
      </c>
      <c r="X366" s="117" t="str">
        <f t="shared" ref="X366" si="114">IF(W366&gt;5,"Penting",IF(ISBLANK(W366),"","Biasa"))</f>
        <v>Penting</v>
      </c>
      <c r="Y366" s="111"/>
      <c r="Z366" s="122"/>
      <c r="AA366" s="115"/>
      <c r="AB366" s="115"/>
      <c r="AC366" s="115"/>
      <c r="AD366" s="25" t="s">
        <v>122</v>
      </c>
      <c r="AE366" s="118">
        <v>44866</v>
      </c>
      <c r="AF366" s="110" t="s">
        <v>207</v>
      </c>
      <c r="AG366" s="110" t="s">
        <v>117</v>
      </c>
      <c r="AH366" s="25"/>
      <c r="AI366" s="25"/>
      <c r="AJ366" s="25"/>
      <c r="AK366" s="25"/>
      <c r="AL366" s="25"/>
      <c r="AM366" s="25"/>
      <c r="AN366" s="33" t="s">
        <v>136</v>
      </c>
      <c r="AO366" s="119">
        <v>44883</v>
      </c>
      <c r="AP366" s="120"/>
      <c r="AQ366" s="4"/>
      <c r="AR366" s="4"/>
      <c r="AS366" s="4"/>
      <c r="AT366" s="4"/>
      <c r="AU366" s="4"/>
    </row>
    <row r="367" spans="1:47" s="121" customFormat="1" ht="111.95" hidden="1" customHeight="1" x14ac:dyDescent="0.25">
      <c r="A367" s="109">
        <v>234</v>
      </c>
      <c r="B367" s="109" t="s">
        <v>109</v>
      </c>
      <c r="C367" s="109" t="s">
        <v>1246</v>
      </c>
      <c r="D367" s="109">
        <v>22</v>
      </c>
      <c r="E367" s="109" t="s">
        <v>257</v>
      </c>
      <c r="F367" s="111" t="s">
        <v>317</v>
      </c>
      <c r="G367" s="112" t="s">
        <v>312</v>
      </c>
      <c r="H367" s="112" t="s">
        <v>313</v>
      </c>
      <c r="I367" s="113" t="s">
        <v>112</v>
      </c>
      <c r="J367" s="112" t="s">
        <v>314</v>
      </c>
      <c r="K367" s="112" t="s">
        <v>315</v>
      </c>
      <c r="L367" s="114">
        <v>186150000</v>
      </c>
      <c r="M367" s="114"/>
      <c r="N367" s="115">
        <v>44725</v>
      </c>
      <c r="O367" s="115">
        <v>45089</v>
      </c>
      <c r="P367" s="116">
        <f t="shared" si="109"/>
        <v>0.99726027397260275</v>
      </c>
      <c r="Q367" s="110" t="s">
        <v>28</v>
      </c>
      <c r="R367" s="110">
        <f t="shared" ca="1" si="104"/>
        <v>6.0097899081541275</v>
      </c>
      <c r="S367" s="110" t="str">
        <f t="shared" ca="1" si="110"/>
        <v>O</v>
      </c>
      <c r="T367" s="117">
        <v>1</v>
      </c>
      <c r="U367" s="117">
        <v>1</v>
      </c>
      <c r="V367" s="117">
        <v>1</v>
      </c>
      <c r="W367" s="117">
        <f>T367+U367+V367</f>
        <v>3</v>
      </c>
      <c r="X367" s="117" t="str">
        <f>IF(W367&gt;5,"Penting",IF(ISBLANK(W367),"","Biasa"))</f>
        <v>Biasa</v>
      </c>
      <c r="Y367" s="111" t="s">
        <v>318</v>
      </c>
      <c r="Z367" s="122"/>
      <c r="AA367" s="115"/>
      <c r="AB367" s="115"/>
      <c r="AC367" s="115"/>
      <c r="AD367" s="25" t="s">
        <v>122</v>
      </c>
      <c r="AE367" s="118">
        <v>44725</v>
      </c>
      <c r="AF367" s="110" t="s">
        <v>232</v>
      </c>
      <c r="AG367" s="110" t="s">
        <v>117</v>
      </c>
      <c r="AH367" s="25"/>
      <c r="AI367" s="25"/>
      <c r="AJ367" s="25"/>
      <c r="AK367" s="25"/>
      <c r="AL367" s="25"/>
      <c r="AM367" s="25"/>
      <c r="AN367" s="33" t="s">
        <v>123</v>
      </c>
      <c r="AO367" s="119">
        <v>44720</v>
      </c>
      <c r="AP367" s="120"/>
      <c r="AQ367" s="4"/>
      <c r="AR367" s="4"/>
      <c r="AS367" s="4"/>
      <c r="AT367" s="4"/>
      <c r="AU367" s="4"/>
    </row>
    <row r="368" spans="1:47" s="121" customFormat="1" ht="111.95" hidden="1" customHeight="1" x14ac:dyDescent="0.25">
      <c r="A368" s="109">
        <v>235</v>
      </c>
      <c r="B368" s="109" t="s">
        <v>109</v>
      </c>
      <c r="C368" s="109" t="s">
        <v>1246</v>
      </c>
      <c r="D368" s="109">
        <v>23</v>
      </c>
      <c r="E368" s="109" t="s">
        <v>257</v>
      </c>
      <c r="F368" s="111" t="s">
        <v>583</v>
      </c>
      <c r="G368" s="112" t="s">
        <v>244</v>
      </c>
      <c r="H368" s="112" t="s">
        <v>584</v>
      </c>
      <c r="I368" s="113" t="s">
        <v>112</v>
      </c>
      <c r="J368" s="112" t="s">
        <v>585</v>
      </c>
      <c r="K368" s="112" t="s">
        <v>586</v>
      </c>
      <c r="L368" s="114">
        <v>152670000</v>
      </c>
      <c r="M368" s="114" t="s">
        <v>322</v>
      </c>
      <c r="N368" s="115">
        <v>44704</v>
      </c>
      <c r="O368" s="115">
        <v>45068</v>
      </c>
      <c r="P368" s="116">
        <f t="shared" si="109"/>
        <v>0.99726027397260275</v>
      </c>
      <c r="Q368" s="110" t="s">
        <v>28</v>
      </c>
      <c r="R368" s="110">
        <f t="shared" ca="1" si="104"/>
        <v>5.3323705533154184</v>
      </c>
      <c r="S368" s="110" t="str">
        <f t="shared" ca="1" si="110"/>
        <v>O</v>
      </c>
      <c r="T368" s="117">
        <v>3</v>
      </c>
      <c r="U368" s="117">
        <v>3</v>
      </c>
      <c r="V368" s="117">
        <v>3</v>
      </c>
      <c r="W368" s="117">
        <f>T368+U368+V368</f>
        <v>9</v>
      </c>
      <c r="X368" s="117" t="str">
        <f>IF(W368&gt;5,"Penting",IF(ISBLANK(W368),"","Biasa"))</f>
        <v>Penting</v>
      </c>
      <c r="Y368" s="111"/>
      <c r="Z368" s="122"/>
      <c r="AA368" s="115"/>
      <c r="AB368" s="115"/>
      <c r="AC368" s="115"/>
      <c r="AD368" s="25" t="s">
        <v>122</v>
      </c>
      <c r="AE368" s="118">
        <v>44739</v>
      </c>
      <c r="AF368" s="110" t="s">
        <v>232</v>
      </c>
      <c r="AG368" s="110" t="s">
        <v>117</v>
      </c>
      <c r="AH368" s="25"/>
      <c r="AI368" s="25"/>
      <c r="AJ368" s="25"/>
      <c r="AK368" s="25"/>
      <c r="AL368" s="25"/>
      <c r="AM368" s="25"/>
      <c r="AN368" s="33" t="s">
        <v>123</v>
      </c>
      <c r="AO368" s="119">
        <v>44715</v>
      </c>
      <c r="AP368" s="120" t="s">
        <v>587</v>
      </c>
      <c r="AQ368" s="4"/>
      <c r="AR368" s="4"/>
      <c r="AS368" s="4"/>
      <c r="AT368" s="4"/>
      <c r="AU368" s="4"/>
    </row>
    <row r="369" spans="1:47" s="121" customFormat="1" ht="111.95" hidden="1" customHeight="1" x14ac:dyDescent="0.25">
      <c r="A369" s="109">
        <v>236</v>
      </c>
      <c r="B369" s="109" t="s">
        <v>109</v>
      </c>
      <c r="C369" s="109" t="s">
        <v>1246</v>
      </c>
      <c r="D369" s="109">
        <v>24</v>
      </c>
      <c r="E369" s="109" t="s">
        <v>257</v>
      </c>
      <c r="F369" s="111" t="s">
        <v>1063</v>
      </c>
      <c r="G369" s="112" t="s">
        <v>1064</v>
      </c>
      <c r="H369" s="112" t="s">
        <v>1065</v>
      </c>
      <c r="I369" s="113" t="s">
        <v>112</v>
      </c>
      <c r="J369" s="112" t="s">
        <v>1066</v>
      </c>
      <c r="K369" s="112"/>
      <c r="L369" s="114"/>
      <c r="M369" s="114"/>
      <c r="N369" s="115">
        <v>44809</v>
      </c>
      <c r="O369" s="115">
        <v>45046</v>
      </c>
      <c r="P369" s="116">
        <f t="shared" si="109"/>
        <v>0.64931506849315068</v>
      </c>
      <c r="Q369" s="110" t="s">
        <v>47</v>
      </c>
      <c r="R369" s="110">
        <f t="shared" ca="1" si="104"/>
        <v>4.6226931339605795</v>
      </c>
      <c r="S369" s="110" t="str">
        <f t="shared" ca="1" si="64"/>
        <v>O</v>
      </c>
      <c r="T369" s="117">
        <v>3</v>
      </c>
      <c r="U369" s="117">
        <v>3</v>
      </c>
      <c r="V369" s="117">
        <v>1</v>
      </c>
      <c r="W369" s="117">
        <f t="shared" si="65"/>
        <v>7</v>
      </c>
      <c r="X369" s="117" t="str">
        <f t="shared" si="66"/>
        <v>Penting</v>
      </c>
      <c r="Y369" s="111"/>
      <c r="Z369" s="122"/>
      <c r="AA369" s="115"/>
      <c r="AB369" s="115"/>
      <c r="AC369" s="115"/>
      <c r="AD369" s="25" t="s">
        <v>122</v>
      </c>
      <c r="AE369" s="118">
        <v>44809</v>
      </c>
      <c r="AF369" s="110" t="s">
        <v>1044</v>
      </c>
      <c r="AG369" s="110" t="s">
        <v>189</v>
      </c>
      <c r="AH369" s="25"/>
      <c r="AI369" s="25"/>
      <c r="AJ369" s="25"/>
      <c r="AK369" s="25"/>
      <c r="AL369" s="25"/>
      <c r="AM369" s="25"/>
      <c r="AN369" s="33" t="s">
        <v>136</v>
      </c>
      <c r="AO369" s="119">
        <v>44806</v>
      </c>
      <c r="AP369" s="120"/>
      <c r="AQ369" s="4"/>
      <c r="AR369" s="4"/>
      <c r="AS369" s="4"/>
      <c r="AT369" s="4"/>
      <c r="AU369" s="4"/>
    </row>
    <row r="370" spans="1:47" s="121" customFormat="1" ht="111.95" hidden="1" customHeight="1" x14ac:dyDescent="0.25">
      <c r="A370" s="109">
        <v>237</v>
      </c>
      <c r="B370" s="109" t="s">
        <v>109</v>
      </c>
      <c r="C370" s="109" t="s">
        <v>1246</v>
      </c>
      <c r="D370" s="109">
        <v>25</v>
      </c>
      <c r="E370" s="109" t="s">
        <v>257</v>
      </c>
      <c r="F370" s="111" t="s">
        <v>671</v>
      </c>
      <c r="G370" s="112" t="s">
        <v>672</v>
      </c>
      <c r="H370" s="112" t="s">
        <v>673</v>
      </c>
      <c r="I370" s="113" t="s">
        <v>112</v>
      </c>
      <c r="J370" s="112" t="s">
        <v>674</v>
      </c>
      <c r="K370" s="112" t="s">
        <v>675</v>
      </c>
      <c r="L370" s="114">
        <v>376000000</v>
      </c>
      <c r="M370" s="114" t="s">
        <v>322</v>
      </c>
      <c r="N370" s="115">
        <v>44744</v>
      </c>
      <c r="O370" s="115">
        <v>45016</v>
      </c>
      <c r="P370" s="116">
        <f t="shared" si="109"/>
        <v>0.74520547945205484</v>
      </c>
      <c r="Q370" s="110" t="s">
        <v>28</v>
      </c>
      <c r="R370" s="110">
        <f t="shared" ca="1" si="104"/>
        <v>3.6549511984767085</v>
      </c>
      <c r="S370" s="110" t="str">
        <f t="shared" ref="S370:S385" ca="1" si="115">IF(R370="End","Z",IF(R370="Cancel","C",IF(SUM(R370)&gt;0,"O",IF(ISBLANK(R370),"X",IF(SUM(R370)&lt;0,"Y",IF(SUM(R370),"-","O"))))))</f>
        <v>O</v>
      </c>
      <c r="T370" s="117">
        <v>1</v>
      </c>
      <c r="U370" s="117">
        <v>3</v>
      </c>
      <c r="V370" s="117">
        <v>1</v>
      </c>
      <c r="W370" s="117">
        <f t="shared" ref="W370:W385" si="116">T370+U370+V370</f>
        <v>5</v>
      </c>
      <c r="X370" s="117" t="str">
        <f t="shared" ref="X370:X385" si="117">IF(W370&gt;5,"Penting",IF(ISBLANK(W370),"","Biasa"))</f>
        <v>Biasa</v>
      </c>
      <c r="Y370" s="111" t="s">
        <v>670</v>
      </c>
      <c r="Z370" s="122"/>
      <c r="AA370" s="115"/>
      <c r="AB370" s="115"/>
      <c r="AC370" s="115"/>
      <c r="AD370" s="25" t="s">
        <v>122</v>
      </c>
      <c r="AE370" s="118">
        <v>44743</v>
      </c>
      <c r="AF370" s="110" t="s">
        <v>207</v>
      </c>
      <c r="AG370" s="110" t="s">
        <v>117</v>
      </c>
      <c r="AH370" s="25"/>
      <c r="AI370" s="25"/>
      <c r="AJ370" s="25"/>
      <c r="AK370" s="25"/>
      <c r="AL370" s="25"/>
      <c r="AM370" s="25"/>
      <c r="AN370" s="33" t="s">
        <v>136</v>
      </c>
      <c r="AO370" s="119">
        <v>44744</v>
      </c>
      <c r="AP370" s="120"/>
      <c r="AQ370" s="4"/>
      <c r="AR370" s="4"/>
      <c r="AS370" s="4"/>
      <c r="AT370" s="4"/>
      <c r="AU370" s="4"/>
    </row>
    <row r="371" spans="1:47" s="121" customFormat="1" ht="111.95" hidden="1" customHeight="1" x14ac:dyDescent="0.25">
      <c r="A371" s="109">
        <v>238</v>
      </c>
      <c r="B371" s="109" t="s">
        <v>109</v>
      </c>
      <c r="C371" s="109" t="s">
        <v>1246</v>
      </c>
      <c r="D371" s="109">
        <v>26</v>
      </c>
      <c r="E371" s="109" t="s">
        <v>257</v>
      </c>
      <c r="F371" s="111" t="s">
        <v>667</v>
      </c>
      <c r="G371" s="112" t="s">
        <v>320</v>
      </c>
      <c r="H371" s="112" t="s">
        <v>668</v>
      </c>
      <c r="I371" s="113" t="s">
        <v>112</v>
      </c>
      <c r="J371" s="112" t="s">
        <v>1272</v>
      </c>
      <c r="K371" s="112" t="s">
        <v>669</v>
      </c>
      <c r="L371" s="114">
        <v>279996000</v>
      </c>
      <c r="M371" s="114" t="s">
        <v>322</v>
      </c>
      <c r="N371" s="115">
        <v>44733</v>
      </c>
      <c r="O371" s="115">
        <v>44985</v>
      </c>
      <c r="P371" s="116">
        <f t="shared" si="109"/>
        <v>0.69041095890410964</v>
      </c>
      <c r="Q371" s="110" t="s">
        <v>28</v>
      </c>
      <c r="R371" s="110">
        <f t="shared" ca="1" si="104"/>
        <v>2.6549511984767085</v>
      </c>
      <c r="S371" s="110" t="str">
        <f t="shared" ca="1" si="115"/>
        <v>O</v>
      </c>
      <c r="T371" s="117">
        <v>1</v>
      </c>
      <c r="U371" s="117">
        <v>3</v>
      </c>
      <c r="V371" s="117">
        <v>1</v>
      </c>
      <c r="W371" s="117">
        <f t="shared" si="116"/>
        <v>5</v>
      </c>
      <c r="X371" s="117" t="str">
        <f t="shared" si="117"/>
        <v>Biasa</v>
      </c>
      <c r="Y371" s="111" t="s">
        <v>670</v>
      </c>
      <c r="Z371" s="122"/>
      <c r="AA371" s="115"/>
      <c r="AB371" s="115"/>
      <c r="AC371" s="115"/>
      <c r="AD371" s="25" t="s">
        <v>122</v>
      </c>
      <c r="AE371" s="118">
        <v>44743</v>
      </c>
      <c r="AF371" s="110" t="s">
        <v>207</v>
      </c>
      <c r="AG371" s="110" t="s">
        <v>117</v>
      </c>
      <c r="AH371" s="25"/>
      <c r="AI371" s="25"/>
      <c r="AJ371" s="25"/>
      <c r="AK371" s="25"/>
      <c r="AL371" s="25"/>
      <c r="AM371" s="25"/>
      <c r="AN371" s="33" t="s">
        <v>136</v>
      </c>
      <c r="AO371" s="119">
        <v>44750</v>
      </c>
      <c r="AP371" s="120"/>
      <c r="AQ371" s="4"/>
      <c r="AR371" s="4"/>
      <c r="AS371" s="4"/>
      <c r="AT371" s="4"/>
      <c r="AU371" s="4"/>
    </row>
    <row r="372" spans="1:47" s="121" customFormat="1" ht="111.95" hidden="1" customHeight="1" x14ac:dyDescent="0.25">
      <c r="A372" s="109">
        <v>239</v>
      </c>
      <c r="B372" s="109" t="s">
        <v>109</v>
      </c>
      <c r="C372" s="109" t="s">
        <v>1246</v>
      </c>
      <c r="D372" s="109">
        <v>27</v>
      </c>
      <c r="E372" s="109" t="s">
        <v>257</v>
      </c>
      <c r="F372" s="111" t="s">
        <v>319</v>
      </c>
      <c r="G372" s="112" t="s">
        <v>320</v>
      </c>
      <c r="H372" s="112" t="s">
        <v>313</v>
      </c>
      <c r="I372" s="113" t="s">
        <v>112</v>
      </c>
      <c r="J372" s="112" t="s">
        <v>321</v>
      </c>
      <c r="K372" s="112" t="s">
        <v>315</v>
      </c>
      <c r="L372" s="114">
        <v>383200000</v>
      </c>
      <c r="M372" s="114" t="s">
        <v>322</v>
      </c>
      <c r="N372" s="115">
        <v>44585</v>
      </c>
      <c r="O372" s="115">
        <v>44954</v>
      </c>
      <c r="P372" s="116">
        <f t="shared" si="109"/>
        <v>1.010958904109589</v>
      </c>
      <c r="Q372" s="110" t="s">
        <v>28</v>
      </c>
      <c r="R372" s="110">
        <f t="shared" ca="1" si="104"/>
        <v>1.6549511984767085</v>
      </c>
      <c r="S372" s="110" t="str">
        <f t="shared" ca="1" si="115"/>
        <v>O</v>
      </c>
      <c r="T372" s="117">
        <v>1</v>
      </c>
      <c r="U372" s="117">
        <v>1</v>
      </c>
      <c r="V372" s="117">
        <v>1</v>
      </c>
      <c r="W372" s="117">
        <f t="shared" si="116"/>
        <v>3</v>
      </c>
      <c r="X372" s="117" t="str">
        <f t="shared" si="117"/>
        <v>Biasa</v>
      </c>
      <c r="Y372" s="111" t="s">
        <v>316</v>
      </c>
      <c r="Z372" s="122"/>
      <c r="AA372" s="115"/>
      <c r="AB372" s="115"/>
      <c r="AC372" s="115"/>
      <c r="AD372" s="25" t="s">
        <v>122</v>
      </c>
      <c r="AE372" s="118">
        <v>44663</v>
      </c>
      <c r="AF372" s="110" t="s">
        <v>232</v>
      </c>
      <c r="AG372" s="110" t="s">
        <v>117</v>
      </c>
      <c r="AH372" s="25"/>
      <c r="AI372" s="25"/>
      <c r="AJ372" s="25"/>
      <c r="AK372" s="25"/>
      <c r="AL372" s="25"/>
      <c r="AM372" s="25"/>
      <c r="AN372" s="33" t="s">
        <v>123</v>
      </c>
      <c r="AO372" s="119"/>
      <c r="AP372" s="120"/>
      <c r="AQ372" s="124"/>
      <c r="AR372" s="4"/>
      <c r="AS372" s="4"/>
      <c r="AT372" s="4"/>
      <c r="AU372" s="4"/>
    </row>
    <row r="373" spans="1:47" s="121" customFormat="1" ht="111.75" hidden="1" customHeight="1" x14ac:dyDescent="0.25">
      <c r="A373" s="109">
        <v>240</v>
      </c>
      <c r="B373" s="109" t="s">
        <v>109</v>
      </c>
      <c r="C373" s="109" t="s">
        <v>1246</v>
      </c>
      <c r="D373" s="109">
        <v>28</v>
      </c>
      <c r="E373" s="109" t="s">
        <v>257</v>
      </c>
      <c r="F373" s="111" t="s">
        <v>529</v>
      </c>
      <c r="G373" s="112" t="s">
        <v>244</v>
      </c>
      <c r="H373" s="112" t="s">
        <v>526</v>
      </c>
      <c r="I373" s="113" t="s">
        <v>112</v>
      </c>
      <c r="J373" s="112" t="s">
        <v>530</v>
      </c>
      <c r="K373" s="112" t="s">
        <v>527</v>
      </c>
      <c r="L373" s="114" t="s">
        <v>531</v>
      </c>
      <c r="M373" s="114" t="s">
        <v>532</v>
      </c>
      <c r="N373" s="115">
        <v>44743</v>
      </c>
      <c r="O373" s="115">
        <v>44926</v>
      </c>
      <c r="P373" s="116">
        <f t="shared" si="109"/>
        <v>0.50136986301369868</v>
      </c>
      <c r="Q373" s="110" t="s">
        <v>28</v>
      </c>
      <c r="R373" s="110">
        <f t="shared" ca="1" si="104"/>
        <v>0.75172539202509558</v>
      </c>
      <c r="S373" s="110" t="str">
        <f t="shared" ca="1" si="115"/>
        <v>O</v>
      </c>
      <c r="T373" s="117">
        <v>1</v>
      </c>
      <c r="U373" s="117">
        <v>2</v>
      </c>
      <c r="V373" s="117">
        <v>2</v>
      </c>
      <c r="W373" s="117">
        <f t="shared" si="116"/>
        <v>5</v>
      </c>
      <c r="X373" s="117" t="str">
        <f t="shared" si="117"/>
        <v>Biasa</v>
      </c>
      <c r="Y373" s="111"/>
      <c r="Z373" s="122"/>
      <c r="AA373" s="115"/>
      <c r="AB373" s="115"/>
      <c r="AC373" s="115"/>
      <c r="AD373" s="25"/>
      <c r="AE373" s="118"/>
      <c r="AF373" s="110" t="s">
        <v>232</v>
      </c>
      <c r="AG373" s="110" t="s">
        <v>117</v>
      </c>
      <c r="AH373" s="25"/>
      <c r="AI373" s="25"/>
      <c r="AJ373" s="25"/>
      <c r="AK373" s="25"/>
      <c r="AL373" s="25"/>
      <c r="AM373" s="25"/>
      <c r="AN373" s="33" t="s">
        <v>136</v>
      </c>
      <c r="AO373" s="119">
        <v>44750</v>
      </c>
      <c r="AP373" s="120"/>
      <c r="AQ373" s="4"/>
      <c r="AR373" s="4"/>
      <c r="AS373" s="4"/>
      <c r="AT373" s="4"/>
      <c r="AU373" s="4"/>
    </row>
    <row r="374" spans="1:47" s="121" customFormat="1" ht="111.95" hidden="1" customHeight="1" x14ac:dyDescent="0.25">
      <c r="A374" s="109">
        <v>241</v>
      </c>
      <c r="B374" s="109" t="s">
        <v>109</v>
      </c>
      <c r="C374" s="109" t="s">
        <v>1246</v>
      </c>
      <c r="D374" s="109">
        <v>29</v>
      </c>
      <c r="E374" s="109" t="s">
        <v>257</v>
      </c>
      <c r="F374" s="111" t="s">
        <v>533</v>
      </c>
      <c r="G374" s="112" t="s">
        <v>534</v>
      </c>
      <c r="H374" s="112" t="s">
        <v>535</v>
      </c>
      <c r="I374" s="113" t="s">
        <v>112</v>
      </c>
      <c r="J374" s="112" t="s">
        <v>536</v>
      </c>
      <c r="K374" s="112" t="s">
        <v>537</v>
      </c>
      <c r="L374" s="114">
        <v>23525000</v>
      </c>
      <c r="M374" s="114"/>
      <c r="N374" s="115">
        <v>44872</v>
      </c>
      <c r="O374" s="115">
        <v>44925</v>
      </c>
      <c r="P374" s="116">
        <f t="shared" si="109"/>
        <v>0.14520547945205478</v>
      </c>
      <c r="Q374" s="110" t="s">
        <v>28</v>
      </c>
      <c r="R374" s="110">
        <f t="shared" ref="R374" ca="1" si="118">(O374-NOW()+1)/31</f>
        <v>0.71946732750896647</v>
      </c>
      <c r="S374" s="110" t="str">
        <f t="shared" ca="1" si="115"/>
        <v>O</v>
      </c>
      <c r="T374" s="117">
        <v>1</v>
      </c>
      <c r="U374" s="117">
        <v>1</v>
      </c>
      <c r="V374" s="117">
        <v>1</v>
      </c>
      <c r="W374" s="117">
        <f t="shared" si="116"/>
        <v>3</v>
      </c>
      <c r="X374" s="117" t="str">
        <f t="shared" si="117"/>
        <v>Biasa</v>
      </c>
      <c r="Y374" s="111"/>
      <c r="Z374" s="122"/>
      <c r="AA374" s="115"/>
      <c r="AB374" s="115"/>
      <c r="AC374" s="115"/>
      <c r="AD374" s="25"/>
      <c r="AE374" s="118"/>
      <c r="AF374" s="110" t="s">
        <v>538</v>
      </c>
      <c r="AG374" s="110" t="s">
        <v>117</v>
      </c>
      <c r="AH374" s="25"/>
      <c r="AI374" s="25"/>
      <c r="AJ374" s="25"/>
      <c r="AK374" s="25"/>
      <c r="AL374" s="25"/>
      <c r="AM374" s="25"/>
      <c r="AN374" s="33" t="s">
        <v>136</v>
      </c>
      <c r="AO374" s="119">
        <v>44762</v>
      </c>
      <c r="AP374" s="120"/>
      <c r="AQ374" s="4"/>
      <c r="AR374" s="4"/>
      <c r="AS374" s="4"/>
      <c r="AT374" s="4"/>
      <c r="AU374" s="4"/>
    </row>
    <row r="375" spans="1:47" s="121" customFormat="1" ht="111.95" hidden="1" customHeight="1" x14ac:dyDescent="0.25">
      <c r="A375" s="109">
        <v>242</v>
      </c>
      <c r="B375" s="109" t="s">
        <v>109</v>
      </c>
      <c r="C375" s="109" t="s">
        <v>1246</v>
      </c>
      <c r="D375" s="109">
        <v>30</v>
      </c>
      <c r="E375" s="109" t="s">
        <v>257</v>
      </c>
      <c r="F375" s="111" t="s">
        <v>306</v>
      </c>
      <c r="G375" s="112" t="s">
        <v>307</v>
      </c>
      <c r="H375" s="112" t="s">
        <v>308</v>
      </c>
      <c r="I375" s="113" t="s">
        <v>112</v>
      </c>
      <c r="J375" s="112" t="s">
        <v>309</v>
      </c>
      <c r="K375" s="112" t="s">
        <v>310</v>
      </c>
      <c r="L375" s="114">
        <v>315000000</v>
      </c>
      <c r="M375" s="114"/>
      <c r="N375" s="115">
        <v>44470</v>
      </c>
      <c r="O375" s="115">
        <v>44925</v>
      </c>
      <c r="P375" s="116">
        <f t="shared" si="109"/>
        <v>1.2465753424657535</v>
      </c>
      <c r="Q375" s="110" t="s">
        <v>28</v>
      </c>
      <c r="R375" s="110">
        <f ca="1">(O375-NOW()+1)/31</f>
        <v>0.71946732750896647</v>
      </c>
      <c r="S375" s="110" t="str">
        <f t="shared" ca="1" si="115"/>
        <v>O</v>
      </c>
      <c r="T375" s="117">
        <v>1</v>
      </c>
      <c r="U375" s="117">
        <v>1</v>
      </c>
      <c r="V375" s="117">
        <v>1</v>
      </c>
      <c r="W375" s="117">
        <f t="shared" si="116"/>
        <v>3</v>
      </c>
      <c r="X375" s="117" t="str">
        <f t="shared" si="117"/>
        <v>Biasa</v>
      </c>
      <c r="Y375" s="111"/>
      <c r="Z375" s="122"/>
      <c r="AA375" s="115"/>
      <c r="AB375" s="115"/>
      <c r="AC375" s="115"/>
      <c r="AD375" s="25" t="s">
        <v>122</v>
      </c>
      <c r="AE375" s="118">
        <v>44470</v>
      </c>
      <c r="AF375" s="110" t="s">
        <v>232</v>
      </c>
      <c r="AG375" s="110" t="s">
        <v>117</v>
      </c>
      <c r="AH375" s="25"/>
      <c r="AI375" s="25"/>
      <c r="AJ375" s="25"/>
      <c r="AK375" s="25"/>
      <c r="AL375" s="25"/>
      <c r="AM375" s="25"/>
      <c r="AN375" s="33" t="s">
        <v>123</v>
      </c>
      <c r="AO375" s="119">
        <v>44468</v>
      </c>
      <c r="AP375" s="120"/>
      <c r="AQ375" s="4"/>
      <c r="AR375" s="4"/>
      <c r="AS375" s="4"/>
      <c r="AT375" s="4"/>
      <c r="AU375" s="4"/>
    </row>
    <row r="376" spans="1:47" s="121" customFormat="1" ht="111.95" hidden="1" customHeight="1" x14ac:dyDescent="0.25">
      <c r="A376" s="109">
        <v>243</v>
      </c>
      <c r="B376" s="109" t="s">
        <v>109</v>
      </c>
      <c r="C376" s="109" t="s">
        <v>1246</v>
      </c>
      <c r="D376" s="109">
        <v>31</v>
      </c>
      <c r="E376" s="109" t="s">
        <v>257</v>
      </c>
      <c r="F376" s="111" t="s">
        <v>1268</v>
      </c>
      <c r="G376" s="112" t="s">
        <v>258</v>
      </c>
      <c r="H376" s="112" t="s">
        <v>259</v>
      </c>
      <c r="I376" s="113" t="s">
        <v>112</v>
      </c>
      <c r="J376" s="112" t="s">
        <v>260</v>
      </c>
      <c r="K376" s="112" t="s">
        <v>261</v>
      </c>
      <c r="L376" s="123">
        <v>0.02</v>
      </c>
      <c r="M376" s="114" t="s">
        <v>262</v>
      </c>
      <c r="N376" s="115">
        <v>44866</v>
      </c>
      <c r="O376" s="115">
        <v>45230</v>
      </c>
      <c r="P376" s="116">
        <f t="shared" si="109"/>
        <v>0.99726027397260275</v>
      </c>
      <c r="Q376" s="110" t="s">
        <v>28</v>
      </c>
      <c r="R376" s="110">
        <f ca="1">(O376-NOW()+1)/31</f>
        <v>10.558177004928321</v>
      </c>
      <c r="S376" s="110" t="str">
        <f t="shared" ca="1" si="115"/>
        <v>O</v>
      </c>
      <c r="T376" s="117">
        <v>1</v>
      </c>
      <c r="U376" s="117">
        <v>2</v>
      </c>
      <c r="V376" s="117">
        <v>3</v>
      </c>
      <c r="W376" s="117">
        <f t="shared" si="116"/>
        <v>6</v>
      </c>
      <c r="X376" s="117" t="str">
        <f t="shared" si="117"/>
        <v>Penting</v>
      </c>
      <c r="Y376" s="111"/>
      <c r="Z376" s="122"/>
      <c r="AA376" s="115"/>
      <c r="AB376" s="115"/>
      <c r="AC376" s="115"/>
      <c r="AD376" s="25" t="s">
        <v>122</v>
      </c>
      <c r="AE376" s="118">
        <v>44317</v>
      </c>
      <c r="AF376" s="110" t="s">
        <v>232</v>
      </c>
      <c r="AG376" s="110" t="s">
        <v>117</v>
      </c>
      <c r="AH376" s="25"/>
      <c r="AI376" s="25"/>
      <c r="AJ376" s="25"/>
      <c r="AK376" s="25"/>
      <c r="AL376" s="25"/>
      <c r="AM376" s="25"/>
      <c r="AN376" s="33" t="s">
        <v>136</v>
      </c>
      <c r="AO376" s="119">
        <v>44883</v>
      </c>
      <c r="AP376" s="120"/>
      <c r="AQ376" s="4"/>
      <c r="AR376" s="4"/>
      <c r="AS376" s="4"/>
      <c r="AT376" s="4"/>
      <c r="AU376" s="4"/>
    </row>
    <row r="377" spans="1:47" s="121" customFormat="1" ht="111.95" hidden="1" customHeight="1" x14ac:dyDescent="0.25">
      <c r="A377" s="109">
        <v>244</v>
      </c>
      <c r="B377" s="109" t="s">
        <v>109</v>
      </c>
      <c r="C377" s="109" t="s">
        <v>1246</v>
      </c>
      <c r="D377" s="109">
        <v>32</v>
      </c>
      <c r="E377" s="109" t="s">
        <v>257</v>
      </c>
      <c r="F377" s="111" t="s">
        <v>110</v>
      </c>
      <c r="G377" s="112" t="s">
        <v>725</v>
      </c>
      <c r="H377" s="112" t="s">
        <v>717</v>
      </c>
      <c r="I377" s="113" t="s">
        <v>112</v>
      </c>
      <c r="J377" s="112"/>
      <c r="K377" s="112"/>
      <c r="L377" s="114"/>
      <c r="M377" s="114"/>
      <c r="N377" s="115">
        <v>43647</v>
      </c>
      <c r="O377" s="115" t="s">
        <v>110</v>
      </c>
      <c r="P377" s="116" t="s">
        <v>110</v>
      </c>
      <c r="Q377" s="110" t="s">
        <v>28</v>
      </c>
      <c r="R377" s="110" t="s">
        <v>110</v>
      </c>
      <c r="S377" s="110" t="str">
        <f t="shared" si="115"/>
        <v>O</v>
      </c>
      <c r="T377" s="117">
        <v>3</v>
      </c>
      <c r="U377" s="117">
        <v>3</v>
      </c>
      <c r="V377" s="117">
        <v>3</v>
      </c>
      <c r="W377" s="117">
        <f t="shared" si="116"/>
        <v>9</v>
      </c>
      <c r="X377" s="117" t="str">
        <f t="shared" si="117"/>
        <v>Penting</v>
      </c>
      <c r="Y377" s="111"/>
      <c r="Z377" s="122"/>
      <c r="AA377" s="115"/>
      <c r="AB377" s="115"/>
      <c r="AC377" s="115"/>
      <c r="AD377" s="25"/>
      <c r="AE377" s="118"/>
      <c r="AF377" s="110" t="s">
        <v>1245</v>
      </c>
      <c r="AG377" s="110" t="s">
        <v>189</v>
      </c>
      <c r="AH377" s="25"/>
      <c r="AI377" s="25"/>
      <c r="AJ377" s="25"/>
      <c r="AK377" s="25"/>
      <c r="AL377" s="25"/>
      <c r="AM377" s="25"/>
      <c r="AN377" s="33" t="s">
        <v>398</v>
      </c>
      <c r="AO377" s="119"/>
      <c r="AP377" s="120"/>
      <c r="AQ377" s="4"/>
      <c r="AR377" s="4"/>
      <c r="AS377" s="4"/>
      <c r="AT377" s="4"/>
      <c r="AU377" s="4"/>
    </row>
    <row r="378" spans="1:47" s="121" customFormat="1" ht="111.95" hidden="1" customHeight="1" x14ac:dyDescent="0.25">
      <c r="A378" s="109">
        <v>245</v>
      </c>
      <c r="B378" s="109" t="s">
        <v>109</v>
      </c>
      <c r="C378" s="109" t="s">
        <v>1246</v>
      </c>
      <c r="D378" s="109">
        <v>33</v>
      </c>
      <c r="E378" s="109" t="s">
        <v>257</v>
      </c>
      <c r="F378" s="111" t="s">
        <v>110</v>
      </c>
      <c r="G378" s="112" t="s">
        <v>726</v>
      </c>
      <c r="H378" s="112" t="s">
        <v>717</v>
      </c>
      <c r="I378" s="113" t="s">
        <v>112</v>
      </c>
      <c r="J378" s="112"/>
      <c r="K378" s="112"/>
      <c r="L378" s="114"/>
      <c r="M378" s="114"/>
      <c r="N378" s="115">
        <v>44368</v>
      </c>
      <c r="O378" s="115">
        <v>45097</v>
      </c>
      <c r="P378" s="116">
        <f>(O378-N378)/365</f>
        <v>1.9972602739726026</v>
      </c>
      <c r="Q378" s="110" t="s">
        <v>28</v>
      </c>
      <c r="R378" s="110">
        <f ca="1">(O378-NOW()+1)/31</f>
        <v>6.2678544242831604</v>
      </c>
      <c r="S378" s="110" t="str">
        <f t="shared" ca="1" si="115"/>
        <v>O</v>
      </c>
      <c r="T378" s="117">
        <v>3</v>
      </c>
      <c r="U378" s="117">
        <v>3</v>
      </c>
      <c r="V378" s="117">
        <v>3</v>
      </c>
      <c r="W378" s="117">
        <f t="shared" si="116"/>
        <v>9</v>
      </c>
      <c r="X378" s="117" t="str">
        <f t="shared" si="117"/>
        <v>Penting</v>
      </c>
      <c r="Y378" s="111" t="s">
        <v>727</v>
      </c>
      <c r="Z378" s="122"/>
      <c r="AA378" s="115"/>
      <c r="AB378" s="115"/>
      <c r="AC378" s="115"/>
      <c r="AD378" s="25"/>
      <c r="AE378" s="118"/>
      <c r="AF378" s="110" t="s">
        <v>1245</v>
      </c>
      <c r="AG378" s="110" t="s">
        <v>189</v>
      </c>
      <c r="AH378" s="25"/>
      <c r="AI378" s="25"/>
      <c r="AJ378" s="25"/>
      <c r="AK378" s="25"/>
      <c r="AL378" s="25"/>
      <c r="AM378" s="25"/>
      <c r="AN378" s="33" t="s">
        <v>728</v>
      </c>
      <c r="AO378" s="119"/>
      <c r="AP378" s="120"/>
      <c r="AQ378" s="4"/>
      <c r="AR378" s="4"/>
      <c r="AS378" s="4"/>
      <c r="AT378" s="4"/>
      <c r="AU378" s="4"/>
    </row>
    <row r="379" spans="1:47" s="121" customFormat="1" ht="111.95" hidden="1" customHeight="1" x14ac:dyDescent="0.25">
      <c r="A379" s="109">
        <v>246</v>
      </c>
      <c r="B379" s="109" t="s">
        <v>109</v>
      </c>
      <c r="C379" s="109" t="s">
        <v>1246</v>
      </c>
      <c r="D379" s="109">
        <v>34</v>
      </c>
      <c r="E379" s="109" t="s">
        <v>257</v>
      </c>
      <c r="F379" s="111" t="s">
        <v>1251</v>
      </c>
      <c r="G379" s="112" t="s">
        <v>1252</v>
      </c>
      <c r="H379" s="112" t="s">
        <v>1253</v>
      </c>
      <c r="I379" s="113" t="s">
        <v>112</v>
      </c>
      <c r="J379" s="112" t="s">
        <v>1254</v>
      </c>
      <c r="K379" s="112" t="s">
        <v>1255</v>
      </c>
      <c r="L379" s="114">
        <v>237000000</v>
      </c>
      <c r="M379" s="114" t="s">
        <v>1256</v>
      </c>
      <c r="N379" s="115">
        <v>44893</v>
      </c>
      <c r="O379" s="115">
        <v>44957</v>
      </c>
      <c r="P379" s="116">
        <f>(O379-N379)/365</f>
        <v>0.17534246575342466</v>
      </c>
      <c r="Q379" s="110" t="s">
        <v>28</v>
      </c>
      <c r="R379" s="110">
        <f ca="1">(O379-NOW()+1)/31</f>
        <v>1.7517253920250955</v>
      </c>
      <c r="S379" s="110" t="str">
        <f t="shared" ca="1" si="115"/>
        <v>O</v>
      </c>
      <c r="T379" s="117">
        <v>1</v>
      </c>
      <c r="U379" s="117">
        <v>1</v>
      </c>
      <c r="V379" s="117">
        <v>1</v>
      </c>
      <c r="W379" s="117">
        <f t="shared" ref="W379" si="119">T379+U379+V379</f>
        <v>3</v>
      </c>
      <c r="X379" s="117" t="str">
        <f t="shared" si="117"/>
        <v>Biasa</v>
      </c>
      <c r="Y379" s="111"/>
      <c r="Z379" s="122"/>
      <c r="AA379" s="115"/>
      <c r="AB379" s="115"/>
      <c r="AC379" s="115"/>
      <c r="AD379" s="25"/>
      <c r="AE379" s="118"/>
      <c r="AF379" s="110" t="s">
        <v>232</v>
      </c>
      <c r="AG379" s="110" t="s">
        <v>117</v>
      </c>
      <c r="AH379" s="25"/>
      <c r="AI379" s="25"/>
      <c r="AJ379" s="25"/>
      <c r="AK379" s="25"/>
      <c r="AL379" s="25"/>
      <c r="AM379" s="25"/>
      <c r="AN379" s="33" t="s">
        <v>136</v>
      </c>
      <c r="AO379" s="119">
        <v>44890</v>
      </c>
      <c r="AP379" s="120"/>
      <c r="AQ379" s="4"/>
      <c r="AR379" s="4"/>
      <c r="AS379" s="4"/>
      <c r="AT379" s="4"/>
      <c r="AU379" s="4"/>
    </row>
    <row r="380" spans="1:47" s="121" customFormat="1" ht="111.95" hidden="1" customHeight="1" x14ac:dyDescent="0.25">
      <c r="A380" s="109">
        <v>247</v>
      </c>
      <c r="B380" s="109" t="s">
        <v>109</v>
      </c>
      <c r="C380" s="109" t="s">
        <v>1246</v>
      </c>
      <c r="D380" s="109">
        <v>35</v>
      </c>
      <c r="E380" s="109" t="s">
        <v>257</v>
      </c>
      <c r="F380" s="111" t="s">
        <v>1273</v>
      </c>
      <c r="G380" s="112" t="s">
        <v>320</v>
      </c>
      <c r="H380" s="112" t="s">
        <v>668</v>
      </c>
      <c r="I380" s="113" t="s">
        <v>112</v>
      </c>
      <c r="J380" s="112" t="s">
        <v>1274</v>
      </c>
      <c r="K380" s="112" t="s">
        <v>669</v>
      </c>
      <c r="L380" s="114">
        <v>103000000</v>
      </c>
      <c r="M380" s="114" t="s">
        <v>322</v>
      </c>
      <c r="N380" s="115">
        <v>44895</v>
      </c>
      <c r="O380" s="115">
        <v>45322</v>
      </c>
      <c r="P380" s="116">
        <f>(O380-N380)/365</f>
        <v>1.1698630136986301</v>
      </c>
      <c r="Q380" s="110" t="s">
        <v>28</v>
      </c>
      <c r="R380" s="110">
        <f ca="1">(O380-NOW()+1)/31</f>
        <v>13.525918940412192</v>
      </c>
      <c r="S380" s="110" t="str">
        <f t="shared" ref="S380" ca="1" si="120">IF(R380="End","Z",IF(R380="Cancel","C",IF(SUM(R380)&gt;0,"O",IF(ISBLANK(R380),"X",IF(SUM(R380)&lt;0,"Y",IF(SUM(R380),"-","O"))))))</f>
        <v>O</v>
      </c>
      <c r="T380" s="117">
        <v>1</v>
      </c>
      <c r="U380" s="117">
        <v>1</v>
      </c>
      <c r="V380" s="117">
        <v>1</v>
      </c>
      <c r="W380" s="117">
        <f t="shared" ref="W380" si="121">T380+U380+V380</f>
        <v>3</v>
      </c>
      <c r="X380" s="117" t="str">
        <f t="shared" ref="X380" si="122">IF(W380&gt;5,"Penting",IF(ISBLANK(W380),"","Biasa"))</f>
        <v>Biasa</v>
      </c>
      <c r="Y380" s="111" t="s">
        <v>359</v>
      </c>
      <c r="Z380" s="122"/>
      <c r="AA380" s="115"/>
      <c r="AB380" s="115"/>
      <c r="AC380" s="115"/>
      <c r="AD380" s="25"/>
      <c r="AE380" s="118"/>
      <c r="AF380" s="110" t="s">
        <v>207</v>
      </c>
      <c r="AG380" s="110" t="s">
        <v>117</v>
      </c>
      <c r="AH380" s="25"/>
      <c r="AI380" s="25"/>
      <c r="AJ380" s="25"/>
      <c r="AK380" s="25"/>
      <c r="AL380" s="25"/>
      <c r="AM380" s="25"/>
      <c r="AN380" s="33" t="s">
        <v>136</v>
      </c>
      <c r="AO380" s="119">
        <v>44902</v>
      </c>
      <c r="AP380" s="120"/>
      <c r="AQ380" s="4"/>
      <c r="AR380" s="4"/>
      <c r="AS380" s="4"/>
      <c r="AT380" s="4"/>
      <c r="AU380" s="4"/>
    </row>
    <row r="381" spans="1:47" s="121" customFormat="1" ht="111.95" hidden="1" customHeight="1" x14ac:dyDescent="0.25">
      <c r="A381" s="109">
        <v>248</v>
      </c>
      <c r="B381" s="109" t="s">
        <v>109</v>
      </c>
      <c r="C381" s="109"/>
      <c r="D381" s="109"/>
      <c r="E381" s="109"/>
      <c r="F381" s="111" t="s">
        <v>782</v>
      </c>
      <c r="G381" s="112" t="s">
        <v>770</v>
      </c>
      <c r="H381" s="112" t="s">
        <v>783</v>
      </c>
      <c r="I381" s="113" t="s">
        <v>112</v>
      </c>
      <c r="J381" s="112" t="s">
        <v>772</v>
      </c>
      <c r="K381" s="112" t="s">
        <v>784</v>
      </c>
      <c r="L381" s="114"/>
      <c r="M381" s="114"/>
      <c r="N381" s="115">
        <v>44562</v>
      </c>
      <c r="O381" s="115">
        <v>44926</v>
      </c>
      <c r="P381" s="116">
        <f>(O381-N381)/365</f>
        <v>0.99726027397260275</v>
      </c>
      <c r="Q381" s="110" t="s">
        <v>34</v>
      </c>
      <c r="R381" s="110">
        <f ca="1">(O381-NOW()+1)/31</f>
        <v>0.75172539202509558</v>
      </c>
      <c r="S381" s="110" t="str">
        <f t="shared" ca="1" si="115"/>
        <v>O</v>
      </c>
      <c r="T381" s="117">
        <v>1</v>
      </c>
      <c r="U381" s="117">
        <v>1</v>
      </c>
      <c r="V381" s="117">
        <v>1</v>
      </c>
      <c r="W381" s="117">
        <f t="shared" si="116"/>
        <v>3</v>
      </c>
      <c r="X381" s="117" t="str">
        <f t="shared" si="117"/>
        <v>Biasa</v>
      </c>
      <c r="Y381" s="111" t="s">
        <v>785</v>
      </c>
      <c r="Z381" s="122"/>
      <c r="AA381" s="115"/>
      <c r="AB381" s="115"/>
      <c r="AC381" s="115"/>
      <c r="AD381" s="25"/>
      <c r="AE381" s="118"/>
      <c r="AF381" s="110" t="s">
        <v>774</v>
      </c>
      <c r="AG381" s="110" t="s">
        <v>117</v>
      </c>
      <c r="AH381" s="25"/>
      <c r="AI381" s="25"/>
      <c r="AJ381" s="25"/>
      <c r="AK381" s="25"/>
      <c r="AL381" s="25"/>
      <c r="AM381" s="25"/>
      <c r="AN381" s="33" t="s">
        <v>123</v>
      </c>
      <c r="AO381" s="119">
        <v>44537</v>
      </c>
      <c r="AP381" s="120"/>
      <c r="AQ381" s="4"/>
      <c r="AR381" s="4"/>
      <c r="AS381" s="4"/>
      <c r="AT381" s="4"/>
      <c r="AU381" s="4"/>
    </row>
    <row r="382" spans="1:47" s="121" customFormat="1" ht="111.95" hidden="1" customHeight="1" x14ac:dyDescent="0.25">
      <c r="A382" s="109">
        <v>249</v>
      </c>
      <c r="B382" s="109" t="s">
        <v>109</v>
      </c>
      <c r="C382" s="109"/>
      <c r="D382" s="109"/>
      <c r="E382" s="109"/>
      <c r="F382" s="111"/>
      <c r="G382" s="112" t="s">
        <v>856</v>
      </c>
      <c r="H382" s="112" t="s">
        <v>857</v>
      </c>
      <c r="I382" s="113" t="s">
        <v>112</v>
      </c>
      <c r="J382" s="112"/>
      <c r="K382" s="112"/>
      <c r="L382" s="114"/>
      <c r="M382" s="114"/>
      <c r="N382" s="115"/>
      <c r="O382" s="115"/>
      <c r="P382" s="116"/>
      <c r="Q382" s="110" t="s">
        <v>32</v>
      </c>
      <c r="R382" s="110"/>
      <c r="S382" s="110" t="str">
        <f t="shared" si="115"/>
        <v>X</v>
      </c>
      <c r="T382" s="117">
        <v>3</v>
      </c>
      <c r="U382" s="117">
        <v>3</v>
      </c>
      <c r="V382" s="117">
        <v>3</v>
      </c>
      <c r="W382" s="117">
        <f t="shared" si="116"/>
        <v>9</v>
      </c>
      <c r="X382" s="117" t="str">
        <f t="shared" si="117"/>
        <v>Penting</v>
      </c>
      <c r="Y382" s="111" t="s">
        <v>858</v>
      </c>
      <c r="Z382" s="122"/>
      <c r="AA382" s="115"/>
      <c r="AB382" s="115"/>
      <c r="AC382" s="115"/>
      <c r="AD382" s="25"/>
      <c r="AE382" s="118"/>
      <c r="AF382" s="110" t="s">
        <v>859</v>
      </c>
      <c r="AG382" s="110"/>
      <c r="AH382" s="25"/>
      <c r="AI382" s="25" t="s">
        <v>117</v>
      </c>
      <c r="AJ382" s="25"/>
      <c r="AK382" s="25"/>
      <c r="AL382" s="25"/>
      <c r="AM382" s="25"/>
      <c r="AN382" s="33"/>
      <c r="AO382" s="119" t="s">
        <v>117</v>
      </c>
      <c r="AP382" s="120"/>
      <c r="AQ382" s="4"/>
      <c r="AR382" s="4"/>
      <c r="AS382" s="4"/>
      <c r="AT382" s="4"/>
      <c r="AU382" s="4"/>
    </row>
    <row r="383" spans="1:47" s="121" customFormat="1" ht="111.95" hidden="1" customHeight="1" x14ac:dyDescent="0.25">
      <c r="A383" s="109">
        <v>250</v>
      </c>
      <c r="B383" s="109" t="s">
        <v>109</v>
      </c>
      <c r="C383" s="109"/>
      <c r="D383" s="109"/>
      <c r="E383" s="109"/>
      <c r="F383" s="111"/>
      <c r="G383" s="112" t="s">
        <v>856</v>
      </c>
      <c r="H383" s="112" t="s">
        <v>870</v>
      </c>
      <c r="I383" s="113" t="s">
        <v>112</v>
      </c>
      <c r="J383" s="112"/>
      <c r="K383" s="112"/>
      <c r="L383" s="114"/>
      <c r="M383" s="114"/>
      <c r="N383" s="115"/>
      <c r="O383" s="115"/>
      <c r="P383" s="116"/>
      <c r="Q383" s="110" t="s">
        <v>32</v>
      </c>
      <c r="R383" s="110"/>
      <c r="S383" s="110" t="str">
        <f t="shared" si="115"/>
        <v>X</v>
      </c>
      <c r="T383" s="117">
        <v>3</v>
      </c>
      <c r="U383" s="117">
        <v>3</v>
      </c>
      <c r="V383" s="117">
        <v>3</v>
      </c>
      <c r="W383" s="117">
        <f t="shared" si="116"/>
        <v>9</v>
      </c>
      <c r="X383" s="117" t="str">
        <f t="shared" si="117"/>
        <v>Penting</v>
      </c>
      <c r="Y383" s="111" t="s">
        <v>871</v>
      </c>
      <c r="Z383" s="122"/>
      <c r="AA383" s="115"/>
      <c r="AB383" s="115"/>
      <c r="AC383" s="115"/>
      <c r="AD383" s="25" t="s">
        <v>122</v>
      </c>
      <c r="AE383" s="118">
        <v>43497</v>
      </c>
      <c r="AF383" s="110" t="s">
        <v>859</v>
      </c>
      <c r="AG383" s="110"/>
      <c r="AH383" s="25"/>
      <c r="AI383" s="25" t="s">
        <v>117</v>
      </c>
      <c r="AJ383" s="25"/>
      <c r="AK383" s="25"/>
      <c r="AL383" s="25"/>
      <c r="AM383" s="25"/>
      <c r="AN383" s="33"/>
      <c r="AO383" s="119"/>
      <c r="AP383" s="120"/>
      <c r="AQ383" s="4"/>
      <c r="AR383" s="4"/>
      <c r="AS383" s="4"/>
      <c r="AT383" s="4"/>
      <c r="AU383" s="4"/>
    </row>
    <row r="384" spans="1:47" s="121" customFormat="1" ht="111.95" hidden="1" customHeight="1" x14ac:dyDescent="0.25">
      <c r="A384" s="109">
        <v>251</v>
      </c>
      <c r="B384" s="109" t="s">
        <v>109</v>
      </c>
      <c r="C384" s="109"/>
      <c r="D384" s="109"/>
      <c r="E384" s="109"/>
      <c r="F384" s="111"/>
      <c r="G384" s="112" t="s">
        <v>856</v>
      </c>
      <c r="H384" s="112" t="s">
        <v>872</v>
      </c>
      <c r="I384" s="113" t="s">
        <v>112</v>
      </c>
      <c r="J384" s="112"/>
      <c r="K384" s="112"/>
      <c r="L384" s="114"/>
      <c r="M384" s="114"/>
      <c r="N384" s="115"/>
      <c r="O384" s="115"/>
      <c r="P384" s="116"/>
      <c r="Q384" s="110" t="s">
        <v>32</v>
      </c>
      <c r="R384" s="110"/>
      <c r="S384" s="110" t="str">
        <f t="shared" si="115"/>
        <v>X</v>
      </c>
      <c r="T384" s="117">
        <v>3</v>
      </c>
      <c r="U384" s="117">
        <v>3</v>
      </c>
      <c r="V384" s="117">
        <v>3</v>
      </c>
      <c r="W384" s="117">
        <f t="shared" si="116"/>
        <v>9</v>
      </c>
      <c r="X384" s="117" t="str">
        <f t="shared" si="117"/>
        <v>Penting</v>
      </c>
      <c r="Y384" s="111" t="s">
        <v>873</v>
      </c>
      <c r="Z384" s="122"/>
      <c r="AA384" s="115"/>
      <c r="AB384" s="115"/>
      <c r="AC384" s="115"/>
      <c r="AD384" s="25"/>
      <c r="AE384" s="118"/>
      <c r="AF384" s="110" t="s">
        <v>859</v>
      </c>
      <c r="AG384" s="110"/>
      <c r="AH384" s="25"/>
      <c r="AI384" s="25" t="s">
        <v>117</v>
      </c>
      <c r="AJ384" s="25"/>
      <c r="AK384" s="25"/>
      <c r="AL384" s="25"/>
      <c r="AM384" s="25"/>
      <c r="AN384" s="33"/>
      <c r="AO384" s="119"/>
      <c r="AP384" s="120"/>
      <c r="AQ384" s="4"/>
      <c r="AR384" s="4"/>
      <c r="AS384" s="4"/>
      <c r="AT384" s="4"/>
      <c r="AU384" s="4"/>
    </row>
    <row r="385" spans="1:47" s="121" customFormat="1" ht="111.95" hidden="1" customHeight="1" x14ac:dyDescent="0.25">
      <c r="A385" s="109">
        <v>252</v>
      </c>
      <c r="B385" s="109" t="s">
        <v>109</v>
      </c>
      <c r="C385" s="109"/>
      <c r="D385" s="109"/>
      <c r="E385" s="109"/>
      <c r="F385" s="111" t="s">
        <v>949</v>
      </c>
      <c r="G385" s="112" t="s">
        <v>945</v>
      </c>
      <c r="H385" s="112" t="s">
        <v>950</v>
      </c>
      <c r="I385" s="113" t="s">
        <v>112</v>
      </c>
      <c r="J385" s="112" t="s">
        <v>951</v>
      </c>
      <c r="K385" s="112"/>
      <c r="L385" s="114"/>
      <c r="M385" s="114"/>
      <c r="N385" s="115">
        <v>44318</v>
      </c>
      <c r="O385" s="115">
        <v>44682</v>
      </c>
      <c r="P385" s="116">
        <f>(O385-N385)/365</f>
        <v>0.99726027397260275</v>
      </c>
      <c r="Q385" s="110" t="s">
        <v>30</v>
      </c>
      <c r="R385" s="110" t="s">
        <v>115</v>
      </c>
      <c r="S385" s="110" t="str">
        <f t="shared" si="115"/>
        <v>Z</v>
      </c>
      <c r="T385" s="117">
        <v>3</v>
      </c>
      <c r="U385" s="117">
        <v>3</v>
      </c>
      <c r="V385" s="117">
        <v>3</v>
      </c>
      <c r="W385" s="117">
        <f t="shared" si="116"/>
        <v>9</v>
      </c>
      <c r="X385" s="117" t="str">
        <f t="shared" si="117"/>
        <v>Penting</v>
      </c>
      <c r="Y385" s="111" t="s">
        <v>952</v>
      </c>
      <c r="Z385" s="122"/>
      <c r="AA385" s="115"/>
      <c r="AB385" s="115"/>
      <c r="AC385" s="115"/>
      <c r="AD385" s="25" t="s">
        <v>122</v>
      </c>
      <c r="AE385" s="118">
        <v>43564</v>
      </c>
      <c r="AF385" s="110" t="s">
        <v>937</v>
      </c>
      <c r="AG385" s="110" t="s">
        <v>117</v>
      </c>
      <c r="AH385" s="25"/>
      <c r="AI385" s="25"/>
      <c r="AJ385" s="25"/>
      <c r="AK385" s="25"/>
      <c r="AL385" s="25"/>
      <c r="AM385" s="25"/>
      <c r="AN385" s="33"/>
      <c r="AO385" s="119"/>
      <c r="AP385" s="120"/>
      <c r="AQ385" s="4"/>
      <c r="AR385" s="4"/>
      <c r="AS385" s="4"/>
      <c r="AT385" s="4"/>
      <c r="AU385" s="4"/>
    </row>
    <row r="386" spans="1:47" s="121" customFormat="1" ht="111.95" hidden="1" customHeight="1" x14ac:dyDescent="0.25">
      <c r="A386" s="109">
        <v>253</v>
      </c>
      <c r="B386" s="109" t="s">
        <v>109</v>
      </c>
      <c r="C386" s="109"/>
      <c r="D386" s="109"/>
      <c r="E386" s="109"/>
      <c r="F386" s="111" t="s">
        <v>186</v>
      </c>
      <c r="G386" s="112" t="s">
        <v>187</v>
      </c>
      <c r="H386" s="112" t="s">
        <v>178</v>
      </c>
      <c r="I386" s="113" t="s">
        <v>112</v>
      </c>
      <c r="J386" s="112" t="s">
        <v>188</v>
      </c>
      <c r="K386" s="112"/>
      <c r="L386" s="114">
        <v>6350000</v>
      </c>
      <c r="M386" s="114" t="s">
        <v>132</v>
      </c>
      <c r="N386" s="115">
        <v>44378</v>
      </c>
      <c r="O386" s="115">
        <v>44742</v>
      </c>
      <c r="P386" s="116">
        <f t="shared" ref="P386:P387" si="123">(O386-N386)/365</f>
        <v>0.99726027397260275</v>
      </c>
      <c r="Q386" s="110" t="s">
        <v>28</v>
      </c>
      <c r="R386" s="110" t="s">
        <v>115</v>
      </c>
      <c r="S386" s="110" t="str">
        <f t="shared" si="64"/>
        <v>Z</v>
      </c>
      <c r="T386" s="117">
        <v>1</v>
      </c>
      <c r="U386" s="117">
        <v>1</v>
      </c>
      <c r="V386" s="117">
        <v>1</v>
      </c>
      <c r="W386" s="117">
        <f t="shared" si="65"/>
        <v>3</v>
      </c>
      <c r="X386" s="117" t="str">
        <f t="shared" si="66"/>
        <v>Biasa</v>
      </c>
      <c r="Y386" s="111"/>
      <c r="Z386" s="122"/>
      <c r="AA386" s="115"/>
      <c r="AB386" s="115"/>
      <c r="AC386" s="115"/>
      <c r="AD386" s="25"/>
      <c r="AE386" s="118"/>
      <c r="AF386" s="110" t="s">
        <v>116</v>
      </c>
      <c r="AG386" s="110" t="s">
        <v>189</v>
      </c>
      <c r="AH386" s="25"/>
      <c r="AI386" s="25"/>
      <c r="AJ386" s="25"/>
      <c r="AK386" s="25"/>
      <c r="AL386" s="25"/>
      <c r="AM386" s="25"/>
      <c r="AN386" s="33" t="s">
        <v>123</v>
      </c>
      <c r="AO386" s="119"/>
      <c r="AP386" s="120"/>
      <c r="AQ386" s="4"/>
      <c r="AR386" s="4"/>
      <c r="AS386" s="4"/>
      <c r="AT386" s="4"/>
      <c r="AU386" s="4"/>
    </row>
    <row r="387" spans="1:47" s="121" customFormat="1" ht="111.95" hidden="1" customHeight="1" x14ac:dyDescent="0.25">
      <c r="A387" s="109">
        <v>254</v>
      </c>
      <c r="B387" s="109" t="s">
        <v>109</v>
      </c>
      <c r="C387" s="109"/>
      <c r="D387" s="109"/>
      <c r="E387" s="109"/>
      <c r="F387" s="111" t="s">
        <v>221</v>
      </c>
      <c r="G387" s="112" t="s">
        <v>222</v>
      </c>
      <c r="H387" s="112" t="s">
        <v>223</v>
      </c>
      <c r="I387" s="113" t="s">
        <v>150</v>
      </c>
      <c r="J387" s="112" t="s">
        <v>224</v>
      </c>
      <c r="K387" s="112" t="s">
        <v>225</v>
      </c>
      <c r="L387" s="114" t="s">
        <v>226</v>
      </c>
      <c r="M387" s="114"/>
      <c r="N387" s="115">
        <v>44501</v>
      </c>
      <c r="O387" s="115">
        <v>44742</v>
      </c>
      <c r="P387" s="116">
        <f t="shared" si="123"/>
        <v>0.66027397260273968</v>
      </c>
      <c r="Q387" s="110" t="s">
        <v>28</v>
      </c>
      <c r="R387" s="110" t="s">
        <v>115</v>
      </c>
      <c r="S387" s="110" t="str">
        <f t="shared" si="64"/>
        <v>Z</v>
      </c>
      <c r="T387" s="117">
        <v>3</v>
      </c>
      <c r="U387" s="117">
        <v>2</v>
      </c>
      <c r="V387" s="117">
        <v>1</v>
      </c>
      <c r="W387" s="117">
        <f t="shared" ref="W387:W398" si="124">T387+U387+V387</f>
        <v>6</v>
      </c>
      <c r="X387" s="117" t="str">
        <f t="shared" si="66"/>
        <v>Penting</v>
      </c>
      <c r="Y387" s="111" t="s">
        <v>227</v>
      </c>
      <c r="Z387" s="122"/>
      <c r="AA387" s="115"/>
      <c r="AB387" s="115"/>
      <c r="AC387" s="115"/>
      <c r="AD387" s="25" t="s">
        <v>115</v>
      </c>
      <c r="AE387" s="118">
        <v>44743</v>
      </c>
      <c r="AF387" s="110" t="s">
        <v>228</v>
      </c>
      <c r="AG387" s="110" t="s">
        <v>117</v>
      </c>
      <c r="AH387" s="25"/>
      <c r="AI387" s="25"/>
      <c r="AJ387" s="25"/>
      <c r="AK387" s="25"/>
      <c r="AL387" s="25"/>
      <c r="AM387" s="25"/>
      <c r="AN387" s="33" t="s">
        <v>123</v>
      </c>
      <c r="AO387" s="119">
        <v>44512</v>
      </c>
      <c r="AP387" s="120"/>
      <c r="AQ387" s="4"/>
      <c r="AR387" s="4"/>
      <c r="AS387" s="4"/>
      <c r="AT387" s="4"/>
      <c r="AU387" s="4"/>
    </row>
    <row r="388" spans="1:47" s="121" customFormat="1" ht="111.95" hidden="1" customHeight="1" x14ac:dyDescent="0.25">
      <c r="A388" s="109">
        <v>255</v>
      </c>
      <c r="B388" s="109" t="s">
        <v>109</v>
      </c>
      <c r="C388" s="109"/>
      <c r="D388" s="109"/>
      <c r="E388" s="109"/>
      <c r="F388" s="111" t="s">
        <v>395</v>
      </c>
      <c r="G388" s="112" t="s">
        <v>244</v>
      </c>
      <c r="H388" s="112" t="s">
        <v>396</v>
      </c>
      <c r="I388" s="113" t="s">
        <v>112</v>
      </c>
      <c r="J388" s="112" t="s">
        <v>360</v>
      </c>
      <c r="K388" s="112"/>
      <c r="L388" s="114" t="s">
        <v>361</v>
      </c>
      <c r="M388" s="114"/>
      <c r="N388" s="115">
        <v>43587</v>
      </c>
      <c r="O388" s="115">
        <v>44682</v>
      </c>
      <c r="P388" s="116">
        <f t="shared" ref="P388:P398" si="125">(O388-N388)/365</f>
        <v>3</v>
      </c>
      <c r="Q388" s="110" t="s">
        <v>28</v>
      </c>
      <c r="R388" s="110" t="s">
        <v>115</v>
      </c>
      <c r="S388" s="110" t="str">
        <f t="shared" ref="S388:S398" si="126">IF(R388="End","Z",IF(R388="Cancel","C",IF(SUM(R388)&gt;0,"O",IF(ISBLANK(R388),"X",IF(SUM(R388)&lt;0,"Y",IF(SUM(R388),"-","O"))))))</f>
        <v>Z</v>
      </c>
      <c r="T388" s="117">
        <v>2</v>
      </c>
      <c r="U388" s="117">
        <v>1</v>
      </c>
      <c r="V388" s="117">
        <v>1</v>
      </c>
      <c r="W388" s="117">
        <f t="shared" si="124"/>
        <v>4</v>
      </c>
      <c r="X388" s="117" t="str">
        <f t="shared" ref="X388:X398" si="127">IF(W388&gt;5,"Penting",IF(ISBLANK(W388),"","Biasa"))</f>
        <v>Biasa</v>
      </c>
      <c r="Y388" s="111" t="s">
        <v>397</v>
      </c>
      <c r="Z388" s="122"/>
      <c r="AA388" s="115"/>
      <c r="AB388" s="115"/>
      <c r="AC388" s="115"/>
      <c r="AD388" s="25"/>
      <c r="AE388" s="118"/>
      <c r="AF388" s="110" t="s">
        <v>232</v>
      </c>
      <c r="AG388" s="110" t="s">
        <v>117</v>
      </c>
      <c r="AH388" s="25"/>
      <c r="AI388" s="25"/>
      <c r="AJ388" s="25"/>
      <c r="AK388" s="25"/>
      <c r="AL388" s="25"/>
      <c r="AM388" s="25"/>
      <c r="AN388" s="33" t="s">
        <v>398</v>
      </c>
      <c r="AO388" s="119">
        <v>43600</v>
      </c>
      <c r="AP388" s="120"/>
      <c r="AQ388" s="4"/>
      <c r="AR388" s="4"/>
      <c r="AS388" s="4"/>
      <c r="AT388" s="4"/>
      <c r="AU388" s="4"/>
    </row>
    <row r="389" spans="1:47" s="121" customFormat="1" ht="111.75" hidden="1" customHeight="1" x14ac:dyDescent="0.25">
      <c r="A389" s="109">
        <v>256</v>
      </c>
      <c r="B389" s="109" t="s">
        <v>109</v>
      </c>
      <c r="C389" s="109"/>
      <c r="D389" s="109"/>
      <c r="E389" s="109"/>
      <c r="F389" s="111" t="s">
        <v>399</v>
      </c>
      <c r="G389" s="112" t="s">
        <v>244</v>
      </c>
      <c r="H389" s="112" t="s">
        <v>400</v>
      </c>
      <c r="I389" s="113" t="s">
        <v>112</v>
      </c>
      <c r="J389" s="112" t="s">
        <v>401</v>
      </c>
      <c r="K389" s="112" t="s">
        <v>402</v>
      </c>
      <c r="L389" s="114" t="s">
        <v>226</v>
      </c>
      <c r="M389" s="114"/>
      <c r="N389" s="115">
        <v>44013</v>
      </c>
      <c r="O389" s="115">
        <v>44742</v>
      </c>
      <c r="P389" s="116">
        <f t="shared" si="125"/>
        <v>1.9972602739726026</v>
      </c>
      <c r="Q389" s="110" t="s">
        <v>28</v>
      </c>
      <c r="R389" s="110" t="s">
        <v>115</v>
      </c>
      <c r="S389" s="110" t="str">
        <f t="shared" si="126"/>
        <v>Z</v>
      </c>
      <c r="T389" s="117">
        <v>3</v>
      </c>
      <c r="U389" s="117">
        <v>1</v>
      </c>
      <c r="V389" s="117">
        <v>3</v>
      </c>
      <c r="W389" s="117">
        <f t="shared" si="124"/>
        <v>7</v>
      </c>
      <c r="X389" s="117" t="str">
        <f t="shared" si="127"/>
        <v>Penting</v>
      </c>
      <c r="Y389" s="111" t="s">
        <v>403</v>
      </c>
      <c r="Z389" s="122"/>
      <c r="AA389" s="115"/>
      <c r="AB389" s="115"/>
      <c r="AC389" s="115"/>
      <c r="AD389" s="25"/>
      <c r="AE389" s="118"/>
      <c r="AF389" s="110" t="s">
        <v>232</v>
      </c>
      <c r="AG389" s="110" t="s">
        <v>117</v>
      </c>
      <c r="AH389" s="25"/>
      <c r="AI389" s="25"/>
      <c r="AJ389" s="25"/>
      <c r="AK389" s="25"/>
      <c r="AL389" s="25"/>
      <c r="AM389" s="25"/>
      <c r="AN389" s="33" t="s">
        <v>123</v>
      </c>
      <c r="AO389" s="119">
        <v>44036</v>
      </c>
      <c r="AP389" s="120"/>
      <c r="AQ389" s="4"/>
      <c r="AR389" s="4"/>
      <c r="AS389" s="4"/>
      <c r="AT389" s="4"/>
      <c r="AU389" s="4"/>
    </row>
    <row r="390" spans="1:47" s="121" customFormat="1" ht="111.95" hidden="1" customHeight="1" x14ac:dyDescent="0.25">
      <c r="A390" s="109">
        <v>257</v>
      </c>
      <c r="B390" s="109" t="s">
        <v>109</v>
      </c>
      <c r="C390" s="109"/>
      <c r="D390" s="109"/>
      <c r="E390" s="109"/>
      <c r="F390" s="111" t="s">
        <v>404</v>
      </c>
      <c r="G390" s="112" t="s">
        <v>244</v>
      </c>
      <c r="H390" s="112" t="s">
        <v>405</v>
      </c>
      <c r="I390" s="113" t="s">
        <v>112</v>
      </c>
      <c r="J390" s="112" t="s">
        <v>406</v>
      </c>
      <c r="K390" s="112" t="s">
        <v>407</v>
      </c>
      <c r="L390" s="114" t="s">
        <v>361</v>
      </c>
      <c r="M390" s="114"/>
      <c r="N390" s="115">
        <v>43647</v>
      </c>
      <c r="O390" s="115">
        <v>44742</v>
      </c>
      <c r="P390" s="116">
        <f t="shared" si="125"/>
        <v>3</v>
      </c>
      <c r="Q390" s="110" t="s">
        <v>28</v>
      </c>
      <c r="R390" s="110" t="s">
        <v>115</v>
      </c>
      <c r="S390" s="110" t="str">
        <f t="shared" si="126"/>
        <v>Z</v>
      </c>
      <c r="T390" s="117">
        <v>1</v>
      </c>
      <c r="U390" s="117">
        <v>1</v>
      </c>
      <c r="V390" s="117">
        <v>1</v>
      </c>
      <c r="W390" s="117">
        <f t="shared" si="124"/>
        <v>3</v>
      </c>
      <c r="X390" s="117" t="str">
        <f t="shared" si="127"/>
        <v>Biasa</v>
      </c>
      <c r="Y390" s="111" t="s">
        <v>408</v>
      </c>
      <c r="Z390" s="122"/>
      <c r="AA390" s="115"/>
      <c r="AB390" s="115"/>
      <c r="AC390" s="115"/>
      <c r="AD390" s="25"/>
      <c r="AE390" s="118"/>
      <c r="AF390" s="110" t="s">
        <v>232</v>
      </c>
      <c r="AG390" s="110" t="s">
        <v>117</v>
      </c>
      <c r="AH390" s="25"/>
      <c r="AI390" s="25"/>
      <c r="AJ390" s="25"/>
      <c r="AK390" s="25"/>
      <c r="AL390" s="25"/>
      <c r="AM390" s="25"/>
      <c r="AN390" s="33" t="s">
        <v>398</v>
      </c>
      <c r="AO390" s="119"/>
      <c r="AP390" s="120"/>
      <c r="AQ390" s="4"/>
      <c r="AR390" s="4"/>
      <c r="AS390" s="4"/>
      <c r="AT390" s="4"/>
      <c r="AU390" s="4"/>
    </row>
    <row r="391" spans="1:47" s="121" customFormat="1" ht="111.95" hidden="1" customHeight="1" x14ac:dyDescent="0.25">
      <c r="A391" s="109">
        <v>258</v>
      </c>
      <c r="B391" s="109" t="s">
        <v>109</v>
      </c>
      <c r="C391" s="109"/>
      <c r="D391" s="109"/>
      <c r="E391" s="109"/>
      <c r="F391" s="111" t="s">
        <v>421</v>
      </c>
      <c r="G391" s="112" t="s">
        <v>244</v>
      </c>
      <c r="H391" s="112" t="s">
        <v>422</v>
      </c>
      <c r="I391" s="113" t="s">
        <v>112</v>
      </c>
      <c r="J391" s="112" t="s">
        <v>423</v>
      </c>
      <c r="K391" s="112" t="s">
        <v>424</v>
      </c>
      <c r="L391" s="114" t="s">
        <v>226</v>
      </c>
      <c r="M391" s="114"/>
      <c r="N391" s="115">
        <v>43647</v>
      </c>
      <c r="O391" s="115">
        <v>44742</v>
      </c>
      <c r="P391" s="116">
        <f t="shared" si="125"/>
        <v>3</v>
      </c>
      <c r="Q391" s="110" t="s">
        <v>28</v>
      </c>
      <c r="R391" s="110" t="s">
        <v>115</v>
      </c>
      <c r="S391" s="110" t="str">
        <f t="shared" si="126"/>
        <v>Z</v>
      </c>
      <c r="T391" s="117">
        <v>1</v>
      </c>
      <c r="U391" s="117">
        <v>1</v>
      </c>
      <c r="V391" s="117">
        <v>1</v>
      </c>
      <c r="W391" s="117">
        <f t="shared" si="124"/>
        <v>3</v>
      </c>
      <c r="X391" s="117" t="str">
        <f t="shared" si="127"/>
        <v>Biasa</v>
      </c>
      <c r="Y391" s="111" t="s">
        <v>408</v>
      </c>
      <c r="Z391" s="122"/>
      <c r="AA391" s="115"/>
      <c r="AB391" s="115"/>
      <c r="AC391" s="115"/>
      <c r="AD391" s="25"/>
      <c r="AE391" s="118"/>
      <c r="AF391" s="110" t="s">
        <v>232</v>
      </c>
      <c r="AG391" s="110" t="s">
        <v>117</v>
      </c>
      <c r="AH391" s="25"/>
      <c r="AI391" s="25"/>
      <c r="AJ391" s="25"/>
      <c r="AK391" s="25"/>
      <c r="AL391" s="25"/>
      <c r="AM391" s="25"/>
      <c r="AN391" s="33" t="s">
        <v>398</v>
      </c>
      <c r="AO391" s="119"/>
      <c r="AP391" s="120"/>
      <c r="AQ391" s="4"/>
      <c r="AR391" s="4"/>
      <c r="AS391" s="4"/>
      <c r="AT391" s="4"/>
      <c r="AU391" s="4"/>
    </row>
    <row r="392" spans="1:47" s="121" customFormat="1" ht="111.95" hidden="1" customHeight="1" x14ac:dyDescent="0.25">
      <c r="A392" s="109">
        <v>259</v>
      </c>
      <c r="B392" s="109" t="s">
        <v>109</v>
      </c>
      <c r="C392" s="109"/>
      <c r="D392" s="109"/>
      <c r="E392" s="109"/>
      <c r="F392" s="111" t="s">
        <v>439</v>
      </c>
      <c r="G392" s="112" t="s">
        <v>244</v>
      </c>
      <c r="H392" s="112" t="s">
        <v>440</v>
      </c>
      <c r="I392" s="113" t="s">
        <v>112</v>
      </c>
      <c r="J392" s="112" t="s">
        <v>441</v>
      </c>
      <c r="K392" s="112" t="s">
        <v>442</v>
      </c>
      <c r="L392" s="114" t="s">
        <v>361</v>
      </c>
      <c r="M392" s="114"/>
      <c r="N392" s="115">
        <v>43587</v>
      </c>
      <c r="O392" s="115">
        <v>44682</v>
      </c>
      <c r="P392" s="116">
        <f t="shared" si="125"/>
        <v>3</v>
      </c>
      <c r="Q392" s="110" t="s">
        <v>28</v>
      </c>
      <c r="R392" s="110" t="s">
        <v>115</v>
      </c>
      <c r="S392" s="110" t="str">
        <f t="shared" si="126"/>
        <v>Z</v>
      </c>
      <c r="T392" s="117">
        <v>1</v>
      </c>
      <c r="U392" s="117">
        <v>1</v>
      </c>
      <c r="V392" s="117">
        <v>1</v>
      </c>
      <c r="W392" s="117">
        <f t="shared" si="124"/>
        <v>3</v>
      </c>
      <c r="X392" s="117" t="str">
        <f t="shared" si="127"/>
        <v>Biasa</v>
      </c>
      <c r="Y392" s="111" t="s">
        <v>397</v>
      </c>
      <c r="Z392" s="122"/>
      <c r="AA392" s="115"/>
      <c r="AB392" s="115"/>
      <c r="AC392" s="115"/>
      <c r="AD392" s="25"/>
      <c r="AE392" s="118"/>
      <c r="AF392" s="110" t="s">
        <v>232</v>
      </c>
      <c r="AG392" s="110" t="s">
        <v>117</v>
      </c>
      <c r="AH392" s="25"/>
      <c r="AI392" s="25"/>
      <c r="AJ392" s="25"/>
      <c r="AK392" s="25"/>
      <c r="AL392" s="25"/>
      <c r="AM392" s="25"/>
      <c r="AN392" s="33" t="s">
        <v>398</v>
      </c>
      <c r="AO392" s="119">
        <v>43600</v>
      </c>
      <c r="AP392" s="120"/>
      <c r="AQ392" s="4"/>
      <c r="AR392" s="4"/>
      <c r="AS392" s="4"/>
      <c r="AT392" s="4"/>
      <c r="AU392" s="4"/>
    </row>
    <row r="393" spans="1:47" s="121" customFormat="1" ht="111.95" hidden="1" customHeight="1" x14ac:dyDescent="0.25">
      <c r="A393" s="109">
        <v>260</v>
      </c>
      <c r="B393" s="109" t="s">
        <v>109</v>
      </c>
      <c r="C393" s="109"/>
      <c r="D393" s="109"/>
      <c r="E393" s="109"/>
      <c r="F393" s="111" t="s">
        <v>514</v>
      </c>
      <c r="G393" s="112" t="s">
        <v>244</v>
      </c>
      <c r="H393" s="112" t="s">
        <v>515</v>
      </c>
      <c r="I393" s="113" t="s">
        <v>112</v>
      </c>
      <c r="J393" s="112" t="s">
        <v>516</v>
      </c>
      <c r="K393" s="112" t="s">
        <v>517</v>
      </c>
      <c r="L393" s="114" t="s">
        <v>226</v>
      </c>
      <c r="M393" s="114"/>
      <c r="N393" s="115">
        <v>44378</v>
      </c>
      <c r="O393" s="115">
        <v>44742</v>
      </c>
      <c r="P393" s="116">
        <f t="shared" si="125"/>
        <v>0.99726027397260275</v>
      </c>
      <c r="Q393" s="110" t="s">
        <v>28</v>
      </c>
      <c r="R393" s="110" t="s">
        <v>115</v>
      </c>
      <c r="S393" s="110" t="str">
        <f t="shared" si="126"/>
        <v>Z</v>
      </c>
      <c r="T393" s="117">
        <v>1</v>
      </c>
      <c r="U393" s="117">
        <v>1</v>
      </c>
      <c r="V393" s="117">
        <v>1</v>
      </c>
      <c r="W393" s="117">
        <f t="shared" si="124"/>
        <v>3</v>
      </c>
      <c r="X393" s="117" t="str">
        <f t="shared" si="127"/>
        <v>Biasa</v>
      </c>
      <c r="Y393" s="111" t="s">
        <v>408</v>
      </c>
      <c r="Z393" s="122"/>
      <c r="AA393" s="115"/>
      <c r="AB393" s="115"/>
      <c r="AC393" s="115"/>
      <c r="AD393" s="25"/>
      <c r="AE393" s="118"/>
      <c r="AF393" s="110" t="s">
        <v>382</v>
      </c>
      <c r="AG393" s="110" t="s">
        <v>117</v>
      </c>
      <c r="AH393" s="25"/>
      <c r="AI393" s="25"/>
      <c r="AJ393" s="25"/>
      <c r="AK393" s="25"/>
      <c r="AL393" s="25"/>
      <c r="AM393" s="25"/>
      <c r="AN393" s="33" t="s">
        <v>123</v>
      </c>
      <c r="AO393" s="119">
        <v>44407</v>
      </c>
      <c r="AP393" s="120"/>
      <c r="AQ393" s="4"/>
      <c r="AR393" s="4"/>
      <c r="AS393" s="4"/>
      <c r="AT393" s="4"/>
      <c r="AU393" s="4"/>
    </row>
    <row r="394" spans="1:47" s="121" customFormat="1" ht="111.95" hidden="1" customHeight="1" x14ac:dyDescent="0.25">
      <c r="A394" s="109">
        <v>261</v>
      </c>
      <c r="B394" s="109" t="s">
        <v>109</v>
      </c>
      <c r="C394" s="109"/>
      <c r="D394" s="109"/>
      <c r="E394" s="109"/>
      <c r="F394" s="111" t="s">
        <v>525</v>
      </c>
      <c r="G394" s="112" t="s">
        <v>244</v>
      </c>
      <c r="H394" s="112" t="s">
        <v>526</v>
      </c>
      <c r="I394" s="113" t="s">
        <v>112</v>
      </c>
      <c r="J394" s="112" t="s">
        <v>364</v>
      </c>
      <c r="K394" s="112" t="s">
        <v>527</v>
      </c>
      <c r="L394" s="114" t="s">
        <v>361</v>
      </c>
      <c r="M394" s="114"/>
      <c r="N394" s="115">
        <v>43556</v>
      </c>
      <c r="O394" s="115">
        <v>44651</v>
      </c>
      <c r="P394" s="116">
        <f t="shared" si="125"/>
        <v>3</v>
      </c>
      <c r="Q394" s="110" t="s">
        <v>28</v>
      </c>
      <c r="R394" s="110" t="s">
        <v>115</v>
      </c>
      <c r="S394" s="110" t="str">
        <f t="shared" si="126"/>
        <v>Z</v>
      </c>
      <c r="T394" s="117">
        <v>1</v>
      </c>
      <c r="U394" s="117">
        <v>1</v>
      </c>
      <c r="V394" s="117">
        <v>1</v>
      </c>
      <c r="W394" s="117">
        <f t="shared" si="124"/>
        <v>3</v>
      </c>
      <c r="X394" s="117" t="str">
        <f t="shared" si="127"/>
        <v>Biasa</v>
      </c>
      <c r="Y394" s="111" t="s">
        <v>528</v>
      </c>
      <c r="Z394" s="122"/>
      <c r="AA394" s="115"/>
      <c r="AB394" s="115"/>
      <c r="AC394" s="115"/>
      <c r="AD394" s="25"/>
      <c r="AE394" s="118"/>
      <c r="AF394" s="110" t="s">
        <v>232</v>
      </c>
      <c r="AG394" s="110" t="s">
        <v>117</v>
      </c>
      <c r="AH394" s="25"/>
      <c r="AI394" s="25"/>
      <c r="AJ394" s="25"/>
      <c r="AK394" s="25"/>
      <c r="AL394" s="25"/>
      <c r="AM394" s="25"/>
      <c r="AN394" s="33" t="s">
        <v>398</v>
      </c>
      <c r="AO394" s="119">
        <v>43544</v>
      </c>
      <c r="AP394" s="120"/>
      <c r="AQ394" s="4"/>
      <c r="AR394" s="4"/>
      <c r="AS394" s="4"/>
      <c r="AT394" s="4"/>
      <c r="AU394" s="4"/>
    </row>
    <row r="395" spans="1:47" s="121" customFormat="1" ht="111.95" hidden="1" customHeight="1" x14ac:dyDescent="0.25">
      <c r="A395" s="109">
        <v>262</v>
      </c>
      <c r="B395" s="109" t="s">
        <v>109</v>
      </c>
      <c r="C395" s="109"/>
      <c r="D395" s="109"/>
      <c r="E395" s="109"/>
      <c r="F395" s="111" t="s">
        <v>510</v>
      </c>
      <c r="G395" s="112" t="s">
        <v>244</v>
      </c>
      <c r="H395" s="112" t="s">
        <v>511</v>
      </c>
      <c r="I395" s="113" t="s">
        <v>112</v>
      </c>
      <c r="J395" s="112" t="s">
        <v>512</v>
      </c>
      <c r="K395" s="112" t="s">
        <v>513</v>
      </c>
      <c r="L395" s="114" t="s">
        <v>226</v>
      </c>
      <c r="M395" s="114"/>
      <c r="N395" s="115">
        <v>44013</v>
      </c>
      <c r="O395" s="115">
        <v>44742</v>
      </c>
      <c r="P395" s="116">
        <f t="shared" si="125"/>
        <v>1.9972602739726026</v>
      </c>
      <c r="Q395" s="110" t="s">
        <v>28</v>
      </c>
      <c r="R395" s="110" t="s">
        <v>115</v>
      </c>
      <c r="S395" s="110" t="str">
        <f t="shared" si="126"/>
        <v>Z</v>
      </c>
      <c r="T395" s="117">
        <v>1</v>
      </c>
      <c r="U395" s="117">
        <v>1</v>
      </c>
      <c r="V395" s="117">
        <v>1</v>
      </c>
      <c r="W395" s="117">
        <f t="shared" si="124"/>
        <v>3</v>
      </c>
      <c r="X395" s="117" t="str">
        <f t="shared" si="127"/>
        <v>Biasa</v>
      </c>
      <c r="Y395" s="111" t="s">
        <v>408</v>
      </c>
      <c r="Z395" s="122"/>
      <c r="AA395" s="115"/>
      <c r="AB395" s="115"/>
      <c r="AC395" s="115"/>
      <c r="AD395" s="25"/>
      <c r="AE395" s="118"/>
      <c r="AF395" s="110" t="s">
        <v>232</v>
      </c>
      <c r="AG395" s="110" t="s">
        <v>117</v>
      </c>
      <c r="AH395" s="25"/>
      <c r="AI395" s="25"/>
      <c r="AJ395" s="25"/>
      <c r="AK395" s="25"/>
      <c r="AL395" s="25"/>
      <c r="AM395" s="25"/>
      <c r="AN395" s="33" t="s">
        <v>123</v>
      </c>
      <c r="AO395" s="119">
        <v>44013</v>
      </c>
      <c r="AP395" s="120"/>
      <c r="AQ395" s="4"/>
      <c r="AR395" s="4"/>
      <c r="AS395" s="4"/>
      <c r="AT395" s="4"/>
      <c r="AU395" s="4"/>
    </row>
    <row r="396" spans="1:47" s="121" customFormat="1" ht="111.95" hidden="1" customHeight="1" x14ac:dyDescent="0.25">
      <c r="A396" s="109">
        <v>263</v>
      </c>
      <c r="B396" s="109" t="s">
        <v>109</v>
      </c>
      <c r="C396" s="109"/>
      <c r="D396" s="109"/>
      <c r="E396" s="109"/>
      <c r="F396" s="111" t="s">
        <v>745</v>
      </c>
      <c r="G396" s="112" t="s">
        <v>734</v>
      </c>
      <c r="H396" s="112" t="s">
        <v>746</v>
      </c>
      <c r="I396" s="113" t="s">
        <v>150</v>
      </c>
      <c r="J396" s="112" t="s">
        <v>736</v>
      </c>
      <c r="K396" s="112" t="s">
        <v>747</v>
      </c>
      <c r="L396" s="114">
        <v>9000</v>
      </c>
      <c r="M396" s="114" t="s">
        <v>738</v>
      </c>
      <c r="N396" s="115">
        <v>44697</v>
      </c>
      <c r="O396" s="115">
        <v>44819</v>
      </c>
      <c r="P396" s="116">
        <f t="shared" si="125"/>
        <v>0.33424657534246577</v>
      </c>
      <c r="Q396" s="110" t="s">
        <v>28</v>
      </c>
      <c r="R396" s="110" t="s">
        <v>115</v>
      </c>
      <c r="S396" s="110" t="str">
        <f t="shared" si="126"/>
        <v>Z</v>
      </c>
      <c r="T396" s="117">
        <v>3</v>
      </c>
      <c r="U396" s="117">
        <v>2</v>
      </c>
      <c r="V396" s="117">
        <v>2</v>
      </c>
      <c r="W396" s="117">
        <f t="shared" si="124"/>
        <v>7</v>
      </c>
      <c r="X396" s="117" t="str">
        <f t="shared" si="127"/>
        <v>Penting</v>
      </c>
      <c r="Y396" s="111"/>
      <c r="Z396" s="122"/>
      <c r="AA396" s="115"/>
      <c r="AB396" s="115"/>
      <c r="AC396" s="115"/>
      <c r="AD396" s="25" t="s">
        <v>15</v>
      </c>
      <c r="AE396" s="118">
        <v>44805</v>
      </c>
      <c r="AF396" s="110" t="s">
        <v>232</v>
      </c>
      <c r="AG396" s="110" t="s">
        <v>117</v>
      </c>
      <c r="AH396" s="25"/>
      <c r="AI396" s="25"/>
      <c r="AJ396" s="25"/>
      <c r="AK396" s="25"/>
      <c r="AL396" s="25"/>
      <c r="AM396" s="25"/>
      <c r="AN396" s="33" t="s">
        <v>123</v>
      </c>
      <c r="AO396" s="119"/>
      <c r="AP396" s="120"/>
      <c r="AQ396" s="4"/>
      <c r="AR396" s="4"/>
      <c r="AS396" s="4"/>
      <c r="AT396" s="4"/>
      <c r="AU396" s="4"/>
    </row>
    <row r="397" spans="1:47" s="121" customFormat="1" ht="111.95" hidden="1" customHeight="1" x14ac:dyDescent="0.25">
      <c r="A397" s="109">
        <v>264</v>
      </c>
      <c r="B397" s="109" t="s">
        <v>109</v>
      </c>
      <c r="C397" s="109"/>
      <c r="D397" s="109"/>
      <c r="E397" s="109"/>
      <c r="F397" s="111" t="s">
        <v>751</v>
      </c>
      <c r="G397" s="112" t="s">
        <v>734</v>
      </c>
      <c r="H397" s="112" t="s">
        <v>752</v>
      </c>
      <c r="I397" s="113" t="s">
        <v>150</v>
      </c>
      <c r="J397" s="112" t="s">
        <v>736</v>
      </c>
      <c r="K397" s="112" t="s">
        <v>753</v>
      </c>
      <c r="L397" s="114">
        <v>9000</v>
      </c>
      <c r="M397" s="114" t="s">
        <v>738</v>
      </c>
      <c r="N397" s="115">
        <v>44820</v>
      </c>
      <c r="O397" s="115">
        <v>44827</v>
      </c>
      <c r="P397" s="116">
        <f t="shared" si="125"/>
        <v>1.9178082191780823E-2</v>
      </c>
      <c r="Q397" s="110" t="s">
        <v>28</v>
      </c>
      <c r="R397" s="110" t="s">
        <v>115</v>
      </c>
      <c r="S397" s="110" t="str">
        <f t="shared" si="126"/>
        <v>Z</v>
      </c>
      <c r="T397" s="117">
        <v>3</v>
      </c>
      <c r="U397" s="117">
        <v>2</v>
      </c>
      <c r="V397" s="117">
        <v>2</v>
      </c>
      <c r="W397" s="117">
        <f t="shared" si="124"/>
        <v>7</v>
      </c>
      <c r="X397" s="117" t="str">
        <f t="shared" si="127"/>
        <v>Penting</v>
      </c>
      <c r="Y397" s="111"/>
      <c r="Z397" s="122"/>
      <c r="AA397" s="115"/>
      <c r="AB397" s="115"/>
      <c r="AC397" s="115"/>
      <c r="AD397" s="25" t="s">
        <v>15</v>
      </c>
      <c r="AE397" s="118">
        <v>44827</v>
      </c>
      <c r="AF397" s="110" t="s">
        <v>232</v>
      </c>
      <c r="AG397" s="110" t="s">
        <v>117</v>
      </c>
      <c r="AH397" s="25"/>
      <c r="AI397" s="25"/>
      <c r="AJ397" s="25"/>
      <c r="AK397" s="25"/>
      <c r="AL397" s="25"/>
      <c r="AM397" s="25"/>
      <c r="AN397" s="33" t="s">
        <v>136</v>
      </c>
      <c r="AO397" s="119">
        <v>44819</v>
      </c>
      <c r="AP397" s="120"/>
      <c r="AQ397" s="4"/>
      <c r="AR397" s="4"/>
      <c r="AS397" s="4"/>
      <c r="AT397" s="4"/>
      <c r="AU397" s="4"/>
    </row>
    <row r="398" spans="1:47" s="121" customFormat="1" ht="111.95" hidden="1" customHeight="1" x14ac:dyDescent="0.25">
      <c r="A398" s="109">
        <v>265</v>
      </c>
      <c r="B398" s="109" t="s">
        <v>109</v>
      </c>
      <c r="C398" s="109"/>
      <c r="D398" s="109"/>
      <c r="E398" s="109"/>
      <c r="F398" s="111" t="s">
        <v>491</v>
      </c>
      <c r="G398" s="112" t="s">
        <v>244</v>
      </c>
      <c r="H398" s="112" t="s">
        <v>492</v>
      </c>
      <c r="I398" s="113" t="s">
        <v>112</v>
      </c>
      <c r="J398" s="112" t="s">
        <v>493</v>
      </c>
      <c r="K398" s="112" t="s">
        <v>494</v>
      </c>
      <c r="L398" s="114" t="s">
        <v>361</v>
      </c>
      <c r="M398" s="114"/>
      <c r="N398" s="115">
        <v>43647</v>
      </c>
      <c r="O398" s="115">
        <v>44742</v>
      </c>
      <c r="P398" s="116">
        <f t="shared" si="125"/>
        <v>3</v>
      </c>
      <c r="Q398" s="110" t="s">
        <v>28</v>
      </c>
      <c r="R398" s="110" t="s">
        <v>115</v>
      </c>
      <c r="S398" s="110" t="str">
        <f t="shared" si="126"/>
        <v>Z</v>
      </c>
      <c r="T398" s="117">
        <v>1</v>
      </c>
      <c r="U398" s="117">
        <v>1</v>
      </c>
      <c r="V398" s="117">
        <v>1</v>
      </c>
      <c r="W398" s="117">
        <f t="shared" si="124"/>
        <v>3</v>
      </c>
      <c r="X398" s="117" t="str">
        <f t="shared" si="127"/>
        <v>Biasa</v>
      </c>
      <c r="Y398" s="111" t="s">
        <v>263</v>
      </c>
      <c r="Z398" s="122"/>
      <c r="AA398" s="115"/>
      <c r="AB398" s="115"/>
      <c r="AC398" s="115"/>
      <c r="AD398" s="25"/>
      <c r="AE398" s="118"/>
      <c r="AF398" s="110" t="s">
        <v>232</v>
      </c>
      <c r="AG398" s="110" t="s">
        <v>117</v>
      </c>
      <c r="AH398" s="25"/>
      <c r="AI398" s="25"/>
      <c r="AJ398" s="25"/>
      <c r="AK398" s="25"/>
      <c r="AL398" s="25"/>
      <c r="AM398" s="25"/>
      <c r="AN398" s="33" t="s">
        <v>123</v>
      </c>
      <c r="AO398" s="119"/>
      <c r="AP398" s="120"/>
      <c r="AQ398" s="4"/>
      <c r="AR398" s="4"/>
      <c r="AS398" s="4"/>
      <c r="AT398" s="4"/>
      <c r="AU398" s="4"/>
    </row>
    <row r="399" spans="1:47" s="121" customFormat="1" ht="111.95" hidden="1" customHeight="1" x14ac:dyDescent="0.25">
      <c r="A399" s="109">
        <v>266</v>
      </c>
      <c r="B399" s="109" t="s">
        <v>109</v>
      </c>
      <c r="C399" s="109"/>
      <c r="D399" s="109"/>
      <c r="E399" s="109"/>
      <c r="F399" s="111" t="s">
        <v>449</v>
      </c>
      <c r="G399" s="112" t="s">
        <v>244</v>
      </c>
      <c r="H399" s="112" t="s">
        <v>450</v>
      </c>
      <c r="I399" s="113" t="s">
        <v>112</v>
      </c>
      <c r="J399" s="112" t="s">
        <v>444</v>
      </c>
      <c r="K399" s="112" t="s">
        <v>451</v>
      </c>
      <c r="L399" s="114">
        <v>250000</v>
      </c>
      <c r="M399" s="114" t="s">
        <v>446</v>
      </c>
      <c r="N399" s="115">
        <v>44526</v>
      </c>
      <c r="O399" s="115">
        <v>44890</v>
      </c>
      <c r="P399" s="116">
        <f t="shared" ref="P399:P401" si="128">(O399-N399)/365</f>
        <v>0.99726027397260275</v>
      </c>
      <c r="Q399" s="110" t="s">
        <v>28</v>
      </c>
      <c r="R399" s="110" t="s">
        <v>115</v>
      </c>
      <c r="S399" s="110" t="str">
        <f t="shared" ref="S399:S408" si="129">IF(R399="End","Z",IF(R399="Cancel","C",IF(SUM(R399)&gt;0,"O",IF(ISBLANK(R399),"X",IF(SUM(R399)&lt;0,"Y",IF(SUM(R399),"-","O"))))))</f>
        <v>Z</v>
      </c>
      <c r="T399" s="117">
        <v>1</v>
      </c>
      <c r="U399" s="117">
        <v>1</v>
      </c>
      <c r="V399" s="117">
        <v>1</v>
      </c>
      <c r="W399" s="117">
        <f t="shared" ref="W399:W408" si="130">T399+U399+V399</f>
        <v>3</v>
      </c>
      <c r="X399" s="117" t="str">
        <f t="shared" ref="X399:X408" si="131">IF(W399&gt;5,"Penting",IF(ISBLANK(W399),"","Biasa"))</f>
        <v>Biasa</v>
      </c>
      <c r="Y399" s="111" t="s">
        <v>452</v>
      </c>
      <c r="Z399" s="122"/>
      <c r="AA399" s="115"/>
      <c r="AB399" s="115"/>
      <c r="AC399" s="115"/>
      <c r="AD399" s="25" t="s">
        <v>122</v>
      </c>
      <c r="AE399" s="118">
        <v>44501</v>
      </c>
      <c r="AF399" s="110" t="s">
        <v>232</v>
      </c>
      <c r="AG399" s="110" t="s">
        <v>117</v>
      </c>
      <c r="AH399" s="25"/>
      <c r="AI399" s="25"/>
      <c r="AJ399" s="25"/>
      <c r="AK399" s="25"/>
      <c r="AL399" s="25"/>
      <c r="AM399" s="25"/>
      <c r="AN399" s="33" t="s">
        <v>123</v>
      </c>
      <c r="AO399" s="119"/>
      <c r="AP399" s="120"/>
      <c r="AQ399" s="4"/>
      <c r="AR399" s="4"/>
      <c r="AS399" s="4"/>
      <c r="AT399" s="4"/>
      <c r="AU399" s="4"/>
    </row>
    <row r="400" spans="1:47" s="121" customFormat="1" ht="111.95" hidden="1" customHeight="1" x14ac:dyDescent="0.25">
      <c r="A400" s="109">
        <v>267</v>
      </c>
      <c r="B400" s="109" t="s">
        <v>109</v>
      </c>
      <c r="C400" s="109"/>
      <c r="D400" s="109"/>
      <c r="E400" s="109"/>
      <c r="F400" s="111" t="s">
        <v>311</v>
      </c>
      <c r="G400" s="112" t="s">
        <v>312</v>
      </c>
      <c r="H400" s="112" t="s">
        <v>313</v>
      </c>
      <c r="I400" s="113" t="s">
        <v>112</v>
      </c>
      <c r="J400" s="112" t="s">
        <v>314</v>
      </c>
      <c r="K400" s="112" t="s">
        <v>315</v>
      </c>
      <c r="L400" s="114">
        <v>132600000</v>
      </c>
      <c r="M400" s="114"/>
      <c r="N400" s="115">
        <v>44348</v>
      </c>
      <c r="O400" s="115">
        <v>44562</v>
      </c>
      <c r="P400" s="116">
        <f t="shared" si="128"/>
        <v>0.58630136986301373</v>
      </c>
      <c r="Q400" s="110" t="s">
        <v>28</v>
      </c>
      <c r="R400" s="110" t="s">
        <v>115</v>
      </c>
      <c r="S400" s="110" t="str">
        <f t="shared" si="129"/>
        <v>Z</v>
      </c>
      <c r="T400" s="117">
        <v>1</v>
      </c>
      <c r="U400" s="117">
        <v>1</v>
      </c>
      <c r="V400" s="117">
        <v>1</v>
      </c>
      <c r="W400" s="117">
        <f t="shared" si="130"/>
        <v>3</v>
      </c>
      <c r="X400" s="117" t="str">
        <f t="shared" si="131"/>
        <v>Biasa</v>
      </c>
      <c r="Y400" s="111" t="s">
        <v>316</v>
      </c>
      <c r="Z400" s="122"/>
      <c r="AA400" s="115"/>
      <c r="AB400" s="115"/>
      <c r="AC400" s="115"/>
      <c r="AD400" s="25" t="s">
        <v>15</v>
      </c>
      <c r="AE400" s="118">
        <v>44562</v>
      </c>
      <c r="AF400" s="110" t="s">
        <v>232</v>
      </c>
      <c r="AG400" s="110"/>
      <c r="AH400" s="25"/>
      <c r="AI400" s="25"/>
      <c r="AJ400" s="25"/>
      <c r="AK400" s="25"/>
      <c r="AL400" s="25"/>
      <c r="AM400" s="25"/>
      <c r="AN400" s="33"/>
      <c r="AO400" s="119"/>
      <c r="AP400" s="120"/>
      <c r="AQ400" s="4"/>
      <c r="AR400" s="4"/>
      <c r="AS400" s="4"/>
      <c r="AT400" s="4"/>
      <c r="AU400" s="4"/>
    </row>
    <row r="401" spans="1:49" s="121" customFormat="1" ht="111.95" hidden="1" customHeight="1" x14ac:dyDescent="0.25">
      <c r="A401" s="109">
        <v>268</v>
      </c>
      <c r="B401" s="109" t="s">
        <v>109</v>
      </c>
      <c r="C401" s="109"/>
      <c r="D401" s="109"/>
      <c r="E401" s="109"/>
      <c r="F401" s="111" t="s">
        <v>329</v>
      </c>
      <c r="G401" s="112" t="s">
        <v>330</v>
      </c>
      <c r="H401" s="112" t="s">
        <v>331</v>
      </c>
      <c r="I401" s="113" t="s">
        <v>112</v>
      </c>
      <c r="J401" s="112" t="s">
        <v>332</v>
      </c>
      <c r="K401" s="112" t="s">
        <v>333</v>
      </c>
      <c r="L401" s="114">
        <v>39000000</v>
      </c>
      <c r="M401" s="114"/>
      <c r="N401" s="115">
        <v>44501</v>
      </c>
      <c r="O401" s="115">
        <v>44742</v>
      </c>
      <c r="P401" s="116">
        <f t="shared" si="128"/>
        <v>0.66027397260273968</v>
      </c>
      <c r="Q401" s="110" t="s">
        <v>28</v>
      </c>
      <c r="R401" s="110" t="s">
        <v>115</v>
      </c>
      <c r="S401" s="110" t="str">
        <f t="shared" si="129"/>
        <v>Z</v>
      </c>
      <c r="T401" s="117">
        <v>1</v>
      </c>
      <c r="U401" s="117">
        <v>1</v>
      </c>
      <c r="V401" s="117">
        <v>1</v>
      </c>
      <c r="W401" s="117">
        <f t="shared" si="130"/>
        <v>3</v>
      </c>
      <c r="X401" s="117" t="str">
        <f t="shared" si="131"/>
        <v>Biasa</v>
      </c>
      <c r="Y401" s="111"/>
      <c r="Z401" s="122"/>
      <c r="AA401" s="115"/>
      <c r="AB401" s="115"/>
      <c r="AC401" s="115"/>
      <c r="AD401" s="25" t="s">
        <v>115</v>
      </c>
      <c r="AE401" s="118">
        <v>44743</v>
      </c>
      <c r="AF401" s="110" t="s">
        <v>232</v>
      </c>
      <c r="AG401" s="110" t="s">
        <v>117</v>
      </c>
      <c r="AH401" s="25"/>
      <c r="AI401" s="25"/>
      <c r="AJ401" s="25"/>
      <c r="AK401" s="25"/>
      <c r="AL401" s="25"/>
      <c r="AM401" s="25"/>
      <c r="AN401" s="33" t="s">
        <v>123</v>
      </c>
      <c r="AO401" s="119"/>
      <c r="AP401" s="120"/>
      <c r="AQ401" s="4"/>
      <c r="AR401" s="4"/>
      <c r="AS401" s="4"/>
      <c r="AT401" s="4"/>
      <c r="AU401" s="4"/>
    </row>
    <row r="402" spans="1:49" s="121" customFormat="1" ht="111.95" hidden="1" customHeight="1" x14ac:dyDescent="0.25">
      <c r="A402" s="109">
        <v>269</v>
      </c>
      <c r="B402" s="109" t="s">
        <v>109</v>
      </c>
      <c r="C402" s="109"/>
      <c r="D402" s="109"/>
      <c r="E402" s="109"/>
      <c r="F402" s="111" t="s">
        <v>334</v>
      </c>
      <c r="G402" s="112" t="s">
        <v>244</v>
      </c>
      <c r="H402" s="112" t="s">
        <v>335</v>
      </c>
      <c r="I402" s="113" t="s">
        <v>112</v>
      </c>
      <c r="J402" s="112" t="s">
        <v>336</v>
      </c>
      <c r="K402" s="112"/>
      <c r="L402" s="114">
        <v>60000</v>
      </c>
      <c r="M402" s="114" t="s">
        <v>337</v>
      </c>
      <c r="N402" s="115">
        <v>44529</v>
      </c>
      <c r="O402" s="115" t="s">
        <v>110</v>
      </c>
      <c r="P402" s="116" t="s">
        <v>110</v>
      </c>
      <c r="Q402" s="110" t="s">
        <v>28</v>
      </c>
      <c r="R402" s="110" t="s">
        <v>115</v>
      </c>
      <c r="S402" s="110" t="str">
        <f t="shared" si="129"/>
        <v>Z</v>
      </c>
      <c r="T402" s="117">
        <v>1</v>
      </c>
      <c r="U402" s="117">
        <v>1</v>
      </c>
      <c r="V402" s="117">
        <v>1</v>
      </c>
      <c r="W402" s="117">
        <f t="shared" si="130"/>
        <v>3</v>
      </c>
      <c r="X402" s="117" t="str">
        <f t="shared" si="131"/>
        <v>Biasa</v>
      </c>
      <c r="Y402" s="111"/>
      <c r="Z402" s="122"/>
      <c r="AA402" s="115"/>
      <c r="AB402" s="115"/>
      <c r="AC402" s="115"/>
      <c r="AD402" s="25" t="s">
        <v>122</v>
      </c>
      <c r="AE402" s="118">
        <v>44501</v>
      </c>
      <c r="AF402" s="110" t="s">
        <v>232</v>
      </c>
      <c r="AG402" s="110" t="s">
        <v>189</v>
      </c>
      <c r="AH402" s="25"/>
      <c r="AI402" s="25"/>
      <c r="AJ402" s="25"/>
      <c r="AK402" s="25"/>
      <c r="AL402" s="25"/>
      <c r="AM402" s="25"/>
      <c r="AN402" s="33" t="s">
        <v>123</v>
      </c>
      <c r="AO402" s="119"/>
      <c r="AP402" s="120"/>
      <c r="AQ402" s="4"/>
      <c r="AR402" s="4"/>
      <c r="AS402" s="4"/>
      <c r="AT402" s="4"/>
      <c r="AU402" s="4"/>
    </row>
    <row r="403" spans="1:49" s="121" customFormat="1" ht="111.95" hidden="1" customHeight="1" x14ac:dyDescent="0.25">
      <c r="A403" s="109">
        <v>270</v>
      </c>
      <c r="B403" s="109" t="s">
        <v>109</v>
      </c>
      <c r="C403" s="109"/>
      <c r="D403" s="109"/>
      <c r="E403" s="109"/>
      <c r="F403" s="111" t="s">
        <v>572</v>
      </c>
      <c r="G403" s="112" t="s">
        <v>244</v>
      </c>
      <c r="H403" s="112" t="s">
        <v>573</v>
      </c>
      <c r="I403" s="113" t="s">
        <v>112</v>
      </c>
      <c r="J403" s="112" t="s">
        <v>574</v>
      </c>
      <c r="K403" s="112" t="s">
        <v>575</v>
      </c>
      <c r="L403" s="114" t="s">
        <v>576</v>
      </c>
      <c r="M403" s="114" t="s">
        <v>577</v>
      </c>
      <c r="N403" s="115">
        <v>44210</v>
      </c>
      <c r="O403" s="115">
        <v>44575</v>
      </c>
      <c r="P403" s="116">
        <f t="shared" ref="P403:P405" si="132">(O403-N403)/365</f>
        <v>1</v>
      </c>
      <c r="Q403" s="110" t="s">
        <v>28</v>
      </c>
      <c r="R403" s="110" t="s">
        <v>115</v>
      </c>
      <c r="S403" s="110" t="str">
        <f t="shared" si="129"/>
        <v>Z</v>
      </c>
      <c r="T403" s="117">
        <v>1</v>
      </c>
      <c r="U403" s="117">
        <v>1</v>
      </c>
      <c r="V403" s="117">
        <v>1</v>
      </c>
      <c r="W403" s="117">
        <f t="shared" si="130"/>
        <v>3</v>
      </c>
      <c r="X403" s="117" t="str">
        <f t="shared" si="131"/>
        <v>Biasa</v>
      </c>
      <c r="Y403" s="111" t="s">
        <v>578</v>
      </c>
      <c r="Z403" s="122"/>
      <c r="AA403" s="115"/>
      <c r="AB403" s="115"/>
      <c r="AC403" s="115"/>
      <c r="AD403" s="25" t="s">
        <v>15</v>
      </c>
      <c r="AE403" s="118">
        <v>44576</v>
      </c>
      <c r="AF403" s="110" t="s">
        <v>232</v>
      </c>
      <c r="AG403" s="110" t="s">
        <v>117</v>
      </c>
      <c r="AH403" s="25"/>
      <c r="AI403" s="25"/>
      <c r="AJ403" s="25"/>
      <c r="AK403" s="25"/>
      <c r="AL403" s="25"/>
      <c r="AM403" s="25"/>
      <c r="AN403" s="33"/>
      <c r="AO403" s="119"/>
      <c r="AP403" s="120"/>
      <c r="AQ403" s="4"/>
      <c r="AR403" s="4"/>
      <c r="AS403" s="4"/>
      <c r="AT403" s="4"/>
      <c r="AU403" s="4"/>
    </row>
    <row r="404" spans="1:49" s="121" customFormat="1" ht="111.95" hidden="1" customHeight="1" x14ac:dyDescent="0.25">
      <c r="A404" s="109">
        <v>271</v>
      </c>
      <c r="B404" s="109" t="s">
        <v>109</v>
      </c>
      <c r="C404" s="109"/>
      <c r="D404" s="109"/>
      <c r="E404" s="109"/>
      <c r="F404" s="111" t="s">
        <v>701</v>
      </c>
      <c r="G404" s="112" t="s">
        <v>702</v>
      </c>
      <c r="H404" s="112" t="s">
        <v>703</v>
      </c>
      <c r="I404" s="113" t="s">
        <v>112</v>
      </c>
      <c r="J404" s="112" t="s">
        <v>700</v>
      </c>
      <c r="K404" s="112"/>
      <c r="L404" s="114">
        <v>215450000</v>
      </c>
      <c r="M404" s="114"/>
      <c r="N404" s="115">
        <v>42917</v>
      </c>
      <c r="O404" s="115">
        <v>44742</v>
      </c>
      <c r="P404" s="116">
        <f t="shared" si="132"/>
        <v>5</v>
      </c>
      <c r="Q404" s="110" t="s">
        <v>28</v>
      </c>
      <c r="R404" s="110" t="s">
        <v>115</v>
      </c>
      <c r="S404" s="110" t="str">
        <f t="shared" si="129"/>
        <v>Z</v>
      </c>
      <c r="T404" s="117">
        <v>1</v>
      </c>
      <c r="U404" s="117">
        <v>3</v>
      </c>
      <c r="V404" s="117">
        <v>1</v>
      </c>
      <c r="W404" s="117">
        <f t="shared" si="130"/>
        <v>5</v>
      </c>
      <c r="X404" s="117" t="str">
        <f t="shared" si="131"/>
        <v>Biasa</v>
      </c>
      <c r="Y404" s="111"/>
      <c r="Z404" s="122"/>
      <c r="AA404" s="115"/>
      <c r="AB404" s="115"/>
      <c r="AC404" s="115"/>
      <c r="AD404" s="25"/>
      <c r="AE404" s="118"/>
      <c r="AF404" s="110" t="s">
        <v>232</v>
      </c>
      <c r="AG404" s="110" t="s">
        <v>189</v>
      </c>
      <c r="AH404" s="25"/>
      <c r="AI404" s="25"/>
      <c r="AJ404" s="25"/>
      <c r="AK404" s="25"/>
      <c r="AL404" s="25"/>
      <c r="AM404" s="25"/>
      <c r="AN404" s="33" t="s">
        <v>704</v>
      </c>
      <c r="AO404" s="119"/>
      <c r="AP404" s="120"/>
      <c r="AQ404" s="4"/>
      <c r="AR404" s="4"/>
      <c r="AS404" s="4"/>
      <c r="AT404" s="4"/>
      <c r="AU404" s="4"/>
    </row>
    <row r="405" spans="1:49" s="121" customFormat="1" ht="111.95" hidden="1" customHeight="1" x14ac:dyDescent="0.25">
      <c r="A405" s="109">
        <v>272</v>
      </c>
      <c r="B405" s="109" t="s">
        <v>109</v>
      </c>
      <c r="C405" s="109"/>
      <c r="D405" s="109"/>
      <c r="E405" s="109"/>
      <c r="F405" s="111" t="s">
        <v>705</v>
      </c>
      <c r="G405" s="112" t="s">
        <v>706</v>
      </c>
      <c r="H405" s="112" t="s">
        <v>707</v>
      </c>
      <c r="I405" s="113" t="s">
        <v>112</v>
      </c>
      <c r="J405" s="112" t="s">
        <v>700</v>
      </c>
      <c r="K405" s="112"/>
      <c r="L405" s="114">
        <v>208875000</v>
      </c>
      <c r="M405" s="114"/>
      <c r="N405" s="115">
        <v>42948</v>
      </c>
      <c r="O405" s="115">
        <v>44773</v>
      </c>
      <c r="P405" s="116">
        <f t="shared" si="132"/>
        <v>5</v>
      </c>
      <c r="Q405" s="110" t="s">
        <v>28</v>
      </c>
      <c r="R405" s="110" t="s">
        <v>115</v>
      </c>
      <c r="S405" s="110" t="str">
        <f t="shared" si="129"/>
        <v>Z</v>
      </c>
      <c r="T405" s="117">
        <v>1</v>
      </c>
      <c r="U405" s="117">
        <v>3</v>
      </c>
      <c r="V405" s="117">
        <v>1</v>
      </c>
      <c r="W405" s="117">
        <f t="shared" si="130"/>
        <v>5</v>
      </c>
      <c r="X405" s="117" t="str">
        <f t="shared" si="131"/>
        <v>Biasa</v>
      </c>
      <c r="Y405" s="111"/>
      <c r="Z405" s="122"/>
      <c r="AA405" s="115"/>
      <c r="AB405" s="115"/>
      <c r="AC405" s="115"/>
      <c r="AD405" s="25"/>
      <c r="AE405" s="118"/>
      <c r="AF405" s="110" t="s">
        <v>232</v>
      </c>
      <c r="AG405" s="110" t="s">
        <v>189</v>
      </c>
      <c r="AH405" s="25"/>
      <c r="AI405" s="25"/>
      <c r="AJ405" s="25"/>
      <c r="AK405" s="25"/>
      <c r="AL405" s="25"/>
      <c r="AM405" s="25"/>
      <c r="AN405" s="33" t="s">
        <v>704</v>
      </c>
      <c r="AO405" s="119"/>
      <c r="AP405" s="120"/>
      <c r="AQ405" s="4"/>
      <c r="AR405" s="4"/>
      <c r="AS405" s="4"/>
      <c r="AT405" s="4"/>
      <c r="AU405" s="4"/>
    </row>
    <row r="406" spans="1:49" s="121" customFormat="1" ht="111.95" hidden="1" customHeight="1" x14ac:dyDescent="0.25">
      <c r="A406" s="109">
        <v>273</v>
      </c>
      <c r="B406" s="109" t="s">
        <v>109</v>
      </c>
      <c r="C406" s="109"/>
      <c r="D406" s="109"/>
      <c r="E406" s="109"/>
      <c r="F406" s="111" t="s">
        <v>110</v>
      </c>
      <c r="G406" s="112" t="s">
        <v>716</v>
      </c>
      <c r="H406" s="112" t="s">
        <v>717</v>
      </c>
      <c r="I406" s="113" t="s">
        <v>112</v>
      </c>
      <c r="J406" s="112" t="s">
        <v>718</v>
      </c>
      <c r="K406" s="112"/>
      <c r="L406" s="114"/>
      <c r="M406" s="114"/>
      <c r="N406" s="115">
        <v>43178</v>
      </c>
      <c r="O406" s="115" t="s">
        <v>110</v>
      </c>
      <c r="P406" s="116" t="s">
        <v>110</v>
      </c>
      <c r="Q406" s="110" t="s">
        <v>28</v>
      </c>
      <c r="R406" s="110" t="s">
        <v>115</v>
      </c>
      <c r="S406" s="110" t="str">
        <f t="shared" si="129"/>
        <v>Z</v>
      </c>
      <c r="T406" s="117">
        <v>3</v>
      </c>
      <c r="U406" s="117">
        <v>3</v>
      </c>
      <c r="V406" s="117">
        <v>3</v>
      </c>
      <c r="W406" s="117">
        <f t="shared" si="130"/>
        <v>9</v>
      </c>
      <c r="X406" s="117" t="str">
        <f t="shared" si="131"/>
        <v>Penting</v>
      </c>
      <c r="Y406" s="111"/>
      <c r="Z406" s="122"/>
      <c r="AA406" s="115"/>
      <c r="AB406" s="115"/>
      <c r="AC406" s="115"/>
      <c r="AD406" s="25"/>
      <c r="AE406" s="118"/>
      <c r="AF406" s="110" t="s">
        <v>719</v>
      </c>
      <c r="AG406" s="110" t="s">
        <v>189</v>
      </c>
      <c r="AH406" s="25"/>
      <c r="AI406" s="25"/>
      <c r="AJ406" s="25"/>
      <c r="AK406" s="25"/>
      <c r="AL406" s="25"/>
      <c r="AM406" s="25"/>
      <c r="AN406" s="33"/>
      <c r="AO406" s="119"/>
      <c r="AP406" s="120"/>
      <c r="AQ406" s="4"/>
      <c r="AR406" s="4"/>
      <c r="AS406" s="4"/>
      <c r="AT406" s="4"/>
      <c r="AU406" s="4"/>
    </row>
    <row r="407" spans="1:49" s="121" customFormat="1" ht="111.95" hidden="1" customHeight="1" x14ac:dyDescent="0.25">
      <c r="A407" s="109">
        <v>274</v>
      </c>
      <c r="B407" s="109" t="s">
        <v>109</v>
      </c>
      <c r="C407" s="109"/>
      <c r="D407" s="109"/>
      <c r="E407" s="109"/>
      <c r="F407" s="111" t="s">
        <v>110</v>
      </c>
      <c r="G407" s="112" t="s">
        <v>720</v>
      </c>
      <c r="H407" s="112" t="s">
        <v>717</v>
      </c>
      <c r="I407" s="113" t="s">
        <v>112</v>
      </c>
      <c r="J407" s="112" t="s">
        <v>721</v>
      </c>
      <c r="K407" s="112"/>
      <c r="L407" s="114"/>
      <c r="M407" s="114"/>
      <c r="N407" s="115">
        <v>43272</v>
      </c>
      <c r="O407" s="115">
        <v>43585</v>
      </c>
      <c r="P407" s="116">
        <f>(O407-N407)/365</f>
        <v>0.8575342465753425</v>
      </c>
      <c r="Q407" s="110" t="s">
        <v>28</v>
      </c>
      <c r="R407" s="110" t="s">
        <v>115</v>
      </c>
      <c r="S407" s="110" t="str">
        <f t="shared" si="129"/>
        <v>Z</v>
      </c>
      <c r="T407" s="117">
        <v>3</v>
      </c>
      <c r="U407" s="117">
        <v>3</v>
      </c>
      <c r="V407" s="117">
        <v>3</v>
      </c>
      <c r="W407" s="117">
        <f t="shared" si="130"/>
        <v>9</v>
      </c>
      <c r="X407" s="117" t="str">
        <f t="shared" si="131"/>
        <v>Penting</v>
      </c>
      <c r="Y407" s="111" t="s">
        <v>722</v>
      </c>
      <c r="Z407" s="122"/>
      <c r="AA407" s="115"/>
      <c r="AB407" s="115"/>
      <c r="AC407" s="115"/>
      <c r="AD407" s="25"/>
      <c r="AE407" s="118"/>
      <c r="AF407" s="110" t="s">
        <v>719</v>
      </c>
      <c r="AG407" s="110" t="s">
        <v>189</v>
      </c>
      <c r="AH407" s="25"/>
      <c r="AI407" s="25"/>
      <c r="AJ407" s="25"/>
      <c r="AK407" s="25"/>
      <c r="AL407" s="25"/>
      <c r="AM407" s="25"/>
      <c r="AN407" s="33"/>
      <c r="AO407" s="119"/>
      <c r="AP407" s="120"/>
      <c r="AQ407" s="4"/>
      <c r="AR407" s="4"/>
      <c r="AS407" s="4"/>
      <c r="AT407" s="4"/>
      <c r="AU407" s="4"/>
    </row>
    <row r="408" spans="1:49" s="121" customFormat="1" ht="111.95" hidden="1" customHeight="1" x14ac:dyDescent="0.25">
      <c r="A408" s="109">
        <v>275</v>
      </c>
      <c r="B408" s="109" t="s">
        <v>109</v>
      </c>
      <c r="C408" s="109"/>
      <c r="D408" s="109"/>
      <c r="E408" s="109"/>
      <c r="F408" s="111" t="s">
        <v>110</v>
      </c>
      <c r="G408" s="112" t="s">
        <v>720</v>
      </c>
      <c r="H408" s="112" t="s">
        <v>717</v>
      </c>
      <c r="I408" s="113" t="s">
        <v>112</v>
      </c>
      <c r="J408" s="112" t="s">
        <v>723</v>
      </c>
      <c r="K408" s="112"/>
      <c r="L408" s="114"/>
      <c r="M408" s="114"/>
      <c r="N408" s="115">
        <v>43847</v>
      </c>
      <c r="O408" s="115">
        <v>44362</v>
      </c>
      <c r="P408" s="116">
        <f>(O408-N408)/365</f>
        <v>1.4109589041095891</v>
      </c>
      <c r="Q408" s="110" t="s">
        <v>28</v>
      </c>
      <c r="R408" s="110" t="s">
        <v>115</v>
      </c>
      <c r="S408" s="110" t="str">
        <f t="shared" si="129"/>
        <v>Z</v>
      </c>
      <c r="T408" s="117">
        <v>3</v>
      </c>
      <c r="U408" s="117">
        <v>3</v>
      </c>
      <c r="V408" s="117">
        <v>3</v>
      </c>
      <c r="W408" s="117">
        <f t="shared" si="130"/>
        <v>9</v>
      </c>
      <c r="X408" s="117" t="str">
        <f t="shared" si="131"/>
        <v>Penting</v>
      </c>
      <c r="Y408" s="111" t="s">
        <v>724</v>
      </c>
      <c r="Z408" s="122"/>
      <c r="AA408" s="115"/>
      <c r="AB408" s="115"/>
      <c r="AC408" s="115"/>
      <c r="AD408" s="25"/>
      <c r="AE408" s="118"/>
      <c r="AF408" s="110" t="s">
        <v>719</v>
      </c>
      <c r="AG408" s="110" t="s">
        <v>189</v>
      </c>
      <c r="AH408" s="25"/>
      <c r="AI408" s="25"/>
      <c r="AJ408" s="25"/>
      <c r="AK408" s="25"/>
      <c r="AL408" s="25"/>
      <c r="AM408" s="25"/>
      <c r="AN408" s="33"/>
      <c r="AO408" s="119"/>
      <c r="AP408" s="120"/>
      <c r="AQ408" s="4"/>
      <c r="AR408" s="4"/>
      <c r="AS408" s="4"/>
      <c r="AT408" s="4"/>
      <c r="AU408" s="4"/>
    </row>
    <row r="409" spans="1:49" s="121" customFormat="1" ht="111.95" hidden="1" customHeight="1" x14ac:dyDescent="0.25">
      <c r="A409" s="109">
        <v>276</v>
      </c>
      <c r="B409" s="109" t="s">
        <v>109</v>
      </c>
      <c r="C409" s="109"/>
      <c r="D409" s="109"/>
      <c r="E409" s="109"/>
      <c r="F409" s="111" t="s">
        <v>370</v>
      </c>
      <c r="G409" s="112" t="s">
        <v>244</v>
      </c>
      <c r="H409" s="112" t="s">
        <v>371</v>
      </c>
      <c r="I409" s="113" t="s">
        <v>112</v>
      </c>
      <c r="J409" s="112" t="s">
        <v>372</v>
      </c>
      <c r="K409" s="112" t="s">
        <v>373</v>
      </c>
      <c r="L409" s="114" t="s">
        <v>226</v>
      </c>
      <c r="M409" s="114"/>
      <c r="N409" s="115">
        <v>44013</v>
      </c>
      <c r="O409" s="115">
        <v>44742</v>
      </c>
      <c r="P409" s="116">
        <f t="shared" ref="P409" si="133">(O409-N409)/365</f>
        <v>1.9972602739726026</v>
      </c>
      <c r="Q409" s="110" t="s">
        <v>28</v>
      </c>
      <c r="R409" s="110" t="s">
        <v>115</v>
      </c>
      <c r="S409" s="110" t="str">
        <f t="shared" ref="S409:S419" si="134">IF(R409="End","Z",IF(R409="Cancel","C",IF(SUM(R409)&gt;0,"O",IF(ISBLANK(R409),"X",IF(SUM(R409)&lt;0,"Y",IF(SUM(R409),"-","O"))))))</f>
        <v>Z</v>
      </c>
      <c r="T409" s="117">
        <v>2</v>
      </c>
      <c r="U409" s="117">
        <v>2</v>
      </c>
      <c r="V409" s="117">
        <v>1</v>
      </c>
      <c r="W409" s="117">
        <f t="shared" ref="W409:W417" si="135">T409+U409+V409</f>
        <v>5</v>
      </c>
      <c r="X409" s="117" t="str">
        <f t="shared" ref="X409:X419" si="136">IF(W409&gt;5,"Penting",IF(ISBLANK(W409),"","Biasa"))</f>
        <v>Biasa</v>
      </c>
      <c r="Y409" s="111" t="s">
        <v>374</v>
      </c>
      <c r="Z409" s="122"/>
      <c r="AA409" s="115"/>
      <c r="AB409" s="115"/>
      <c r="AC409" s="115"/>
      <c r="AD409" s="25" t="s">
        <v>15</v>
      </c>
      <c r="AE409" s="118">
        <v>44501</v>
      </c>
      <c r="AF409" s="110" t="s">
        <v>228</v>
      </c>
      <c r="AG409" s="110" t="s">
        <v>117</v>
      </c>
      <c r="AH409" s="25"/>
      <c r="AI409" s="25"/>
      <c r="AJ409" s="25"/>
      <c r="AK409" s="25"/>
      <c r="AL409" s="25"/>
      <c r="AM409" s="25"/>
      <c r="AN409" s="33"/>
      <c r="AO409" s="119"/>
      <c r="AP409" s="120"/>
      <c r="AQ409" s="4"/>
      <c r="AR409" s="4"/>
      <c r="AS409" s="4"/>
      <c r="AT409" s="4"/>
      <c r="AU409" s="4"/>
    </row>
    <row r="410" spans="1:49" s="121" customFormat="1" ht="111.95" hidden="1" customHeight="1" x14ac:dyDescent="0.25">
      <c r="A410" s="109">
        <v>277</v>
      </c>
      <c r="B410" s="109" t="s">
        <v>109</v>
      </c>
      <c r="C410" s="109"/>
      <c r="D410" s="109"/>
      <c r="E410" s="109"/>
      <c r="F410" s="111" t="s">
        <v>685</v>
      </c>
      <c r="G410" s="112" t="s">
        <v>686</v>
      </c>
      <c r="H410" s="112" t="s">
        <v>687</v>
      </c>
      <c r="I410" s="113" t="s">
        <v>112</v>
      </c>
      <c r="J410" s="112"/>
      <c r="K410" s="112"/>
      <c r="L410" s="114">
        <v>137500000</v>
      </c>
      <c r="M410" s="114"/>
      <c r="N410" s="115">
        <v>42733</v>
      </c>
      <c r="O410" s="115">
        <v>44571</v>
      </c>
      <c r="P410" s="116">
        <f t="shared" ref="P410:P414" si="137">(O410-N410)/365</f>
        <v>5.0356164383561648</v>
      </c>
      <c r="Q410" s="110" t="s">
        <v>28</v>
      </c>
      <c r="R410" s="110" t="s">
        <v>115</v>
      </c>
      <c r="S410" s="110" t="str">
        <f t="shared" si="134"/>
        <v>Z</v>
      </c>
      <c r="T410" s="117">
        <v>1</v>
      </c>
      <c r="U410" s="117">
        <v>3</v>
      </c>
      <c r="V410" s="117">
        <v>2</v>
      </c>
      <c r="W410" s="117">
        <f t="shared" si="135"/>
        <v>6</v>
      </c>
      <c r="X410" s="117" t="str">
        <f t="shared" si="136"/>
        <v>Penting</v>
      </c>
      <c r="Y410" s="111" t="s">
        <v>688</v>
      </c>
      <c r="Z410" s="122"/>
      <c r="AA410" s="115"/>
      <c r="AB410" s="115"/>
      <c r="AC410" s="115"/>
      <c r="AD410" s="25"/>
      <c r="AE410" s="118"/>
      <c r="AF410" s="110" t="s">
        <v>232</v>
      </c>
      <c r="AG410" s="110" t="s">
        <v>189</v>
      </c>
      <c r="AH410" s="25"/>
      <c r="AI410" s="25"/>
      <c r="AJ410" s="25"/>
      <c r="AK410" s="25"/>
      <c r="AL410" s="25"/>
      <c r="AM410" s="25"/>
      <c r="AN410" s="33"/>
      <c r="AO410" s="119"/>
      <c r="AP410" s="120"/>
      <c r="AQ410" s="4"/>
      <c r="AR410" s="4"/>
      <c r="AS410" s="4"/>
      <c r="AT410" s="4"/>
      <c r="AU410" s="4"/>
    </row>
    <row r="411" spans="1:49" s="121" customFormat="1" ht="111.95" hidden="1" customHeight="1" x14ac:dyDescent="0.25">
      <c r="A411" s="109">
        <v>278</v>
      </c>
      <c r="B411" s="109" t="s">
        <v>109</v>
      </c>
      <c r="C411" s="109"/>
      <c r="D411" s="109"/>
      <c r="E411" s="109"/>
      <c r="F411" s="111" t="s">
        <v>689</v>
      </c>
      <c r="G411" s="112" t="s">
        <v>690</v>
      </c>
      <c r="H411" s="112" t="s">
        <v>396</v>
      </c>
      <c r="I411" s="113" t="s">
        <v>112</v>
      </c>
      <c r="J411" s="112" t="s">
        <v>691</v>
      </c>
      <c r="K411" s="112" t="s">
        <v>692</v>
      </c>
      <c r="L411" s="114">
        <f>11850000*34</f>
        <v>402900000</v>
      </c>
      <c r="M411" s="114"/>
      <c r="N411" s="115">
        <v>42935</v>
      </c>
      <c r="O411" s="115">
        <v>44031</v>
      </c>
      <c r="P411" s="116">
        <f t="shared" si="137"/>
        <v>3.0027397260273974</v>
      </c>
      <c r="Q411" s="110" t="s">
        <v>28</v>
      </c>
      <c r="R411" s="110" t="s">
        <v>115</v>
      </c>
      <c r="S411" s="110" t="str">
        <f t="shared" si="134"/>
        <v>Z</v>
      </c>
      <c r="T411" s="117">
        <v>3</v>
      </c>
      <c r="U411" s="117">
        <v>3</v>
      </c>
      <c r="V411" s="117">
        <v>3</v>
      </c>
      <c r="W411" s="117">
        <f t="shared" si="135"/>
        <v>9</v>
      </c>
      <c r="X411" s="117" t="str">
        <f t="shared" si="136"/>
        <v>Penting</v>
      </c>
      <c r="Y411" s="111" t="s">
        <v>693</v>
      </c>
      <c r="Z411" s="122"/>
      <c r="AA411" s="115"/>
      <c r="AB411" s="115"/>
      <c r="AC411" s="115"/>
      <c r="AD411" s="25"/>
      <c r="AE411" s="118"/>
      <c r="AF411" s="110" t="s">
        <v>232</v>
      </c>
      <c r="AG411" s="110" t="s">
        <v>189</v>
      </c>
      <c r="AH411" s="25"/>
      <c r="AI411" s="25"/>
      <c r="AJ411" s="25"/>
      <c r="AK411" s="25"/>
      <c r="AL411" s="25"/>
      <c r="AM411" s="25"/>
      <c r="AN411" s="33"/>
      <c r="AO411" s="119"/>
      <c r="AP411" s="120"/>
      <c r="AQ411" s="4"/>
      <c r="AR411" s="4"/>
      <c r="AS411" s="4"/>
      <c r="AT411" s="4"/>
      <c r="AU411" s="4"/>
      <c r="AW411" s="121" t="s">
        <v>866</v>
      </c>
    </row>
    <row r="412" spans="1:49" s="121" customFormat="1" ht="111.95" hidden="1" customHeight="1" x14ac:dyDescent="0.25">
      <c r="A412" s="109">
        <v>279</v>
      </c>
      <c r="B412" s="109" t="s">
        <v>109</v>
      </c>
      <c r="C412" s="109"/>
      <c r="D412" s="109"/>
      <c r="E412" s="109"/>
      <c r="F412" s="111" t="s">
        <v>694</v>
      </c>
      <c r="G412" s="112" t="s">
        <v>695</v>
      </c>
      <c r="H412" s="112" t="s">
        <v>396</v>
      </c>
      <c r="I412" s="113" t="s">
        <v>112</v>
      </c>
      <c r="J412" s="112" t="s">
        <v>696</v>
      </c>
      <c r="K412" s="112" t="s">
        <v>692</v>
      </c>
      <c r="L412" s="114">
        <f>4295000*34</f>
        <v>146030000</v>
      </c>
      <c r="M412" s="114"/>
      <c r="N412" s="115">
        <v>42947</v>
      </c>
      <c r="O412" s="115">
        <v>44012</v>
      </c>
      <c r="P412" s="116">
        <f t="shared" si="137"/>
        <v>2.9178082191780823</v>
      </c>
      <c r="Q412" s="110" t="s">
        <v>28</v>
      </c>
      <c r="R412" s="110" t="s">
        <v>115</v>
      </c>
      <c r="S412" s="110" t="str">
        <f t="shared" si="134"/>
        <v>Z</v>
      </c>
      <c r="T412" s="117">
        <v>3</v>
      </c>
      <c r="U412" s="117">
        <v>3</v>
      </c>
      <c r="V412" s="117">
        <v>3</v>
      </c>
      <c r="W412" s="117">
        <f t="shared" si="135"/>
        <v>9</v>
      </c>
      <c r="X412" s="117" t="str">
        <f t="shared" si="136"/>
        <v>Penting</v>
      </c>
      <c r="Y412" s="111" t="s">
        <v>693</v>
      </c>
      <c r="Z412" s="122"/>
      <c r="AA412" s="115"/>
      <c r="AB412" s="115"/>
      <c r="AC412" s="115"/>
      <c r="AD412" s="25"/>
      <c r="AE412" s="118"/>
      <c r="AF412" s="110" t="s">
        <v>232</v>
      </c>
      <c r="AG412" s="110" t="s">
        <v>189</v>
      </c>
      <c r="AH412" s="25"/>
      <c r="AI412" s="25"/>
      <c r="AJ412" s="25"/>
      <c r="AK412" s="25"/>
      <c r="AL412" s="25"/>
      <c r="AM412" s="25"/>
      <c r="AN412" s="33"/>
      <c r="AO412" s="119"/>
      <c r="AP412" s="120"/>
      <c r="AQ412" s="4"/>
      <c r="AR412" s="4"/>
      <c r="AS412" s="4"/>
      <c r="AT412" s="4"/>
      <c r="AU412" s="4"/>
    </row>
    <row r="413" spans="1:49" s="121" customFormat="1" ht="111.95" hidden="1" customHeight="1" x14ac:dyDescent="0.25">
      <c r="A413" s="109">
        <v>280</v>
      </c>
      <c r="B413" s="109" t="s">
        <v>109</v>
      </c>
      <c r="C413" s="109"/>
      <c r="D413" s="109"/>
      <c r="E413" s="109"/>
      <c r="F413" s="111" t="s">
        <v>697</v>
      </c>
      <c r="G413" s="112" t="s">
        <v>698</v>
      </c>
      <c r="H413" s="112" t="s">
        <v>699</v>
      </c>
      <c r="I413" s="113" t="s">
        <v>112</v>
      </c>
      <c r="J413" s="112" t="s">
        <v>700</v>
      </c>
      <c r="K413" s="112"/>
      <c r="L413" s="114">
        <v>214400000</v>
      </c>
      <c r="M413" s="114"/>
      <c r="N413" s="115">
        <v>42491</v>
      </c>
      <c r="O413" s="115">
        <v>44316</v>
      </c>
      <c r="P413" s="116">
        <f t="shared" si="137"/>
        <v>5</v>
      </c>
      <c r="Q413" s="110" t="s">
        <v>28</v>
      </c>
      <c r="R413" s="110" t="s">
        <v>115</v>
      </c>
      <c r="S413" s="110" t="str">
        <f t="shared" si="134"/>
        <v>Z</v>
      </c>
      <c r="T413" s="117">
        <v>1</v>
      </c>
      <c r="U413" s="117">
        <v>3</v>
      </c>
      <c r="V413" s="117">
        <v>1</v>
      </c>
      <c r="W413" s="117">
        <f t="shared" si="135"/>
        <v>5</v>
      </c>
      <c r="X413" s="117" t="str">
        <f t="shared" si="136"/>
        <v>Biasa</v>
      </c>
      <c r="Y413" s="111"/>
      <c r="Z413" s="122"/>
      <c r="AA413" s="115"/>
      <c r="AB413" s="115"/>
      <c r="AC413" s="115"/>
      <c r="AD413" s="25"/>
      <c r="AE413" s="118"/>
      <c r="AF413" s="110" t="s">
        <v>232</v>
      </c>
      <c r="AG413" s="110" t="s">
        <v>189</v>
      </c>
      <c r="AH413" s="25"/>
      <c r="AI413" s="25"/>
      <c r="AJ413" s="25"/>
      <c r="AK413" s="25"/>
      <c r="AL413" s="25"/>
      <c r="AM413" s="25"/>
      <c r="AN413" s="33"/>
      <c r="AO413" s="119"/>
      <c r="AP413" s="120"/>
      <c r="AQ413" s="4"/>
      <c r="AR413" s="4"/>
      <c r="AS413" s="4"/>
      <c r="AT413" s="4"/>
      <c r="AU413" s="4"/>
    </row>
    <row r="414" spans="1:49" s="121" customFormat="1" ht="111.95" hidden="1" customHeight="1" x14ac:dyDescent="0.25">
      <c r="A414" s="109">
        <v>281</v>
      </c>
      <c r="B414" s="109" t="s">
        <v>109</v>
      </c>
      <c r="C414" s="109"/>
      <c r="D414" s="109"/>
      <c r="E414" s="109"/>
      <c r="F414" s="111" t="s">
        <v>708</v>
      </c>
      <c r="G414" s="112" t="s">
        <v>709</v>
      </c>
      <c r="H414" s="112" t="s">
        <v>679</v>
      </c>
      <c r="I414" s="113" t="s">
        <v>112</v>
      </c>
      <c r="J414" s="112" t="s">
        <v>710</v>
      </c>
      <c r="K414" s="112"/>
      <c r="L414" s="114">
        <v>313000000</v>
      </c>
      <c r="M414" s="114"/>
      <c r="N414" s="115">
        <v>42186</v>
      </c>
      <c r="O414" s="115">
        <v>44012</v>
      </c>
      <c r="P414" s="116">
        <f t="shared" si="137"/>
        <v>5.0027397260273974</v>
      </c>
      <c r="Q414" s="110" t="s">
        <v>28</v>
      </c>
      <c r="R414" s="110" t="s">
        <v>115</v>
      </c>
      <c r="S414" s="110" t="str">
        <f t="shared" si="134"/>
        <v>Z</v>
      </c>
      <c r="T414" s="117">
        <v>1</v>
      </c>
      <c r="U414" s="117">
        <v>3</v>
      </c>
      <c r="V414" s="117">
        <v>1</v>
      </c>
      <c r="W414" s="117">
        <f t="shared" si="135"/>
        <v>5</v>
      </c>
      <c r="X414" s="117" t="str">
        <f t="shared" si="136"/>
        <v>Biasa</v>
      </c>
      <c r="Y414" s="111"/>
      <c r="Z414" s="122"/>
      <c r="AA414" s="115"/>
      <c r="AB414" s="115"/>
      <c r="AC414" s="115"/>
      <c r="AD414" s="25"/>
      <c r="AE414" s="118"/>
      <c r="AF414" s="110" t="s">
        <v>232</v>
      </c>
      <c r="AG414" s="110" t="s">
        <v>189</v>
      </c>
      <c r="AH414" s="25"/>
      <c r="AI414" s="25"/>
      <c r="AJ414" s="25"/>
      <c r="AK414" s="25"/>
      <c r="AL414" s="25"/>
      <c r="AM414" s="25"/>
      <c r="AN414" s="33"/>
      <c r="AO414" s="119"/>
      <c r="AP414" s="120"/>
      <c r="AQ414" s="4"/>
      <c r="AR414" s="4"/>
      <c r="AS414" s="4"/>
      <c r="AT414" s="4"/>
      <c r="AU414" s="4"/>
    </row>
    <row r="415" spans="1:49" s="121" customFormat="1" ht="111.95" hidden="1" customHeight="1" x14ac:dyDescent="0.25">
      <c r="A415" s="109">
        <v>282</v>
      </c>
      <c r="B415" s="109" t="s">
        <v>109</v>
      </c>
      <c r="C415" s="109"/>
      <c r="D415" s="109"/>
      <c r="E415" s="109"/>
      <c r="F415" s="111" t="s">
        <v>775</v>
      </c>
      <c r="G415" s="112" t="s">
        <v>770</v>
      </c>
      <c r="H415" s="112" t="s">
        <v>776</v>
      </c>
      <c r="I415" s="113" t="s">
        <v>112</v>
      </c>
      <c r="J415" s="112" t="s">
        <v>772</v>
      </c>
      <c r="K415" s="112" t="s">
        <v>777</v>
      </c>
      <c r="L415" s="114"/>
      <c r="M415" s="114"/>
      <c r="N415" s="115">
        <v>43313</v>
      </c>
      <c r="O415" s="115">
        <v>44773</v>
      </c>
      <c r="P415" s="116">
        <f t="shared" ref="P415:P423" si="138">(O415-N415)/365</f>
        <v>4</v>
      </c>
      <c r="Q415" s="110" t="s">
        <v>34</v>
      </c>
      <c r="R415" s="110" t="s">
        <v>115</v>
      </c>
      <c r="S415" s="110" t="str">
        <f t="shared" si="134"/>
        <v>Z</v>
      </c>
      <c r="T415" s="117">
        <v>1</v>
      </c>
      <c r="U415" s="117">
        <v>1</v>
      </c>
      <c r="V415" s="117">
        <v>1</v>
      </c>
      <c r="W415" s="117">
        <f t="shared" si="135"/>
        <v>3</v>
      </c>
      <c r="X415" s="117" t="str">
        <f t="shared" si="136"/>
        <v>Biasa</v>
      </c>
      <c r="Y415" s="111" t="s">
        <v>778</v>
      </c>
      <c r="Z415" s="122"/>
      <c r="AA415" s="115"/>
      <c r="AB415" s="115"/>
      <c r="AC415" s="115"/>
      <c r="AD415" s="25"/>
      <c r="AE415" s="118"/>
      <c r="AF415" s="110" t="s">
        <v>774</v>
      </c>
      <c r="AG415" s="110" t="s">
        <v>117</v>
      </c>
      <c r="AH415" s="25"/>
      <c r="AI415" s="25"/>
      <c r="AJ415" s="25"/>
      <c r="AK415" s="25"/>
      <c r="AL415" s="25"/>
      <c r="AM415" s="25"/>
      <c r="AN415" s="33" t="s">
        <v>398</v>
      </c>
      <c r="AO415" s="119"/>
      <c r="AP415" s="120"/>
      <c r="AQ415" s="4"/>
      <c r="AR415" s="4"/>
      <c r="AS415" s="4"/>
      <c r="AT415" s="4"/>
      <c r="AU415" s="4"/>
    </row>
    <row r="416" spans="1:49" s="121" customFormat="1" ht="111" hidden="1" x14ac:dyDescent="0.25">
      <c r="A416" s="109">
        <v>283</v>
      </c>
      <c r="B416" s="109" t="s">
        <v>109</v>
      </c>
      <c r="C416" s="109"/>
      <c r="D416" s="109"/>
      <c r="E416" s="109"/>
      <c r="F416" s="111" t="s">
        <v>786</v>
      </c>
      <c r="G416" s="112" t="s">
        <v>770</v>
      </c>
      <c r="H416" s="112" t="s">
        <v>787</v>
      </c>
      <c r="I416" s="113" t="s">
        <v>112</v>
      </c>
      <c r="J416" s="112" t="s">
        <v>772</v>
      </c>
      <c r="K416" s="112" t="s">
        <v>788</v>
      </c>
      <c r="L416" s="114"/>
      <c r="M416" s="114"/>
      <c r="N416" s="115">
        <v>43891</v>
      </c>
      <c r="O416" s="115">
        <v>44679</v>
      </c>
      <c r="P416" s="116">
        <f t="shared" si="138"/>
        <v>2.1589041095890411</v>
      </c>
      <c r="Q416" s="110" t="s">
        <v>34</v>
      </c>
      <c r="R416" s="110" t="s">
        <v>115</v>
      </c>
      <c r="S416" s="110" t="str">
        <f t="shared" si="134"/>
        <v>Z</v>
      </c>
      <c r="T416" s="117">
        <v>1</v>
      </c>
      <c r="U416" s="117">
        <v>1</v>
      </c>
      <c r="V416" s="117">
        <v>1</v>
      </c>
      <c r="W416" s="117">
        <f t="shared" si="135"/>
        <v>3</v>
      </c>
      <c r="X416" s="117" t="str">
        <f t="shared" si="136"/>
        <v>Biasa</v>
      </c>
      <c r="Y416" s="111" t="s">
        <v>789</v>
      </c>
      <c r="Z416" s="122"/>
      <c r="AA416" s="115"/>
      <c r="AB416" s="115"/>
      <c r="AC416" s="115"/>
      <c r="AD416" s="25"/>
      <c r="AE416" s="118"/>
      <c r="AF416" s="110" t="s">
        <v>774</v>
      </c>
      <c r="AG416" s="110" t="s">
        <v>117</v>
      </c>
      <c r="AH416" s="25"/>
      <c r="AI416" s="25"/>
      <c r="AJ416" s="25"/>
      <c r="AK416" s="25"/>
      <c r="AL416" s="25"/>
      <c r="AM416" s="25"/>
      <c r="AN416" s="33" t="s">
        <v>123</v>
      </c>
      <c r="AO416" s="119">
        <v>43930</v>
      </c>
      <c r="AP416" s="120"/>
      <c r="AQ416" s="4"/>
      <c r="AR416" s="4"/>
      <c r="AS416" s="4"/>
      <c r="AT416" s="4"/>
      <c r="AU416" s="4"/>
    </row>
    <row r="417" spans="1:47" s="121" customFormat="1" ht="111.95" hidden="1" customHeight="1" x14ac:dyDescent="0.25">
      <c r="A417" s="109">
        <v>284</v>
      </c>
      <c r="B417" s="109" t="s">
        <v>109</v>
      </c>
      <c r="C417" s="109"/>
      <c r="D417" s="109"/>
      <c r="E417" s="109"/>
      <c r="F417" s="111" t="s">
        <v>798</v>
      </c>
      <c r="G417" s="112" t="s">
        <v>799</v>
      </c>
      <c r="H417" s="112" t="s">
        <v>800</v>
      </c>
      <c r="I417" s="113" t="s">
        <v>112</v>
      </c>
      <c r="J417" s="112" t="s">
        <v>801</v>
      </c>
      <c r="K417" s="112" t="s">
        <v>802</v>
      </c>
      <c r="L417" s="114"/>
      <c r="M417" s="114"/>
      <c r="N417" s="115">
        <v>43922</v>
      </c>
      <c r="O417" s="115">
        <v>44651</v>
      </c>
      <c r="P417" s="116">
        <f t="shared" si="138"/>
        <v>1.9972602739726026</v>
      </c>
      <c r="Q417" s="110" t="s">
        <v>34</v>
      </c>
      <c r="R417" s="110" t="s">
        <v>115</v>
      </c>
      <c r="S417" s="110" t="str">
        <f t="shared" si="134"/>
        <v>Z</v>
      </c>
      <c r="T417" s="117">
        <v>1</v>
      </c>
      <c r="U417" s="117">
        <v>3</v>
      </c>
      <c r="V417" s="117">
        <v>3</v>
      </c>
      <c r="W417" s="117">
        <f t="shared" si="135"/>
        <v>7</v>
      </c>
      <c r="X417" s="117" t="str">
        <f t="shared" si="136"/>
        <v>Penting</v>
      </c>
      <c r="Y417" s="111" t="s">
        <v>803</v>
      </c>
      <c r="Z417" s="122"/>
      <c r="AA417" s="115"/>
      <c r="AB417" s="115"/>
      <c r="AC417" s="115"/>
      <c r="AD417" s="25" t="s">
        <v>122</v>
      </c>
      <c r="AE417" s="118">
        <v>43922</v>
      </c>
      <c r="AF417" s="110" t="s">
        <v>774</v>
      </c>
      <c r="AG417" s="110" t="s">
        <v>117</v>
      </c>
      <c r="AH417" s="25"/>
      <c r="AI417" s="25"/>
      <c r="AJ417" s="25"/>
      <c r="AK417" s="25"/>
      <c r="AL417" s="25"/>
      <c r="AM417" s="25"/>
      <c r="AN417" s="33" t="s">
        <v>123</v>
      </c>
      <c r="AO417" s="119">
        <v>43930</v>
      </c>
      <c r="AP417" s="120"/>
      <c r="AQ417" s="4"/>
      <c r="AR417" s="4"/>
      <c r="AS417" s="4"/>
      <c r="AT417" s="4"/>
      <c r="AU417" s="4"/>
    </row>
    <row r="418" spans="1:47" s="121" customFormat="1" ht="111.95" hidden="1" customHeight="1" x14ac:dyDescent="0.25">
      <c r="A418" s="109">
        <v>285</v>
      </c>
      <c r="B418" s="109" t="s">
        <v>109</v>
      </c>
      <c r="C418" s="109"/>
      <c r="D418" s="109"/>
      <c r="E418" s="109"/>
      <c r="F418" s="111" t="s">
        <v>825</v>
      </c>
      <c r="G418" s="112" t="s">
        <v>826</v>
      </c>
      <c r="H418" s="112" t="s">
        <v>827</v>
      </c>
      <c r="I418" s="113" t="s">
        <v>150</v>
      </c>
      <c r="J418" s="112" t="s">
        <v>828</v>
      </c>
      <c r="K418" s="112" t="s">
        <v>829</v>
      </c>
      <c r="L418" s="114">
        <v>7500000</v>
      </c>
      <c r="M418" s="114" t="s">
        <v>132</v>
      </c>
      <c r="N418" s="115">
        <v>44378</v>
      </c>
      <c r="O418" s="115">
        <v>44742</v>
      </c>
      <c r="P418" s="116">
        <f t="shared" si="138"/>
        <v>0.99726027397260275</v>
      </c>
      <c r="Q418" s="110" t="s">
        <v>38</v>
      </c>
      <c r="R418" s="110" t="s">
        <v>115</v>
      </c>
      <c r="S418" s="110" t="str">
        <f t="shared" si="134"/>
        <v>Z</v>
      </c>
      <c r="T418" s="117">
        <v>3</v>
      </c>
      <c r="U418" s="117">
        <v>1</v>
      </c>
      <c r="V418" s="117">
        <v>3</v>
      </c>
      <c r="W418" s="117">
        <f t="shared" ref="W418:W433" si="139">T418+U418+V418</f>
        <v>7</v>
      </c>
      <c r="X418" s="117" t="str">
        <f t="shared" si="136"/>
        <v>Penting</v>
      </c>
      <c r="Y418" s="111"/>
      <c r="Z418" s="122"/>
      <c r="AA418" s="115"/>
      <c r="AB418" s="115"/>
      <c r="AC418" s="115"/>
      <c r="AD418" s="25" t="s">
        <v>115</v>
      </c>
      <c r="AE418" s="118">
        <v>44743</v>
      </c>
      <c r="AF418" s="110" t="s">
        <v>820</v>
      </c>
      <c r="AG418" s="110" t="s">
        <v>117</v>
      </c>
      <c r="AH418" s="25"/>
      <c r="AI418" s="25"/>
      <c r="AJ418" s="25"/>
      <c r="AK418" s="25"/>
      <c r="AL418" s="25"/>
      <c r="AM418" s="25"/>
      <c r="AN418" s="33" t="s">
        <v>123</v>
      </c>
      <c r="AO418" s="119">
        <v>44422</v>
      </c>
      <c r="AP418" s="120"/>
      <c r="AQ418" s="4"/>
      <c r="AR418" s="4"/>
      <c r="AS418" s="4"/>
      <c r="AT418" s="4"/>
      <c r="AU418" s="4"/>
    </row>
    <row r="419" spans="1:47" s="121" customFormat="1" ht="111.95" hidden="1" customHeight="1" x14ac:dyDescent="0.25">
      <c r="A419" s="109">
        <v>286</v>
      </c>
      <c r="B419" s="109" t="s">
        <v>109</v>
      </c>
      <c r="C419" s="109"/>
      <c r="D419" s="109"/>
      <c r="E419" s="109"/>
      <c r="F419" s="111" t="s">
        <v>830</v>
      </c>
      <c r="G419" s="112" t="s">
        <v>831</v>
      </c>
      <c r="H419" s="112" t="s">
        <v>827</v>
      </c>
      <c r="I419" s="113" t="s">
        <v>150</v>
      </c>
      <c r="J419" s="112" t="s">
        <v>828</v>
      </c>
      <c r="K419" s="112" t="s">
        <v>829</v>
      </c>
      <c r="L419" s="114">
        <v>6000000</v>
      </c>
      <c r="M419" s="114" t="s">
        <v>132</v>
      </c>
      <c r="N419" s="115">
        <v>44378</v>
      </c>
      <c r="O419" s="115">
        <v>44742</v>
      </c>
      <c r="P419" s="116">
        <f t="shared" si="138"/>
        <v>0.99726027397260275</v>
      </c>
      <c r="Q419" s="110" t="s">
        <v>38</v>
      </c>
      <c r="R419" s="110" t="s">
        <v>115</v>
      </c>
      <c r="S419" s="110" t="str">
        <f t="shared" si="134"/>
        <v>Z</v>
      </c>
      <c r="T419" s="117">
        <v>3</v>
      </c>
      <c r="U419" s="117">
        <v>1</v>
      </c>
      <c r="V419" s="117">
        <v>3</v>
      </c>
      <c r="W419" s="117">
        <f t="shared" si="139"/>
        <v>7</v>
      </c>
      <c r="X419" s="117" t="str">
        <f t="shared" si="136"/>
        <v>Penting</v>
      </c>
      <c r="Y419" s="111"/>
      <c r="Z419" s="122"/>
      <c r="AA419" s="115"/>
      <c r="AB419" s="115"/>
      <c r="AC419" s="115"/>
      <c r="AD419" s="25" t="s">
        <v>115</v>
      </c>
      <c r="AE419" s="118">
        <v>44743</v>
      </c>
      <c r="AF419" s="110" t="s">
        <v>820</v>
      </c>
      <c r="AG419" s="110" t="s">
        <v>117</v>
      </c>
      <c r="AH419" s="25"/>
      <c r="AI419" s="25"/>
      <c r="AJ419" s="25"/>
      <c r="AK419" s="25"/>
      <c r="AL419" s="25"/>
      <c r="AM419" s="25"/>
      <c r="AN419" s="33" t="s">
        <v>123</v>
      </c>
      <c r="AO419" s="119">
        <v>44422</v>
      </c>
      <c r="AP419" s="120"/>
      <c r="AQ419" s="4"/>
      <c r="AR419" s="4"/>
      <c r="AS419" s="4"/>
      <c r="AT419" s="4"/>
      <c r="AU419" s="4"/>
    </row>
    <row r="420" spans="1:47" s="121" customFormat="1" ht="111.95" hidden="1" customHeight="1" x14ac:dyDescent="0.25">
      <c r="A420" s="109">
        <v>287</v>
      </c>
      <c r="B420" s="109" t="s">
        <v>109</v>
      </c>
      <c r="C420" s="109"/>
      <c r="D420" s="109"/>
      <c r="E420" s="109"/>
      <c r="F420" s="111" t="s">
        <v>514</v>
      </c>
      <c r="G420" s="112" t="s">
        <v>244</v>
      </c>
      <c r="H420" s="112" t="s">
        <v>515</v>
      </c>
      <c r="I420" s="113" t="s">
        <v>112</v>
      </c>
      <c r="J420" s="112" t="s">
        <v>516</v>
      </c>
      <c r="K420" s="112" t="s">
        <v>517</v>
      </c>
      <c r="L420" s="114" t="s">
        <v>226</v>
      </c>
      <c r="M420" s="114"/>
      <c r="N420" s="115">
        <v>44378</v>
      </c>
      <c r="O420" s="115">
        <v>44742</v>
      </c>
      <c r="P420" s="116">
        <f t="shared" si="138"/>
        <v>0.99726027397260275</v>
      </c>
      <c r="Q420" s="110" t="s">
        <v>36</v>
      </c>
      <c r="R420" s="110" t="s">
        <v>115</v>
      </c>
      <c r="S420" s="110" t="str">
        <f t="shared" ref="S420:S434" si="140">IF(R420="End","Z",IF(R420="Cancel","C",IF(SUM(R420)&gt;0,"O",IF(ISBLANK(R420),"X",IF(SUM(R420)&lt;0,"Y",IF(SUM(R420),"-","O"))))))</f>
        <v>Z</v>
      </c>
      <c r="T420" s="117">
        <v>2</v>
      </c>
      <c r="U420" s="117">
        <v>2</v>
      </c>
      <c r="V420" s="117">
        <v>2</v>
      </c>
      <c r="W420" s="117">
        <f t="shared" si="139"/>
        <v>6</v>
      </c>
      <c r="X420" s="117" t="str">
        <f t="shared" ref="X420:X434" si="141">IF(W420&gt;5,"Penting",IF(ISBLANK(W420),"","Biasa"))</f>
        <v>Penting</v>
      </c>
      <c r="Y420" s="111" t="s">
        <v>408</v>
      </c>
      <c r="Z420" s="122"/>
      <c r="AA420" s="115"/>
      <c r="AB420" s="115"/>
      <c r="AC420" s="115"/>
      <c r="AD420" s="25"/>
      <c r="AE420" s="118"/>
      <c r="AF420" s="110" t="s">
        <v>382</v>
      </c>
      <c r="AG420" s="110" t="s">
        <v>117</v>
      </c>
      <c r="AH420" s="25"/>
      <c r="AI420" s="25"/>
      <c r="AJ420" s="25"/>
      <c r="AK420" s="25"/>
      <c r="AL420" s="25"/>
      <c r="AM420" s="25"/>
      <c r="AN420" s="33"/>
      <c r="AO420" s="119">
        <v>44407</v>
      </c>
      <c r="AP420" s="120"/>
      <c r="AQ420" s="4"/>
      <c r="AR420" s="4"/>
      <c r="AS420" s="4"/>
      <c r="AT420" s="4"/>
      <c r="AU420" s="4"/>
    </row>
    <row r="421" spans="1:47" s="121" customFormat="1" ht="111.95" hidden="1" customHeight="1" x14ac:dyDescent="0.25">
      <c r="A421" s="109">
        <v>288</v>
      </c>
      <c r="B421" s="109" t="s">
        <v>109</v>
      </c>
      <c r="C421" s="109"/>
      <c r="D421" s="109"/>
      <c r="E421" s="109"/>
      <c r="F421" s="111" t="s">
        <v>1004</v>
      </c>
      <c r="G421" s="112" t="s">
        <v>244</v>
      </c>
      <c r="H421" s="112" t="s">
        <v>1005</v>
      </c>
      <c r="I421" s="113" t="s">
        <v>112</v>
      </c>
      <c r="J421" s="112" t="s">
        <v>1006</v>
      </c>
      <c r="K421" s="112" t="s">
        <v>1007</v>
      </c>
      <c r="L421" s="114" t="s">
        <v>226</v>
      </c>
      <c r="M421" s="114"/>
      <c r="N421" s="115">
        <v>44378</v>
      </c>
      <c r="O421" s="115">
        <v>44742</v>
      </c>
      <c r="P421" s="116">
        <f t="shared" si="138"/>
        <v>0.99726027397260275</v>
      </c>
      <c r="Q421" s="110" t="s">
        <v>36</v>
      </c>
      <c r="R421" s="110" t="s">
        <v>115</v>
      </c>
      <c r="S421" s="110" t="str">
        <f t="shared" si="140"/>
        <v>Z</v>
      </c>
      <c r="T421" s="117">
        <v>2</v>
      </c>
      <c r="U421" s="117">
        <v>2</v>
      </c>
      <c r="V421" s="117">
        <v>2</v>
      </c>
      <c r="W421" s="117">
        <f t="shared" si="139"/>
        <v>6</v>
      </c>
      <c r="X421" s="117" t="str">
        <f t="shared" si="141"/>
        <v>Penting</v>
      </c>
      <c r="Y421" s="111" t="s">
        <v>1008</v>
      </c>
      <c r="Z421" s="122"/>
      <c r="AA421" s="115"/>
      <c r="AB421" s="115"/>
      <c r="AC421" s="115"/>
      <c r="AD421" s="25"/>
      <c r="AE421" s="118"/>
      <c r="AF421" s="110" t="s">
        <v>628</v>
      </c>
      <c r="AG421" s="110" t="s">
        <v>117</v>
      </c>
      <c r="AH421" s="25"/>
      <c r="AI421" s="25"/>
      <c r="AJ421" s="25"/>
      <c r="AK421" s="25"/>
      <c r="AL421" s="25"/>
      <c r="AM421" s="25"/>
      <c r="AN421" s="33"/>
      <c r="AO421" s="119">
        <v>44407</v>
      </c>
      <c r="AP421" s="120"/>
      <c r="AQ421" s="4"/>
      <c r="AR421" s="4"/>
      <c r="AS421" s="4"/>
      <c r="AT421" s="4"/>
      <c r="AU421" s="4"/>
    </row>
    <row r="422" spans="1:47" s="121" customFormat="1" ht="111.75" hidden="1" customHeight="1" x14ac:dyDescent="0.25">
      <c r="A422" s="109">
        <v>289</v>
      </c>
      <c r="B422" s="109" t="s">
        <v>109</v>
      </c>
      <c r="C422" s="109"/>
      <c r="D422" s="109"/>
      <c r="E422" s="109"/>
      <c r="F422" s="111" t="s">
        <v>623</v>
      </c>
      <c r="G422" s="112" t="s">
        <v>624</v>
      </c>
      <c r="H422" s="112" t="s">
        <v>625</v>
      </c>
      <c r="I422" s="113" t="s">
        <v>112</v>
      </c>
      <c r="J422" s="112" t="s">
        <v>626</v>
      </c>
      <c r="K422" s="112"/>
      <c r="L422" s="114">
        <v>13650000</v>
      </c>
      <c r="M422" s="114" t="s">
        <v>627</v>
      </c>
      <c r="N422" s="115">
        <v>43405</v>
      </c>
      <c r="O422" s="115">
        <v>44136</v>
      </c>
      <c r="P422" s="116">
        <f t="shared" si="138"/>
        <v>2.0027397260273974</v>
      </c>
      <c r="Q422" s="110" t="s">
        <v>36</v>
      </c>
      <c r="R422" s="110" t="s">
        <v>115</v>
      </c>
      <c r="S422" s="110" t="str">
        <f t="shared" si="140"/>
        <v>Z</v>
      </c>
      <c r="T422" s="117">
        <v>1</v>
      </c>
      <c r="U422" s="117">
        <v>1</v>
      </c>
      <c r="V422" s="117">
        <v>1</v>
      </c>
      <c r="W422" s="117">
        <f t="shared" si="139"/>
        <v>3</v>
      </c>
      <c r="X422" s="117" t="str">
        <f t="shared" si="141"/>
        <v>Biasa</v>
      </c>
      <c r="Y422" s="111"/>
      <c r="Z422" s="122"/>
      <c r="AA422" s="115"/>
      <c r="AB422" s="115"/>
      <c r="AC422" s="115"/>
      <c r="AD422" s="25" t="s">
        <v>15</v>
      </c>
      <c r="AE422" s="118">
        <v>44105</v>
      </c>
      <c r="AF422" s="110" t="s">
        <v>628</v>
      </c>
      <c r="AG422" s="110" t="s">
        <v>117</v>
      </c>
      <c r="AH422" s="25"/>
      <c r="AI422" s="25"/>
      <c r="AJ422" s="25"/>
      <c r="AK422" s="25"/>
      <c r="AL422" s="25"/>
      <c r="AM422" s="25"/>
      <c r="AN422" s="33"/>
      <c r="AO422" s="119"/>
      <c r="AP422" s="120"/>
      <c r="AQ422" s="4"/>
      <c r="AR422" s="4"/>
      <c r="AS422" s="4"/>
      <c r="AT422" s="4"/>
      <c r="AU422" s="4"/>
    </row>
    <row r="423" spans="1:47" s="121" customFormat="1" ht="111.95" hidden="1" customHeight="1" x14ac:dyDescent="0.25">
      <c r="A423" s="109">
        <v>290</v>
      </c>
      <c r="B423" s="109" t="s">
        <v>109</v>
      </c>
      <c r="C423" s="109"/>
      <c r="D423" s="109"/>
      <c r="E423" s="109"/>
      <c r="F423" s="111" t="s">
        <v>1016</v>
      </c>
      <c r="G423" s="112" t="s">
        <v>244</v>
      </c>
      <c r="H423" s="112" t="s">
        <v>1017</v>
      </c>
      <c r="I423" s="113" t="s">
        <v>112</v>
      </c>
      <c r="J423" s="112" t="s">
        <v>1018</v>
      </c>
      <c r="K423" s="112" t="s">
        <v>1019</v>
      </c>
      <c r="L423" s="114" t="s">
        <v>226</v>
      </c>
      <c r="M423" s="114"/>
      <c r="N423" s="115">
        <v>44013</v>
      </c>
      <c r="O423" s="115">
        <v>44377</v>
      </c>
      <c r="P423" s="116">
        <f t="shared" si="138"/>
        <v>0.99726027397260275</v>
      </c>
      <c r="Q423" s="110" t="s">
        <v>36</v>
      </c>
      <c r="R423" s="110" t="s">
        <v>115</v>
      </c>
      <c r="S423" s="110" t="str">
        <f t="shared" si="140"/>
        <v>Z</v>
      </c>
      <c r="T423" s="117">
        <v>2</v>
      </c>
      <c r="U423" s="117">
        <v>1</v>
      </c>
      <c r="V423" s="117">
        <v>2</v>
      </c>
      <c r="W423" s="117">
        <f t="shared" si="139"/>
        <v>5</v>
      </c>
      <c r="X423" s="117" t="str">
        <f t="shared" si="141"/>
        <v>Biasa</v>
      </c>
      <c r="Y423" s="111" t="s">
        <v>1020</v>
      </c>
      <c r="Z423" s="122"/>
      <c r="AA423" s="115"/>
      <c r="AB423" s="115"/>
      <c r="AC423" s="115"/>
      <c r="AD423" s="25" t="s">
        <v>15</v>
      </c>
      <c r="AE423" s="118">
        <v>44348</v>
      </c>
      <c r="AF423" s="110" t="s">
        <v>1021</v>
      </c>
      <c r="AG423" s="110" t="s">
        <v>117</v>
      </c>
      <c r="AH423" s="25"/>
      <c r="AI423" s="25"/>
      <c r="AJ423" s="25"/>
      <c r="AK423" s="25"/>
      <c r="AL423" s="25"/>
      <c r="AM423" s="25"/>
      <c r="AN423" s="33"/>
      <c r="AO423" s="119"/>
      <c r="AP423" s="120"/>
      <c r="AQ423" s="4"/>
      <c r="AR423" s="4"/>
      <c r="AS423" s="4"/>
      <c r="AT423" s="4"/>
      <c r="AU423" s="4"/>
    </row>
    <row r="424" spans="1:47" s="121" customFormat="1" ht="111.95" hidden="1" customHeight="1" x14ac:dyDescent="0.25">
      <c r="A424" s="109">
        <v>291</v>
      </c>
      <c r="B424" s="109" t="s">
        <v>109</v>
      </c>
      <c r="C424" s="109"/>
      <c r="D424" s="109"/>
      <c r="E424" s="109"/>
      <c r="F424" s="111" t="s">
        <v>110</v>
      </c>
      <c r="G424" s="112" t="s">
        <v>856</v>
      </c>
      <c r="H424" s="112" t="s">
        <v>875</v>
      </c>
      <c r="I424" s="113" t="s">
        <v>112</v>
      </c>
      <c r="J424" s="112" t="s">
        <v>864</v>
      </c>
      <c r="K424" s="112"/>
      <c r="L424" s="114"/>
      <c r="M424" s="114"/>
      <c r="N424" s="115">
        <v>42278</v>
      </c>
      <c r="O424" s="115">
        <v>44834</v>
      </c>
      <c r="P424" s="116">
        <f t="shared" ref="P424:P427" si="142">(O424-N424)/365</f>
        <v>7.0027397260273974</v>
      </c>
      <c r="Q424" s="110" t="s">
        <v>32</v>
      </c>
      <c r="R424" s="110" t="s">
        <v>115</v>
      </c>
      <c r="S424" s="110" t="str">
        <f t="shared" si="140"/>
        <v>Z</v>
      </c>
      <c r="T424" s="117">
        <v>3</v>
      </c>
      <c r="U424" s="117">
        <v>3</v>
      </c>
      <c r="V424" s="117">
        <v>3</v>
      </c>
      <c r="W424" s="117">
        <f t="shared" si="139"/>
        <v>9</v>
      </c>
      <c r="X424" s="117" t="str">
        <f t="shared" si="141"/>
        <v>Penting</v>
      </c>
      <c r="Y424" s="111" t="s">
        <v>876</v>
      </c>
      <c r="Z424" s="122"/>
      <c r="AA424" s="115"/>
      <c r="AB424" s="115"/>
      <c r="AC424" s="115"/>
      <c r="AD424" s="25"/>
      <c r="AE424" s="118"/>
      <c r="AF424" s="110" t="s">
        <v>859</v>
      </c>
      <c r="AG424" s="110" t="s">
        <v>189</v>
      </c>
      <c r="AH424" s="25"/>
      <c r="AI424" s="25"/>
      <c r="AJ424" s="25"/>
      <c r="AK424" s="25"/>
      <c r="AL424" s="25"/>
      <c r="AM424" s="25"/>
      <c r="AN424" s="33"/>
      <c r="AO424" s="119"/>
      <c r="AP424" s="120"/>
      <c r="AQ424" s="4"/>
      <c r="AR424" s="4"/>
      <c r="AS424" s="4"/>
      <c r="AT424" s="4"/>
      <c r="AU424" s="4"/>
    </row>
    <row r="425" spans="1:47" s="121" customFormat="1" ht="111.95" hidden="1" customHeight="1" x14ac:dyDescent="0.25">
      <c r="A425" s="109">
        <v>292</v>
      </c>
      <c r="B425" s="109" t="s">
        <v>109</v>
      </c>
      <c r="C425" s="109"/>
      <c r="D425" s="109"/>
      <c r="E425" s="109"/>
      <c r="F425" s="111" t="s">
        <v>110</v>
      </c>
      <c r="G425" s="112" t="s">
        <v>856</v>
      </c>
      <c r="H425" s="112" t="s">
        <v>878</v>
      </c>
      <c r="I425" s="113" t="s">
        <v>112</v>
      </c>
      <c r="J425" s="112" t="s">
        <v>864</v>
      </c>
      <c r="K425" s="112"/>
      <c r="L425" s="114"/>
      <c r="M425" s="114"/>
      <c r="N425" s="115">
        <v>42879</v>
      </c>
      <c r="O425" s="115">
        <v>44704</v>
      </c>
      <c r="P425" s="116">
        <f t="shared" si="142"/>
        <v>5</v>
      </c>
      <c r="Q425" s="110" t="s">
        <v>32</v>
      </c>
      <c r="R425" s="110" t="s">
        <v>115</v>
      </c>
      <c r="S425" s="110" t="str">
        <f t="shared" si="140"/>
        <v>Z</v>
      </c>
      <c r="T425" s="117">
        <v>3</v>
      </c>
      <c r="U425" s="117">
        <v>3</v>
      </c>
      <c r="V425" s="117">
        <v>3</v>
      </c>
      <c r="W425" s="117">
        <f t="shared" si="139"/>
        <v>9</v>
      </c>
      <c r="X425" s="117" t="str">
        <f t="shared" si="141"/>
        <v>Penting</v>
      </c>
      <c r="Y425" s="111" t="s">
        <v>876</v>
      </c>
      <c r="Z425" s="122"/>
      <c r="AA425" s="115"/>
      <c r="AB425" s="115"/>
      <c r="AC425" s="115"/>
      <c r="AD425" s="25"/>
      <c r="AE425" s="118"/>
      <c r="AF425" s="110" t="s">
        <v>859</v>
      </c>
      <c r="AG425" s="110" t="s">
        <v>189</v>
      </c>
      <c r="AH425" s="25"/>
      <c r="AI425" s="25"/>
      <c r="AJ425" s="25"/>
      <c r="AK425" s="25"/>
      <c r="AL425" s="25"/>
      <c r="AM425" s="25"/>
      <c r="AN425" s="33"/>
      <c r="AO425" s="119"/>
      <c r="AP425" s="120"/>
      <c r="AQ425" s="4"/>
      <c r="AR425" s="4"/>
      <c r="AS425" s="4"/>
      <c r="AT425" s="4"/>
      <c r="AU425" s="4"/>
    </row>
    <row r="426" spans="1:47" s="121" customFormat="1" ht="111.95" hidden="1" customHeight="1" x14ac:dyDescent="0.25">
      <c r="A426" s="109">
        <v>293</v>
      </c>
      <c r="B426" s="109" t="s">
        <v>109</v>
      </c>
      <c r="C426" s="109"/>
      <c r="D426" s="109"/>
      <c r="E426" s="109"/>
      <c r="F426" s="111" t="s">
        <v>110</v>
      </c>
      <c r="G426" s="112" t="s">
        <v>856</v>
      </c>
      <c r="H426" s="112" t="s">
        <v>880</v>
      </c>
      <c r="I426" s="113" t="s">
        <v>112</v>
      </c>
      <c r="J426" s="112" t="s">
        <v>864</v>
      </c>
      <c r="K426" s="112"/>
      <c r="L426" s="114"/>
      <c r="M426" s="114"/>
      <c r="N426" s="115">
        <v>43416</v>
      </c>
      <c r="O426" s="115">
        <v>44876</v>
      </c>
      <c r="P426" s="116">
        <f t="shared" si="142"/>
        <v>4</v>
      </c>
      <c r="Q426" s="110" t="s">
        <v>32</v>
      </c>
      <c r="R426" s="110" t="s">
        <v>115</v>
      </c>
      <c r="S426" s="110" t="str">
        <f t="shared" si="140"/>
        <v>Z</v>
      </c>
      <c r="T426" s="117">
        <v>3</v>
      </c>
      <c r="U426" s="117">
        <v>3</v>
      </c>
      <c r="V426" s="117">
        <v>3</v>
      </c>
      <c r="W426" s="117">
        <f t="shared" si="139"/>
        <v>9</v>
      </c>
      <c r="X426" s="117" t="str">
        <f t="shared" si="141"/>
        <v>Penting</v>
      </c>
      <c r="Y426" s="111" t="s">
        <v>876</v>
      </c>
      <c r="Z426" s="122"/>
      <c r="AA426" s="115"/>
      <c r="AB426" s="115"/>
      <c r="AC426" s="115"/>
      <c r="AD426" s="25"/>
      <c r="AE426" s="118"/>
      <c r="AF426" s="110" t="s">
        <v>859</v>
      </c>
      <c r="AG426" s="110" t="s">
        <v>189</v>
      </c>
      <c r="AH426" s="25"/>
      <c r="AI426" s="25"/>
      <c r="AJ426" s="25"/>
      <c r="AK426" s="25"/>
      <c r="AL426" s="25"/>
      <c r="AM426" s="25"/>
      <c r="AN426" s="33"/>
      <c r="AO426" s="119">
        <v>43882</v>
      </c>
      <c r="AP426" s="120"/>
      <c r="AQ426" s="4"/>
      <c r="AR426" s="4"/>
      <c r="AS426" s="4"/>
      <c r="AT426" s="4"/>
      <c r="AU426" s="4"/>
    </row>
    <row r="427" spans="1:47" s="121" customFormat="1" ht="111.95" hidden="1" customHeight="1" x14ac:dyDescent="0.25">
      <c r="A427" s="109">
        <v>294</v>
      </c>
      <c r="B427" s="109" t="s">
        <v>109</v>
      </c>
      <c r="C427" s="109"/>
      <c r="D427" s="109"/>
      <c r="E427" s="109"/>
      <c r="F427" s="111" t="s">
        <v>110</v>
      </c>
      <c r="G427" s="112" t="s">
        <v>856</v>
      </c>
      <c r="H427" s="112" t="s">
        <v>883</v>
      </c>
      <c r="I427" s="113" t="s">
        <v>112</v>
      </c>
      <c r="J427" s="112" t="s">
        <v>864</v>
      </c>
      <c r="K427" s="112"/>
      <c r="L427" s="114"/>
      <c r="M427" s="114"/>
      <c r="N427" s="115">
        <v>39845</v>
      </c>
      <c r="O427" s="115">
        <v>44957</v>
      </c>
      <c r="P427" s="116">
        <f t="shared" si="142"/>
        <v>14.005479452054795</v>
      </c>
      <c r="Q427" s="110" t="s">
        <v>32</v>
      </c>
      <c r="R427" s="110" t="s">
        <v>115</v>
      </c>
      <c r="S427" s="110" t="str">
        <f t="shared" si="140"/>
        <v>Z</v>
      </c>
      <c r="T427" s="117">
        <v>3</v>
      </c>
      <c r="U427" s="117">
        <v>3</v>
      </c>
      <c r="V427" s="117">
        <v>3</v>
      </c>
      <c r="W427" s="117">
        <f t="shared" si="139"/>
        <v>9</v>
      </c>
      <c r="X427" s="117" t="str">
        <f t="shared" si="141"/>
        <v>Penting</v>
      </c>
      <c r="Y427" s="111" t="s">
        <v>1229</v>
      </c>
      <c r="Z427" s="122" t="s">
        <v>117</v>
      </c>
      <c r="AA427" s="115">
        <f>N427+4650</f>
        <v>44495</v>
      </c>
      <c r="AB427" s="115">
        <f>N427+5015</f>
        <v>44860</v>
      </c>
      <c r="AC427" s="115"/>
      <c r="AD427" s="25"/>
      <c r="AE427" s="118"/>
      <c r="AF427" s="110" t="s">
        <v>859</v>
      </c>
      <c r="AG427" s="110" t="s">
        <v>189</v>
      </c>
      <c r="AH427" s="25"/>
      <c r="AI427" s="25"/>
      <c r="AJ427" s="25"/>
      <c r="AK427" s="25"/>
      <c r="AL427" s="25"/>
      <c r="AM427" s="25"/>
      <c r="AN427" s="33"/>
      <c r="AO427" s="119"/>
      <c r="AP427" s="120"/>
      <c r="AQ427" s="4"/>
      <c r="AR427" s="4"/>
      <c r="AS427" s="4"/>
      <c r="AT427" s="4"/>
      <c r="AU427" s="4"/>
    </row>
    <row r="428" spans="1:47" s="121" customFormat="1" ht="111.95" hidden="1" customHeight="1" x14ac:dyDescent="0.25">
      <c r="A428" s="109">
        <v>295</v>
      </c>
      <c r="B428" s="109" t="s">
        <v>109</v>
      </c>
      <c r="C428" s="109"/>
      <c r="D428" s="109"/>
      <c r="E428" s="109"/>
      <c r="F428" s="111" t="s">
        <v>110</v>
      </c>
      <c r="G428" s="112" t="s">
        <v>856</v>
      </c>
      <c r="H428" s="112" t="s">
        <v>891</v>
      </c>
      <c r="I428" s="113" t="s">
        <v>112</v>
      </c>
      <c r="J428" s="112" t="s">
        <v>864</v>
      </c>
      <c r="K428" s="112"/>
      <c r="L428" s="114"/>
      <c r="M428" s="114"/>
      <c r="N428" s="115">
        <v>42552</v>
      </c>
      <c r="O428" s="115">
        <v>44742</v>
      </c>
      <c r="P428" s="116">
        <f t="shared" ref="P428" si="143">(O428-N428)/365</f>
        <v>6</v>
      </c>
      <c r="Q428" s="110" t="s">
        <v>32</v>
      </c>
      <c r="R428" s="110" t="s">
        <v>115</v>
      </c>
      <c r="S428" s="110" t="str">
        <f t="shared" si="140"/>
        <v>Z</v>
      </c>
      <c r="T428" s="117">
        <v>3</v>
      </c>
      <c r="U428" s="117">
        <v>3</v>
      </c>
      <c r="V428" s="117">
        <v>3</v>
      </c>
      <c r="W428" s="117">
        <f t="shared" si="139"/>
        <v>9</v>
      </c>
      <c r="X428" s="117" t="str">
        <f t="shared" si="141"/>
        <v>Penting</v>
      </c>
      <c r="Y428" s="111" t="s">
        <v>876</v>
      </c>
      <c r="Z428" s="122"/>
      <c r="AA428" s="115"/>
      <c r="AB428" s="115"/>
      <c r="AC428" s="115"/>
      <c r="AD428" s="25"/>
      <c r="AE428" s="118"/>
      <c r="AF428" s="110" t="s">
        <v>859</v>
      </c>
      <c r="AG428" s="110" t="s">
        <v>189</v>
      </c>
      <c r="AH428" s="25"/>
      <c r="AI428" s="25"/>
      <c r="AJ428" s="25"/>
      <c r="AK428" s="25"/>
      <c r="AL428" s="25"/>
      <c r="AM428" s="25"/>
      <c r="AN428" s="33"/>
      <c r="AO428" s="119"/>
      <c r="AP428" s="120"/>
      <c r="AQ428" s="4"/>
      <c r="AR428" s="4"/>
      <c r="AS428" s="4"/>
      <c r="AT428" s="4"/>
      <c r="AU428" s="4"/>
    </row>
    <row r="429" spans="1:47" s="121" customFormat="1" ht="111.95" hidden="1" customHeight="1" x14ac:dyDescent="0.25">
      <c r="A429" s="109">
        <v>296</v>
      </c>
      <c r="B429" s="109" t="s">
        <v>109</v>
      </c>
      <c r="C429" s="109"/>
      <c r="D429" s="109"/>
      <c r="E429" s="109"/>
      <c r="F429" s="111" t="s">
        <v>110</v>
      </c>
      <c r="G429" s="112" t="s">
        <v>856</v>
      </c>
      <c r="H429" s="112" t="s">
        <v>1193</v>
      </c>
      <c r="I429" s="113" t="s">
        <v>112</v>
      </c>
      <c r="J429" s="112" t="s">
        <v>864</v>
      </c>
      <c r="K429" s="112"/>
      <c r="L429" s="114"/>
      <c r="M429" s="114"/>
      <c r="N429" s="115">
        <v>43497</v>
      </c>
      <c r="O429" s="115">
        <v>43861</v>
      </c>
      <c r="P429" s="116">
        <f t="shared" ref="P429:P436" si="144">(O429-N429)/365</f>
        <v>0.99726027397260275</v>
      </c>
      <c r="Q429" s="110" t="s">
        <v>32</v>
      </c>
      <c r="R429" s="110" t="s">
        <v>115</v>
      </c>
      <c r="S429" s="110" t="str">
        <f t="shared" si="140"/>
        <v>Z</v>
      </c>
      <c r="T429" s="117">
        <v>3</v>
      </c>
      <c r="U429" s="117">
        <v>3</v>
      </c>
      <c r="V429" s="117">
        <v>3</v>
      </c>
      <c r="W429" s="117">
        <f t="shared" si="139"/>
        <v>9</v>
      </c>
      <c r="X429" s="117" t="str">
        <f t="shared" si="141"/>
        <v>Penting</v>
      </c>
      <c r="Y429" s="111"/>
      <c r="Z429" s="122"/>
      <c r="AA429" s="115"/>
      <c r="AB429" s="115"/>
      <c r="AC429" s="115"/>
      <c r="AD429" s="25" t="s">
        <v>15</v>
      </c>
      <c r="AE429" s="118">
        <v>43497</v>
      </c>
      <c r="AF429" s="110" t="s">
        <v>859</v>
      </c>
      <c r="AG429" s="110"/>
      <c r="AH429" s="25"/>
      <c r="AI429" s="25"/>
      <c r="AJ429" s="25"/>
      <c r="AK429" s="25"/>
      <c r="AL429" s="25"/>
      <c r="AM429" s="25"/>
      <c r="AN429" s="33"/>
      <c r="AO429" s="119"/>
      <c r="AP429" s="120"/>
      <c r="AQ429" s="4"/>
      <c r="AR429" s="4"/>
      <c r="AS429" s="4"/>
      <c r="AT429" s="4"/>
      <c r="AU429" s="4"/>
    </row>
    <row r="430" spans="1:47" s="121" customFormat="1" ht="111.95" hidden="1" customHeight="1" x14ac:dyDescent="0.25">
      <c r="A430" s="109">
        <v>297</v>
      </c>
      <c r="B430" s="109" t="s">
        <v>109</v>
      </c>
      <c r="C430" s="109"/>
      <c r="D430" s="109"/>
      <c r="E430" s="109"/>
      <c r="F430" s="111" t="s">
        <v>110</v>
      </c>
      <c r="G430" s="112" t="s">
        <v>856</v>
      </c>
      <c r="H430" s="112" t="s">
        <v>1194</v>
      </c>
      <c r="I430" s="113" t="s">
        <v>112</v>
      </c>
      <c r="J430" s="112" t="s">
        <v>864</v>
      </c>
      <c r="K430" s="112"/>
      <c r="L430" s="114"/>
      <c r="M430" s="114"/>
      <c r="N430" s="115">
        <v>43244</v>
      </c>
      <c r="O430" s="115">
        <v>43608</v>
      </c>
      <c r="P430" s="116">
        <f t="shared" si="144"/>
        <v>0.99726027397260275</v>
      </c>
      <c r="Q430" s="110" t="s">
        <v>32</v>
      </c>
      <c r="R430" s="110" t="s">
        <v>115</v>
      </c>
      <c r="S430" s="110" t="str">
        <f t="shared" si="140"/>
        <v>Z</v>
      </c>
      <c r="T430" s="117">
        <v>3</v>
      </c>
      <c r="U430" s="117">
        <v>3</v>
      </c>
      <c r="V430" s="117">
        <v>3</v>
      </c>
      <c r="W430" s="117">
        <f t="shared" si="139"/>
        <v>9</v>
      </c>
      <c r="X430" s="117" t="str">
        <f t="shared" si="141"/>
        <v>Penting</v>
      </c>
      <c r="Y430" s="111"/>
      <c r="Z430" s="122"/>
      <c r="AA430" s="115"/>
      <c r="AB430" s="115"/>
      <c r="AC430" s="115"/>
      <c r="AD430" s="25" t="s">
        <v>15</v>
      </c>
      <c r="AE430" s="118">
        <v>43497</v>
      </c>
      <c r="AF430" s="110" t="s">
        <v>859</v>
      </c>
      <c r="AG430" s="110"/>
      <c r="AH430" s="25"/>
      <c r="AI430" s="25"/>
      <c r="AJ430" s="25"/>
      <c r="AK430" s="25"/>
      <c r="AL430" s="25"/>
      <c r="AM430" s="25"/>
      <c r="AN430" s="33"/>
      <c r="AO430" s="119"/>
      <c r="AP430" s="120"/>
      <c r="AQ430" s="4"/>
      <c r="AR430" s="4"/>
      <c r="AS430" s="4"/>
      <c r="AT430" s="4"/>
      <c r="AU430" s="4"/>
    </row>
    <row r="431" spans="1:47" s="121" customFormat="1" ht="111.95" hidden="1" customHeight="1" x14ac:dyDescent="0.25">
      <c r="A431" s="109">
        <v>298</v>
      </c>
      <c r="B431" s="109" t="s">
        <v>109</v>
      </c>
      <c r="C431" s="109"/>
      <c r="D431" s="109"/>
      <c r="E431" s="109"/>
      <c r="F431" s="111" t="s">
        <v>110</v>
      </c>
      <c r="G431" s="112" t="s">
        <v>856</v>
      </c>
      <c r="H431" s="112" t="s">
        <v>1195</v>
      </c>
      <c r="I431" s="113" t="s">
        <v>112</v>
      </c>
      <c r="J431" s="112" t="s">
        <v>864</v>
      </c>
      <c r="K431" s="112"/>
      <c r="L431" s="114"/>
      <c r="M431" s="114"/>
      <c r="N431" s="115">
        <v>43296</v>
      </c>
      <c r="O431" s="115">
        <v>43660</v>
      </c>
      <c r="P431" s="116">
        <f t="shared" si="144"/>
        <v>0.99726027397260275</v>
      </c>
      <c r="Q431" s="110" t="s">
        <v>32</v>
      </c>
      <c r="R431" s="110" t="s">
        <v>115</v>
      </c>
      <c r="S431" s="110" t="str">
        <f t="shared" si="140"/>
        <v>Z</v>
      </c>
      <c r="T431" s="117">
        <v>3</v>
      </c>
      <c r="U431" s="117">
        <v>3</v>
      </c>
      <c r="V431" s="117">
        <v>3</v>
      </c>
      <c r="W431" s="117">
        <f t="shared" si="139"/>
        <v>9</v>
      </c>
      <c r="X431" s="117" t="str">
        <f t="shared" si="141"/>
        <v>Penting</v>
      </c>
      <c r="Y431" s="111"/>
      <c r="Z431" s="122"/>
      <c r="AA431" s="115"/>
      <c r="AB431" s="115"/>
      <c r="AC431" s="115"/>
      <c r="AD431" s="25" t="s">
        <v>15</v>
      </c>
      <c r="AE431" s="118">
        <v>43497</v>
      </c>
      <c r="AF431" s="110" t="s">
        <v>859</v>
      </c>
      <c r="AG431" s="110"/>
      <c r="AH431" s="25"/>
      <c r="AI431" s="25"/>
      <c r="AJ431" s="25"/>
      <c r="AK431" s="25"/>
      <c r="AL431" s="25"/>
      <c r="AM431" s="25"/>
      <c r="AN431" s="33"/>
      <c r="AO431" s="119"/>
      <c r="AP431" s="120"/>
      <c r="AQ431" s="4"/>
      <c r="AR431" s="4"/>
      <c r="AS431" s="4"/>
      <c r="AT431" s="4"/>
      <c r="AU431" s="4"/>
    </row>
    <row r="432" spans="1:47" s="121" customFormat="1" ht="111.95" hidden="1" customHeight="1" x14ac:dyDescent="0.25">
      <c r="A432" s="109">
        <v>299</v>
      </c>
      <c r="B432" s="109" t="s">
        <v>109</v>
      </c>
      <c r="C432" s="109"/>
      <c r="D432" s="109"/>
      <c r="E432" s="109"/>
      <c r="F432" s="111" t="s">
        <v>110</v>
      </c>
      <c r="G432" s="112" t="s">
        <v>856</v>
      </c>
      <c r="H432" s="112" t="s">
        <v>1196</v>
      </c>
      <c r="I432" s="113" t="s">
        <v>112</v>
      </c>
      <c r="J432" s="112" t="s">
        <v>864</v>
      </c>
      <c r="K432" s="112"/>
      <c r="L432" s="114"/>
      <c r="M432" s="114"/>
      <c r="N432" s="115">
        <v>43189</v>
      </c>
      <c r="O432" s="115">
        <v>43553</v>
      </c>
      <c r="P432" s="116">
        <f t="shared" si="144"/>
        <v>0.99726027397260275</v>
      </c>
      <c r="Q432" s="110" t="s">
        <v>32</v>
      </c>
      <c r="R432" s="110" t="s">
        <v>115</v>
      </c>
      <c r="S432" s="110" t="str">
        <f t="shared" si="140"/>
        <v>Z</v>
      </c>
      <c r="T432" s="117">
        <v>3</v>
      </c>
      <c r="U432" s="117">
        <v>3</v>
      </c>
      <c r="V432" s="117">
        <v>3</v>
      </c>
      <c r="W432" s="117">
        <f t="shared" si="139"/>
        <v>9</v>
      </c>
      <c r="X432" s="117" t="str">
        <f t="shared" si="141"/>
        <v>Penting</v>
      </c>
      <c r="Y432" s="111"/>
      <c r="Z432" s="122"/>
      <c r="AA432" s="115"/>
      <c r="AB432" s="115"/>
      <c r="AC432" s="115"/>
      <c r="AD432" s="25" t="s">
        <v>15</v>
      </c>
      <c r="AE432" s="118">
        <v>43497</v>
      </c>
      <c r="AF432" s="110" t="s">
        <v>859</v>
      </c>
      <c r="AG432" s="110"/>
      <c r="AH432" s="25"/>
      <c r="AI432" s="25"/>
      <c r="AJ432" s="25"/>
      <c r="AK432" s="25"/>
      <c r="AL432" s="25"/>
      <c r="AM432" s="25"/>
      <c r="AN432" s="33"/>
      <c r="AO432" s="119"/>
      <c r="AP432" s="120"/>
      <c r="AQ432" s="4"/>
      <c r="AR432" s="4"/>
      <c r="AS432" s="4"/>
      <c r="AT432" s="4"/>
      <c r="AU432" s="4"/>
    </row>
    <row r="433" spans="1:49" s="121" customFormat="1" ht="111.95" hidden="1" customHeight="1" x14ac:dyDescent="0.25">
      <c r="A433" s="109">
        <v>300</v>
      </c>
      <c r="B433" s="109" t="s">
        <v>109</v>
      </c>
      <c r="C433" s="109"/>
      <c r="D433" s="109"/>
      <c r="E433" s="109"/>
      <c r="F433" s="111" t="s">
        <v>221</v>
      </c>
      <c r="G433" s="112" t="s">
        <v>222</v>
      </c>
      <c r="H433" s="112" t="s">
        <v>223</v>
      </c>
      <c r="I433" s="113" t="s">
        <v>150</v>
      </c>
      <c r="J433" s="112" t="s">
        <v>224</v>
      </c>
      <c r="K433" s="112" t="s">
        <v>225</v>
      </c>
      <c r="L433" s="114" t="s">
        <v>226</v>
      </c>
      <c r="M433" s="114"/>
      <c r="N433" s="115">
        <v>44501</v>
      </c>
      <c r="O433" s="115">
        <v>44742</v>
      </c>
      <c r="P433" s="116">
        <f t="shared" si="144"/>
        <v>0.66027397260273968</v>
      </c>
      <c r="Q433" s="110" t="s">
        <v>42</v>
      </c>
      <c r="R433" s="110" t="s">
        <v>115</v>
      </c>
      <c r="S433" s="110" t="str">
        <f t="shared" si="140"/>
        <v>Z</v>
      </c>
      <c r="T433" s="117">
        <v>3</v>
      </c>
      <c r="U433" s="117">
        <v>2</v>
      </c>
      <c r="V433" s="117">
        <v>1</v>
      </c>
      <c r="W433" s="117">
        <f t="shared" si="139"/>
        <v>6</v>
      </c>
      <c r="X433" s="117" t="str">
        <f t="shared" si="141"/>
        <v>Penting</v>
      </c>
      <c r="Y433" s="111" t="s">
        <v>227</v>
      </c>
      <c r="Z433" s="122"/>
      <c r="AA433" s="115"/>
      <c r="AB433" s="115"/>
      <c r="AC433" s="115"/>
      <c r="AD433" s="25"/>
      <c r="AE433" s="118"/>
      <c r="AF433" s="110" t="s">
        <v>228</v>
      </c>
      <c r="AG433" s="110" t="s">
        <v>117</v>
      </c>
      <c r="AH433" s="25"/>
      <c r="AI433" s="25"/>
      <c r="AJ433" s="25"/>
      <c r="AK433" s="25"/>
      <c r="AL433" s="25"/>
      <c r="AM433" s="25"/>
      <c r="AN433" s="33"/>
      <c r="AO433" s="119">
        <v>44512</v>
      </c>
      <c r="AP433" s="120"/>
      <c r="AQ433" s="4"/>
      <c r="AR433" s="4"/>
      <c r="AS433" s="4"/>
      <c r="AT433" s="4"/>
      <c r="AU433" s="4"/>
    </row>
    <row r="434" spans="1:49" s="121" customFormat="1" ht="111.95" hidden="1" customHeight="1" x14ac:dyDescent="0.25">
      <c r="A434" s="109">
        <v>301</v>
      </c>
      <c r="B434" s="109" t="s">
        <v>109</v>
      </c>
      <c r="C434" s="109"/>
      <c r="D434" s="109"/>
      <c r="E434" s="109"/>
      <c r="F434" s="111" t="s">
        <v>1016</v>
      </c>
      <c r="G434" s="112" t="s">
        <v>244</v>
      </c>
      <c r="H434" s="112" t="s">
        <v>1017</v>
      </c>
      <c r="I434" s="113" t="s">
        <v>112</v>
      </c>
      <c r="J434" s="112" t="s">
        <v>1018</v>
      </c>
      <c r="K434" s="112" t="s">
        <v>1019</v>
      </c>
      <c r="L434" s="114" t="s">
        <v>226</v>
      </c>
      <c r="M434" s="114"/>
      <c r="N434" s="115">
        <v>44013</v>
      </c>
      <c r="O434" s="115">
        <v>44742</v>
      </c>
      <c r="P434" s="116">
        <f t="shared" si="144"/>
        <v>1.9972602739726026</v>
      </c>
      <c r="Q434" s="110" t="s">
        <v>42</v>
      </c>
      <c r="R434" s="110" t="s">
        <v>115</v>
      </c>
      <c r="S434" s="110" t="str">
        <f t="shared" si="140"/>
        <v>Z</v>
      </c>
      <c r="T434" s="117">
        <v>1</v>
      </c>
      <c r="U434" s="117">
        <v>1</v>
      </c>
      <c r="V434" s="117">
        <v>1</v>
      </c>
      <c r="W434" s="117">
        <f t="shared" ref="W434:W437" si="145">T434+U434+V434</f>
        <v>3</v>
      </c>
      <c r="X434" s="117" t="str">
        <f t="shared" si="141"/>
        <v>Biasa</v>
      </c>
      <c r="Y434" s="111" t="s">
        <v>1008</v>
      </c>
      <c r="Z434" s="122" t="s">
        <v>117</v>
      </c>
      <c r="AA434" s="115">
        <f>N434+635</f>
        <v>44648</v>
      </c>
      <c r="AB434" s="115">
        <f>+N434+1000</f>
        <v>45013</v>
      </c>
      <c r="AC434" s="115"/>
      <c r="AD434" s="25"/>
      <c r="AE434" s="118"/>
      <c r="AF434" s="110" t="s">
        <v>1074</v>
      </c>
      <c r="AG434" s="110" t="s">
        <v>117</v>
      </c>
      <c r="AH434" s="25"/>
      <c r="AI434" s="25"/>
      <c r="AJ434" s="25"/>
      <c r="AK434" s="25"/>
      <c r="AL434" s="25"/>
      <c r="AM434" s="25"/>
      <c r="AN434" s="33"/>
      <c r="AO434" s="119">
        <v>43991</v>
      </c>
      <c r="AP434" s="120"/>
      <c r="AQ434" s="4"/>
      <c r="AR434" s="4"/>
      <c r="AS434" s="4"/>
      <c r="AT434" s="4"/>
      <c r="AU434" s="4"/>
    </row>
    <row r="435" spans="1:49" s="121" customFormat="1" ht="111.95" hidden="1" customHeight="1" x14ac:dyDescent="0.25">
      <c r="A435" s="109">
        <v>302</v>
      </c>
      <c r="B435" s="109" t="s">
        <v>109</v>
      </c>
      <c r="C435" s="109"/>
      <c r="D435" s="109"/>
      <c r="E435" s="109"/>
      <c r="F435" s="111" t="s">
        <v>1120</v>
      </c>
      <c r="G435" s="112" t="s">
        <v>244</v>
      </c>
      <c r="H435" s="112" t="s">
        <v>1121</v>
      </c>
      <c r="I435" s="113" t="s">
        <v>112</v>
      </c>
      <c r="J435" s="112" t="s">
        <v>1122</v>
      </c>
      <c r="K435" s="112" t="s">
        <v>1123</v>
      </c>
      <c r="L435" s="114" t="s">
        <v>361</v>
      </c>
      <c r="M435" s="114"/>
      <c r="N435" s="115">
        <v>43922</v>
      </c>
      <c r="O435" s="115">
        <v>44651</v>
      </c>
      <c r="P435" s="116">
        <f t="shared" si="144"/>
        <v>1.9972602739726026</v>
      </c>
      <c r="Q435" s="110" t="s">
        <v>42</v>
      </c>
      <c r="R435" s="110" t="s">
        <v>115</v>
      </c>
      <c r="S435" s="110" t="str">
        <f t="shared" ref="S435:S437" si="146">IF(R435="End","Z",IF(R435="Cancel","C",IF(SUM(R435)&gt;0,"O",IF(ISBLANK(R435),"X",IF(SUM(R435)&lt;0,"Y",IF(SUM(R435),"-","O"))))))</f>
        <v>Z</v>
      </c>
      <c r="T435" s="117">
        <v>1</v>
      </c>
      <c r="U435" s="117">
        <v>2</v>
      </c>
      <c r="V435" s="117">
        <v>2</v>
      </c>
      <c r="W435" s="117">
        <f t="shared" si="145"/>
        <v>5</v>
      </c>
      <c r="X435" s="117" t="str">
        <f t="shared" ref="X435:X437" si="147">IF(W435&gt;5,"Penting",IF(ISBLANK(W435),"","Biasa"))</f>
        <v>Biasa</v>
      </c>
      <c r="Y435" s="111" t="s">
        <v>1124</v>
      </c>
      <c r="Z435" s="122"/>
      <c r="AA435" s="115"/>
      <c r="AB435" s="115"/>
      <c r="AC435" s="115"/>
      <c r="AD435" s="25"/>
      <c r="AE435" s="118"/>
      <c r="AF435" s="110" t="s">
        <v>1074</v>
      </c>
      <c r="AG435" s="110" t="s">
        <v>117</v>
      </c>
      <c r="AH435" s="25"/>
      <c r="AI435" s="25"/>
      <c r="AJ435" s="25"/>
      <c r="AK435" s="25"/>
      <c r="AL435" s="25"/>
      <c r="AM435" s="25"/>
      <c r="AN435" s="33"/>
      <c r="AO435" s="119">
        <v>43948</v>
      </c>
      <c r="AP435" s="120"/>
      <c r="AQ435" s="4"/>
      <c r="AR435" s="4"/>
      <c r="AS435" s="4"/>
      <c r="AT435" s="4"/>
      <c r="AU435" s="4"/>
    </row>
    <row r="436" spans="1:49" s="121" customFormat="1" ht="111.75" hidden="1" customHeight="1" x14ac:dyDescent="0.25">
      <c r="A436" s="109">
        <v>303</v>
      </c>
      <c r="B436" s="109" t="s">
        <v>109</v>
      </c>
      <c r="C436" s="109"/>
      <c r="D436" s="109"/>
      <c r="E436" s="109"/>
      <c r="F436" s="111" t="s">
        <v>1129</v>
      </c>
      <c r="G436" s="112" t="s">
        <v>244</v>
      </c>
      <c r="H436" s="112" t="s">
        <v>1130</v>
      </c>
      <c r="I436" s="113" t="s">
        <v>112</v>
      </c>
      <c r="J436" s="112" t="s">
        <v>1131</v>
      </c>
      <c r="K436" s="112" t="s">
        <v>1132</v>
      </c>
      <c r="L436" s="114">
        <v>890000</v>
      </c>
      <c r="M436" s="114" t="s">
        <v>1133</v>
      </c>
      <c r="N436" s="115">
        <v>43910</v>
      </c>
      <c r="O436" s="115">
        <v>44640</v>
      </c>
      <c r="P436" s="116">
        <f t="shared" si="144"/>
        <v>2</v>
      </c>
      <c r="Q436" s="110" t="s">
        <v>42</v>
      </c>
      <c r="R436" s="110" t="s">
        <v>115</v>
      </c>
      <c r="S436" s="110" t="str">
        <f t="shared" si="146"/>
        <v>Z</v>
      </c>
      <c r="T436" s="117">
        <v>2</v>
      </c>
      <c r="U436" s="117">
        <v>1</v>
      </c>
      <c r="V436" s="117">
        <v>3</v>
      </c>
      <c r="W436" s="117">
        <f t="shared" si="145"/>
        <v>6</v>
      </c>
      <c r="X436" s="117" t="str">
        <f t="shared" si="147"/>
        <v>Penting</v>
      </c>
      <c r="Y436" s="111" t="s">
        <v>1134</v>
      </c>
      <c r="Z436" s="122"/>
      <c r="AA436" s="115"/>
      <c r="AB436" s="115"/>
      <c r="AC436" s="115"/>
      <c r="AD436" s="25"/>
      <c r="AE436" s="118"/>
      <c r="AF436" s="110" t="s">
        <v>1074</v>
      </c>
      <c r="AG436" s="110" t="s">
        <v>117</v>
      </c>
      <c r="AH436" s="25"/>
      <c r="AI436" s="25"/>
      <c r="AJ436" s="25"/>
      <c r="AK436" s="25"/>
      <c r="AL436" s="25"/>
      <c r="AM436" s="25"/>
      <c r="AN436" s="33"/>
      <c r="AO436" s="119">
        <v>43978</v>
      </c>
      <c r="AP436" s="120"/>
      <c r="AQ436" s="4"/>
      <c r="AR436" s="4"/>
      <c r="AS436" s="4"/>
      <c r="AT436" s="4"/>
      <c r="AU436" s="4"/>
    </row>
    <row r="437" spans="1:49" s="121" customFormat="1" ht="111.95" hidden="1" customHeight="1" x14ac:dyDescent="0.25">
      <c r="A437" s="109">
        <v>304</v>
      </c>
      <c r="B437" s="109" t="s">
        <v>109</v>
      </c>
      <c r="C437" s="109"/>
      <c r="D437" s="109"/>
      <c r="E437" s="109"/>
      <c r="F437" s="111" t="s">
        <v>370</v>
      </c>
      <c r="G437" s="112" t="s">
        <v>244</v>
      </c>
      <c r="H437" s="112" t="s">
        <v>1080</v>
      </c>
      <c r="I437" s="113" t="s">
        <v>112</v>
      </c>
      <c r="J437" s="112" t="s">
        <v>372</v>
      </c>
      <c r="K437" s="112" t="s">
        <v>373</v>
      </c>
      <c r="L437" s="114" t="s">
        <v>226</v>
      </c>
      <c r="M437" s="114"/>
      <c r="N437" s="115">
        <v>44013</v>
      </c>
      <c r="O437" s="115">
        <v>44742</v>
      </c>
      <c r="P437" s="116">
        <f>(O437-N437)/365</f>
        <v>1.9972602739726026</v>
      </c>
      <c r="Q437" s="110" t="s">
        <v>42</v>
      </c>
      <c r="R437" s="110" t="s">
        <v>115</v>
      </c>
      <c r="S437" s="110" t="str">
        <f t="shared" si="146"/>
        <v>Z</v>
      </c>
      <c r="T437" s="117">
        <v>2</v>
      </c>
      <c r="U437" s="117">
        <v>2</v>
      </c>
      <c r="V437" s="117">
        <v>1</v>
      </c>
      <c r="W437" s="117">
        <f t="shared" si="145"/>
        <v>5</v>
      </c>
      <c r="X437" s="117" t="str">
        <f t="shared" si="147"/>
        <v>Biasa</v>
      </c>
      <c r="Y437" s="111" t="s">
        <v>374</v>
      </c>
      <c r="Z437" s="122"/>
      <c r="AA437" s="115"/>
      <c r="AB437" s="115"/>
      <c r="AC437" s="115"/>
      <c r="AD437" s="25" t="s">
        <v>15</v>
      </c>
      <c r="AE437" s="118">
        <v>44501</v>
      </c>
      <c r="AF437" s="110" t="s">
        <v>228</v>
      </c>
      <c r="AG437" s="110" t="s">
        <v>117</v>
      </c>
      <c r="AH437" s="25"/>
      <c r="AI437" s="25"/>
      <c r="AJ437" s="25"/>
      <c r="AK437" s="25"/>
      <c r="AL437" s="25"/>
      <c r="AM437" s="25"/>
      <c r="AN437" s="33"/>
      <c r="AO437" s="119"/>
      <c r="AP437" s="120"/>
      <c r="AQ437" s="4"/>
      <c r="AR437" s="4"/>
      <c r="AS437" s="4"/>
      <c r="AT437" s="4"/>
      <c r="AU437" s="4"/>
    </row>
    <row r="438" spans="1:49" s="121" customFormat="1" ht="111.95" hidden="1" customHeight="1" x14ac:dyDescent="0.25">
      <c r="A438" s="109">
        <v>305</v>
      </c>
      <c r="B438" s="109" t="s">
        <v>109</v>
      </c>
      <c r="C438" s="109"/>
      <c r="D438" s="109"/>
      <c r="E438" s="109"/>
      <c r="F438" s="111" t="s">
        <v>110</v>
      </c>
      <c r="G438" s="112" t="s">
        <v>892</v>
      </c>
      <c r="H438" s="112" t="s">
        <v>893</v>
      </c>
      <c r="I438" s="113" t="s">
        <v>112</v>
      </c>
      <c r="J438" s="112" t="s">
        <v>894</v>
      </c>
      <c r="K438" s="112"/>
      <c r="L438" s="114"/>
      <c r="M438" s="114"/>
      <c r="N438" s="115">
        <v>43040</v>
      </c>
      <c r="O438" s="115">
        <v>44865</v>
      </c>
      <c r="P438" s="116">
        <f t="shared" ref="P438" si="148">(O438-N438)/365</f>
        <v>5</v>
      </c>
      <c r="Q438" s="110" t="s">
        <v>36</v>
      </c>
      <c r="R438" s="110" t="s">
        <v>115</v>
      </c>
      <c r="S438" s="110" t="str">
        <f t="shared" ref="S438" si="149">IF(R438="End","Z",IF(R438="Cancel","C",IF(SUM(R438)&gt;0,"O",IF(ISBLANK(R438),"X",IF(SUM(R438)&lt;0,"Y",IF(SUM(R438),"-","O"))))))</f>
        <v>Z</v>
      </c>
      <c r="T438" s="117">
        <v>3</v>
      </c>
      <c r="U438" s="117">
        <v>3</v>
      </c>
      <c r="V438" s="117">
        <v>3</v>
      </c>
      <c r="W438" s="117">
        <f t="shared" ref="W438" si="150">T438+U438+V438</f>
        <v>9</v>
      </c>
      <c r="X438" s="117" t="str">
        <f t="shared" ref="X438" si="151">IF(W438&gt;5,"Penting",IF(ISBLANK(W438),"","Biasa"))</f>
        <v>Penting</v>
      </c>
      <c r="Y438" s="111"/>
      <c r="Z438" s="122" t="s">
        <v>117</v>
      </c>
      <c r="AA438" s="115">
        <f>N438+1365</f>
        <v>44405</v>
      </c>
      <c r="AB438" s="115"/>
      <c r="AC438" s="115"/>
      <c r="AD438" s="25"/>
      <c r="AE438" s="118"/>
      <c r="AF438" s="110" t="s">
        <v>895</v>
      </c>
      <c r="AG438" s="110" t="s">
        <v>117</v>
      </c>
      <c r="AH438" s="25"/>
      <c r="AI438" s="25"/>
      <c r="AJ438" s="25"/>
      <c r="AK438" s="25"/>
      <c r="AL438" s="25"/>
      <c r="AM438" s="25"/>
      <c r="AN438" s="33"/>
      <c r="AO438" s="119"/>
      <c r="AP438" s="120"/>
      <c r="AQ438" s="126"/>
      <c r="AR438" s="4"/>
      <c r="AS438" s="4"/>
      <c r="AW438" s="127"/>
    </row>
    <row r="439" spans="1:49" x14ac:dyDescent="0.25">
      <c r="A439" s="128"/>
      <c r="B439" s="128"/>
      <c r="C439" s="128"/>
      <c r="D439" s="128"/>
      <c r="E439" s="128"/>
      <c r="F439" s="128"/>
      <c r="G439" s="129"/>
      <c r="H439" s="129"/>
      <c r="I439" s="129"/>
      <c r="J439" s="129"/>
      <c r="K439" s="129"/>
      <c r="L439" s="129"/>
      <c r="M439" s="129"/>
      <c r="N439" s="130"/>
      <c r="O439" s="130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</row>
    <row r="440" spans="1:49" ht="27.75" x14ac:dyDescent="0.35">
      <c r="A440" s="131"/>
      <c r="B440" s="131"/>
      <c r="C440" s="131"/>
      <c r="D440" s="131"/>
      <c r="E440" s="131"/>
      <c r="F440" s="131"/>
      <c r="G440" s="132"/>
      <c r="H440" s="132"/>
      <c r="I440" s="132"/>
      <c r="J440" s="133"/>
      <c r="K440" s="134"/>
      <c r="L440" s="135"/>
      <c r="M440" s="135"/>
      <c r="N440" s="136"/>
      <c r="O440" s="136"/>
      <c r="P440" s="137"/>
      <c r="Q440" s="138"/>
      <c r="R440" s="139"/>
      <c r="S440" s="140"/>
      <c r="T440" s="140"/>
      <c r="U440" s="140"/>
      <c r="V440" s="140"/>
      <c r="W440" s="141"/>
      <c r="X440" s="141"/>
      <c r="Y440" s="138"/>
      <c r="Z440" s="138"/>
      <c r="AA440" s="138"/>
      <c r="AB440" s="138"/>
      <c r="AC440" s="138"/>
      <c r="AD440" s="138"/>
      <c r="AE440" s="138"/>
      <c r="AF440" s="142"/>
      <c r="AG440" s="142"/>
    </row>
    <row r="441" spans="1:49" ht="27.75" x14ac:dyDescent="0.35">
      <c r="A441" s="131"/>
      <c r="B441" s="131"/>
      <c r="C441" s="131"/>
      <c r="D441" s="131"/>
      <c r="E441" s="131"/>
      <c r="F441" s="131"/>
      <c r="G441" s="132"/>
      <c r="H441" s="132"/>
      <c r="I441" s="132"/>
      <c r="J441" s="133"/>
      <c r="K441" s="134"/>
      <c r="L441" s="135"/>
      <c r="M441" s="135"/>
      <c r="N441" s="136"/>
      <c r="O441" s="136"/>
      <c r="P441" s="137"/>
      <c r="Q441" s="138"/>
      <c r="R441" s="139"/>
      <c r="S441" s="140"/>
      <c r="T441" s="140"/>
      <c r="U441" s="140"/>
      <c r="V441" s="140"/>
      <c r="W441" s="141"/>
      <c r="X441" s="141"/>
      <c r="Y441" s="138"/>
      <c r="Z441" s="138"/>
      <c r="AA441" s="138"/>
      <c r="AB441" s="138"/>
      <c r="AC441" s="138"/>
      <c r="AD441" s="138"/>
      <c r="AE441" s="138"/>
      <c r="AF441" s="142"/>
      <c r="AG441" s="142"/>
    </row>
    <row r="442" spans="1:49" ht="27.75" x14ac:dyDescent="0.35">
      <c r="A442" s="131"/>
      <c r="B442" s="131"/>
      <c r="C442" s="131"/>
      <c r="D442" s="131"/>
      <c r="E442" s="131"/>
      <c r="F442" s="131"/>
      <c r="G442" s="132"/>
      <c r="H442" s="132"/>
      <c r="I442" s="132"/>
      <c r="J442" s="133"/>
      <c r="K442" s="134"/>
      <c r="L442" s="135"/>
      <c r="M442" s="135"/>
      <c r="N442" s="136"/>
      <c r="O442" s="136"/>
      <c r="P442" s="137"/>
      <c r="Q442" s="138"/>
      <c r="R442" s="139"/>
      <c r="S442" s="140"/>
      <c r="T442" s="140"/>
      <c r="U442" s="140"/>
      <c r="V442" s="140"/>
      <c r="W442" s="141"/>
      <c r="X442" s="141"/>
      <c r="Y442" s="138"/>
      <c r="Z442" s="138"/>
      <c r="AA442" s="138"/>
      <c r="AB442" s="138"/>
      <c r="AC442" s="138"/>
      <c r="AD442" s="138"/>
      <c r="AE442" s="138"/>
      <c r="AF442" s="142"/>
      <c r="AG442" s="142"/>
    </row>
    <row r="443" spans="1:49" ht="23.25" x14ac:dyDescent="0.35">
      <c r="A443" s="131"/>
      <c r="B443" s="131"/>
      <c r="C443" s="131"/>
      <c r="D443" s="131"/>
      <c r="E443" s="131"/>
      <c r="F443" s="131"/>
      <c r="G443" s="132"/>
      <c r="H443" s="132"/>
      <c r="I443" s="132"/>
      <c r="J443" s="133"/>
      <c r="K443" s="134"/>
      <c r="L443" s="135"/>
      <c r="M443" s="135"/>
      <c r="N443" s="136"/>
      <c r="O443" s="136"/>
      <c r="P443" s="137"/>
      <c r="Q443" s="138"/>
      <c r="R443" s="138"/>
      <c r="S443" s="140"/>
      <c r="T443" s="140"/>
      <c r="U443" s="140"/>
      <c r="V443" s="140"/>
      <c r="W443" s="140"/>
      <c r="X443" s="140"/>
      <c r="Y443" s="138"/>
      <c r="Z443" s="138"/>
      <c r="AA443" s="138"/>
      <c r="AB443" s="138"/>
      <c r="AC443" s="138"/>
      <c r="AD443" s="138"/>
      <c r="AE443" s="138"/>
      <c r="AF443" s="142"/>
      <c r="AG443" s="142"/>
    </row>
    <row r="444" spans="1:49" ht="23.25" x14ac:dyDescent="0.35">
      <c r="A444" s="131"/>
      <c r="B444" s="131"/>
      <c r="C444" s="131"/>
      <c r="D444" s="131"/>
      <c r="E444" s="131"/>
      <c r="F444" s="131"/>
      <c r="G444" s="132"/>
      <c r="H444" s="132"/>
      <c r="I444" s="132"/>
      <c r="J444" s="133"/>
      <c r="K444" s="134"/>
      <c r="L444" s="135"/>
      <c r="M444" s="135"/>
      <c r="N444" s="136"/>
      <c r="O444" s="136"/>
      <c r="P444" s="137"/>
      <c r="Q444" s="138"/>
      <c r="R444" s="138"/>
      <c r="S444" s="140"/>
      <c r="T444" s="140"/>
      <c r="U444" s="140"/>
      <c r="V444" s="140"/>
      <c r="W444" s="140"/>
      <c r="X444" s="140"/>
      <c r="Y444" s="138"/>
      <c r="Z444" s="138"/>
      <c r="AA444" s="138"/>
      <c r="AB444" s="138"/>
      <c r="AC444" s="138"/>
      <c r="AD444" s="138"/>
      <c r="AE444" s="138"/>
      <c r="AF444" s="142"/>
      <c r="AG444" s="142"/>
    </row>
    <row r="445" spans="1:49" ht="23.25" x14ac:dyDescent="0.35">
      <c r="A445" s="131"/>
      <c r="B445" s="131"/>
      <c r="C445" s="131"/>
      <c r="D445" s="131"/>
      <c r="E445" s="131"/>
      <c r="F445" s="131"/>
      <c r="G445" s="132"/>
      <c r="H445" s="132"/>
      <c r="I445" s="132"/>
      <c r="J445" s="133"/>
      <c r="K445" s="134"/>
      <c r="L445" s="135"/>
      <c r="M445" s="135"/>
      <c r="N445" s="136"/>
      <c r="O445" s="136"/>
      <c r="P445" s="137"/>
      <c r="Q445" s="138"/>
      <c r="R445" s="138"/>
      <c r="S445" s="140"/>
      <c r="T445" s="140"/>
      <c r="U445" s="140"/>
      <c r="V445" s="140"/>
      <c r="W445" s="140"/>
      <c r="X445" s="140"/>
      <c r="Y445" s="138"/>
      <c r="Z445" s="138"/>
      <c r="AA445" s="138"/>
      <c r="AB445" s="138"/>
      <c r="AC445" s="138"/>
      <c r="AD445" s="138"/>
      <c r="AE445" s="138"/>
      <c r="AF445" s="142"/>
      <c r="AG445" s="142"/>
    </row>
    <row r="446" spans="1:49" ht="23.25" x14ac:dyDescent="0.35">
      <c r="A446" s="131"/>
      <c r="B446" s="131"/>
      <c r="C446" s="131"/>
      <c r="D446" s="131"/>
      <c r="E446" s="131"/>
      <c r="F446" s="131"/>
      <c r="G446" s="132"/>
      <c r="H446" s="132"/>
      <c r="I446" s="132"/>
      <c r="J446" s="133"/>
      <c r="K446" s="134"/>
      <c r="L446" s="135"/>
      <c r="M446" s="135"/>
      <c r="N446" s="136"/>
      <c r="O446" s="136"/>
      <c r="P446" s="137"/>
      <c r="Q446" s="138"/>
      <c r="R446" s="138"/>
      <c r="S446" s="140"/>
      <c r="T446" s="140"/>
      <c r="U446" s="140"/>
      <c r="V446" s="140"/>
      <c r="W446" s="140"/>
      <c r="X446" s="140"/>
      <c r="Y446" s="138"/>
      <c r="Z446" s="138"/>
      <c r="AA446" s="138"/>
      <c r="AB446" s="138"/>
      <c r="AC446" s="138"/>
      <c r="AD446" s="138"/>
      <c r="AE446" s="138"/>
      <c r="AF446" s="142"/>
      <c r="AG446" s="142"/>
    </row>
    <row r="447" spans="1:49" ht="23.25" x14ac:dyDescent="0.35">
      <c r="A447" s="131"/>
      <c r="B447" s="131"/>
      <c r="C447" s="131"/>
      <c r="D447" s="131"/>
      <c r="E447" s="131"/>
      <c r="F447" s="131"/>
      <c r="G447" s="132"/>
      <c r="H447" s="132"/>
      <c r="I447" s="132"/>
      <c r="J447" s="133"/>
      <c r="K447" s="134"/>
      <c r="L447" s="135"/>
      <c r="M447" s="135"/>
      <c r="N447" s="136"/>
      <c r="O447" s="136"/>
      <c r="P447" s="137"/>
      <c r="Q447" s="138"/>
      <c r="R447" s="138"/>
      <c r="S447" s="140"/>
      <c r="T447" s="140"/>
      <c r="U447" s="140"/>
      <c r="V447" s="140"/>
      <c r="W447" s="140"/>
      <c r="X447" s="140"/>
      <c r="Y447" s="138"/>
      <c r="Z447" s="138"/>
      <c r="AA447" s="138"/>
      <c r="AB447" s="138"/>
      <c r="AC447" s="138"/>
      <c r="AD447" s="138"/>
      <c r="AE447" s="138"/>
      <c r="AF447" s="142"/>
      <c r="AG447" s="142"/>
    </row>
    <row r="448" spans="1:49" ht="23.25" x14ac:dyDescent="0.35">
      <c r="A448" s="131"/>
      <c r="B448" s="131"/>
      <c r="C448" s="131"/>
      <c r="D448" s="131"/>
      <c r="E448" s="131"/>
      <c r="F448" s="131"/>
      <c r="G448" s="132"/>
      <c r="H448" s="132"/>
      <c r="I448" s="132"/>
      <c r="J448" s="133"/>
      <c r="K448" s="134"/>
      <c r="L448" s="135"/>
      <c r="M448" s="135"/>
      <c r="N448" s="136"/>
      <c r="O448" s="136"/>
      <c r="P448" s="137"/>
      <c r="Q448" s="138"/>
      <c r="R448" s="138"/>
      <c r="S448" s="140"/>
      <c r="T448" s="140"/>
      <c r="U448" s="140"/>
      <c r="V448" s="140"/>
      <c r="W448" s="140"/>
      <c r="X448" s="140"/>
      <c r="Y448" s="138"/>
      <c r="Z448" s="138"/>
      <c r="AA448" s="138"/>
      <c r="AB448" s="138"/>
      <c r="AC448" s="138"/>
      <c r="AD448" s="138"/>
      <c r="AE448" s="138"/>
      <c r="AF448" s="142"/>
      <c r="AG448" s="142"/>
    </row>
    <row r="449" spans="1:189" ht="35.25" x14ac:dyDescent="0.5">
      <c r="J449" s="143"/>
    </row>
    <row r="450" spans="1:189" ht="35.25" x14ac:dyDescent="0.5">
      <c r="J450" s="143"/>
    </row>
    <row r="451" spans="1:189" ht="35.25" x14ac:dyDescent="0.5">
      <c r="J451" s="143"/>
    </row>
    <row r="452" spans="1:189" ht="35.25" x14ac:dyDescent="0.5">
      <c r="J452" s="143"/>
    </row>
    <row r="453" spans="1:189" ht="35.25" x14ac:dyDescent="0.5">
      <c r="J453" s="143"/>
    </row>
    <row r="454" spans="1:189" s="2" customFormat="1" ht="35.25" x14ac:dyDescent="0.5">
      <c r="A454" s="1"/>
      <c r="B454" s="1"/>
      <c r="C454" s="1"/>
      <c r="D454" s="1"/>
      <c r="E454" s="1"/>
      <c r="F454" s="1"/>
      <c r="J454" s="143"/>
      <c r="N454" s="3"/>
      <c r="O454" s="3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</row>
    <row r="455" spans="1:189" s="2" customFormat="1" ht="35.25" x14ac:dyDescent="0.5">
      <c r="A455" s="1"/>
      <c r="B455" s="1"/>
      <c r="C455" s="1"/>
      <c r="D455" s="1"/>
      <c r="E455" s="1"/>
      <c r="F455" s="1"/>
      <c r="J455" s="143"/>
      <c r="N455" s="3"/>
      <c r="O455" s="3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</row>
    <row r="456" spans="1:189" s="2" customFormat="1" ht="35.25" x14ac:dyDescent="0.5">
      <c r="A456" s="1"/>
      <c r="B456" s="1"/>
      <c r="C456" s="1"/>
      <c r="D456" s="1"/>
      <c r="E456" s="1"/>
      <c r="F456" s="1"/>
      <c r="J456" s="143"/>
      <c r="N456" s="3"/>
      <c r="O456" s="3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</row>
    <row r="457" spans="1:189" s="2" customFormat="1" ht="35.25" x14ac:dyDescent="0.5">
      <c r="A457" s="1"/>
      <c r="B457" s="1"/>
      <c r="C457" s="1"/>
      <c r="D457" s="1"/>
      <c r="E457" s="1"/>
      <c r="F457" s="1"/>
      <c r="J457" s="143"/>
      <c r="N457" s="3"/>
      <c r="O457" s="3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</row>
    <row r="458" spans="1:189" s="2" customFormat="1" ht="35.25" x14ac:dyDescent="0.5">
      <c r="A458" s="1"/>
      <c r="B458" s="1"/>
      <c r="C458" s="1"/>
      <c r="D458" s="1"/>
      <c r="E458" s="1"/>
      <c r="F458" s="1"/>
      <c r="J458" s="143"/>
      <c r="N458" s="3"/>
      <c r="O458" s="3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</row>
    <row r="459" spans="1:189" s="2" customFormat="1" ht="35.25" x14ac:dyDescent="0.5">
      <c r="A459" s="1"/>
      <c r="B459" s="1"/>
      <c r="C459" s="1"/>
      <c r="D459" s="1"/>
      <c r="E459" s="1"/>
      <c r="F459" s="1"/>
      <c r="J459" s="143"/>
      <c r="N459" s="3"/>
      <c r="O459" s="3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</row>
    <row r="460" spans="1:189" s="2" customFormat="1" ht="35.25" x14ac:dyDescent="0.5">
      <c r="A460" s="1"/>
      <c r="B460" s="1"/>
      <c r="C460" s="1"/>
      <c r="D460" s="1"/>
      <c r="E460" s="1"/>
      <c r="F460" s="1"/>
      <c r="J460" s="143"/>
      <c r="N460" s="3"/>
      <c r="O460" s="3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</row>
    <row r="461" spans="1:189" s="2" customFormat="1" ht="35.25" x14ac:dyDescent="0.5">
      <c r="A461" s="1"/>
      <c r="B461" s="1"/>
      <c r="C461" s="1"/>
      <c r="D461" s="1"/>
      <c r="E461" s="1"/>
      <c r="F461" s="1"/>
      <c r="J461" s="143"/>
      <c r="N461" s="3"/>
      <c r="O461" s="3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</row>
    <row r="462" spans="1:189" s="2" customFormat="1" ht="35.25" x14ac:dyDescent="0.5">
      <c r="A462" s="1"/>
      <c r="B462" s="1"/>
      <c r="C462" s="1"/>
      <c r="D462" s="1"/>
      <c r="E462" s="1"/>
      <c r="F462" s="1"/>
      <c r="J462" s="143"/>
      <c r="N462" s="3"/>
      <c r="O462" s="3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</row>
    <row r="463" spans="1:189" s="2" customFormat="1" ht="35.25" x14ac:dyDescent="0.5">
      <c r="A463" s="1"/>
      <c r="B463" s="1"/>
      <c r="C463" s="1"/>
      <c r="D463" s="1"/>
      <c r="E463" s="1"/>
      <c r="F463" s="1"/>
      <c r="J463" s="143"/>
      <c r="N463" s="3"/>
      <c r="O463" s="3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</row>
    <row r="464" spans="1:189" s="2" customFormat="1" ht="35.25" x14ac:dyDescent="0.5">
      <c r="A464" s="1"/>
      <c r="B464" s="1"/>
      <c r="C464" s="1"/>
      <c r="D464" s="1"/>
      <c r="E464" s="1"/>
      <c r="F464" s="1"/>
      <c r="J464" s="143"/>
      <c r="N464" s="3"/>
      <c r="O464" s="3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</row>
    <row r="465" spans="1:189" s="2" customFormat="1" ht="35.25" x14ac:dyDescent="0.5">
      <c r="A465" s="1"/>
      <c r="B465" s="1"/>
      <c r="C465" s="1"/>
      <c r="D465" s="1"/>
      <c r="E465" s="1"/>
      <c r="F465" s="1"/>
      <c r="J465" s="143"/>
      <c r="N465" s="3"/>
      <c r="O465" s="3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</row>
    <row r="466" spans="1:189" s="2" customFormat="1" ht="35.25" x14ac:dyDescent="0.5">
      <c r="A466" s="1"/>
      <c r="B466" s="1"/>
      <c r="C466" s="1"/>
      <c r="D466" s="1"/>
      <c r="E466" s="1"/>
      <c r="F466" s="1"/>
      <c r="J466" s="143"/>
      <c r="N466" s="3"/>
      <c r="O466" s="3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</row>
    <row r="467" spans="1:189" s="2" customFormat="1" ht="35.25" x14ac:dyDescent="0.5">
      <c r="A467" s="1"/>
      <c r="B467" s="1"/>
      <c r="C467" s="1"/>
      <c r="D467" s="1"/>
      <c r="E467" s="1"/>
      <c r="F467" s="1"/>
      <c r="J467" s="143"/>
      <c r="N467" s="3"/>
      <c r="O467" s="3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</row>
    <row r="468" spans="1:189" s="2" customFormat="1" ht="35.25" x14ac:dyDescent="0.5">
      <c r="A468" s="1"/>
      <c r="B468" s="1"/>
      <c r="C468" s="1"/>
      <c r="D468" s="1"/>
      <c r="E468" s="1"/>
      <c r="F468" s="1"/>
      <c r="J468" s="143"/>
      <c r="N468" s="3"/>
      <c r="O468" s="3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</row>
    <row r="469" spans="1:189" s="2" customFormat="1" ht="35.25" x14ac:dyDescent="0.5">
      <c r="A469" s="1"/>
      <c r="B469" s="1"/>
      <c r="C469" s="1"/>
      <c r="D469" s="1"/>
      <c r="E469" s="1"/>
      <c r="F469" s="1"/>
      <c r="J469" s="143"/>
      <c r="N469" s="3"/>
      <c r="O469" s="3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</row>
    <row r="470" spans="1:189" s="2" customFormat="1" ht="35.25" x14ac:dyDescent="0.5">
      <c r="A470" s="1"/>
      <c r="B470" s="1"/>
      <c r="C470" s="1"/>
      <c r="D470" s="1"/>
      <c r="E470" s="1"/>
      <c r="F470" s="1"/>
      <c r="J470" s="143"/>
      <c r="N470" s="3"/>
      <c r="O470" s="3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</row>
    <row r="471" spans="1:189" s="2" customFormat="1" ht="35.25" x14ac:dyDescent="0.5">
      <c r="A471" s="1"/>
      <c r="B471" s="1"/>
      <c r="C471" s="1"/>
      <c r="D471" s="1"/>
      <c r="E471" s="1"/>
      <c r="F471" s="1"/>
      <c r="J471" s="143"/>
      <c r="N471" s="3"/>
      <c r="O471" s="3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</row>
    <row r="472" spans="1:189" s="2" customFormat="1" ht="35.25" x14ac:dyDescent="0.5">
      <c r="A472" s="1"/>
      <c r="B472" s="1"/>
      <c r="C472" s="1"/>
      <c r="D472" s="1"/>
      <c r="E472" s="1"/>
      <c r="F472" s="1"/>
      <c r="J472" s="143"/>
      <c r="N472" s="3"/>
      <c r="O472" s="3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</row>
    <row r="473" spans="1:189" s="2" customFormat="1" ht="35.25" x14ac:dyDescent="0.5">
      <c r="A473" s="1"/>
      <c r="B473" s="1"/>
      <c r="C473" s="1"/>
      <c r="D473" s="1"/>
      <c r="E473" s="1"/>
      <c r="F473" s="1"/>
      <c r="J473" s="143"/>
      <c r="N473" s="3"/>
      <c r="O473" s="3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</row>
    <row r="474" spans="1:189" s="2" customFormat="1" ht="35.25" x14ac:dyDescent="0.5">
      <c r="A474" s="1"/>
      <c r="B474" s="1"/>
      <c r="C474" s="1"/>
      <c r="D474" s="1"/>
      <c r="E474" s="1"/>
      <c r="F474" s="1"/>
      <c r="J474" s="143"/>
      <c r="N474" s="3"/>
      <c r="O474" s="3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</row>
    <row r="475" spans="1:189" s="2" customFormat="1" ht="35.25" x14ac:dyDescent="0.5">
      <c r="A475" s="1"/>
      <c r="B475" s="1"/>
      <c r="C475" s="1"/>
      <c r="D475" s="1"/>
      <c r="E475" s="1"/>
      <c r="F475" s="1"/>
      <c r="J475" s="143"/>
      <c r="N475" s="3"/>
      <c r="O475" s="3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</row>
    <row r="476" spans="1:189" s="2" customFormat="1" ht="35.25" x14ac:dyDescent="0.5">
      <c r="A476" s="1"/>
      <c r="B476" s="1"/>
      <c r="C476" s="1"/>
      <c r="D476" s="1"/>
      <c r="E476" s="1"/>
      <c r="F476" s="1"/>
      <c r="J476" s="143"/>
      <c r="N476" s="3"/>
      <c r="O476" s="3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</row>
    <row r="477" spans="1:189" s="2" customFormat="1" ht="35.25" x14ac:dyDescent="0.5">
      <c r="A477" s="1"/>
      <c r="B477" s="1"/>
      <c r="C477" s="1"/>
      <c r="D477" s="1"/>
      <c r="E477" s="1"/>
      <c r="F477" s="1"/>
      <c r="J477" s="143"/>
      <c r="N477" s="3"/>
      <c r="O477" s="3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</row>
    <row r="478" spans="1:189" s="2" customFormat="1" ht="35.25" x14ac:dyDescent="0.5">
      <c r="A478" s="1"/>
      <c r="B478" s="1"/>
      <c r="C478" s="1"/>
      <c r="D478" s="1"/>
      <c r="E478" s="1"/>
      <c r="F478" s="1"/>
      <c r="J478" s="143"/>
      <c r="N478" s="3"/>
      <c r="O478" s="3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</row>
  </sheetData>
  <autoFilter ref="A133:AP438">
    <filterColumn colId="7">
      <filters>
        <filter val="CV. Prema Jaya"/>
      </filters>
    </filterColumn>
  </autoFilter>
  <mergeCells count="115">
    <mergeCell ref="C2:R11"/>
    <mergeCell ref="C15:C17"/>
    <mergeCell ref="D15:D17"/>
    <mergeCell ref="E15:E17"/>
    <mergeCell ref="F15:H15"/>
    <mergeCell ref="I15:N15"/>
    <mergeCell ref="O15:T15"/>
    <mergeCell ref="T16:T17"/>
    <mergeCell ref="U15:W15"/>
    <mergeCell ref="X15:Y15"/>
    <mergeCell ref="F16:F17"/>
    <mergeCell ref="G16:G17"/>
    <mergeCell ref="H16:H17"/>
    <mergeCell ref="I16:K16"/>
    <mergeCell ref="L16:M16"/>
    <mergeCell ref="N16:N17"/>
    <mergeCell ref="O16:Q16"/>
    <mergeCell ref="R16:S16"/>
    <mergeCell ref="CC16:CF16"/>
    <mergeCell ref="CH16:CK16"/>
    <mergeCell ref="CM16:CP16"/>
    <mergeCell ref="CR16:CU16"/>
    <mergeCell ref="D18:D21"/>
    <mergeCell ref="D22:D26"/>
    <mergeCell ref="U16:U17"/>
    <mergeCell ref="V16:V17"/>
    <mergeCell ref="W16:W17"/>
    <mergeCell ref="X16:X17"/>
    <mergeCell ref="Y16:Y17"/>
    <mergeCell ref="AQ16:AT16"/>
    <mergeCell ref="U32:Y32"/>
    <mergeCell ref="U33:Y33"/>
    <mergeCell ref="CC35:CF35"/>
    <mergeCell ref="CH35:CK35"/>
    <mergeCell ref="CM35:CP35"/>
    <mergeCell ref="CR35:CU35"/>
    <mergeCell ref="C30:E31"/>
    <mergeCell ref="F31:G31"/>
    <mergeCell ref="I31:M31"/>
    <mergeCell ref="O31:S31"/>
    <mergeCell ref="U31:W31"/>
    <mergeCell ref="X31:Y31"/>
    <mergeCell ref="AV36:BB36"/>
    <mergeCell ref="F37:F38"/>
    <mergeCell ref="G37:K37"/>
    <mergeCell ref="L37:L38"/>
    <mergeCell ref="M37:M38"/>
    <mergeCell ref="N37:R37"/>
    <mergeCell ref="S37:S38"/>
    <mergeCell ref="T37:T38"/>
    <mergeCell ref="U37:Y37"/>
    <mergeCell ref="F36:L36"/>
    <mergeCell ref="M36:S36"/>
    <mergeCell ref="T36:Z36"/>
    <mergeCell ref="BB37:BB38"/>
    <mergeCell ref="AU37:AU38"/>
    <mergeCell ref="AV37:AV38"/>
    <mergeCell ref="AW37:BA37"/>
    <mergeCell ref="D39:D42"/>
    <mergeCell ref="D43:D47"/>
    <mergeCell ref="C51:E52"/>
    <mergeCell ref="F52:K52"/>
    <mergeCell ref="M52:R52"/>
    <mergeCell ref="T52:Y52"/>
    <mergeCell ref="AA52:AG52"/>
    <mergeCell ref="AA37:AA38"/>
    <mergeCell ref="AB37:AF37"/>
    <mergeCell ref="AG37:AG38"/>
    <mergeCell ref="C36:C38"/>
    <mergeCell ref="D36:D38"/>
    <mergeCell ref="E36:E38"/>
    <mergeCell ref="AA36:AG36"/>
    <mergeCell ref="DE54:DG54"/>
    <mergeCell ref="DH54:DJ54"/>
    <mergeCell ref="DK54:DM54"/>
    <mergeCell ref="CD54:CF54"/>
    <mergeCell ref="CG54:CI54"/>
    <mergeCell ref="CJ54:CL54"/>
    <mergeCell ref="CM54:CO54"/>
    <mergeCell ref="CP54:CR54"/>
    <mergeCell ref="CS54:CU54"/>
    <mergeCell ref="FV54:FX54"/>
    <mergeCell ref="FY54:GA54"/>
    <mergeCell ref="GB54:GD54"/>
    <mergeCell ref="GE54:GG54"/>
    <mergeCell ref="EX54:EZ54"/>
    <mergeCell ref="FA54:FC54"/>
    <mergeCell ref="FD54:FF54"/>
    <mergeCell ref="FG54:FI54"/>
    <mergeCell ref="FJ54:FL54"/>
    <mergeCell ref="FM54:FO54"/>
    <mergeCell ref="AI132:AM132"/>
    <mergeCell ref="C132:D132"/>
    <mergeCell ref="L132:M132"/>
    <mergeCell ref="N132:O132"/>
    <mergeCell ref="T132:X132"/>
    <mergeCell ref="AA132:AC132"/>
    <mergeCell ref="AD132:AE132"/>
    <mergeCell ref="FP54:FR54"/>
    <mergeCell ref="FS54:FU54"/>
    <mergeCell ref="EF54:EH54"/>
    <mergeCell ref="EI54:EK54"/>
    <mergeCell ref="EL54:EN54"/>
    <mergeCell ref="EO54:EQ54"/>
    <mergeCell ref="ER54:ET54"/>
    <mergeCell ref="EU54:EW54"/>
    <mergeCell ref="DN54:DP54"/>
    <mergeCell ref="DQ54:DS54"/>
    <mergeCell ref="DT54:DV54"/>
    <mergeCell ref="DW54:DY54"/>
    <mergeCell ref="DZ54:EB54"/>
    <mergeCell ref="EC54:EE54"/>
    <mergeCell ref="CV54:CX54"/>
    <mergeCell ref="CY54:DA54"/>
    <mergeCell ref="DB54:DD54"/>
  </mergeCells>
  <conditionalFormatting sqref="T424:V438 W363:AP363 C363:S363 T372:V372 W352:AP352 C352:S352 AT196:AU197 AT199:AU199">
    <cfRule type="expression" dxfId="2235" priority="5341">
      <formula>$X196:$X516="Penting"</formula>
    </cfRule>
    <cfRule type="expression" dxfId="2234" priority="5342">
      <formula>$R196:$R516=""</formula>
    </cfRule>
    <cfRule type="expression" dxfId="2233" priority="5343">
      <formula>$R196:$R516&lt;=0</formula>
    </cfRule>
    <cfRule type="expression" dxfId="2232" priority="5344">
      <formula>$R196:$R516&lt;4</formula>
    </cfRule>
  </conditionalFormatting>
  <conditionalFormatting sqref="AQ272:AS272">
    <cfRule type="expression" dxfId="2231" priority="5324">
      <formula>$R272:$R506="End"</formula>
    </cfRule>
  </conditionalFormatting>
  <conditionalFormatting sqref="AQ272:AS272">
    <cfRule type="expression" dxfId="2230" priority="5318" stopIfTrue="1">
      <formula>$R272:$R506="Cancel"</formula>
    </cfRule>
  </conditionalFormatting>
  <conditionalFormatting sqref="AQ273:AS273">
    <cfRule type="expression" dxfId="2229" priority="5312">
      <formula>$R273:$R494="End"</formula>
    </cfRule>
  </conditionalFormatting>
  <conditionalFormatting sqref="AQ273:AS273">
    <cfRule type="expression" dxfId="2228" priority="5311" stopIfTrue="1">
      <formula>$R273:$R494="Cancel"</formula>
    </cfRule>
  </conditionalFormatting>
  <conditionalFormatting sqref="AQ438:AS438">
    <cfRule type="expression" dxfId="2227" priority="5280">
      <formula>$R438:$R719="End"</formula>
    </cfRule>
  </conditionalFormatting>
  <conditionalFormatting sqref="AQ438:AS438">
    <cfRule type="expression" dxfId="2226" priority="5279" stopIfTrue="1">
      <formula>$R438:$R719="Cancel"</formula>
    </cfRule>
  </conditionalFormatting>
  <conditionalFormatting sqref="W424:AP438 E424:S438">
    <cfRule type="expression" dxfId="2225" priority="5253">
      <formula>$X424:$X721="Penting"</formula>
    </cfRule>
    <cfRule type="expression" dxfId="2224" priority="5254">
      <formula>$R424:$R721=""</formula>
    </cfRule>
    <cfRule type="expression" dxfId="2223" priority="5255">
      <formula>$R424:$R721&lt;=0</formula>
    </cfRule>
    <cfRule type="expression" dxfId="2222" priority="5256">
      <formula>$R424:$R721&lt;4</formula>
    </cfRule>
  </conditionalFormatting>
  <conditionalFormatting sqref="AQ267:AS267 AQ271:AS271">
    <cfRule type="expression" dxfId="2221" priority="5210">
      <formula>$R267:$R471="End"</formula>
    </cfRule>
  </conditionalFormatting>
  <conditionalFormatting sqref="AQ267:AS267 AQ271:AS271">
    <cfRule type="expression" dxfId="2220" priority="5209" stopIfTrue="1">
      <formula>$R267:$R471="Cancel"</formula>
    </cfRule>
  </conditionalFormatting>
  <conditionalFormatting sqref="AQ281:AS281">
    <cfRule type="expression" dxfId="2219" priority="4882">
      <formula>$R281:$R507="End"</formula>
    </cfRule>
  </conditionalFormatting>
  <conditionalFormatting sqref="AQ281:AS281">
    <cfRule type="expression" dxfId="2218" priority="4881" stopIfTrue="1">
      <formula>$R281:$R507="Cancel"</formula>
    </cfRule>
  </conditionalFormatting>
  <conditionalFormatting sqref="AD424:AD438 P401:P402 AQ286:AS287">
    <cfRule type="expression" dxfId="2217" priority="4780">
      <formula>$R286:$R583="End"</formula>
    </cfRule>
  </conditionalFormatting>
  <conditionalFormatting sqref="AD424:AD438 P401:P402 AQ286:AS287">
    <cfRule type="expression" dxfId="2216" priority="4779" stopIfTrue="1">
      <formula>$R286:$R583="Cancel"</formula>
    </cfRule>
  </conditionalFormatting>
  <conditionalFormatting sqref="AQ429:AS432">
    <cfRule type="expression" dxfId="2215" priority="4618">
      <formula>$R429:$R619="End"</formula>
    </cfRule>
  </conditionalFormatting>
  <conditionalFormatting sqref="AQ429:AS432">
    <cfRule type="expression" dxfId="2214" priority="4617" stopIfTrue="1">
      <formula>$R429:$R619="Cancel"</formula>
    </cfRule>
  </conditionalFormatting>
  <conditionalFormatting sqref="T369:V369 W367:AP367 C367:S367 W313:AP345 C313:S345">
    <cfRule type="expression" dxfId="2213" priority="4519">
      <formula>$X313:$X613="Penting"</formula>
    </cfRule>
    <cfRule type="expression" dxfId="2212" priority="4520">
      <formula>$R313:$R613=""</formula>
    </cfRule>
    <cfRule type="expression" dxfId="2211" priority="4521">
      <formula>$R313:$R613&lt;=0</formula>
    </cfRule>
    <cfRule type="expression" dxfId="2210" priority="4522">
      <formula>$R313:$R613&lt;4</formula>
    </cfRule>
  </conditionalFormatting>
  <conditionalFormatting sqref="P424:P438 B381:B438 AD353 AD355 AD350 AD362">
    <cfRule type="expression" dxfId="2209" priority="4404">
      <formula>$R350:$R675="End"</formula>
    </cfRule>
  </conditionalFormatting>
  <conditionalFormatting sqref="P424:P438 B381:B438 AD353 AD355 AD350 AD362">
    <cfRule type="expression" dxfId="2208" priority="4403" stopIfTrue="1">
      <formula>$R350:$R675="Cancel"</formula>
    </cfRule>
  </conditionalFormatting>
  <conditionalFormatting sqref="AQ275:AS275">
    <cfRule type="expression" dxfId="2207" priority="4364">
      <formula>$R275:$R476="End"</formula>
    </cfRule>
  </conditionalFormatting>
  <conditionalFormatting sqref="AQ275:AS275">
    <cfRule type="expression" dxfId="2206" priority="4363" stopIfTrue="1">
      <formula>$R275:$R476="Cancel"</formula>
    </cfRule>
  </conditionalFormatting>
  <conditionalFormatting sqref="AQ284:AS284">
    <cfRule type="expression" dxfId="2205" priority="4123">
      <formula>$R284:$R517="End"</formula>
    </cfRule>
  </conditionalFormatting>
  <conditionalFormatting sqref="AQ284:AS284">
    <cfRule type="expression" dxfId="2204" priority="4122" stopIfTrue="1">
      <formula>$R284:$R517="Cancel"</formula>
    </cfRule>
  </conditionalFormatting>
  <conditionalFormatting sqref="AT436:AU436 AQ190:AS194">
    <cfRule type="expression" dxfId="2203" priority="4010">
      <formula>$X190:$X445="Penting"</formula>
    </cfRule>
    <cfRule type="expression" dxfId="2202" priority="4011">
      <formula>$R190:$R445=""</formula>
    </cfRule>
    <cfRule type="expression" dxfId="2201" priority="4012">
      <formula>$R190:$R445&lt;=0</formula>
    </cfRule>
    <cfRule type="expression" dxfId="2200" priority="4013">
      <formula>$R190:$R445&lt;4</formula>
    </cfRule>
  </conditionalFormatting>
  <conditionalFormatting sqref="AQ274:AS274">
    <cfRule type="expression" dxfId="2199" priority="3561">
      <formula>$R274:$R481="End"</formula>
    </cfRule>
  </conditionalFormatting>
  <conditionalFormatting sqref="AQ274:AS274">
    <cfRule type="expression" dxfId="2198" priority="3560" stopIfTrue="1">
      <formula>$R274:$R481="Cancel"</formula>
    </cfRule>
  </conditionalFormatting>
  <conditionalFormatting sqref="Q403:Z403 P400 AE403:AP403 E403:O403 R376">
    <cfRule type="expression" dxfId="2197" priority="3293">
      <formula>$R376:$R671="End"</formula>
    </cfRule>
  </conditionalFormatting>
  <conditionalFormatting sqref="Q403:Z403 P400 AE403:AP403 E403:O403 R376">
    <cfRule type="expression" dxfId="2196" priority="3292" stopIfTrue="1">
      <formula>$R376:$R671="Cancel"</formula>
    </cfRule>
  </conditionalFormatting>
  <conditionalFormatting sqref="AD403">
    <cfRule type="expression" dxfId="2195" priority="2845">
      <formula>$R403:$R674="End"</formula>
    </cfRule>
  </conditionalFormatting>
  <conditionalFormatting sqref="AD403">
    <cfRule type="expression" dxfId="2194" priority="2844" stopIfTrue="1">
      <formula>$R403:$R674="Cancel"</formula>
    </cfRule>
  </conditionalFormatting>
  <conditionalFormatting sqref="AE404:AP405 Q404:Z405 E404:O405 AQ333:AS333 AD367 C369:O369 AE369:AP369 AD313:AD345 AQ295:AS296 Q369:Z369">
    <cfRule type="expression" dxfId="2193" priority="25979">
      <formula>$R295:$R595="End"</formula>
    </cfRule>
  </conditionalFormatting>
  <conditionalFormatting sqref="AE404:AP405 Q404:Z405 E404:O405 AQ333:AS333 AD367 C369:O369 AE369:AP369 AD313:AD345 AQ295:AS296 Q369:Z369">
    <cfRule type="expression" dxfId="2192" priority="25990" stopIfTrue="1">
      <formula>$R295:$R595="Cancel"</formula>
    </cfRule>
  </conditionalFormatting>
  <conditionalFormatting sqref="AT435:AU435">
    <cfRule type="expression" dxfId="2191" priority="104490">
      <formula>$X435:$X681="Penting"</formula>
    </cfRule>
    <cfRule type="expression" dxfId="2190" priority="104491">
      <formula>$R435:$R681=""</formula>
    </cfRule>
    <cfRule type="expression" dxfId="2189" priority="104492">
      <formula>$R435:$R681&lt;=0</formula>
    </cfRule>
    <cfRule type="expression" dxfId="2188" priority="104493">
      <formula>$R435:$R681&lt;4</formula>
    </cfRule>
  </conditionalFormatting>
  <conditionalFormatting sqref="AQ163:AS163">
    <cfRule type="expression" dxfId="2187" priority="117512">
      <formula>$R163:$R623="End"</formula>
    </cfRule>
  </conditionalFormatting>
  <conditionalFormatting sqref="AQ163:AS163">
    <cfRule type="expression" dxfId="2186" priority="117520" stopIfTrue="1">
      <formula>$R163:$R623="Cancel"</formula>
    </cfRule>
  </conditionalFormatting>
  <conditionalFormatting sqref="AQ264:AS264">
    <cfRule type="expression" dxfId="2185" priority="150223">
      <formula>$R262:$R473="End"</formula>
    </cfRule>
  </conditionalFormatting>
  <conditionalFormatting sqref="AQ264:AS264">
    <cfRule type="expression" dxfId="2184" priority="150233" stopIfTrue="1">
      <formula>$R262:$R473="Cancel"</formula>
    </cfRule>
  </conditionalFormatting>
  <conditionalFormatting sqref="AQ269:AS269 AQ172:AS172">
    <cfRule type="expression" dxfId="2183" priority="177907">
      <formula>$R172:$R624="End"</formula>
    </cfRule>
  </conditionalFormatting>
  <conditionalFormatting sqref="AQ269:AS269 AQ172:AS172">
    <cfRule type="expression" dxfId="2182" priority="177912" stopIfTrue="1">
      <formula>$R172:$R624="Cancel"</formula>
    </cfRule>
  </conditionalFormatting>
  <conditionalFormatting sqref="P401:P402 AQ291:AS291">
    <cfRule type="expression" dxfId="2181" priority="206549">
      <formula>$R291:$R589="End"</formula>
    </cfRule>
  </conditionalFormatting>
  <conditionalFormatting sqref="P401:P402 AQ291:AS291">
    <cfRule type="expression" dxfId="2180" priority="206551" stopIfTrue="1">
      <formula>$R291:$R589="Cancel"</formula>
    </cfRule>
  </conditionalFormatting>
  <conditionalFormatting sqref="AQ270:AS270">
    <cfRule type="expression" dxfId="2179" priority="224312">
      <formula>$R251:$R474="End"</formula>
    </cfRule>
  </conditionalFormatting>
  <conditionalFormatting sqref="AQ270:AS270">
    <cfRule type="expression" dxfId="2178" priority="224320" stopIfTrue="1">
      <formula>$R251:$R474="Cancel"</formula>
    </cfRule>
  </conditionalFormatting>
  <conditionalFormatting sqref="AQ293:AS293">
    <cfRule type="expression" dxfId="2177" priority="501448">
      <formula>$R281:$R508="End"</formula>
    </cfRule>
  </conditionalFormatting>
  <conditionalFormatting sqref="AQ293:AS293">
    <cfRule type="expression" dxfId="2176" priority="501462" stopIfTrue="1">
      <formula>$R281:$R508="Cancel"</formula>
    </cfRule>
  </conditionalFormatting>
  <conditionalFormatting sqref="AQ303:AS303">
    <cfRule type="expression" dxfId="2175" priority="503073">
      <formula>$R301:$R575="End"</formula>
    </cfRule>
  </conditionalFormatting>
  <conditionalFormatting sqref="AQ303:AS303">
    <cfRule type="expression" dxfId="2174" priority="503074" stopIfTrue="1">
      <formula>$R301:$R575="Cancel"</formula>
    </cfRule>
  </conditionalFormatting>
  <conditionalFormatting sqref="AQ283:AS283">
    <cfRule type="expression" dxfId="2173" priority="503075">
      <formula>$R281:$R508="End"</formula>
    </cfRule>
  </conditionalFormatting>
  <conditionalFormatting sqref="AQ283:AS283">
    <cfRule type="expression" dxfId="2172" priority="503079" stopIfTrue="1">
      <formula>$R281:$R508="Cancel"</formula>
    </cfRule>
  </conditionalFormatting>
  <conditionalFormatting sqref="AQ181:AS181">
    <cfRule type="expression" dxfId="2171" priority="646254">
      <formula>$R179:$R625="End"</formula>
    </cfRule>
  </conditionalFormatting>
  <conditionalFormatting sqref="AQ181:AS181">
    <cfRule type="expression" dxfId="2170" priority="646256" stopIfTrue="1">
      <formula>$R179:$R625="Cancel"</formula>
    </cfRule>
  </conditionalFormatting>
  <conditionalFormatting sqref="AQ300:AS300">
    <cfRule type="expression" dxfId="2169" priority="653365">
      <formula>$R297:$R581="End"</formula>
    </cfRule>
  </conditionalFormatting>
  <conditionalFormatting sqref="AQ300:AS300">
    <cfRule type="expression" dxfId="2168" priority="653369" stopIfTrue="1">
      <formula>$R297:$R581="Cancel"</formula>
    </cfRule>
  </conditionalFormatting>
  <conditionalFormatting sqref="P424:P438 AQ152:AS152 AQ138:AS138 B134:O135 C136:O312 Q134:Z312 AE134:AS134 B136:B438 AE135:AP312">
    <cfRule type="expression" dxfId="2167" priority="679087">
      <formula>$R134:$R460="End"</formula>
    </cfRule>
  </conditionalFormatting>
  <conditionalFormatting sqref="P424:P438 AQ152:AS152 AQ138:AS138 B134:O135 C136:O312 Q134:Z312 AE134:AS134 B136:B438 AE135:AP312">
    <cfRule type="expression" dxfId="2166" priority="679091" stopIfTrue="1">
      <formula>$R134:$R460="Cancel"</formula>
    </cfRule>
  </conditionalFormatting>
  <conditionalFormatting sqref="AQ294:AS294">
    <cfRule type="expression" dxfId="2165" priority="712231">
      <formula>$R283:$R509="End"</formula>
    </cfRule>
  </conditionalFormatting>
  <conditionalFormatting sqref="AQ294:AS294">
    <cfRule type="expression" dxfId="2164" priority="712235" stopIfTrue="1">
      <formula>$R283:$R509="Cancel"</formula>
    </cfRule>
  </conditionalFormatting>
  <conditionalFormatting sqref="P356 AE377:AP380 P373:P374 AA358:AC358 Q377:Z378 Q379 Y379:Z380 C377:O380">
    <cfRule type="expression" dxfId="2163" priority="717045">
      <formula>$R356:$R702="End"</formula>
    </cfRule>
  </conditionalFormatting>
  <conditionalFormatting sqref="P356 AE377:AP380 P373:P374 AA358:AC358 Q377:Z378 Q379 Y379:Z380 C377:O380">
    <cfRule type="expression" dxfId="2162" priority="717050" stopIfTrue="1">
      <formula>$R356:$R702="Cancel"</formula>
    </cfRule>
  </conditionalFormatting>
  <conditionalFormatting sqref="AQ292:AS292">
    <cfRule type="expression" dxfId="2161" priority="735772">
      <formula>$R291:$R588="End"</formula>
    </cfRule>
  </conditionalFormatting>
  <conditionalFormatting sqref="AQ292:AS292">
    <cfRule type="expression" dxfId="2160" priority="735795" stopIfTrue="1">
      <formula>$R291:$R588="Cancel"</formula>
    </cfRule>
  </conditionalFormatting>
  <conditionalFormatting sqref="AQ183:AS183">
    <cfRule type="expression" dxfId="2159" priority="747644">
      <formula>$R183:$R593="End"</formula>
    </cfRule>
  </conditionalFormatting>
  <conditionalFormatting sqref="AQ183:AS183">
    <cfRule type="expression" dxfId="2158" priority="747668" stopIfTrue="1">
      <formula>$R183:$R593="Cancel"</formula>
    </cfRule>
  </conditionalFormatting>
  <conditionalFormatting sqref="Q400:Z400 AE400:AP400 E400:O400">
    <cfRule type="expression" dxfId="2157" priority="778776">
      <formula>$R400:$R689="End"</formula>
    </cfRule>
  </conditionalFormatting>
  <conditionalFormatting sqref="Q400:Z400 AE400:AP400 E400:O400">
    <cfRule type="expression" dxfId="2156" priority="778777" stopIfTrue="1">
      <formula>$R400:$R689="Cancel"</formula>
    </cfRule>
  </conditionalFormatting>
  <conditionalFormatting sqref="AQ266:AS266 AQ268:AS268">
    <cfRule type="expression" dxfId="2155" priority="801795">
      <formula>$R266:$R720="End"</formula>
    </cfRule>
  </conditionalFormatting>
  <conditionalFormatting sqref="AQ266:AS266 AQ268:AS268">
    <cfRule type="expression" dxfId="2154" priority="801796" stopIfTrue="1">
      <formula>$R266:$R720="Cancel"</formula>
    </cfRule>
  </conditionalFormatting>
  <conditionalFormatting sqref="AQ438:AS438">
    <cfRule type="expression" dxfId="2153" priority="862862">
      <formula>$X438:$X654="Penting"</formula>
    </cfRule>
    <cfRule type="expression" dxfId="2152" priority="862863">
      <formula>$R438:$R654=""</formula>
    </cfRule>
    <cfRule type="expression" dxfId="2151" priority="862864">
      <formula>$R438:$R654&lt;=0</formula>
    </cfRule>
    <cfRule type="expression" dxfId="2150" priority="862865">
      <formula>$R438:$R654&lt;4</formula>
    </cfRule>
  </conditionalFormatting>
  <conditionalFormatting sqref="AT424:AU424">
    <cfRule type="expression" dxfId="2149" priority="884317">
      <formula>$X424:$X636="Penting"</formula>
    </cfRule>
    <cfRule type="expression" dxfId="2148" priority="884318">
      <formula>$R424:$R636=""</formula>
    </cfRule>
    <cfRule type="expression" dxfId="2147" priority="884319">
      <formula>$R424:$R636&lt;=0</formula>
    </cfRule>
    <cfRule type="expression" dxfId="2146" priority="884320">
      <formula>$R424:$R636&lt;4</formula>
    </cfRule>
  </conditionalFormatting>
  <conditionalFormatting sqref="AQ209:AS209">
    <cfRule type="expression" dxfId="2145" priority="894109">
      <formula>$R205:$R594="End"</formula>
    </cfRule>
  </conditionalFormatting>
  <conditionalFormatting sqref="AQ209:AS209">
    <cfRule type="expression" dxfId="2144" priority="894114" stopIfTrue="1">
      <formula>$R205:$R594="Cancel"</formula>
    </cfRule>
  </conditionalFormatting>
  <conditionalFormatting sqref="AE424:AP438 Q424:Z438 P409:P415 C424:O438 AQ195:AS195">
    <cfRule type="expression" dxfId="2143" priority="925902">
      <formula>$R195:$R516="End"</formula>
    </cfRule>
  </conditionalFormatting>
  <conditionalFormatting sqref="AE424:AP438 Q424:Z438 P409:P415 C424:O438 AQ195:AS195">
    <cfRule type="expression" dxfId="2142" priority="925903" stopIfTrue="1">
      <formula>$R195:$R516="Cancel"</formula>
    </cfRule>
  </conditionalFormatting>
  <conditionalFormatting sqref="AQ240:AS240">
    <cfRule type="expression" dxfId="2141" priority="931323">
      <formula>$R210:$R595="End"</formula>
    </cfRule>
  </conditionalFormatting>
  <conditionalFormatting sqref="AQ240:AS240">
    <cfRule type="expression" dxfId="2140" priority="931335" stopIfTrue="1">
      <formula>$R210:$R595="Cancel"</formula>
    </cfRule>
  </conditionalFormatting>
  <conditionalFormatting sqref="AT434:AU434">
    <cfRule type="expression" dxfId="2139" priority="983097">
      <formula>$X434:$X637="Penting"</formula>
    </cfRule>
    <cfRule type="expression" dxfId="2138" priority="983098">
      <formula>$R434:$R637=""</formula>
    </cfRule>
    <cfRule type="expression" dxfId="2137" priority="983099">
      <formula>$R434:$R637&lt;=0</formula>
    </cfRule>
    <cfRule type="expression" dxfId="2136" priority="983100">
      <formula>$R434:$R637&lt;4</formula>
    </cfRule>
  </conditionalFormatting>
  <conditionalFormatting sqref="AQ417:AS417 AQ364:AS364">
    <cfRule type="expression" dxfId="2135" priority="1044078">
      <formula>$R364:$R529="End"</formula>
    </cfRule>
  </conditionalFormatting>
  <conditionalFormatting sqref="AQ417:AS417 AQ364:AS364">
    <cfRule type="expression" dxfId="2134" priority="1044103" stopIfTrue="1">
      <formula>$R364:$R529="Cancel"</formula>
    </cfRule>
  </conditionalFormatting>
  <conditionalFormatting sqref="AT429:AU432">
    <cfRule type="expression" dxfId="2133" priority="1053101">
      <formula>$X429:$X624="Penting"</formula>
    </cfRule>
    <cfRule type="expression" dxfId="2132" priority="1053102">
      <formula>$R429:$R624=""</formula>
    </cfRule>
    <cfRule type="expression" dxfId="2131" priority="1053103">
      <formula>$R429:$R624&lt;=0</formula>
    </cfRule>
    <cfRule type="expression" dxfId="2130" priority="1053104">
      <formula>$R429:$R624&lt;4</formula>
    </cfRule>
  </conditionalFormatting>
  <conditionalFormatting sqref="AQ285:AS285">
    <cfRule type="expression" dxfId="2129" priority="1059019">
      <formula>$R285:$R516="End"</formula>
    </cfRule>
  </conditionalFormatting>
  <conditionalFormatting sqref="AQ285:AS285">
    <cfRule type="expression" dxfId="2128" priority="1059025" stopIfTrue="1">
      <formula>$R285:$R516="Cancel"</formula>
    </cfRule>
  </conditionalFormatting>
  <conditionalFormatting sqref="AQ418:AS419 AQ352:AS352 AD361 AD234:AD235">
    <cfRule type="expression" dxfId="2127" priority="1070408">
      <formula>$R234:$R401="End"</formula>
    </cfRule>
  </conditionalFormatting>
  <conditionalFormatting sqref="AQ418:AS419 AQ352:AS352 AD361 AD234:AD235">
    <cfRule type="expression" dxfId="2126" priority="1070415" stopIfTrue="1">
      <formula>$R234:$R401="Cancel"</formula>
    </cfRule>
  </conditionalFormatting>
  <conditionalFormatting sqref="AT427:AU428">
    <cfRule type="expression" dxfId="2125" priority="1079376">
      <formula>$X427:$X618="Penting"</formula>
    </cfRule>
    <cfRule type="expression" dxfId="2124" priority="1079377">
      <formula>$R427:$R618=""</formula>
    </cfRule>
    <cfRule type="expression" dxfId="2123" priority="1079378">
      <formula>$R427:$R618&lt;=0</formula>
    </cfRule>
    <cfRule type="expression" dxfId="2122" priority="1079379">
      <formula>$R427:$R618&lt;4</formula>
    </cfRule>
  </conditionalFormatting>
  <conditionalFormatting sqref="AQ437:AS437">
    <cfRule type="expression" dxfId="2121" priority="1101382">
      <formula>$R437:$R659="End"</formula>
    </cfRule>
  </conditionalFormatting>
  <conditionalFormatting sqref="AQ437:AS437">
    <cfRule type="expression" dxfId="2120" priority="1101389" stopIfTrue="1">
      <formula>$R437:$R659="Cancel"</formula>
    </cfRule>
  </conditionalFormatting>
  <conditionalFormatting sqref="AQ420:AS420 AQ348:AS349 AD211:AD225">
    <cfRule type="expression" dxfId="2119" priority="1117193">
      <formula>$R211:$R385="End"</formula>
    </cfRule>
  </conditionalFormatting>
  <conditionalFormatting sqref="AQ420:AS420 AQ348:AS349 AD211:AD225">
    <cfRule type="expression" dxfId="2118" priority="1117200" stopIfTrue="1">
      <formula>$R211:$R385="Cancel"</formula>
    </cfRule>
  </conditionalFormatting>
  <conditionalFormatting sqref="AQ434:AS434 AQ307:AS308">
    <cfRule type="expression" dxfId="2117" priority="1117571">
      <formula>$R307:$R499="End"</formula>
    </cfRule>
  </conditionalFormatting>
  <conditionalFormatting sqref="AQ434:AS434 AQ307:AS308">
    <cfRule type="expression" dxfId="2116" priority="1117587" stopIfTrue="1">
      <formula>$R307:$R499="Cancel"</formula>
    </cfRule>
  </conditionalFormatting>
  <conditionalFormatting sqref="AT258:AU258 AQ248:AS249">
    <cfRule type="expression" dxfId="2115" priority="1128888">
      <formula>$X248:$X437="Penting"</formula>
    </cfRule>
    <cfRule type="expression" dxfId="2114" priority="1128889">
      <formula>$R248:$R437=""</formula>
    </cfRule>
    <cfRule type="expression" dxfId="2113" priority="1128890">
      <formula>$R248:$R437&lt;=0</formula>
    </cfRule>
    <cfRule type="expression" dxfId="2112" priority="1128891">
      <formula>$R248:$R437&lt;4</formula>
    </cfRule>
  </conditionalFormatting>
  <conditionalFormatting sqref="AQ241:AS241">
    <cfRule type="expression" dxfId="2111" priority="1140013">
      <formula>$R237:$R627="End"</formula>
    </cfRule>
  </conditionalFormatting>
  <conditionalFormatting sqref="AQ241:AS241">
    <cfRule type="expression" dxfId="2110" priority="1140021" stopIfTrue="1">
      <formula>$R237:$R627="Cancel"</formula>
    </cfRule>
  </conditionalFormatting>
  <conditionalFormatting sqref="AQ424:AS424">
    <cfRule type="expression" dxfId="2109" priority="1147576">
      <formula>$R424:$R634="End"</formula>
    </cfRule>
  </conditionalFormatting>
  <conditionalFormatting sqref="AQ424:AS424">
    <cfRule type="expression" dxfId="2108" priority="1147579" stopIfTrue="1">
      <formula>$R424:$R634="Cancel"</formula>
    </cfRule>
  </conditionalFormatting>
  <conditionalFormatting sqref="AQ280:AS280">
    <cfRule type="expression" dxfId="2107" priority="1147590">
      <formula>$R280:$R507="End"</formula>
    </cfRule>
  </conditionalFormatting>
  <conditionalFormatting sqref="AQ280:AS280">
    <cfRule type="expression" dxfId="2106" priority="1147596" stopIfTrue="1">
      <formula>$R280:$R507="Cancel"</formula>
    </cfRule>
  </conditionalFormatting>
  <conditionalFormatting sqref="AQ427:AS428">
    <cfRule type="expression" dxfId="2105" priority="1160263">
      <formula>$R427:$R614="End"</formula>
    </cfRule>
  </conditionalFormatting>
  <conditionalFormatting sqref="AQ427:AS428">
    <cfRule type="expression" dxfId="2104" priority="1160273" stopIfTrue="1">
      <formula>$R427:$R614="Cancel"</formula>
    </cfRule>
  </conditionalFormatting>
  <conditionalFormatting sqref="AT426:AU426">
    <cfRule type="expression" dxfId="2103" priority="1168926">
      <formula>$X426:$X615="Penting"</formula>
    </cfRule>
    <cfRule type="expression" dxfId="2102" priority="1168927">
      <formula>$R426:$R615=""</formula>
    </cfRule>
    <cfRule type="expression" dxfId="2101" priority="1168928">
      <formula>$R426:$R615&lt;=0</formula>
    </cfRule>
    <cfRule type="expression" dxfId="2100" priority="1168929">
      <formula>$R426:$R615&lt;4</formula>
    </cfRule>
  </conditionalFormatting>
  <conditionalFormatting sqref="AD424:AD438 AD135:AD176 AD243">
    <cfRule type="expression" dxfId="2099" priority="1170431">
      <formula>$R135:$R268="End"</formula>
    </cfRule>
  </conditionalFormatting>
  <conditionalFormatting sqref="AD424:AD438 AD135:AD176 AD243">
    <cfRule type="expression" dxfId="2098" priority="1170432" stopIfTrue="1">
      <formula>$R135:$R268="Cancel"</formula>
    </cfRule>
  </conditionalFormatting>
  <conditionalFormatting sqref="AQ426:AS426">
    <cfRule type="expression" dxfId="2097" priority="1181101">
      <formula>$R426:$R611="End"</formula>
    </cfRule>
  </conditionalFormatting>
  <conditionalFormatting sqref="AQ426:AS426">
    <cfRule type="expression" dxfId="2096" priority="1181119" stopIfTrue="1">
      <formula>$R426:$R611="Cancel"</formula>
    </cfRule>
  </conditionalFormatting>
  <conditionalFormatting sqref="AQ400:AS400">
    <cfRule type="expression" dxfId="2095" priority="1181363">
      <formula>$R400:$R521="End"</formula>
    </cfRule>
  </conditionalFormatting>
  <conditionalFormatting sqref="AQ400:AS400">
    <cfRule type="expression" dxfId="2094" priority="1181380" stopIfTrue="1">
      <formula>$R400:$R521="Cancel"</formula>
    </cfRule>
  </conditionalFormatting>
  <conditionalFormatting sqref="AQ425:AS425">
    <cfRule type="expression" dxfId="2093" priority="1181657">
      <formula>$R425:$R609="End"</formula>
    </cfRule>
  </conditionalFormatting>
  <conditionalFormatting sqref="AQ425:AS425">
    <cfRule type="expression" dxfId="2092" priority="1181666" stopIfTrue="1">
      <formula>$R425:$R609="Cancel"</formula>
    </cfRule>
  </conditionalFormatting>
  <conditionalFormatting sqref="AT425:AU425">
    <cfRule type="expression" dxfId="2091" priority="1189072">
      <formula>$X425:$X608="Penting"</formula>
    </cfRule>
    <cfRule type="expression" dxfId="2090" priority="1189073">
      <formula>$R425:$R608=""</formula>
    </cfRule>
    <cfRule type="expression" dxfId="2089" priority="1189074">
      <formula>$R425:$R608&lt;=0</formula>
    </cfRule>
    <cfRule type="expression" dxfId="2088" priority="1189075">
      <formula>$R425:$R608&lt;4</formula>
    </cfRule>
  </conditionalFormatting>
  <conditionalFormatting sqref="AT418:AU419">
    <cfRule type="expression" dxfId="2087" priority="1193657">
      <formula>$X418:$X590="Penting"</formula>
    </cfRule>
    <cfRule type="expression" dxfId="2086" priority="1193658">
      <formula>$R418:$R590=""</formula>
    </cfRule>
    <cfRule type="expression" dxfId="2085" priority="1193659">
      <formula>$R418:$R590&lt;=0</formula>
    </cfRule>
    <cfRule type="expression" dxfId="2084" priority="1193660">
      <formula>$R418:$R590&lt;4</formula>
    </cfRule>
  </conditionalFormatting>
  <conditionalFormatting sqref="AT356:AU356 AT354:AU354">
    <cfRule type="expression" dxfId="2083" priority="1193835">
      <formula>$X354:$X519="Penting"</formula>
    </cfRule>
    <cfRule type="expression" dxfId="2082" priority="1193836">
      <formula>$R354:$R519=""</formula>
    </cfRule>
    <cfRule type="expression" dxfId="2081" priority="1193837">
      <formula>$R354:$R519&lt;=0</formula>
    </cfRule>
    <cfRule type="expression" dxfId="2080" priority="1193838">
      <formula>$R354:$R519&lt;4</formula>
    </cfRule>
  </conditionalFormatting>
  <conditionalFormatting sqref="AQ165:AS165">
    <cfRule type="expression" dxfId="2079" priority="1198356">
      <formula>$R165:$R591="End"</formula>
    </cfRule>
  </conditionalFormatting>
  <conditionalFormatting sqref="AQ165:AS165">
    <cfRule type="expression" dxfId="2078" priority="1198362" stopIfTrue="1">
      <formula>$R165:$R591="Cancel"</formula>
    </cfRule>
  </conditionalFormatting>
  <conditionalFormatting sqref="AQ182:AS182 AT376:AU376">
    <cfRule type="expression" dxfId="2077" priority="1216746">
      <formula>$X182:$X326="Penting"</formula>
    </cfRule>
    <cfRule type="expression" dxfId="2076" priority="1216747">
      <formula>$R182:$R326=""</formula>
    </cfRule>
    <cfRule type="expression" dxfId="2075" priority="1216748">
      <formula>$R182:$R326&lt;=0</formula>
    </cfRule>
    <cfRule type="expression" dxfId="2074" priority="1216749">
      <formula>$R182:$R326&lt;4</formula>
    </cfRule>
  </conditionalFormatting>
  <conditionalFormatting sqref="AD400">
    <cfRule type="expression" dxfId="2073" priority="1219002">
      <formula>$R400:$R666="End"</formula>
    </cfRule>
  </conditionalFormatting>
  <conditionalFormatting sqref="AD400">
    <cfRule type="expression" dxfId="2072" priority="1219004" stopIfTrue="1">
      <formula>$R400:$R666="Cancel"</formula>
    </cfRule>
  </conditionalFormatting>
  <conditionalFormatting sqref="AQ436:AS436">
    <cfRule type="expression" dxfId="2071" priority="1219810">
      <formula>$R436:$R653="End"</formula>
    </cfRule>
  </conditionalFormatting>
  <conditionalFormatting sqref="AQ436:AS436">
    <cfRule type="expression" dxfId="2070" priority="1219815" stopIfTrue="1">
      <formula>$R436:$R653="Cancel"</formula>
    </cfRule>
  </conditionalFormatting>
  <conditionalFormatting sqref="AE424:AP438 Q424:Z438 P406:P408 E424:O438 C372:O372 AD352 AD363 AE372:AP372 AQ190:AS194 Q372:Z372">
    <cfRule type="expression" dxfId="2069" priority="1220871">
      <formula>$R190:$R510="End"</formula>
    </cfRule>
  </conditionalFormatting>
  <conditionalFormatting sqref="AE424:AP438 Q424:Z438 P406:P408 E424:O438 C372:O372 AD352 AD363 AE372:AP372 AQ190:AS194 Q372:Z372">
    <cfRule type="expression" dxfId="2068" priority="1220878" stopIfTrue="1">
      <formula>$R190:$R510="Cancel"</formula>
    </cfRule>
  </conditionalFormatting>
  <conditionalFormatting sqref="AQ176:AS176 AQ179:AS180">
    <cfRule type="expression" dxfId="2067" priority="1236980">
      <formula>$X176:$X321="Penting"</formula>
    </cfRule>
    <cfRule type="expression" dxfId="2066" priority="1236981">
      <formula>$R176:$R321=""</formula>
    </cfRule>
    <cfRule type="expression" dxfId="2065" priority="1236982">
      <formula>$R176:$R321&lt;=0</formula>
    </cfRule>
    <cfRule type="expression" dxfId="2064" priority="1236983">
      <formula>$R176:$R321&lt;4</formula>
    </cfRule>
  </conditionalFormatting>
  <conditionalFormatting sqref="AT409:AU409">
    <cfRule type="expression" dxfId="2063" priority="1237714">
      <formula>$X409:$X553="Penting"</formula>
    </cfRule>
    <cfRule type="expression" dxfId="2062" priority="1237715">
      <formula>$R409:$R553=""</formula>
    </cfRule>
    <cfRule type="expression" dxfId="2061" priority="1237716">
      <formula>$R409:$R553&lt;=0</formula>
    </cfRule>
    <cfRule type="expression" dxfId="2060" priority="1237717">
      <formula>$R409:$R553&lt;4</formula>
    </cfRule>
  </conditionalFormatting>
  <conditionalFormatting sqref="T424:V438 AQ210:AS211 AT148:AU149">
    <cfRule type="expression" dxfId="2059" priority="1248240">
      <formula>$X148:$X469="Penting"</formula>
    </cfRule>
    <cfRule type="expression" dxfId="2058" priority="1248241">
      <formula>$R148:$R469=""</formula>
    </cfRule>
    <cfRule type="expression" dxfId="2057" priority="1248242">
      <formula>$R148:$R469&lt;=0</formula>
    </cfRule>
    <cfRule type="expression" dxfId="2056" priority="1248243">
      <formula>$R148:$R469&lt;4</formula>
    </cfRule>
  </conditionalFormatting>
  <conditionalFormatting sqref="AA346:AC346">
    <cfRule type="expression" dxfId="2055" priority="1254060">
      <formula>$R346:$R735="End"</formula>
    </cfRule>
  </conditionalFormatting>
  <conditionalFormatting sqref="AA346:AC346">
    <cfRule type="expression" dxfId="2054" priority="1254065" stopIfTrue="1">
      <formula>$R346:$R735="Cancel"</formula>
    </cfRule>
  </conditionalFormatting>
  <conditionalFormatting sqref="AQ424:AS424">
    <cfRule type="expression" dxfId="2053" priority="1257355">
      <formula>$X424:$X569="Penting"</formula>
    </cfRule>
    <cfRule type="expression" dxfId="2052" priority="1257356">
      <formula>$R424:$R569=""</formula>
    </cfRule>
    <cfRule type="expression" dxfId="2051" priority="1257357">
      <formula>$R424:$R569&lt;=0</formula>
    </cfRule>
    <cfRule type="expression" dxfId="2050" priority="1257358">
      <formula>$R424:$R569&lt;4</formula>
    </cfRule>
  </conditionalFormatting>
  <conditionalFormatting sqref="AQ437:AS437 AT377:AU377">
    <cfRule type="expression" dxfId="2049" priority="1258433">
      <formula>$X377:$X534="Penting"</formula>
    </cfRule>
    <cfRule type="expression" dxfId="2048" priority="1258434">
      <formula>$R377:$R534=""</formula>
    </cfRule>
    <cfRule type="expression" dxfId="2047" priority="1258435">
      <formula>$R377:$R534&lt;=0</formula>
    </cfRule>
    <cfRule type="expression" dxfId="2046" priority="1258436">
      <formula>$R377:$R534&lt;4</formula>
    </cfRule>
  </conditionalFormatting>
  <conditionalFormatting sqref="AQ187:AS187">
    <cfRule type="expression" dxfId="2045" priority="1291513">
      <formula>$X187:$X327="Penting"</formula>
    </cfRule>
    <cfRule type="expression" dxfId="2044" priority="1291514">
      <formula>$R187:$R327=""</formula>
    </cfRule>
    <cfRule type="expression" dxfId="2043" priority="1291515">
      <formula>$R187:$R327&lt;=0</formula>
    </cfRule>
    <cfRule type="expression" dxfId="2042" priority="1291516">
      <formula>$R187:$R327&lt;4</formula>
    </cfRule>
  </conditionalFormatting>
  <conditionalFormatting sqref="AQ433:AS433">
    <cfRule type="expression" dxfId="2041" priority="1328636">
      <formula>$R433:$R661="End"</formula>
    </cfRule>
  </conditionalFormatting>
  <conditionalFormatting sqref="AQ433:AS433">
    <cfRule type="expression" dxfId="2040" priority="1328648" stopIfTrue="1">
      <formula>$R433:$R661="Cancel"</formula>
    </cfRule>
  </conditionalFormatting>
  <conditionalFormatting sqref="AQ171:AS171">
    <cfRule type="expression" dxfId="2039" priority="1340311">
      <formula>$R171:$R593="End"</formula>
    </cfRule>
  </conditionalFormatting>
  <conditionalFormatting sqref="AQ171:AS171">
    <cfRule type="expression" dxfId="2038" priority="1340317" stopIfTrue="1">
      <formula>$R171:$R593="Cancel"</formula>
    </cfRule>
  </conditionalFormatting>
  <conditionalFormatting sqref="AE400:AP400 Q400:Z400 P385:P399 E400:O400">
    <cfRule type="expression" dxfId="2037" priority="1369570">
      <formula>$R385:$R675="End"</formula>
    </cfRule>
  </conditionalFormatting>
  <conditionalFormatting sqref="AE400:AP400 Q400:Z400 P385:P399 E400:O400">
    <cfRule type="expression" dxfId="2036" priority="1369579" stopIfTrue="1">
      <formula>$R385:$R675="Cancel"</formula>
    </cfRule>
  </conditionalFormatting>
  <conditionalFormatting sqref="AQ232:AS232">
    <cfRule type="expression" dxfId="2035" priority="1369993">
      <formula>$R232:$R652="End"</formula>
    </cfRule>
  </conditionalFormatting>
  <conditionalFormatting sqref="AQ232:AS232">
    <cfRule type="expression" dxfId="2034" priority="1369996" stopIfTrue="1">
      <formula>$R232:$R652="Cancel"</formula>
    </cfRule>
  </conditionalFormatting>
  <conditionalFormatting sqref="AQ435:AS435">
    <cfRule type="expression" dxfId="2033" priority="1389735">
      <formula>$R435:$R651="End"</formula>
    </cfRule>
  </conditionalFormatting>
  <conditionalFormatting sqref="AQ435:AS435">
    <cfRule type="expression" dxfId="2032" priority="1389743" stopIfTrue="1">
      <formula>$R435:$R651="Cancel"</formula>
    </cfRule>
  </conditionalFormatting>
  <conditionalFormatting sqref="P371 AA367:AC367 AA313:AC345">
    <cfRule type="expression" dxfId="2031" priority="1403772">
      <formula>$R313:$R655="End"</formula>
    </cfRule>
  </conditionalFormatting>
  <conditionalFormatting sqref="P371 AA367:AC367 AA313:AC345">
    <cfRule type="expression" dxfId="2030" priority="1403783" stopIfTrue="1">
      <formula>$R313:$R655="Cancel"</formula>
    </cfRule>
  </conditionalFormatting>
  <conditionalFormatting sqref="AD134">
    <cfRule type="expression" dxfId="2029" priority="1413175">
      <formula>$R134:$R267="End"</formula>
    </cfRule>
  </conditionalFormatting>
  <conditionalFormatting sqref="AD134">
    <cfRule type="expression" dxfId="2028" priority="1413176" stopIfTrue="1">
      <formula>$R134:$R267="Cancel"</formula>
    </cfRule>
  </conditionalFormatting>
  <conditionalFormatting sqref="AQ436:AS436">
    <cfRule type="expression" dxfId="2027" priority="1440459">
      <formula>$X436:$X588="Penting"</formula>
    </cfRule>
    <cfRule type="expression" dxfId="2026" priority="1440460">
      <formula>$R436:$R588=""</formula>
    </cfRule>
    <cfRule type="expression" dxfId="2025" priority="1440461">
      <formula>$R436:$R588&lt;=0</formula>
    </cfRule>
    <cfRule type="expression" dxfId="2024" priority="1440462">
      <formula>$R436:$R588&lt;4</formula>
    </cfRule>
  </conditionalFormatting>
  <conditionalFormatting sqref="AQ169:AS169">
    <cfRule type="expression" dxfId="2023" priority="1443620">
      <formula>$R167:$R592="End"</formula>
    </cfRule>
  </conditionalFormatting>
  <conditionalFormatting sqref="AQ169:AS169">
    <cfRule type="expression" dxfId="2022" priority="1443625" stopIfTrue="1">
      <formula>$R167:$R592="Cancel"</formula>
    </cfRule>
  </conditionalFormatting>
  <conditionalFormatting sqref="AQ386:AS386 AQ389:AS390">
    <cfRule type="expression" dxfId="2021" priority="1471144">
      <formula>$R386:$R468="End"</formula>
    </cfRule>
  </conditionalFormatting>
  <conditionalFormatting sqref="AQ386:AS386 AQ389:AS390">
    <cfRule type="expression" dxfId="2020" priority="1471151" stopIfTrue="1">
      <formula>$R386:$R468="Cancel"</formula>
    </cfRule>
  </conditionalFormatting>
  <conditionalFormatting sqref="AQ387:AS387">
    <cfRule type="expression" dxfId="2019" priority="1471158">
      <formula>$R387:$R472="End"</formula>
    </cfRule>
  </conditionalFormatting>
  <conditionalFormatting sqref="AQ387:AS387">
    <cfRule type="expression" dxfId="2018" priority="1471159" stopIfTrue="1">
      <formula>$R387:$R472="Cancel"</formula>
    </cfRule>
  </conditionalFormatting>
  <conditionalFormatting sqref="AQ401:AS401 AQ403:AS403 AD366">
    <cfRule type="expression" dxfId="2017" priority="1472911">
      <formula>$R366:$R483="End"</formula>
    </cfRule>
  </conditionalFormatting>
  <conditionalFormatting sqref="AQ401:AS401 AQ403:AS403 AD366">
    <cfRule type="expression" dxfId="2016" priority="1472918" stopIfTrue="1">
      <formula>$R366:$R483="Cancel"</formula>
    </cfRule>
  </conditionalFormatting>
  <conditionalFormatting sqref="AD381 AD351">
    <cfRule type="expression" dxfId="2015" priority="1473329">
      <formula>$R351:$R515="End"</formula>
    </cfRule>
  </conditionalFormatting>
  <conditionalFormatting sqref="AD381 AD351">
    <cfRule type="expression" dxfId="2014" priority="1473342" stopIfTrue="1">
      <formula>$R351:$R515="Cancel"</formula>
    </cfRule>
  </conditionalFormatting>
  <conditionalFormatting sqref="AQ371:AS371">
    <cfRule type="expression" dxfId="2013" priority="1474651">
      <formula>$R371:$R520="End"</formula>
    </cfRule>
  </conditionalFormatting>
  <conditionalFormatting sqref="AQ371:AS371">
    <cfRule type="expression" dxfId="2012" priority="1474656" stopIfTrue="1">
      <formula>$R371:$R520="Cancel"</formula>
    </cfRule>
  </conditionalFormatting>
  <conditionalFormatting sqref="AQ409:AS409 AD236 AQ314:AS316">
    <cfRule type="expression" dxfId="2011" priority="1483875">
      <formula>$R236:$R376="End"</formula>
    </cfRule>
  </conditionalFormatting>
  <conditionalFormatting sqref="AQ409:AS409 AD236 AQ314:AS316">
    <cfRule type="expression" dxfId="2010" priority="1483886" stopIfTrue="1">
      <formula>$R236:$R376="Cancel"</formula>
    </cfRule>
  </conditionalFormatting>
  <conditionalFormatting sqref="AQ435:AS435">
    <cfRule type="expression" dxfId="2009" priority="1486617">
      <formula>$X435:$X586="Penting"</formula>
    </cfRule>
    <cfRule type="expression" dxfId="2008" priority="1486618">
      <formula>$R435:$R586=""</formula>
    </cfRule>
    <cfRule type="expression" dxfId="2007" priority="1486619">
      <formula>$R435:$R586&lt;=0</formula>
    </cfRule>
    <cfRule type="expression" dxfId="2006" priority="1486620">
      <formula>$R435:$R586&lt;4</formula>
    </cfRule>
  </conditionalFormatting>
  <conditionalFormatting sqref="AQ433:AS433 AQ382:AS382 AT373:AU374">
    <cfRule type="expression" dxfId="2005" priority="1490764">
      <formula>$X373:$X528="Penting"</formula>
    </cfRule>
    <cfRule type="expression" dxfId="2004" priority="1490765">
      <formula>$R373:$R528=""</formula>
    </cfRule>
    <cfRule type="expression" dxfId="2003" priority="1490766">
      <formula>$R373:$R528&lt;=0</formula>
    </cfRule>
    <cfRule type="expression" dxfId="2002" priority="1490767">
      <formula>$R373:$R528&lt;4</formula>
    </cfRule>
  </conditionalFormatting>
  <conditionalFormatting sqref="AQ421:AS421">
    <cfRule type="expression" dxfId="2001" priority="1546493">
      <formula>$R421:$R600="End"</formula>
    </cfRule>
  </conditionalFormatting>
  <conditionalFormatting sqref="AQ421:AS421">
    <cfRule type="expression" dxfId="2000" priority="1546498" stopIfTrue="1">
      <formula>$R421:$R600="Cancel"</formula>
    </cfRule>
  </conditionalFormatting>
  <conditionalFormatting sqref="AT437:AU437 AQ173:AS174">
    <cfRule type="expression" dxfId="1999" priority="1552106">
      <formula>$X173:$X437="Penting"</formula>
    </cfRule>
    <cfRule type="expression" dxfId="1998" priority="1552107">
      <formula>$R173:$R437=""</formula>
    </cfRule>
    <cfRule type="expression" dxfId="1997" priority="1552108">
      <formula>$R173:$R437&lt;=0</formula>
    </cfRule>
    <cfRule type="expression" dxfId="1996" priority="1552109">
      <formula>$R173:$R437&lt;4</formula>
    </cfRule>
  </conditionalFormatting>
  <conditionalFormatting sqref="AQ429:AS432">
    <cfRule type="expression" dxfId="1995" priority="1565536">
      <formula>$X429:$X554="Penting"</formula>
    </cfRule>
    <cfRule type="expression" dxfId="1994" priority="1565537">
      <formula>$R429:$R554=""</formula>
    </cfRule>
    <cfRule type="expression" dxfId="1993" priority="1565538">
      <formula>$R429:$R554&lt;=0</formula>
    </cfRule>
    <cfRule type="expression" dxfId="1992" priority="1565539">
      <formula>$R429:$R554&lt;4</formula>
    </cfRule>
  </conditionalFormatting>
  <conditionalFormatting sqref="AQ421:AS421">
    <cfRule type="expression" dxfId="1991" priority="1565598">
      <formula>$X421:$X535="Penting"</formula>
    </cfRule>
    <cfRule type="expression" dxfId="1990" priority="1565599">
      <formula>$R421:$R535=""</formula>
    </cfRule>
    <cfRule type="expression" dxfId="1989" priority="1565600">
      <formula>$R421:$R535&lt;=0</formula>
    </cfRule>
    <cfRule type="expression" dxfId="1988" priority="1565601">
      <formula>$R421:$R535&lt;4</formula>
    </cfRule>
  </conditionalFormatting>
  <conditionalFormatting sqref="AQ426:AS426 AQ317:AS318">
    <cfRule type="expression" dxfId="1987" priority="1580232">
      <formula>$X317:$X437="Penting"</formula>
    </cfRule>
    <cfRule type="expression" dxfId="1986" priority="1580233">
      <formula>$R317:$R437=""</formula>
    </cfRule>
    <cfRule type="expression" dxfId="1985" priority="1580234">
      <formula>$R317:$R437&lt;=0</formula>
    </cfRule>
    <cfRule type="expression" dxfId="1984" priority="1580235">
      <formula>$R317:$R437&lt;4</formula>
    </cfRule>
  </conditionalFormatting>
  <conditionalFormatting sqref="AT433:AU433">
    <cfRule type="expression" dxfId="1983" priority="1590498">
      <formula>$X433:$X660="Penting"</formula>
    </cfRule>
    <cfRule type="expression" dxfId="1982" priority="1590499">
      <formula>$R433:$R660=""</formula>
    </cfRule>
    <cfRule type="expression" dxfId="1981" priority="1590500">
      <formula>$R433:$R660&lt;=0</formula>
    </cfRule>
    <cfRule type="expression" dxfId="1980" priority="1590501">
      <formula>$R433:$R660&lt;4</formula>
    </cfRule>
  </conditionalFormatting>
  <conditionalFormatting sqref="AQ434:AS434">
    <cfRule type="expression" dxfId="1979" priority="1592598">
      <formula>$X434:$X561="Penting"</formula>
    </cfRule>
    <cfRule type="expression" dxfId="1978" priority="1592599">
      <formula>$R434:$R561=""</formula>
    </cfRule>
    <cfRule type="expression" dxfId="1977" priority="1592600">
      <formula>$R434:$R561&lt;=0</formula>
    </cfRule>
    <cfRule type="expression" dxfId="1976" priority="1592601">
      <formula>$R434:$R561&lt;4</formula>
    </cfRule>
  </conditionalFormatting>
  <conditionalFormatting sqref="AQ427:AS428 AT404:AU405">
    <cfRule type="expression" dxfId="1975" priority="1593100">
      <formula>$X404:$X526="Penting"</formula>
    </cfRule>
    <cfRule type="expression" dxfId="1974" priority="1593101">
      <formula>$R404:$R526=""</formula>
    </cfRule>
    <cfRule type="expression" dxfId="1973" priority="1593102">
      <formula>$R404:$R526&lt;=0</formula>
    </cfRule>
    <cfRule type="expression" dxfId="1972" priority="1593103">
      <formula>$R404:$R526&lt;4</formula>
    </cfRule>
  </conditionalFormatting>
  <conditionalFormatting sqref="AQ425:AS425 AT403:AU403 AT401:AU401">
    <cfRule type="expression" dxfId="1971" priority="1594278">
      <formula>$X401:$X520="Penting"</formula>
    </cfRule>
    <cfRule type="expression" dxfId="1970" priority="1594279">
      <formula>$R401:$R520=""</formula>
    </cfRule>
    <cfRule type="expression" dxfId="1969" priority="1594280">
      <formula>$R401:$R520&lt;=0</formula>
    </cfRule>
    <cfRule type="expression" dxfId="1968" priority="1594281">
      <formula>$R401:$R520&lt;4</formula>
    </cfRule>
  </conditionalFormatting>
  <conditionalFormatting sqref="AT396:AU397 AQ355:AS355 AQ360:AS360">
    <cfRule type="expression" dxfId="1967" priority="1594336">
      <formula>$X355:$X458="Penting"</formula>
    </cfRule>
    <cfRule type="expression" dxfId="1966" priority="1594337">
      <formula>$R355:$R458=""</formula>
    </cfRule>
    <cfRule type="expression" dxfId="1965" priority="1594338">
      <formula>$R355:$R458&lt;=0</formula>
    </cfRule>
    <cfRule type="expression" dxfId="1964" priority="1594339">
      <formula>$R355:$R458&lt;4</formula>
    </cfRule>
  </conditionalFormatting>
  <conditionalFormatting sqref="AQ418:AS419 AQ352:AS352">
    <cfRule type="expression" dxfId="1963" priority="1604368">
      <formula>$X352:$X454="Penting"</formula>
    </cfRule>
    <cfRule type="expression" dxfId="1962" priority="1604369">
      <formula>$R352:$R454=""</formula>
    </cfRule>
    <cfRule type="expression" dxfId="1961" priority="1604370">
      <formula>$R352:$R454&lt;=0</formula>
    </cfRule>
    <cfRule type="expression" dxfId="1960" priority="1604371">
      <formula>$R352:$R454&lt;4</formula>
    </cfRule>
  </conditionalFormatting>
  <conditionalFormatting sqref="AQ416:AS416">
    <cfRule type="expression" dxfId="1959" priority="1608356">
      <formula>$R416:$R580="End"</formula>
    </cfRule>
  </conditionalFormatting>
  <conditionalFormatting sqref="AQ416:AS416">
    <cfRule type="expression" dxfId="1958" priority="1608361" stopIfTrue="1">
      <formula>$R416:$R580="Cancel"</formula>
    </cfRule>
  </conditionalFormatting>
  <conditionalFormatting sqref="P370 P356 P373:P374 P368 AA134:AC312">
    <cfRule type="expression" dxfId="1957" priority="1619638">
      <formula>$R134:$R479="End"</formula>
    </cfRule>
  </conditionalFormatting>
  <conditionalFormatting sqref="P370 P356 P373:P374 P368 AA134:AC312">
    <cfRule type="expression" dxfId="1956" priority="1619754" stopIfTrue="1">
      <formula>$R134:$R479="Cancel"</formula>
    </cfRule>
  </conditionalFormatting>
  <conditionalFormatting sqref="S424:S438 T357:V357 T349:V349">
    <cfRule type="expression" dxfId="1955" priority="1632716">
      <formula>$X349:$X711="Penting"</formula>
    </cfRule>
    <cfRule type="expression" dxfId="1954" priority="1632717">
      <formula>$R349:$R711=""</formula>
    </cfRule>
    <cfRule type="expression" dxfId="1953" priority="1632718">
      <formula>$R349:$R711&lt;=0</formula>
    </cfRule>
    <cfRule type="expression" dxfId="1952" priority="1632719">
      <formula>$R349:$R711&lt;4</formula>
    </cfRule>
  </conditionalFormatting>
  <conditionalFormatting sqref="T416:V423 AT200:AU200">
    <cfRule type="expression" dxfId="1951" priority="1632796">
      <formula>$X200:$X518="Penting"</formula>
    </cfRule>
    <cfRule type="expression" dxfId="1950" priority="1632797">
      <formula>$R200:$R518=""</formula>
    </cfRule>
    <cfRule type="expression" dxfId="1949" priority="1632798">
      <formula>$R200:$R518&lt;=0</formula>
    </cfRule>
    <cfRule type="expression" dxfId="1948" priority="1632799">
      <formula>$R200:$R518&lt;4</formula>
    </cfRule>
  </conditionalFormatting>
  <conditionalFormatting sqref="AQ385:AS385">
    <cfRule type="expression" dxfId="1947" priority="1638048">
      <formula>$R369:$R444="End"</formula>
    </cfRule>
  </conditionalFormatting>
  <conditionalFormatting sqref="AQ385:AS385">
    <cfRule type="expression" dxfId="1946" priority="1638050" stopIfTrue="1">
      <formula>$R369:$R444="Cancel"</formula>
    </cfRule>
  </conditionalFormatting>
  <conditionalFormatting sqref="AQ339:AS339 AQ335:AS335 AQ301:AS301">
    <cfRule type="expression" dxfId="1945" priority="1643089">
      <formula>$R301:$R576="End"</formula>
    </cfRule>
  </conditionalFormatting>
  <conditionalFormatting sqref="AQ339:AS339 AQ335:AS335 AQ301:AS301">
    <cfRule type="expression" dxfId="1944" priority="1643102" stopIfTrue="1">
      <formula>$R301:$R576="Cancel"</formula>
    </cfRule>
  </conditionalFormatting>
  <conditionalFormatting sqref="AQ261:AS261">
    <cfRule type="expression" dxfId="1943" priority="1645161">
      <formula>$R261:$R472="End"</formula>
    </cfRule>
  </conditionalFormatting>
  <conditionalFormatting sqref="AQ261:AS261">
    <cfRule type="expression" dxfId="1942" priority="1645167" stopIfTrue="1">
      <formula>$R261:$R472="Cancel"</formula>
    </cfRule>
  </conditionalFormatting>
  <conditionalFormatting sqref="AA424:AC438 AA372:AC372 AE371:AP371 AE354:AP354 C354:O354 Q371:Z371 C371:O371">
    <cfRule type="expression" dxfId="1941" priority="286">
      <formula>$R354:$R692="End"</formula>
    </cfRule>
  </conditionalFormatting>
  <conditionalFormatting sqref="AA424:AC438 AA372:AC372 AE371:AP371 AE354:AP354 C354:O354 Q371:Z371 C371:O371">
    <cfRule type="expression" dxfId="1940" priority="285" stopIfTrue="1">
      <formula>$R354:$R692="Cancel"</formula>
    </cfRule>
  </conditionalFormatting>
  <conditionalFormatting sqref="S424:S438 AQ165:AS165 S372">
    <cfRule type="expression" dxfId="1939" priority="263">
      <formula>$X165:$X526="Penting"</formula>
    </cfRule>
    <cfRule type="expression" dxfId="1938" priority="264">
      <formula>$R165:$R526=""</formula>
    </cfRule>
    <cfRule type="expression" dxfId="1937" priority="265">
      <formula>$R165:$R526&lt;=0</formula>
    </cfRule>
    <cfRule type="expression" dxfId="1936" priority="266">
      <formula>$R165:$R526&lt;4</formula>
    </cfRule>
  </conditionalFormatting>
  <conditionalFormatting sqref="AQ263:AS263">
    <cfRule type="expression" dxfId="1935" priority="1650774">
      <formula>$R263:$R461="End"</formula>
    </cfRule>
  </conditionalFormatting>
  <conditionalFormatting sqref="AQ263:AS263">
    <cfRule type="expression" dxfId="1934" priority="1650775" stopIfTrue="1">
      <formula>$R263:$R461="Cancel"</formula>
    </cfRule>
  </conditionalFormatting>
  <conditionalFormatting sqref="AQ279:AS279">
    <cfRule type="expression" dxfId="1933" priority="1651450">
      <formula>$R279:$R501="End"</formula>
    </cfRule>
  </conditionalFormatting>
  <conditionalFormatting sqref="AQ279:AS279">
    <cfRule type="expression" dxfId="1932" priority="1651451" stopIfTrue="1">
      <formula>$R279:$R501="Cancel"</formula>
    </cfRule>
  </conditionalFormatting>
  <conditionalFormatting sqref="AA424:AC438 C354:O354 AD349 AE368:AP368 Q368:Z368 C368:O368 AD357 AE354:AP354 AE370:AP370 Q370:Z370 Q354:Z354">
    <cfRule type="expression" dxfId="1931" priority="1651519">
      <formula>$R349:$R688="End"</formula>
    </cfRule>
  </conditionalFormatting>
  <conditionalFormatting sqref="AA424:AC438 C354:O354 AD349 AE368:AP368 Q368:Z368 C368:O368 AD357 AE354:AP354 AE370:AP370 Q370:Z370 Q354:Z354">
    <cfRule type="expression" dxfId="1930" priority="1651521" stopIfTrue="1">
      <formula>$R349:$R688="Cancel"</formula>
    </cfRule>
  </conditionalFormatting>
  <conditionalFormatting sqref="AE367:AP367 AD377:AD380 Q367:Z367 C365:O365 AE365:AP365 Q365:Z365 C367:O367 AA366:AC366 AE313:AP345 C313:O345 Q313:Z345 AQ142:AS144 AQ147:AS147">
    <cfRule type="expression" dxfId="1929" priority="1653436">
      <formula>$R142:$R465="End"</formula>
    </cfRule>
  </conditionalFormatting>
  <conditionalFormatting sqref="AE367:AP367 AD377:AD380 Q367:Z367 C365:O365 AE365:AP365 Q365:Z365 C367:O367 AA366:AC366 AE313:AP345 C313:O345 Q313:Z345 AQ142:AS144 AQ147:AS147">
    <cfRule type="expression" dxfId="1928" priority="1653438" stopIfTrue="1">
      <formula>$R142:$R465="Cancel"</formula>
    </cfRule>
  </conditionalFormatting>
  <conditionalFormatting sqref="AQ391:AS391">
    <cfRule type="expression" dxfId="1927" priority="1653486">
      <formula>$R391:$R475="End"</formula>
    </cfRule>
  </conditionalFormatting>
  <conditionalFormatting sqref="AQ391:AS391">
    <cfRule type="expression" dxfId="1926" priority="1653487" stopIfTrue="1">
      <formula>$R391:$R475="Cancel"</formula>
    </cfRule>
  </conditionalFormatting>
  <conditionalFormatting sqref="T409:V415 C368:S368 W370:AP370 C370:S370 AT162:AU162 W368:AP368">
    <cfRule type="expression" dxfId="1925" priority="1653789">
      <formula>$X162:$X478="Penting"</formula>
    </cfRule>
    <cfRule type="expression" dxfId="1924" priority="1653790">
      <formula>$R162:$R478=""</formula>
    </cfRule>
    <cfRule type="expression" dxfId="1923" priority="1653791">
      <formula>$R162:$R478&lt;=0</formula>
    </cfRule>
    <cfRule type="expression" dxfId="1922" priority="1653792">
      <formula>$R162:$R478&lt;4</formula>
    </cfRule>
  </conditionalFormatting>
  <conditionalFormatting sqref="P381 D360:O360 P351 P348 AE360:AP360 AA368:AC368 Q360:Z360 AA354:AC354">
    <cfRule type="expression" dxfId="1921" priority="1654676">
      <formula>$R348:$R705="End"</formula>
    </cfRule>
  </conditionalFormatting>
  <conditionalFormatting sqref="P381 D360:O360 P351 P348 AE360:AP360 AA368:AC368 Q360:Z360 AA354:AC354">
    <cfRule type="expression" dxfId="1920" priority="1654677" stopIfTrue="1">
      <formula>$R348:$R705="Cancel"</formula>
    </cfRule>
  </conditionalFormatting>
  <conditionalFormatting sqref="AE382:AP384 Q382:Z384 E382:O384 P364">
    <cfRule type="expression" dxfId="1919" priority="1656137">
      <formula>$R364:$R724="End"</formula>
    </cfRule>
  </conditionalFormatting>
  <conditionalFormatting sqref="AE382:AP384 Q382:Z384 E382:O384 P364">
    <cfRule type="expression" dxfId="1918" priority="1656139" stopIfTrue="1">
      <formula>$R364:$R724="Cancel"</formula>
    </cfRule>
  </conditionalFormatting>
  <conditionalFormatting sqref="P381 AE360:AP360 Q360:Z360 AA371:AC371 P351 AA354:AC354 P348">
    <cfRule type="expression" dxfId="1917" priority="1656337">
      <formula>$R348:$R704="End"</formula>
    </cfRule>
  </conditionalFormatting>
  <conditionalFormatting sqref="P381 AE360:AP360 Q360:Z360 AA371:AC371 P351 AA354:AC354 P348">
    <cfRule type="expression" dxfId="1916" priority="1656340" stopIfTrue="1">
      <formula>$R348:$R704="Cancel"</formula>
    </cfRule>
  </conditionalFormatting>
  <conditionalFormatting sqref="T403:V403 AQ142:AS144">
    <cfRule type="expression" dxfId="1915" priority="1657361">
      <formula>$X142:$X437="Penting"</formula>
    </cfRule>
    <cfRule type="expression" dxfId="1914" priority="1657362">
      <formula>$R142:$R437=""</formula>
    </cfRule>
    <cfRule type="expression" dxfId="1913" priority="1657363">
      <formula>$R142:$R437&lt;=0</formula>
    </cfRule>
    <cfRule type="expression" dxfId="1912" priority="1657364">
      <formula>$R142:$R437&lt;4</formula>
    </cfRule>
  </conditionalFormatting>
  <conditionalFormatting sqref="AE381:AP381 Q381:Z381 E381:O381 AE348:AP348 Q348:Z348 C348:O348 AE351:AP351 Q351:Z351 P377:P379">
    <cfRule type="expression" dxfId="1911" priority="1659896">
      <formula>$R348:$R700="End"</formula>
    </cfRule>
  </conditionalFormatting>
  <conditionalFormatting sqref="AE381:AP381 Q381:Z381 E381:O381 AE348:AP348 Q348:Z348 C348:O348 AE351:AP351 Q351:Z351 P377:P379">
    <cfRule type="expression" dxfId="1910" priority="1659898" stopIfTrue="1">
      <formula>$R348:$R700="Cancel"</formula>
    </cfRule>
  </conditionalFormatting>
  <conditionalFormatting sqref="T385:V399">
    <cfRule type="expression" dxfId="1909" priority="1660919">
      <formula>$X385:$X670="Penting"</formula>
    </cfRule>
    <cfRule type="expression" dxfId="1908" priority="1660920">
      <formula>$R385:$R670=""</formula>
    </cfRule>
    <cfRule type="expression" dxfId="1907" priority="1660921">
      <formula>$R385:$R670&lt;=0</formula>
    </cfRule>
    <cfRule type="expression" dxfId="1906" priority="1660922">
      <formula>$R385:$R670&lt;4</formula>
    </cfRule>
  </conditionalFormatting>
  <conditionalFormatting sqref="AQ377:AS377 AD373:AD374 AD356">
    <cfRule type="expression" dxfId="1905" priority="1661573">
      <formula>$R356:$R509="End"</formula>
    </cfRule>
  </conditionalFormatting>
  <conditionalFormatting sqref="AQ377:AS377 AD373:AD374 AD356">
    <cfRule type="expression" dxfId="1904" priority="1661574" stopIfTrue="1">
      <formula>$R356:$R509="Cancel"</formula>
    </cfRule>
  </conditionalFormatting>
  <conditionalFormatting sqref="AD400 AQ396:AS397">
    <cfRule type="expression" dxfId="1903" priority="1662491">
      <formula>$R396:$R498="End"</formula>
    </cfRule>
  </conditionalFormatting>
  <conditionalFormatting sqref="AD400 AQ396:AS397">
    <cfRule type="expression" dxfId="1902" priority="1662492" stopIfTrue="1">
      <formula>$R396:$R498="Cancel"</formula>
    </cfRule>
  </conditionalFormatting>
  <conditionalFormatting sqref="P404:P405 AE366:AP366 C366:O366 P369 Q366:Z366 AQ187:AS187 AD358">
    <cfRule type="expression" dxfId="1901" priority="1663009">
      <formula>$R187:$R492="End"</formula>
    </cfRule>
  </conditionalFormatting>
  <conditionalFormatting sqref="P404:P405 AE366:AP366 C366:O366 P369 Q366:Z366 AQ187:AS187 AD358">
    <cfRule type="expression" dxfId="1900" priority="1663011" stopIfTrue="1">
      <formula>$R187:$R492="Cancel"</formula>
    </cfRule>
  </conditionalFormatting>
  <conditionalFormatting sqref="AA401:AC402">
    <cfRule type="expression" dxfId="1899" priority="1664907">
      <formula>$R401:$R712="End"</formula>
    </cfRule>
  </conditionalFormatting>
  <conditionalFormatting sqref="AA401:AC402">
    <cfRule type="expression" dxfId="1898" priority="1664908" stopIfTrue="1">
      <formula>$R401:$R712="Cancel"</formula>
    </cfRule>
  </conditionalFormatting>
  <conditionalFormatting sqref="AQ399:AS399 AQ402:AS402 AD260">
    <cfRule type="expression" dxfId="1897" priority="1667372">
      <formula>$R260:$R376="End"</formula>
    </cfRule>
  </conditionalFormatting>
  <conditionalFormatting sqref="AQ399:AS399 AQ402:AS402 AD260">
    <cfRule type="expression" dxfId="1896" priority="1667374" stopIfTrue="1">
      <formula>$R260:$R376="Cancel"</formula>
    </cfRule>
  </conditionalFormatting>
  <conditionalFormatting sqref="P403">
    <cfRule type="expression" dxfId="1895" priority="1667493">
      <formula>$R403:$R703="End"</formula>
    </cfRule>
  </conditionalFormatting>
  <conditionalFormatting sqref="P403">
    <cfRule type="expression" dxfId="1894" priority="1667495" stopIfTrue="1">
      <formula>$R403:$R703="Cancel"</formula>
    </cfRule>
  </conditionalFormatting>
  <conditionalFormatting sqref="AD403">
    <cfRule type="expression" dxfId="1893" priority="1667569">
      <formula>$R403:$R510="End"</formula>
    </cfRule>
  </conditionalFormatting>
  <conditionalFormatting sqref="AD403">
    <cfRule type="expression" dxfId="1892" priority="1667570" stopIfTrue="1">
      <formula>$R403:$R510="Cancel"</formula>
    </cfRule>
  </conditionalFormatting>
  <conditionalFormatting sqref="AA400:AC400 AQ184:AS185 AQ282:AS282">
    <cfRule type="expression" dxfId="1891" priority="1667597">
      <formula>$R184:$R492="End"</formula>
    </cfRule>
  </conditionalFormatting>
  <conditionalFormatting sqref="AA400:AC400 AQ184:AS185 AQ282:AS282">
    <cfRule type="expression" dxfId="1890" priority="1667602" stopIfTrue="1">
      <formula>$R184:$R492="Cancel"</formula>
    </cfRule>
  </conditionalFormatting>
  <conditionalFormatting sqref="AA406:AC408 AQ155:AS156 P134:P312">
    <cfRule type="expression" dxfId="1889" priority="1667663">
      <formula>$R134:$R466="End"</formula>
    </cfRule>
  </conditionalFormatting>
  <conditionalFormatting sqref="AA406:AC408 AQ155:AS156 P134:P312">
    <cfRule type="expression" dxfId="1888" priority="1667667" stopIfTrue="1">
      <formula>$R134:$R466="Cancel"</formula>
    </cfRule>
  </conditionalFormatting>
  <conditionalFormatting sqref="AA403:AC403 AQ157:AS158 AQ177:AS177">
    <cfRule type="expression" dxfId="1887" priority="1667689">
      <formula>$R157:$R469="End"</formula>
    </cfRule>
  </conditionalFormatting>
  <conditionalFormatting sqref="AA403:AC403 AQ157:AS158 AQ177:AS177">
    <cfRule type="expression" dxfId="1886" priority="1667690" stopIfTrue="1">
      <formula>$R157:$R469="Cancel"</formula>
    </cfRule>
  </conditionalFormatting>
  <conditionalFormatting sqref="P409:P423 AA366:AC366 C365:O365 Q365:Z365 AQ148:AS149 AE365:AP365">
    <cfRule type="expression" dxfId="1885" priority="1667865">
      <formula>$R148:$R470="End"</formula>
    </cfRule>
  </conditionalFormatting>
  <conditionalFormatting sqref="P409:P423 AA366:AC366 C365:O365 Q365:Z365 AQ148:AS149 AE365:AP365">
    <cfRule type="expression" dxfId="1884" priority="1667874" stopIfTrue="1">
      <formula>$R148:$R470="Cancel"</formula>
    </cfRule>
  </conditionalFormatting>
  <conditionalFormatting sqref="AA385:AC399 AE366:AP366 AQ173:AS174 C366:O366">
    <cfRule type="expression" dxfId="1883" priority="1668411">
      <formula>$R173:$R477="End"</formula>
    </cfRule>
  </conditionalFormatting>
  <conditionalFormatting sqref="AA385:AC399 AE366:AP366 AQ173:AS174 C366:O366">
    <cfRule type="expression" dxfId="1882" priority="1668413" stopIfTrue="1">
      <formula>$R173:$R477="Cancel"</formula>
    </cfRule>
  </conditionalFormatting>
  <conditionalFormatting sqref="W382:AP384 S403 E382:S384">
    <cfRule type="expression" dxfId="1881" priority="1669235">
      <formula>$X382:$X718="Penting"</formula>
    </cfRule>
    <cfRule type="expression" dxfId="1880" priority="1669236">
      <formula>$R382:$R718=""</formula>
    </cfRule>
    <cfRule type="expression" dxfId="1879" priority="1669237">
      <formula>$R382:$R718&lt;=0</formula>
    </cfRule>
    <cfRule type="expression" dxfId="1878" priority="1669238">
      <formula>$R382:$R718&lt;4</formula>
    </cfRule>
  </conditionalFormatting>
  <conditionalFormatting sqref="P403 AQ288:AS290 AD365">
    <cfRule type="expression" dxfId="1877" priority="1670887">
      <formula>$R288:$R587="End"</formula>
    </cfRule>
  </conditionalFormatting>
  <conditionalFormatting sqref="P403 AQ288:AS290 AD365">
    <cfRule type="expression" dxfId="1876" priority="1670889" stopIfTrue="1">
      <formula>$R288:$R587="Cancel"</formula>
    </cfRule>
  </conditionalFormatting>
  <conditionalFormatting sqref="AD404:AD405 AD264:AD265">
    <cfRule type="expression" dxfId="1875" priority="1670929">
      <formula>$R264:$R377="End"</formula>
    </cfRule>
  </conditionalFormatting>
  <conditionalFormatting sqref="AD404:AD405 AD264:AD265">
    <cfRule type="expression" dxfId="1874" priority="1670930" stopIfTrue="1">
      <formula>$R264:$R377="Cancel"</formula>
    </cfRule>
  </conditionalFormatting>
  <conditionalFormatting sqref="AQ398:AS398">
    <cfRule type="expression" dxfId="1873" priority="1671043">
      <formula>$R398:$R504="End"</formula>
    </cfRule>
  </conditionalFormatting>
  <conditionalFormatting sqref="AQ398:AS398">
    <cfRule type="expression" dxfId="1872" priority="1671044" stopIfTrue="1">
      <formula>$R398:$R504="Cancel"</formula>
    </cfRule>
  </conditionalFormatting>
  <conditionalFormatting sqref="AQ415:AS415">
    <cfRule type="expression" dxfId="1871" priority="1671253">
      <formula>$R415:$R577="End"</formula>
    </cfRule>
  </conditionalFormatting>
  <conditionalFormatting sqref="AQ415:AS415">
    <cfRule type="expression" dxfId="1870" priority="1671255" stopIfTrue="1">
      <formula>$R415:$R577="Cancel"</formula>
    </cfRule>
  </conditionalFormatting>
  <conditionalFormatting sqref="AA403:AC403 Q375:Z375 C375:O375 AQ178:AS178 AE375:AP375">
    <cfRule type="expression" dxfId="1869" priority="1671331">
      <formula>$R178:$R491="End"</formula>
    </cfRule>
  </conditionalFormatting>
  <conditionalFormatting sqref="AA403:AC403 Q375:Z375 C375:O375 AQ178:AS178 AE375:AP375">
    <cfRule type="expression" dxfId="1868" priority="1671333" stopIfTrue="1">
      <formula>$R178:$R491="Cancel"</formula>
    </cfRule>
  </conditionalFormatting>
  <conditionalFormatting sqref="T401:V402 AQ145:AS146">
    <cfRule type="expression" dxfId="1867" priority="1671427">
      <formula>$X145:$X437="Penting"</formula>
    </cfRule>
    <cfRule type="expression" dxfId="1866" priority="1671428">
      <formula>$R145:$R437=""</formula>
    </cfRule>
    <cfRule type="expression" dxfId="1865" priority="1671429">
      <formula>$R145:$R437&lt;=0</formula>
    </cfRule>
    <cfRule type="expression" dxfId="1864" priority="1671430">
      <formula>$R145:$R437&lt;4</formula>
    </cfRule>
  </conditionalFormatting>
  <conditionalFormatting sqref="AA409:AC415 P358">
    <cfRule type="expression" dxfId="1863" priority="1672819">
      <formula>$R358:$R692="End"</formula>
    </cfRule>
  </conditionalFormatting>
  <conditionalFormatting sqref="AA409:AC415 P358">
    <cfRule type="expression" dxfId="1862" priority="1672821" stopIfTrue="1">
      <formula>$R358:$R692="Cancel"</formula>
    </cfRule>
  </conditionalFormatting>
  <conditionalFormatting sqref="S404:S405">
    <cfRule type="expression" dxfId="1861" priority="1673145">
      <formula>$X404:$X746="Penting"</formula>
    </cfRule>
    <cfRule type="expression" dxfId="1860" priority="1673146">
      <formula>$R404:$R746=""</formula>
    </cfRule>
    <cfRule type="expression" dxfId="1859" priority="1673147">
      <formula>$R404:$R746&lt;=0</formula>
    </cfRule>
    <cfRule type="expression" dxfId="1858" priority="1673148">
      <formula>$R404:$R746&lt;4</formula>
    </cfRule>
  </conditionalFormatting>
  <conditionalFormatting sqref="T409:V423 AQ321:AS328 W373:AP374 C373:S374 C356:S356 AT159:AU161 W356:AP356">
    <cfRule type="expression" dxfId="1857" priority="1673193">
      <formula>$X159:$X476="Penting"</formula>
    </cfRule>
    <cfRule type="expression" dxfId="1856" priority="1673194">
      <formula>$R159:$R476=""</formula>
    </cfRule>
    <cfRule type="expression" dxfId="1855" priority="1673195">
      <formula>$R159:$R476&lt;=0</formula>
    </cfRule>
    <cfRule type="expression" dxfId="1854" priority="1673196">
      <formula>$R159:$R476&lt;4</formula>
    </cfRule>
  </conditionalFormatting>
  <conditionalFormatting sqref="T406:V408 W371:AP371 T375:V375 AT178:AU178">
    <cfRule type="expression" dxfId="1853" priority="1673295">
      <formula>$X178:$X492="Penting"</formula>
    </cfRule>
    <cfRule type="expression" dxfId="1852" priority="1673296">
      <formula>$R178:$R492=""</formula>
    </cfRule>
    <cfRule type="expression" dxfId="1851" priority="1673297">
      <formula>$R178:$R492&lt;=0</formula>
    </cfRule>
    <cfRule type="expression" dxfId="1850" priority="1673298">
      <formula>$R178:$R492&lt;4</formula>
    </cfRule>
  </conditionalFormatting>
  <conditionalFormatting sqref="AA400:AC400 AQ166:AS168 AQ186:AS186">
    <cfRule type="expression" dxfId="1849" priority="1674379">
      <formula>$R166:$R473="End"</formula>
    </cfRule>
  </conditionalFormatting>
  <conditionalFormatting sqref="AA400:AC400 AQ166:AS168 AQ186:AS186">
    <cfRule type="expression" dxfId="1848" priority="1674381" stopIfTrue="1">
      <formula>$R166:$R473="Cancel"</formula>
    </cfRule>
  </conditionalFormatting>
  <conditionalFormatting sqref="AE404:AP405 Q404:Z405 E404:O405 Q369:Z369 AE369:AP369 C369:O369">
    <cfRule type="expression" dxfId="1847" priority="1674415">
      <formula>$R369:$R670="End"</formula>
    </cfRule>
  </conditionalFormatting>
  <conditionalFormatting sqref="AE404:AP405 Q404:Z405 E404:O405 Q369:Z369 AE369:AP369 C369:O369">
    <cfRule type="expression" dxfId="1846" priority="1674419" stopIfTrue="1">
      <formula>$R369:$R670="Cancel"</formula>
    </cfRule>
  </conditionalFormatting>
  <conditionalFormatting sqref="C369:S369 AT329:AU332 AT343:AU343">
    <cfRule type="expression" dxfId="1845" priority="1674581">
      <formula>$X329:$X606="Penting"</formula>
    </cfRule>
    <cfRule type="expression" dxfId="1844" priority="1674582">
      <formula>$R329:$R606=""</formula>
    </cfRule>
    <cfRule type="expression" dxfId="1843" priority="1674583">
      <formula>$R329:$R606&lt;=0</formula>
    </cfRule>
    <cfRule type="expression" dxfId="1842" priority="1674584">
      <formula>$R329:$R606&lt;4</formula>
    </cfRule>
  </conditionalFormatting>
  <conditionalFormatting sqref="AQ388:AS388">
    <cfRule type="expression" dxfId="1841" priority="1675403">
      <formula>$R388:$R481="End"</formula>
    </cfRule>
  </conditionalFormatting>
  <conditionalFormatting sqref="AQ388:AS388">
    <cfRule type="expression" dxfId="1840" priority="1675404" stopIfTrue="1">
      <formula>$R388:$R481="Cancel"</formula>
    </cfRule>
  </conditionalFormatting>
  <conditionalFormatting sqref="S401:S402 D360:S360 AQ203:AS204 AT155:AU156">
    <cfRule type="expression" dxfId="1839" priority="1676325">
      <formula>$X155:$X488="Penting"</formula>
    </cfRule>
    <cfRule type="expression" dxfId="1838" priority="1676326">
      <formula>$R155:$R488=""</formula>
    </cfRule>
    <cfRule type="expression" dxfId="1837" priority="1676327">
      <formula>$R155:$R488&lt;=0</formula>
    </cfRule>
    <cfRule type="expression" dxfId="1836" priority="1676328">
      <formula>$R155:$R488&lt;4</formula>
    </cfRule>
  </conditionalFormatting>
  <conditionalFormatting sqref="T406:V408 C354:S354 AT164:AU164 AT188:AU188 W354:AP354">
    <cfRule type="expression" dxfId="1835" priority="1676333">
      <formula>$X164:$X479="Penting"</formula>
    </cfRule>
    <cfRule type="expression" dxfId="1834" priority="1676334">
      <formula>$R164:$R479=""</formula>
    </cfRule>
    <cfRule type="expression" dxfId="1833" priority="1676335">
      <formula>$R164:$R479&lt;=0</formula>
    </cfRule>
    <cfRule type="expression" dxfId="1832" priority="1676336">
      <formula>$R164:$R479&lt;4</formula>
    </cfRule>
  </conditionalFormatting>
  <conditionalFormatting sqref="AT417:AU417 AT359:AU359">
    <cfRule type="expression" dxfId="1831" priority="1676565">
      <formula>$X359:$X527="Penting"</formula>
    </cfRule>
    <cfRule type="expression" dxfId="1830" priority="1676566">
      <formula>$R359:$R527=""</formula>
    </cfRule>
    <cfRule type="expression" dxfId="1829" priority="1676567">
      <formula>$R359:$R527&lt;=0</formula>
    </cfRule>
    <cfRule type="expression" dxfId="1828" priority="1676568">
      <formula>$R359:$R527&lt;4</formula>
    </cfRule>
  </conditionalFormatting>
  <conditionalFormatting sqref="W409:AP415 T401:V402 E409:S415">
    <cfRule type="expression" dxfId="1827" priority="1676751">
      <formula>$X401:$X694="Penting"</formula>
    </cfRule>
    <cfRule type="expression" dxfId="1826" priority="1676752">
      <formula>$R401:$R694=""</formula>
    </cfRule>
    <cfRule type="expression" dxfId="1825" priority="1676753">
      <formula>$R401:$R694&lt;=0</formula>
    </cfRule>
    <cfRule type="expression" dxfId="1824" priority="1676754">
      <formula>$R401:$R694&lt;4</formula>
    </cfRule>
  </conditionalFormatting>
  <conditionalFormatting sqref="AQ265:AS265">
    <cfRule type="expression" dxfId="1823" priority="1677665">
      <formula>$R265:$R475="End"</formula>
    </cfRule>
  </conditionalFormatting>
  <conditionalFormatting sqref="AQ265:AS265">
    <cfRule type="expression" dxfId="1822" priority="1677666" stopIfTrue="1">
      <formula>$R265:$R475="Cancel"</formula>
    </cfRule>
  </conditionalFormatting>
  <conditionalFormatting sqref="AQ404:AS405">
    <cfRule type="expression" dxfId="1821" priority="1677841">
      <formula>$X404:$X459="Penting"</formula>
    </cfRule>
    <cfRule type="expression" dxfId="1820" priority="1677842">
      <formula>$R404:$R459=""</formula>
    </cfRule>
    <cfRule type="expression" dxfId="1819" priority="1677843">
      <formula>$R404:$R459&lt;=0</formula>
    </cfRule>
    <cfRule type="expression" dxfId="1818" priority="1677844">
      <formula>$R404:$R459&lt;4</formula>
    </cfRule>
  </conditionalFormatting>
  <conditionalFormatting sqref="W401:AP402 E401:S402">
    <cfRule type="expression" dxfId="1817" priority="1677965">
      <formula>$X401:$X670="Penting"</formula>
    </cfRule>
    <cfRule type="expression" dxfId="1816" priority="1677966">
      <formula>$R401:$R670=""</formula>
    </cfRule>
    <cfRule type="expression" dxfId="1815" priority="1677967">
      <formula>$R401:$R670&lt;=0</formula>
    </cfRule>
    <cfRule type="expression" dxfId="1814" priority="1677968">
      <formula>$R401:$R670&lt;4</formula>
    </cfRule>
  </conditionalFormatting>
  <conditionalFormatting sqref="S404:S405 T373:V374 T356:V356">
    <cfRule type="expression" dxfId="1813" priority="1678151">
      <formula>$X356:$X697="Penting"</formula>
    </cfRule>
    <cfRule type="expression" dxfId="1812" priority="1678152">
      <formula>$R356:$R697=""</formula>
    </cfRule>
    <cfRule type="expression" dxfId="1811" priority="1678153">
      <formula>$R356:$R697&lt;=0</formula>
    </cfRule>
    <cfRule type="expression" dxfId="1810" priority="1678154">
      <formula>$R356:$R697&lt;4</formula>
    </cfRule>
  </conditionalFormatting>
  <conditionalFormatting sqref="AQ392:AS392 AD385:AD399 AQ395:AS395">
    <cfRule type="expression" dxfId="1809" priority="1678167">
      <formula>$R385:$R483="End"</formula>
    </cfRule>
  </conditionalFormatting>
  <conditionalFormatting sqref="AQ392:AS392 AD385:AD399 AQ395:AS395">
    <cfRule type="expression" dxfId="1808" priority="1678170" stopIfTrue="1">
      <formula>$R385:$R483="Cancel"</formula>
    </cfRule>
  </conditionalFormatting>
  <conditionalFormatting sqref="AQ172:AS172 S377:S378 AQ269:AS269">
    <cfRule type="expression" dxfId="1807" priority="1678261">
      <formula>$X172:$X559="Penting"</formula>
    </cfRule>
    <cfRule type="expression" dxfId="1806" priority="1678262">
      <formula>$R172:$R559=""</formula>
    </cfRule>
    <cfRule type="expression" dxfId="1805" priority="1678263">
      <formula>$R172:$R559&lt;=0</formula>
    </cfRule>
    <cfRule type="expression" dxfId="1804" priority="1678264">
      <formula>$R172:$R559&lt;4</formula>
    </cfRule>
  </conditionalFormatting>
  <conditionalFormatting sqref="AQ403:AS403 AQ401:AS401">
    <cfRule type="expression" dxfId="1803" priority="1678433">
      <formula>$X401:$X453="Penting"</formula>
    </cfRule>
    <cfRule type="expression" dxfId="1802" priority="1678434">
      <formula>$R401:$R453=""</formula>
    </cfRule>
    <cfRule type="expression" dxfId="1801" priority="1678435">
      <formula>$R401:$R453&lt;=0</formula>
    </cfRule>
    <cfRule type="expression" dxfId="1800" priority="1678436">
      <formula>$R401:$R453&lt;4</formula>
    </cfRule>
  </conditionalFormatting>
  <conditionalFormatting sqref="AQ266:AS266 S355 S353 S350">
    <cfRule type="expression" dxfId="1799" priority="1678643">
      <formula>$X266:$X655="Penting"</formula>
    </cfRule>
    <cfRule type="expression" dxfId="1798" priority="1678644">
      <formula>$R266:$R655=""</formula>
    </cfRule>
    <cfRule type="expression" dxfId="1797" priority="1678645">
      <formula>$R266:$R655&lt;=0</formula>
    </cfRule>
    <cfRule type="expression" dxfId="1796" priority="1678646">
      <formula>$R266:$R655&lt;4</formula>
    </cfRule>
  </conditionalFormatting>
  <conditionalFormatting sqref="AQ389:AS390">
    <cfRule type="expression" dxfId="1795" priority="1678695">
      <formula>$X389:$X437="Penting"</formula>
    </cfRule>
    <cfRule type="expression" dxfId="1794" priority="1678696">
      <formula>$R389:$R437=""</formula>
    </cfRule>
    <cfRule type="expression" dxfId="1793" priority="1678697">
      <formula>$R389:$R437&lt;=0</formula>
    </cfRule>
    <cfRule type="expression" dxfId="1792" priority="1678698">
      <formula>$R389:$R437&lt;4</formula>
    </cfRule>
  </conditionalFormatting>
  <conditionalFormatting sqref="AA358:AC358 AE377:AP380 C377:O380 Q377:Z378 Q379 Y379:Z380 A381:A438">
    <cfRule type="expression" dxfId="1791" priority="1679087">
      <formula>$R358:$R705="End"</formula>
    </cfRule>
  </conditionalFormatting>
  <conditionalFormatting sqref="AA358:AC358 AE377:AP380 C377:O380 Q377:Z378 Q379 Y379:Z380 A381:A438">
    <cfRule type="expression" dxfId="1790" priority="1679088" stopIfTrue="1">
      <formula>$R358:$R705="Cancel"</formula>
    </cfRule>
  </conditionalFormatting>
  <conditionalFormatting sqref="P382:P384 AA377:AC380">
    <cfRule type="expression" dxfId="1789" priority="1679401">
      <formula>$R377:$R742="End"</formula>
    </cfRule>
  </conditionalFormatting>
  <conditionalFormatting sqref="P382:P384 AA377:AC380">
    <cfRule type="expression" dxfId="1788" priority="1679402" stopIfTrue="1">
      <formula>$R377:$R742="Cancel"</formula>
    </cfRule>
  </conditionalFormatting>
  <conditionalFormatting sqref="T400:V400 AQ148:AS149">
    <cfRule type="expression" dxfId="1787" priority="1679787">
      <formula>$X148:$X437="Penting"</formula>
    </cfRule>
    <cfRule type="expression" dxfId="1786" priority="1679788">
      <formula>$R148:$R437=""</formula>
    </cfRule>
    <cfRule type="expression" dxfId="1785" priority="1679789">
      <formula>$R148:$R437&lt;=0</formula>
    </cfRule>
    <cfRule type="expression" dxfId="1784" priority="1679790">
      <formula>$R148:$R437&lt;4</formula>
    </cfRule>
  </conditionalFormatting>
  <conditionalFormatting sqref="S400 C360 W347:AP347 C347:S347 W359:AP359 AT153:AU154">
    <cfRule type="expression" dxfId="1783" priority="1680037">
      <formula>$X153:$X483="Penting"</formula>
    </cfRule>
    <cfRule type="expression" dxfId="1782" priority="1680038">
      <formula>$R153:$R483=""</formula>
    </cfRule>
    <cfRule type="expression" dxfId="1781" priority="1680039">
      <formula>$R153:$R483&lt;=0</formula>
    </cfRule>
    <cfRule type="expression" dxfId="1780" priority="1680040">
      <formula>$R153:$R483&lt;4</formula>
    </cfRule>
  </conditionalFormatting>
  <conditionalFormatting sqref="AQ416:AS416 AT392:AU392">
    <cfRule type="expression" dxfId="1779" priority="1680203">
      <formula>$X392:$X491="Penting"</formula>
    </cfRule>
    <cfRule type="expression" dxfId="1778" priority="1680204">
      <formula>$R392:$R491=""</formula>
    </cfRule>
    <cfRule type="expression" dxfId="1777" priority="1680205">
      <formula>$R392:$R491&lt;=0</formula>
    </cfRule>
    <cfRule type="expression" dxfId="1776" priority="1680206">
      <formula>$R392:$R491&lt;4</formula>
    </cfRule>
  </conditionalFormatting>
  <conditionalFormatting sqref="S401:S402">
    <cfRule type="expression" dxfId="1775" priority="1680275">
      <formula>$X401:$X735="Penting"</formula>
    </cfRule>
    <cfRule type="expression" dxfId="1774" priority="1680276">
      <formula>$R401:$R735=""</formula>
    </cfRule>
    <cfRule type="expression" dxfId="1773" priority="1680277">
      <formula>$R401:$R735&lt;=0</formula>
    </cfRule>
    <cfRule type="expression" dxfId="1772" priority="1680278">
      <formula>$R401:$R735&lt;4</formula>
    </cfRule>
  </conditionalFormatting>
  <conditionalFormatting sqref="W416:AP423 T403:V403 E416:S423">
    <cfRule type="expression" dxfId="1771" priority="1680285">
      <formula>$X403:$X697="Penting"</formula>
    </cfRule>
    <cfRule type="expression" dxfId="1770" priority="1680286">
      <formula>$R403:$R697=""</formula>
    </cfRule>
    <cfRule type="expression" dxfId="1769" priority="1680287">
      <formula>$R403:$R697&lt;=0</formula>
    </cfRule>
    <cfRule type="expression" dxfId="1768" priority="1680288">
      <formula>$R403:$R697&lt;4</formula>
    </cfRule>
  </conditionalFormatting>
  <conditionalFormatting sqref="P416:P423">
    <cfRule type="expression" dxfId="1767" priority="1683229">
      <formula>$R416:$R739="End"</formula>
    </cfRule>
  </conditionalFormatting>
  <conditionalFormatting sqref="P416:P423">
    <cfRule type="expression" dxfId="1766" priority="1683231" stopIfTrue="1">
      <formula>$R416:$R739="Cancel"</formula>
    </cfRule>
  </conditionalFormatting>
  <conditionalFormatting sqref="AE416:AP423 Q416:Z423 AA404:AC405 E416:O423 AA369:AC369 AQ196:AS197 AQ159:AS161 AQ199:AS199 P375">
    <cfRule type="expression" dxfId="1765" priority="1683263">
      <formula>$R159:$R477="End"</formula>
    </cfRule>
  </conditionalFormatting>
  <conditionalFormatting sqref="AE416:AP423 Q416:Z423 AA404:AC405 E416:O423 AA369:AC369 AQ196:AS197 AQ159:AS161 AQ199:AS199 P375">
    <cfRule type="expression" dxfId="1764" priority="1683268" stopIfTrue="1">
      <formula>$R159:$R477="Cancel"</formula>
    </cfRule>
  </conditionalFormatting>
  <conditionalFormatting sqref="AQ382:AS382">
    <cfRule type="expression" dxfId="1763" priority="1683279">
      <formula>$R382:$R602="End"</formula>
    </cfRule>
  </conditionalFormatting>
  <conditionalFormatting sqref="AQ382:AS382">
    <cfRule type="expression" dxfId="1762" priority="1683280" stopIfTrue="1">
      <formula>$R382:$R602="Cancel"</formula>
    </cfRule>
  </conditionalFormatting>
  <conditionalFormatting sqref="AD416:AD423">
    <cfRule type="expression" dxfId="1761" priority="1683337">
      <formula>$R416:$R546="End"</formula>
    </cfRule>
  </conditionalFormatting>
  <conditionalFormatting sqref="AD416:AD423">
    <cfRule type="expression" dxfId="1760" priority="1683338" stopIfTrue="1">
      <formula>$R416:$R546="Cancel"</formula>
    </cfRule>
  </conditionalFormatting>
  <conditionalFormatting sqref="AD409:AD415 AE401:AP402 Q401:Z402 E401:O402">
    <cfRule type="expression" dxfId="1759" priority="1683373">
      <formula>$R401:$R694="End"</formula>
    </cfRule>
  </conditionalFormatting>
  <conditionalFormatting sqref="AD409:AD415 AE401:AP402 Q401:Z402 E401:O402">
    <cfRule type="expression" dxfId="1758" priority="1683376" stopIfTrue="1">
      <formula>$R401:$R694="Cancel"</formula>
    </cfRule>
  </conditionalFormatting>
  <conditionalFormatting sqref="T382:V384 S372">
    <cfRule type="expression" dxfId="1757" priority="1683497">
      <formula>$X372:$X732="Penting"</formula>
    </cfRule>
    <cfRule type="expression" dxfId="1756" priority="1683498">
      <formula>$R372:$R732=""</formula>
    </cfRule>
    <cfRule type="expression" dxfId="1755" priority="1683499">
      <formula>$R372:$R732&lt;=0</formula>
    </cfRule>
    <cfRule type="expression" dxfId="1754" priority="1683500">
      <formula>$R372:$R732&lt;4</formula>
    </cfRule>
  </conditionalFormatting>
  <conditionalFormatting sqref="T382:V384 S416:S423">
    <cfRule type="expression" dxfId="1753" priority="1683553">
      <formula>$X382:$X741="Penting"</formula>
    </cfRule>
    <cfRule type="expression" dxfId="1752" priority="1683554">
      <formula>$R382:$R741=""</formula>
    </cfRule>
    <cfRule type="expression" dxfId="1751" priority="1683555">
      <formula>$R382:$R741&lt;=0</formula>
    </cfRule>
    <cfRule type="expression" dxfId="1750" priority="1683556">
      <formula>$R382:$R741&lt;4</formula>
    </cfRule>
  </conditionalFormatting>
  <conditionalFormatting sqref="AD382:AD384 AA416:AC423 AQ139:AS139">
    <cfRule type="expression" dxfId="1749" priority="1683557">
      <formula>$R139:$R475="End"</formula>
    </cfRule>
  </conditionalFormatting>
  <conditionalFormatting sqref="AD382:AD384 AA416:AC423 AQ139:AS139">
    <cfRule type="expression" dxfId="1748" priority="1683564" stopIfTrue="1">
      <formula>$R139:$R475="Cancel"</formula>
    </cfRule>
  </conditionalFormatting>
  <conditionalFormatting sqref="AT141:AU141 AQ183:AS183">
    <cfRule type="expression" dxfId="1747" priority="1684005">
      <formula>$X141:$X486="Penting"</formula>
    </cfRule>
    <cfRule type="expression" dxfId="1746" priority="1684006">
      <formula>$R141:$R486=""</formula>
    </cfRule>
    <cfRule type="expression" dxfId="1745" priority="1684007">
      <formula>$R141:$R486&lt;=0</formula>
    </cfRule>
    <cfRule type="expression" dxfId="1744" priority="1684008">
      <formula>$R141:$R486&lt;4</formula>
    </cfRule>
  </conditionalFormatting>
  <conditionalFormatting sqref="T400:V400 AQ147:AS147 C375:S375">
    <cfRule type="expression" dxfId="1743" priority="1684077">
      <formula>$X147:$X437="Penting"</formula>
    </cfRule>
    <cfRule type="expression" dxfId="1742" priority="1684078">
      <formula>$R147:$R437=""</formula>
    </cfRule>
    <cfRule type="expression" dxfId="1741" priority="1684079">
      <formula>$R147:$R437&lt;=0</formula>
    </cfRule>
    <cfRule type="expression" dxfId="1740" priority="1684080">
      <formula>$R147:$R437&lt;4</formula>
    </cfRule>
  </conditionalFormatting>
  <conditionalFormatting sqref="AQ388:AS388">
    <cfRule type="expression" dxfId="1739" priority="1684309">
      <formula>$X388:$X437="Penting"</formula>
    </cfRule>
    <cfRule type="expression" dxfId="1738" priority="1684310">
      <formula>$R388:$R437=""</formula>
    </cfRule>
    <cfRule type="expression" dxfId="1737" priority="1684311">
      <formula>$R388:$R437&lt;=0</formula>
    </cfRule>
    <cfRule type="expression" dxfId="1736" priority="1684312">
      <formula>$R388:$R437&lt;4</formula>
    </cfRule>
  </conditionalFormatting>
  <conditionalFormatting sqref="W400:AP400 E400:S400">
    <cfRule type="expression" dxfId="1735" priority="1684355">
      <formula>$X400:$X666="Penting"</formula>
    </cfRule>
    <cfRule type="expression" dxfId="1734" priority="1684356">
      <formula>$R400:$R666=""</formula>
    </cfRule>
    <cfRule type="expression" dxfId="1733" priority="1684357">
      <formula>$R400:$R666&lt;=0</formula>
    </cfRule>
    <cfRule type="expression" dxfId="1732" priority="1684358">
      <formula>$R400:$R666&lt;4</formula>
    </cfRule>
  </conditionalFormatting>
  <conditionalFormatting sqref="P365 AD351 AE358:AP358 Q358:Z358 D358:O358 P367 AA376:AC376 AD348 P313:P345 AQ151:AS151">
    <cfRule type="expression" dxfId="1731" priority="1684617">
      <formula>$R151:$R479="End"</formula>
    </cfRule>
  </conditionalFormatting>
  <conditionalFormatting sqref="P365 AD351 AE358:AP358 Q358:Z358 D358:O358 P367 AA376:AC376 AD348 P313:P345 AQ151:AS151">
    <cfRule type="expression" dxfId="1730" priority="1684620" stopIfTrue="1">
      <formula>$R151:$R479="Cancel"</formula>
    </cfRule>
  </conditionalFormatting>
  <conditionalFormatting sqref="AQ392:AS392">
    <cfRule type="expression" dxfId="1729" priority="1684673">
      <formula>$X392:$X437="Penting"</formula>
    </cfRule>
    <cfRule type="expression" dxfId="1728" priority="1684674">
      <formula>$R392:$R437=""</formula>
    </cfRule>
    <cfRule type="expression" dxfId="1727" priority="1684675">
      <formula>$R392:$R437&lt;=0</formula>
    </cfRule>
    <cfRule type="expression" dxfId="1726" priority="1684676">
      <formula>$R392:$R437&lt;4</formula>
    </cfRule>
  </conditionalFormatting>
  <conditionalFormatting sqref="C351:O351">
    <cfRule type="expression" dxfId="1725" priority="1685323">
      <formula>$R351:$R703="End"</formula>
    </cfRule>
  </conditionalFormatting>
  <conditionalFormatting sqref="C351:O351">
    <cfRule type="expression" dxfId="1724" priority="1685324" stopIfTrue="1">
      <formula>$R351:$R703="Cancel"</formula>
    </cfRule>
  </conditionalFormatting>
  <conditionalFormatting sqref="AQ365:AS365 AQ378:AS380">
    <cfRule type="expression" dxfId="1723" priority="1685329">
      <formula>$X365:$X454="Penting"</formula>
    </cfRule>
    <cfRule type="expression" dxfId="1722" priority="1685330">
      <formula>$R365:$R454=""</formula>
    </cfRule>
    <cfRule type="expression" dxfId="1721" priority="1685331">
      <formula>$R365:$R454&lt;=0</formula>
    </cfRule>
    <cfRule type="expression" dxfId="1720" priority="1685332">
      <formula>$R365:$R454&lt;4</formula>
    </cfRule>
  </conditionalFormatting>
  <conditionalFormatting sqref="AQ343:AS343">
    <cfRule type="expression" dxfId="1719" priority="1685445">
      <formula>$X343:$X551="Penting"</formula>
    </cfRule>
    <cfRule type="expression" dxfId="1718" priority="1685446">
      <formula>$R343:$R551=""</formula>
    </cfRule>
    <cfRule type="expression" dxfId="1717" priority="1685447">
      <formula>$R343:$R551&lt;=0</formula>
    </cfRule>
    <cfRule type="expression" dxfId="1716" priority="1685448">
      <formula>$R343:$R551&lt;4</formula>
    </cfRule>
  </conditionalFormatting>
  <conditionalFormatting sqref="T385:V399 C376:Q376 S376">
    <cfRule type="expression" dxfId="1715" priority="1685725">
      <formula>$X376:$X662="Penting"</formula>
    </cfRule>
    <cfRule type="expression" dxfId="1714" priority="1685726">
      <formula>$R376:$R662=""</formula>
    </cfRule>
    <cfRule type="expression" dxfId="1713" priority="1685727">
      <formula>$R376:$R662&lt;=0</formula>
    </cfRule>
    <cfRule type="expression" dxfId="1712" priority="1685728">
      <formula>$R376:$R662&lt;4</formula>
    </cfRule>
  </conditionalFormatting>
  <conditionalFormatting sqref="AQ338:AS338 AD369">
    <cfRule type="expression" dxfId="1711" priority="1685855">
      <formula>$R338:$R615="End"</formula>
    </cfRule>
  </conditionalFormatting>
  <conditionalFormatting sqref="AQ338:AS338 AD369">
    <cfRule type="expression" dxfId="1710" priority="1685856" stopIfTrue="1">
      <formula>$R338:$R615="Cancel"</formula>
    </cfRule>
  </conditionalFormatting>
  <conditionalFormatting sqref="S406:S408 T361:V361 T364:V364 AQ232:AS232">
    <cfRule type="expression" dxfId="1709" priority="1685863">
      <formula>$X232:$X587="Penting"</formula>
    </cfRule>
    <cfRule type="expression" dxfId="1708" priority="1685864">
      <formula>$R232:$R587=""</formula>
    </cfRule>
    <cfRule type="expression" dxfId="1707" priority="1685865">
      <formula>$R232:$R587&lt;=0</formula>
    </cfRule>
    <cfRule type="expression" dxfId="1706" priority="1685866">
      <formula>$R232:$R587&lt;4</formula>
    </cfRule>
  </conditionalFormatting>
  <conditionalFormatting sqref="AQ417:AS417 AT393:AU394 AQ359:AS359">
    <cfRule type="expression" dxfId="1705" priority="1686255">
      <formula>$X359:$X459="Penting"</formula>
    </cfRule>
    <cfRule type="expression" dxfId="1704" priority="1686256">
      <formula>$R359:$R459=""</formula>
    </cfRule>
    <cfRule type="expression" dxfId="1703" priority="1686257">
      <formula>$R359:$R459&lt;=0</formula>
    </cfRule>
    <cfRule type="expression" dxfId="1702" priority="1686258">
      <formula>$R359:$R459&lt;4</formula>
    </cfRule>
  </conditionalFormatting>
  <conditionalFormatting sqref="S381 S351">
    <cfRule type="expression" dxfId="1701" priority="1686547">
      <formula>$X351:$X744="Penting"</formula>
    </cfRule>
    <cfRule type="expression" dxfId="1700" priority="1686548">
      <formula>$R351:$R744=""</formula>
    </cfRule>
    <cfRule type="expression" dxfId="1699" priority="1686549">
      <formula>$R351:$R744&lt;=0</formula>
    </cfRule>
    <cfRule type="expression" dxfId="1698" priority="1686550">
      <formula>$R351:$R744&lt;4</formula>
    </cfRule>
  </conditionalFormatting>
  <conditionalFormatting sqref="Q381:Z381 AE381:AP381 E381:O381 Q351:Z351 C351:O351 Q348:Z348 C348:O348 AE348:AP348 P377:P379">
    <cfRule type="expression" dxfId="1697" priority="1686621">
      <formula>$R348:$R699="End"</formula>
    </cfRule>
  </conditionalFormatting>
  <conditionalFormatting sqref="Q381:Z381 AE381:AP381 E381:O381 Q351:Z351 C351:O351 Q348:Z348 C348:O348 AE348:AP348 P377:P379">
    <cfRule type="expression" dxfId="1696" priority="1686622" stopIfTrue="1">
      <formula>$R348:$R699="Cancel"</formula>
    </cfRule>
  </conditionalFormatting>
  <conditionalFormatting sqref="P346 AQ344:AS345">
    <cfRule type="expression" dxfId="1695" priority="1686778">
      <formula>$R344:$R720="End"</formula>
    </cfRule>
  </conditionalFormatting>
  <conditionalFormatting sqref="P346 AQ344:AS345">
    <cfRule type="expression" dxfId="1694" priority="1686782" stopIfTrue="1">
      <formula>$R344:$R720="Cancel"</formula>
    </cfRule>
  </conditionalFormatting>
  <conditionalFormatting sqref="AQ381:AS381">
    <cfRule type="expression" dxfId="1693" priority="1687080">
      <formula>$R381:$R579="End"</formula>
    </cfRule>
  </conditionalFormatting>
  <conditionalFormatting sqref="AQ381:AS381">
    <cfRule type="expression" dxfId="1692" priority="1687083" stopIfTrue="1">
      <formula>$R381:$R579="Cancel"</formula>
    </cfRule>
  </conditionalFormatting>
  <conditionalFormatting sqref="AD381">
    <cfRule type="expression" dxfId="1691" priority="1687164">
      <formula>$R381:$R709="End"</formula>
    </cfRule>
  </conditionalFormatting>
  <conditionalFormatting sqref="AD381">
    <cfRule type="expression" dxfId="1690" priority="1687169" stopIfTrue="1">
      <formula>$R381:$R709="Cancel"</formula>
    </cfRule>
  </conditionalFormatting>
  <conditionalFormatting sqref="AA381:AC381 AA351:AC351">
    <cfRule type="expression" dxfId="1689" priority="1687174">
      <formula>$R351:$R720="End"</formula>
    </cfRule>
  </conditionalFormatting>
  <conditionalFormatting sqref="AA381:AC381 AA351:AC351">
    <cfRule type="expression" dxfId="1688" priority="1687182" stopIfTrue="1">
      <formula>$R351:$R720="Cancel"</formula>
    </cfRule>
  </conditionalFormatting>
  <conditionalFormatting sqref="AA381:AC381 AA351:AC351">
    <cfRule type="expression" dxfId="1687" priority="1687202">
      <formula>$R351:$R721="End"</formula>
    </cfRule>
  </conditionalFormatting>
  <conditionalFormatting sqref="AA381:AC381 AA351:AC351">
    <cfRule type="expression" dxfId="1686" priority="1687209" stopIfTrue="1">
      <formula>$R351:$R721="Cancel"</formula>
    </cfRule>
  </conditionalFormatting>
  <conditionalFormatting sqref="AE409:AP415 Q409:Z415 E409:O415 AD370 AQ189:AS189 AQ164:AS164 AQ200:AS200 AD368">
    <cfRule type="expression" dxfId="1685" priority="1689389">
      <formula>$R164:$R480="End"</formula>
    </cfRule>
  </conditionalFormatting>
  <conditionalFormatting sqref="AE409:AP415 Q409:Z415 E409:O415 AD370 AQ189:AS189 AQ164:AS164 AQ200:AS200 AD368">
    <cfRule type="expression" dxfId="1684" priority="1689394" stopIfTrue="1">
      <formula>$R164:$R480="Cancel"</formula>
    </cfRule>
  </conditionalFormatting>
  <conditionalFormatting sqref="AT402:AU402 AT399:AU399 AQ346:AS346">
    <cfRule type="expression" dxfId="1683" priority="1689471">
      <formula>$X346:$X464="Penting"</formula>
    </cfRule>
    <cfRule type="expression" dxfId="1682" priority="1689472">
      <formula>$R346:$R464=""</formula>
    </cfRule>
    <cfRule type="expression" dxfId="1681" priority="1689473">
      <formula>$R346:$R464&lt;=0</formula>
    </cfRule>
    <cfRule type="expression" dxfId="1680" priority="1689474">
      <formula>$R346:$R464&lt;4</formula>
    </cfRule>
  </conditionalFormatting>
  <conditionalFormatting sqref="AT391:AU391 AT387:AU387">
    <cfRule type="expression" dxfId="1679" priority="1689519">
      <formula>$X387:$X471="Penting"</formula>
    </cfRule>
    <cfRule type="expression" dxfId="1678" priority="1689520">
      <formula>$R387:$R471=""</formula>
    </cfRule>
    <cfRule type="expression" dxfId="1677" priority="1689521">
      <formula>$R387:$R471&lt;=0</formula>
    </cfRule>
    <cfRule type="expression" dxfId="1676" priority="1689522">
      <formula>$R387:$R471&lt;4</formula>
    </cfRule>
  </conditionalFormatting>
  <conditionalFormatting sqref="AQ343:AS343">
    <cfRule type="expression" dxfId="1675" priority="1689609">
      <formula>$R343:$R616="End"</formula>
    </cfRule>
  </conditionalFormatting>
  <conditionalFormatting sqref="AQ343:AS343">
    <cfRule type="expression" dxfId="1674" priority="1689612" stopIfTrue="1">
      <formula>$R343:$R616="Cancel"</formula>
    </cfRule>
  </conditionalFormatting>
  <conditionalFormatting sqref="AA385:AC399 AD134:AD312">
    <cfRule type="expression" dxfId="1673" priority="1689831">
      <formula>$R134:$R437="End"</formula>
    </cfRule>
  </conditionalFormatting>
  <conditionalFormatting sqref="AA385:AC399 AD134:AD312">
    <cfRule type="expression" dxfId="1672" priority="1689832" stopIfTrue="1">
      <formula>$R134:$R437="Cancel"</formula>
    </cfRule>
  </conditionalFormatting>
  <conditionalFormatting sqref="AT381:AU381 AT309:AU312">
    <cfRule type="expression" dxfId="1671" priority="1689937">
      <formula>$X309:$X510="Penting"</formula>
    </cfRule>
    <cfRule type="expression" dxfId="1670" priority="1689938">
      <formula>$R309:$R510=""</formula>
    </cfRule>
    <cfRule type="expression" dxfId="1669" priority="1689939">
      <formula>$R309:$R510&lt;=0</formula>
    </cfRule>
    <cfRule type="expression" dxfId="1668" priority="1689940">
      <formula>$R309:$R510&lt;4</formula>
    </cfRule>
  </conditionalFormatting>
  <conditionalFormatting sqref="S403 AT139:AU139">
    <cfRule type="expression" dxfId="1667" priority="1690077">
      <formula>$X139:$X474="Penting"</formula>
    </cfRule>
    <cfRule type="expression" dxfId="1666" priority="1690078">
      <formula>$R139:$R474=""</formula>
    </cfRule>
    <cfRule type="expression" dxfId="1665" priority="1690079">
      <formula>$R139:$R474&lt;=0</formula>
    </cfRule>
    <cfRule type="expression" dxfId="1664" priority="1690080">
      <formula>$R139:$R474&lt;4</formula>
    </cfRule>
  </conditionalFormatting>
  <conditionalFormatting sqref="S385:S399 AQ205:AS206 AT152:AU152 T134:V312 AQ202:AS202">
    <cfRule type="expression" dxfId="1663" priority="1690113">
      <formula>$X134:$X461="Penting"</formula>
    </cfRule>
    <cfRule type="expression" dxfId="1662" priority="1690114">
      <formula>$R134:$R461=""</formula>
    </cfRule>
    <cfRule type="expression" dxfId="1661" priority="1690115">
      <formula>$R134:$R461&lt;=0</formula>
    </cfRule>
    <cfRule type="expression" dxfId="1660" priority="1690116">
      <formula>$R134:$R461&lt;4</formula>
    </cfRule>
  </conditionalFormatting>
  <conditionalFormatting sqref="W403:AP403 E403:S403">
    <cfRule type="expression" dxfId="1659" priority="1690271">
      <formula>$X403:$X674="Penting"</formula>
    </cfRule>
    <cfRule type="expression" dxfId="1658" priority="1690272">
      <formula>$R403:$R674=""</formula>
    </cfRule>
    <cfRule type="expression" dxfId="1657" priority="1690273">
      <formula>$R403:$R674&lt;=0</formula>
    </cfRule>
    <cfRule type="expression" dxfId="1656" priority="1690274">
      <formula>$R403:$R674&lt;4</formula>
    </cfRule>
  </conditionalFormatting>
  <conditionalFormatting sqref="AQ402:AS402 AQ399:AS399 AQ386:AS386">
    <cfRule type="expression" dxfId="1655" priority="1690341">
      <formula>$X386:$X437="Penting"</formula>
    </cfRule>
    <cfRule type="expression" dxfId="1654" priority="1690342">
      <formula>$R386:$R437=""</formula>
    </cfRule>
    <cfRule type="expression" dxfId="1653" priority="1690343">
      <formula>$R386:$R437&lt;=0</formula>
    </cfRule>
    <cfRule type="expression" dxfId="1652" priority="1690344">
      <formula>$R386:$R437&lt;4</formula>
    </cfRule>
  </conditionalFormatting>
  <conditionalFormatting sqref="AE406:AP408 Q406:Z408 E406:O408 P376 AD371 Q375:Z375 AE375:AP375 C375:O375">
    <cfRule type="expression" dxfId="1651" priority="1690691">
      <formula>$R371:$R685="End"</formula>
    </cfRule>
  </conditionalFormatting>
  <conditionalFormatting sqref="AE406:AP408 Q406:Z408 E406:O408 P376 AD371 Q375:Z375 AE375:AP375 C375:O375">
    <cfRule type="expression" dxfId="1650" priority="1690696" stopIfTrue="1">
      <formula>$R371:$R685="Cancel"</formula>
    </cfRule>
  </conditionalFormatting>
  <conditionalFormatting sqref="AD409:AD415 AD247">
    <cfRule type="expression" dxfId="1649" priority="1690701">
      <formula>$R247:$R376="End"</formula>
    </cfRule>
  </conditionalFormatting>
  <conditionalFormatting sqref="AD409:AD415 AD247">
    <cfRule type="expression" dxfId="1648" priority="1690702" stopIfTrue="1">
      <formula>$R247:$R376="Cancel"</formula>
    </cfRule>
  </conditionalFormatting>
  <conditionalFormatting sqref="AQ381:AS381 AQ304:AS306">
    <cfRule type="expression" dxfId="1647" priority="1690715">
      <formula>$X304:$X437="Penting"</formula>
    </cfRule>
    <cfRule type="expression" dxfId="1646" priority="1690716">
      <formula>$R304:$R437=""</formula>
    </cfRule>
    <cfRule type="expression" dxfId="1645" priority="1690717">
      <formula>$R304:$R437&lt;=0</formula>
    </cfRule>
    <cfRule type="expression" dxfId="1644" priority="1690718">
      <formula>$R304:$R437&lt;4</formula>
    </cfRule>
  </conditionalFormatting>
  <conditionalFormatting sqref="Q403:Z403 P400 AE403:AP403 AD416:AD423 E403:O403">
    <cfRule type="expression" dxfId="1643" priority="1690751">
      <formula>$R400:$R694="End"</formula>
    </cfRule>
  </conditionalFormatting>
  <conditionalFormatting sqref="Q403:Z403 P400 AE403:AP403 AD416:AD423 E403:O403">
    <cfRule type="expression" dxfId="1642" priority="1690754" stopIfTrue="1">
      <formula>$R400:$R694="Cancel"</formula>
    </cfRule>
  </conditionalFormatting>
  <conditionalFormatting sqref="S409:S423">
    <cfRule type="expression" dxfId="1641" priority="1690757">
      <formula>$X409:$X767="Penting"</formula>
    </cfRule>
    <cfRule type="expression" dxfId="1640" priority="1690758">
      <formula>$R409:$R767=""</formula>
    </cfRule>
    <cfRule type="expression" dxfId="1639" priority="1690759">
      <formula>$R409:$R767&lt;=0</formula>
    </cfRule>
    <cfRule type="expression" dxfId="1638" priority="1690760">
      <formula>$R409:$R767&lt;4</formula>
    </cfRule>
  </conditionalFormatting>
  <conditionalFormatting sqref="S366 T377:V378">
    <cfRule type="expression" dxfId="1637" priority="1690807">
      <formula>$X366:$X712="Penting"</formula>
    </cfRule>
    <cfRule type="expression" dxfId="1636" priority="1690808">
      <formula>$R366:$R712=""</formula>
    </cfRule>
    <cfRule type="expression" dxfId="1635" priority="1690809">
      <formula>$R366:$R712&lt;=0</formula>
    </cfRule>
    <cfRule type="expression" dxfId="1634" priority="1690810">
      <formula>$R366:$R712&lt;4</formula>
    </cfRule>
  </conditionalFormatting>
  <conditionalFormatting sqref="AQ404:AS405 AD256">
    <cfRule type="expression" dxfId="1633" priority="1690915">
      <formula>$R256:$R376="End"</formula>
    </cfRule>
  </conditionalFormatting>
  <conditionalFormatting sqref="AQ404:AS405 AD256">
    <cfRule type="expression" dxfId="1632" priority="1690916" stopIfTrue="1">
      <formula>$R256:$R376="Cancel"</formula>
    </cfRule>
  </conditionalFormatting>
  <conditionalFormatting sqref="AQ393:AS394">
    <cfRule type="expression" dxfId="1631" priority="1690951">
      <formula>$X393:$X437="Penting"</formula>
    </cfRule>
    <cfRule type="expression" dxfId="1630" priority="1690952">
      <formula>$R393:$R437=""</formula>
    </cfRule>
    <cfRule type="expression" dxfId="1629" priority="1690953">
      <formula>$R393:$R437&lt;=0</formula>
    </cfRule>
    <cfRule type="expression" dxfId="1628" priority="1690954">
      <formula>$R393:$R437&lt;4</formula>
    </cfRule>
  </conditionalFormatting>
  <conditionalFormatting sqref="AE357:AP357 Q357:Z357 C357:O357 Q349:Z349 C349:O349">
    <cfRule type="expression" dxfId="1627" priority="1691111">
      <formula>$R349:$R712="End"</formula>
    </cfRule>
  </conditionalFormatting>
  <conditionalFormatting sqref="AE357:AP357 Q357:Z357 C357:O357 Q349:Z349 C349:O349">
    <cfRule type="expression" dxfId="1626" priority="1691113" stopIfTrue="1">
      <formula>$R349:$R712="Cancel"</formula>
    </cfRule>
  </conditionalFormatting>
  <conditionalFormatting sqref="AE351:AP351">
    <cfRule type="expression" dxfId="1625" priority="1691141">
      <formula>$R351:$R702="End"</formula>
    </cfRule>
  </conditionalFormatting>
  <conditionalFormatting sqref="AE351:AP351">
    <cfRule type="expression" dxfId="1624" priority="1691142" stopIfTrue="1">
      <formula>$R351:$R702="Cancel"</formula>
    </cfRule>
  </conditionalFormatting>
  <conditionalFormatting sqref="S400 W364:AP364 C364:S364 AT150:AU150 W361:AP361">
    <cfRule type="expression" dxfId="1623" priority="1691297">
      <formula>$X150:$X481="Penting"</formula>
    </cfRule>
    <cfRule type="expression" dxfId="1622" priority="1691298">
      <formula>$R150:$R481=""</formula>
    </cfRule>
    <cfRule type="expression" dxfId="1621" priority="1691299">
      <formula>$R150:$R481&lt;=0</formula>
    </cfRule>
    <cfRule type="expression" dxfId="1620" priority="1691300">
      <formula>$R150:$R481&lt;4</formula>
    </cfRule>
  </conditionalFormatting>
  <conditionalFormatting sqref="T404:V405">
    <cfRule type="expression" dxfId="1619" priority="1691555">
      <formula>$X404:$X704="Penting"</formula>
    </cfRule>
    <cfRule type="expression" dxfId="1618" priority="1691556">
      <formula>$R404:$R704=""</formula>
    </cfRule>
    <cfRule type="expression" dxfId="1617" priority="1691557">
      <formula>$R404:$R704&lt;=0</formula>
    </cfRule>
    <cfRule type="expression" dxfId="1616" priority="1691558">
      <formula>$R404:$R704&lt;4</formula>
    </cfRule>
  </conditionalFormatting>
  <conditionalFormatting sqref="T404:V405 AQ136:AS137">
    <cfRule type="expression" dxfId="1615" priority="1691569">
      <formula>$X136:$X437="Penting"</formula>
    </cfRule>
    <cfRule type="expression" dxfId="1614" priority="1691570">
      <formula>$R136:$R437=""</formula>
    </cfRule>
    <cfRule type="expression" dxfId="1613" priority="1691571">
      <formula>$R136:$R437&lt;=0</formula>
    </cfRule>
    <cfRule type="expression" dxfId="1612" priority="1691572">
      <formula>$R136:$R437&lt;4</formula>
    </cfRule>
  </conditionalFormatting>
  <conditionalFormatting sqref="AQ334:AS334 AQ336:AS337 AQ298:AS298 AQ302:AS302">
    <cfRule type="expression" dxfId="1611" priority="1691595">
      <formula>$R298:$R574="End"</formula>
    </cfRule>
  </conditionalFormatting>
  <conditionalFormatting sqref="AQ334:AS334 AQ336:AS337 AQ298:AS298 AQ302:AS302">
    <cfRule type="expression" dxfId="1610" priority="1691597" stopIfTrue="1">
      <formula>$R298:$R574="Cancel"</formula>
    </cfRule>
  </conditionalFormatting>
  <conditionalFormatting sqref="AT416:AU416 AQ155:AS156">
    <cfRule type="expression" dxfId="1609" priority="1691693">
      <formula>$X155:$X322="Penting"</formula>
    </cfRule>
    <cfRule type="expression" dxfId="1608" priority="1691694">
      <formula>$R155:$R322=""</formula>
    </cfRule>
    <cfRule type="expression" dxfId="1607" priority="1691695">
      <formula>$R155:$R322&lt;=0</formula>
    </cfRule>
    <cfRule type="expression" dxfId="1606" priority="1691696">
      <formula>$R155:$R322&lt;4</formula>
    </cfRule>
  </conditionalFormatting>
  <conditionalFormatting sqref="AQ383:AS384">
    <cfRule type="expression" dxfId="1605" priority="1691731">
      <formula>$X383:$X543="Penting"</formula>
    </cfRule>
    <cfRule type="expression" dxfId="1604" priority="1691732">
      <formula>$R383:$R543=""</formula>
    </cfRule>
    <cfRule type="expression" dxfId="1603" priority="1691733">
      <formula>$R383:$R543&lt;=0</formula>
    </cfRule>
    <cfRule type="expression" dxfId="1602" priority="1691734">
      <formula>$R383:$R543&lt;4</formula>
    </cfRule>
  </conditionalFormatting>
  <conditionalFormatting sqref="W381:AP381 E381:S381 W351:AP351 T358:V358 C351:S351 W348:AP348 C348:S348">
    <cfRule type="expression" dxfId="1601" priority="1692151">
      <formula>$X348:$X676="Penting"</formula>
    </cfRule>
    <cfRule type="expression" dxfId="1600" priority="1692152">
      <formula>$R348:$R676=""</formula>
    </cfRule>
    <cfRule type="expression" dxfId="1599" priority="1692153">
      <formula>$R348:$R676&lt;=0</formula>
    </cfRule>
    <cfRule type="expression" dxfId="1598" priority="1692154">
      <formula>$R348:$R676&lt;4</formula>
    </cfRule>
  </conditionalFormatting>
  <conditionalFormatting sqref="AT388:AU388">
    <cfRule type="expression" dxfId="1597" priority="1692217">
      <formula>$X388:$X480="Penting"</formula>
    </cfRule>
    <cfRule type="expression" dxfId="1596" priority="1692218">
      <formula>$R388:$R480=""</formula>
    </cfRule>
    <cfRule type="expression" dxfId="1595" priority="1692219">
      <formula>$R388:$R480&lt;=0</formula>
    </cfRule>
    <cfRule type="expression" dxfId="1594" priority="1692220">
      <formula>$R388:$R480&lt;4</formula>
    </cfRule>
  </conditionalFormatting>
  <conditionalFormatting sqref="AT398:AU398">
    <cfRule type="expression" dxfId="1593" priority="1692313">
      <formula>$X398:$X505="Penting"</formula>
    </cfRule>
    <cfRule type="expression" dxfId="1592" priority="1692314">
      <formula>$R398:$R505=""</formula>
    </cfRule>
    <cfRule type="expression" dxfId="1591" priority="1692315">
      <formula>$R398:$R505&lt;=0</formula>
    </cfRule>
    <cfRule type="expression" dxfId="1590" priority="1692316">
      <formula>$R398:$R505&lt;4</formula>
    </cfRule>
  </conditionalFormatting>
  <conditionalFormatting sqref="W404:AP405 E404:S405">
    <cfRule type="expression" dxfId="1589" priority="1692357">
      <formula>$X404:$X681="Penting"</formula>
    </cfRule>
    <cfRule type="expression" dxfId="1588" priority="1692358">
      <formula>$R404:$R681=""</formula>
    </cfRule>
    <cfRule type="expression" dxfId="1587" priority="1692359">
      <formula>$R404:$R681&lt;=0</formula>
    </cfRule>
    <cfRule type="expression" dxfId="1586" priority="1692360">
      <formula>$R404:$R681&lt;4</formula>
    </cfRule>
  </conditionalFormatting>
  <conditionalFormatting sqref="W385:AP399 E385:S399">
    <cfRule type="expression" dxfId="1585" priority="1692795">
      <formula>$X385:$X647="Penting"</formula>
    </cfRule>
    <cfRule type="expression" dxfId="1584" priority="1692796">
      <formula>$R385:$R647=""</formula>
    </cfRule>
    <cfRule type="expression" dxfId="1583" priority="1692797">
      <formula>$R385:$R647&lt;=0</formula>
    </cfRule>
    <cfRule type="expression" dxfId="1582" priority="1692798">
      <formula>$R385:$R647&lt;4</formula>
    </cfRule>
  </conditionalFormatting>
  <conditionalFormatting sqref="AT421:AU421">
    <cfRule type="expression" dxfId="1581" priority="1692805">
      <formula>$X421:$X603="Penting"</formula>
    </cfRule>
    <cfRule type="expression" dxfId="1580" priority="1692806">
      <formula>$R421:$R603=""</formula>
    </cfRule>
    <cfRule type="expression" dxfId="1579" priority="1692807">
      <formula>$R421:$R603&lt;=0</formula>
    </cfRule>
    <cfRule type="expression" dxfId="1578" priority="1692808">
      <formula>$R421:$R603&lt;4</formula>
    </cfRule>
  </conditionalFormatting>
  <conditionalFormatting sqref="T381:V381 T351:V351">
    <cfRule type="expression" dxfId="1577" priority="1692811">
      <formula>$X351:$X703="Penting"</formula>
    </cfRule>
    <cfRule type="expression" dxfId="1576" priority="1692812">
      <formula>$R351:$R703=""</formula>
    </cfRule>
    <cfRule type="expression" dxfId="1575" priority="1692813">
      <formula>$R351:$R703&lt;=0</formula>
    </cfRule>
    <cfRule type="expression" dxfId="1574" priority="1692814">
      <formula>$R351:$R703&lt;4</formula>
    </cfRule>
  </conditionalFormatting>
  <conditionalFormatting sqref="AQ415:AS415">
    <cfRule type="expression" dxfId="1573" priority="1692821">
      <formula>$X415:$X512="Penting"</formula>
    </cfRule>
    <cfRule type="expression" dxfId="1572" priority="1692822">
      <formula>$R415:$R512=""</formula>
    </cfRule>
    <cfRule type="expression" dxfId="1571" priority="1692823">
      <formula>$R415:$R512&lt;=0</formula>
    </cfRule>
    <cfRule type="expression" dxfId="1570" priority="1692824">
      <formula>$R415:$R512&lt;4</formula>
    </cfRule>
  </conditionalFormatting>
  <conditionalFormatting sqref="S381 S348">
    <cfRule type="expression" dxfId="1569" priority="1692833">
      <formula>$X348:$X740="Penting"</formula>
    </cfRule>
    <cfRule type="expression" dxfId="1568" priority="1692834">
      <formula>$R348:$R740=""</formula>
    </cfRule>
    <cfRule type="expression" dxfId="1567" priority="1692835">
      <formula>$R348:$R740&lt;=0</formula>
    </cfRule>
    <cfRule type="expression" dxfId="1566" priority="1692836">
      <formula>$R348:$R740&lt;4</formula>
    </cfRule>
  </conditionalFormatting>
  <conditionalFormatting sqref="AA349:AC349">
    <cfRule type="expression" dxfId="1565" priority="1693482">
      <formula>$R349:$R730="End"</formula>
    </cfRule>
  </conditionalFormatting>
  <conditionalFormatting sqref="AA349:AC349">
    <cfRule type="expression" dxfId="1564" priority="1693493" stopIfTrue="1">
      <formula>$R349:$R730="Cancel"</formula>
    </cfRule>
  </conditionalFormatting>
  <conditionalFormatting sqref="AE356:AP356 C356:O356 Q356:Z356 AA367:AC367 AE373:AP374 Q373:Z374 C373:O374 AA365:AC365 AA313:AC345">
    <cfRule type="expression" dxfId="1563" priority="1694179">
      <formula>$R313:$R654="End"</formula>
    </cfRule>
  </conditionalFormatting>
  <conditionalFormatting sqref="AE356:AP356 C356:O356 Q356:Z356 AA367:AC367 AE373:AP374 Q373:Z374 C373:O374 AA365:AC365 AA313:AC345">
    <cfRule type="expression" dxfId="1562" priority="1694185" stopIfTrue="1">
      <formula>$R313:$R654="Cancel"</formula>
    </cfRule>
  </conditionalFormatting>
  <conditionalFormatting sqref="AQ262:AS262">
    <cfRule type="expression" dxfId="1561" priority="1694253">
      <formula>$R262:$R474="End"</formula>
    </cfRule>
  </conditionalFormatting>
  <conditionalFormatting sqref="AQ262:AS262">
    <cfRule type="expression" dxfId="1560" priority="1694254" stopIfTrue="1">
      <formula>$R262:$R474="Cancel"</formula>
    </cfRule>
  </conditionalFormatting>
  <conditionalFormatting sqref="AT422:AU423 AT347:AU347">
    <cfRule type="expression" dxfId="1559" priority="1694265">
      <formula>$X347:$X525="Penting"</formula>
    </cfRule>
    <cfRule type="expression" dxfId="1558" priority="1694266">
      <formula>$R347:$R525=""</formula>
    </cfRule>
    <cfRule type="expression" dxfId="1557" priority="1694267">
      <formula>$R347:$R525&lt;=0</formula>
    </cfRule>
    <cfRule type="expression" dxfId="1556" priority="1694268">
      <formula>$R347:$R525&lt;4</formula>
    </cfRule>
  </conditionalFormatting>
  <conditionalFormatting sqref="AE409:AP423 Q409:Z423 E409:O423 AD373:AD374 AQ201:AS201 AQ198:AS198 AQ162:AS162 AD356">
    <cfRule type="expression" dxfId="1555" priority="1694293">
      <formula>$R162:$R479="End"</formula>
    </cfRule>
  </conditionalFormatting>
  <conditionalFormatting sqref="AE409:AP423 Q409:Z423 E409:O423 AD373:AD374 AQ201:AS201 AQ198:AS198 AQ162:AS162 AD356">
    <cfRule type="expression" dxfId="1554" priority="1694298" stopIfTrue="1">
      <formula>$R162:$R479="Cancel"</formula>
    </cfRule>
  </conditionalFormatting>
  <conditionalFormatting sqref="AQ383:AS384">
    <cfRule type="expression" dxfId="1553" priority="1694329">
      <formula>$R383:$R608="End"</formula>
    </cfRule>
  </conditionalFormatting>
  <conditionalFormatting sqref="AQ383:AS384">
    <cfRule type="expression" dxfId="1552" priority="1694330" stopIfTrue="1">
      <formula>$R383:$R608="Cancel"</formula>
    </cfRule>
  </conditionalFormatting>
  <conditionalFormatting sqref="AT410:AU414">
    <cfRule type="expression" dxfId="1551" priority="1694355">
      <formula>$X410:$X559="Penting"</formula>
    </cfRule>
    <cfRule type="expression" dxfId="1550" priority="1694356">
      <formula>$R410:$R559=""</formula>
    </cfRule>
    <cfRule type="expression" dxfId="1549" priority="1694357">
      <formula>$R410:$R559&lt;=0</formula>
    </cfRule>
    <cfRule type="expression" dxfId="1548" priority="1694358">
      <formula>$R410:$R559&lt;4</formula>
    </cfRule>
  </conditionalFormatting>
  <conditionalFormatting sqref="AQ422:AS423">
    <cfRule type="expression" dxfId="1547" priority="1694373">
      <formula>$R422:$R598="End"</formula>
    </cfRule>
  </conditionalFormatting>
  <conditionalFormatting sqref="AQ422:AS423">
    <cfRule type="expression" dxfId="1546" priority="1694374" stopIfTrue="1">
      <formula>$R422:$R598="Cancel"</formula>
    </cfRule>
  </conditionalFormatting>
  <conditionalFormatting sqref="AQ422:AS423">
    <cfRule type="expression" dxfId="1545" priority="1694383">
      <formula>$X422:$X533="Penting"</formula>
    </cfRule>
    <cfRule type="expression" dxfId="1544" priority="1694384">
      <formula>$R422:$R533=""</formula>
    </cfRule>
    <cfRule type="expression" dxfId="1543" priority="1694385">
      <formula>$R422:$R533&lt;=0</formula>
    </cfRule>
    <cfRule type="expression" dxfId="1542" priority="1694386">
      <formula>$R422:$R533&lt;4</formula>
    </cfRule>
  </conditionalFormatting>
  <conditionalFormatting sqref="AQ420:AS420 AQ348:AS349">
    <cfRule type="expression" dxfId="1541" priority="1694455">
      <formula>$X348:$X457="Penting"</formula>
    </cfRule>
    <cfRule type="expression" dxfId="1540" priority="1694456">
      <formula>$R348:$R457=""</formula>
    </cfRule>
    <cfRule type="expression" dxfId="1539" priority="1694457">
      <formula>$R348:$R457&lt;=0</formula>
    </cfRule>
    <cfRule type="expression" dxfId="1538" priority="1694458">
      <formula>$R348:$R457&lt;4</formula>
    </cfRule>
  </conditionalFormatting>
  <conditionalFormatting sqref="AT395:AU395 AQ361:AS361">
    <cfRule type="expression" dxfId="1537" priority="1694463">
      <formula>$X361:$X462="Penting"</formula>
    </cfRule>
    <cfRule type="expression" dxfId="1536" priority="1694464">
      <formula>$R361:$R462=""</formula>
    </cfRule>
    <cfRule type="expression" dxfId="1535" priority="1694465">
      <formula>$R361:$R462&lt;=0</formula>
    </cfRule>
    <cfRule type="expression" dxfId="1534" priority="1694466">
      <formula>$R361:$R462&lt;4</formula>
    </cfRule>
  </conditionalFormatting>
  <conditionalFormatting sqref="AA409:AC423">
    <cfRule type="expression" dxfId="1533" priority="1694533">
      <formula>$R409:$R744="End"</formula>
    </cfRule>
  </conditionalFormatting>
  <conditionalFormatting sqref="AA409:AC423">
    <cfRule type="expression" dxfId="1532" priority="1694542" stopIfTrue="1">
      <formula>$R409:$R744="Cancel"</formula>
    </cfRule>
  </conditionalFormatting>
  <conditionalFormatting sqref="P406:P408 AA404:AC405 AE372:AP372 P375 Q372:Z372 AA369:AC369 C372:O372">
    <cfRule type="expression" dxfId="1531" priority="1694735">
      <formula>$R369:$R688="End"</formula>
    </cfRule>
  </conditionalFormatting>
  <conditionalFormatting sqref="P406:P408 AA404:AC405 AE372:AP372 P375 Q372:Z372 AA369:AC369 C372:O372">
    <cfRule type="expression" dxfId="1530" priority="1694738" stopIfTrue="1">
      <formula>$R369:$R688="Cancel"</formula>
    </cfRule>
  </conditionalFormatting>
  <conditionalFormatting sqref="AA401:AC402 S376:Z376 AE376:AP376 C376:O376 Q376 AQ179:AS180 AQ176:AS176">
    <cfRule type="expression" dxfId="1529" priority="1694903">
      <formula>$R176:$R486="End"</formula>
    </cfRule>
  </conditionalFormatting>
  <conditionalFormatting sqref="AA401:AC402 S376:Z376 AE376:AP376 C376:O376 Q376 AQ179:AS180 AQ176:AS176">
    <cfRule type="expression" dxfId="1528" priority="1694904" stopIfTrue="1">
      <formula>$R176:$R486="Cancel"</formula>
    </cfRule>
  </conditionalFormatting>
  <conditionalFormatting sqref="AT415:AU415">
    <cfRule type="expression" dxfId="1527" priority="1694949">
      <formula>$X415:$X580="Penting"</formula>
    </cfRule>
    <cfRule type="expression" dxfId="1526" priority="1694950">
      <formula>$R415:$R580=""</formula>
    </cfRule>
    <cfRule type="expression" dxfId="1525" priority="1694951">
      <formula>$R415:$R580&lt;=0</formula>
    </cfRule>
    <cfRule type="expression" dxfId="1524" priority="1694952">
      <formula>$R415:$R580&lt;4</formula>
    </cfRule>
  </conditionalFormatting>
  <conditionalFormatting sqref="W406:AP408 E406:S408">
    <cfRule type="expression" dxfId="1523" priority="1695269">
      <formula>$X406:$X697="Penting"</formula>
    </cfRule>
    <cfRule type="expression" dxfId="1522" priority="1695270">
      <formula>$R406:$R697=""</formula>
    </cfRule>
    <cfRule type="expression" dxfId="1521" priority="1695271">
      <formula>$R406:$R697&lt;=0</formula>
    </cfRule>
    <cfRule type="expression" dxfId="1520" priority="1695272">
      <formula>$R406:$R697&lt;4</formula>
    </cfRule>
  </conditionalFormatting>
  <conditionalFormatting sqref="AA377:AC380">
    <cfRule type="expression" dxfId="1519" priority="1695317">
      <formula>$R377:$R741="End"</formula>
    </cfRule>
  </conditionalFormatting>
  <conditionalFormatting sqref="AA377:AC380">
    <cfRule type="expression" dxfId="1518" priority="1695319" stopIfTrue="1">
      <formula>$R377:$R741="Cancel"</formula>
    </cfRule>
  </conditionalFormatting>
  <conditionalFormatting sqref="P382:P384">
    <cfRule type="expression" dxfId="1517" priority="1695321">
      <formula>$R382:$R746="End"</formula>
    </cfRule>
  </conditionalFormatting>
  <conditionalFormatting sqref="P382:P384">
    <cfRule type="expression" dxfId="1516" priority="1695323" stopIfTrue="1">
      <formula>$R382:$R746="Cancel"</formula>
    </cfRule>
  </conditionalFormatting>
  <conditionalFormatting sqref="AE406:AP408 Q406:Z408 E406:O408 P376 AD354">
    <cfRule type="expression" dxfId="1515" priority="1695339">
      <formula>$R354:$R669="End"</formula>
    </cfRule>
  </conditionalFormatting>
  <conditionalFormatting sqref="AE406:AP408 Q406:Z408 E406:O408 P376 AD354">
    <cfRule type="expression" dxfId="1514" priority="1695345" stopIfTrue="1">
      <formula>$R354:$R669="Cancel"</formula>
    </cfRule>
  </conditionalFormatting>
  <conditionalFormatting sqref="AD406:AD408">
    <cfRule type="expression" dxfId="1513" priority="1695353">
      <formula>$R406:$R533="End"</formula>
    </cfRule>
  </conditionalFormatting>
  <conditionalFormatting sqref="AD406:AD408">
    <cfRule type="expression" dxfId="1512" priority="1695354" stopIfTrue="1">
      <formula>$R406:$R533="Cancel"</formula>
    </cfRule>
  </conditionalFormatting>
  <conditionalFormatting sqref="S409:S415 AQ171:AS171 T360:V360">
    <cfRule type="expression" dxfId="1511" priority="1695379">
      <formula>$X171:$X528="Penting"</formula>
    </cfRule>
    <cfRule type="expression" dxfId="1510" priority="1695380">
      <formula>$R171:$R528=""</formula>
    </cfRule>
    <cfRule type="expression" dxfId="1509" priority="1695381">
      <formula>$R171:$R528&lt;=0</formula>
    </cfRule>
    <cfRule type="expression" dxfId="1508" priority="1695382">
      <formula>$R171:$R528&lt;4</formula>
    </cfRule>
  </conditionalFormatting>
  <conditionalFormatting sqref="AE401:AP402 Q401:Z402 E401:O402">
    <cfRule type="expression" dxfId="1507" priority="1695383">
      <formula>$R401:$R693="End"</formula>
    </cfRule>
  </conditionalFormatting>
  <conditionalFormatting sqref="AE401:AP402 Q401:Z402 E401:O402">
    <cfRule type="expression" dxfId="1506" priority="1695387" stopIfTrue="1">
      <formula>$R401:$R693="Cancel"</formula>
    </cfRule>
  </conditionalFormatting>
  <conditionalFormatting sqref="S406:S408 AQ233:AS236">
    <cfRule type="expression" dxfId="1505" priority="1695391">
      <formula>$X233:$X589="Penting"</formula>
    </cfRule>
    <cfRule type="expression" dxfId="1504" priority="1695392">
      <formula>$R233:$R589=""</formula>
    </cfRule>
    <cfRule type="expression" dxfId="1503" priority="1695393">
      <formula>$R233:$R589&lt;=0</formula>
    </cfRule>
    <cfRule type="expression" dxfId="1502" priority="1695394">
      <formula>$R233:$R589&lt;4</formula>
    </cfRule>
  </conditionalFormatting>
  <conditionalFormatting sqref="AA406:AC408 AD360">
    <cfRule type="expression" dxfId="1501" priority="1695399">
      <formula>$R360:$R693="End"</formula>
    </cfRule>
  </conditionalFormatting>
  <conditionalFormatting sqref="AA406:AC408 AD360">
    <cfRule type="expression" dxfId="1500" priority="1695400" stopIfTrue="1">
      <formula>$R360:$R693="Cancel"</formula>
    </cfRule>
  </conditionalFormatting>
  <conditionalFormatting sqref="P404:P405 P369">
    <cfRule type="expression" dxfId="1499" priority="1695401">
      <formula>$R369:$R675="End"</formula>
    </cfRule>
  </conditionalFormatting>
  <conditionalFormatting sqref="P404:P405 P369">
    <cfRule type="expression" dxfId="1498" priority="1695402" stopIfTrue="1">
      <formula>$R369:$R675="Cancel"</formula>
    </cfRule>
  </conditionalFormatting>
  <conditionalFormatting sqref="T381:V381 T348:V348 T351:V351">
    <cfRule type="expression" dxfId="1497" priority="1695403">
      <formula>$X348:$X699="Penting"</formula>
    </cfRule>
    <cfRule type="expression" dxfId="1496" priority="1695404">
      <formula>$R348:$R699=""</formula>
    </cfRule>
    <cfRule type="expression" dxfId="1495" priority="1695405">
      <formula>$R348:$R699&lt;=0</formula>
    </cfRule>
    <cfRule type="expression" dxfId="1494" priority="1695406">
      <formula>$R348:$R699&lt;4</formula>
    </cfRule>
  </conditionalFormatting>
  <conditionalFormatting sqref="AT400:AU400 AQ314:AS316">
    <cfRule type="expression" dxfId="1493" priority="1695431">
      <formula>$X314:$X437="Penting"</formula>
    </cfRule>
    <cfRule type="expression" dxfId="1492" priority="1695432">
      <formula>$R314:$R437=""</formula>
    </cfRule>
    <cfRule type="expression" dxfId="1491" priority="1695433">
      <formula>$R314:$R437&lt;=0</formula>
    </cfRule>
    <cfRule type="expression" dxfId="1490" priority="1695434">
      <formula>$R314:$R437&lt;4</formula>
    </cfRule>
  </conditionalFormatting>
  <conditionalFormatting sqref="AE385:AP399 Q385:Z399 E385:O399">
    <cfRule type="expression" dxfId="1489" priority="1695447">
      <formula>$R385:$R671="End"</formula>
    </cfRule>
  </conditionalFormatting>
  <conditionalFormatting sqref="AE385:AP399 Q385:Z399 E385:O399">
    <cfRule type="expression" dxfId="1488" priority="1695450" stopIfTrue="1">
      <formula>$R385:$R671="Cancel"</formula>
    </cfRule>
  </conditionalFormatting>
  <conditionalFormatting sqref="AQ387:AS387">
    <cfRule type="expression" dxfId="1487" priority="1695453">
      <formula>$X387:$X437="Penting"</formula>
    </cfRule>
    <cfRule type="expression" dxfId="1486" priority="1695454">
      <formula>$R387:$R437=""</formula>
    </cfRule>
    <cfRule type="expression" dxfId="1485" priority="1695455">
      <formula>$R387:$R437&lt;=0</formula>
    </cfRule>
    <cfRule type="expression" dxfId="1484" priority="1695456">
      <formula>$R387:$R437&lt;4</formula>
    </cfRule>
  </conditionalFormatting>
  <conditionalFormatting sqref="AQ391:AS391">
    <cfRule type="expression" dxfId="1483" priority="1695457">
      <formula>$X391:$X437="Penting"</formula>
    </cfRule>
    <cfRule type="expression" dxfId="1482" priority="1695458">
      <formula>$R391:$R437=""</formula>
    </cfRule>
    <cfRule type="expression" dxfId="1481" priority="1695459">
      <formula>$R391:$R437&lt;=0</formula>
    </cfRule>
    <cfRule type="expression" dxfId="1480" priority="1695460">
      <formula>$R391:$R437&lt;4</formula>
    </cfRule>
  </conditionalFormatting>
  <conditionalFormatting sqref="AQ400:AS400">
    <cfRule type="expression" dxfId="1479" priority="1695465">
      <formula>$X400:$X456="Penting"</formula>
    </cfRule>
    <cfRule type="expression" dxfId="1478" priority="1695466">
      <formula>$R400:$R456=""</formula>
    </cfRule>
    <cfRule type="expression" dxfId="1477" priority="1695467">
      <formula>$R400:$R456&lt;=0</formula>
    </cfRule>
    <cfRule type="expression" dxfId="1476" priority="1695468">
      <formula>$R400:$R456&lt;4</formula>
    </cfRule>
  </conditionalFormatting>
  <conditionalFormatting sqref="AQ395:AS395">
    <cfRule type="expression" dxfId="1475" priority="1695473">
      <formula>$X395:$X437="Penting"</formula>
    </cfRule>
    <cfRule type="expression" dxfId="1474" priority="1695474">
      <formula>$R395:$R437=""</formula>
    </cfRule>
    <cfRule type="expression" dxfId="1473" priority="1695475">
      <formula>$R395:$R437&lt;=0</formula>
    </cfRule>
    <cfRule type="expression" dxfId="1472" priority="1695476">
      <formula>$R395:$R437&lt;4</formula>
    </cfRule>
  </conditionalFormatting>
  <conditionalFormatting sqref="AQ410:AS414">
    <cfRule type="expression" dxfId="1471" priority="1695497">
      <formula>$R410:$R556="End"</formula>
    </cfRule>
  </conditionalFormatting>
  <conditionalFormatting sqref="AQ410:AS414">
    <cfRule type="expression" dxfId="1470" priority="1695498" stopIfTrue="1">
      <formula>$R410:$R556="Cancel"</formula>
    </cfRule>
  </conditionalFormatting>
  <conditionalFormatting sqref="AT383:AU384">
    <cfRule type="expression" dxfId="1469" priority="1695555">
      <formula>$X383:$X611="Penting"</formula>
    </cfRule>
    <cfRule type="expression" dxfId="1468" priority="1695556">
      <formula>$R383:$R611=""</formula>
    </cfRule>
    <cfRule type="expression" dxfId="1467" priority="1695557">
      <formula>$R383:$R611&lt;=0</formula>
    </cfRule>
    <cfRule type="expression" dxfId="1466" priority="1695558">
      <formula>$R383:$R611&lt;4</formula>
    </cfRule>
  </conditionalFormatting>
  <conditionalFormatting sqref="S385:S399 AT135:AU137 AQ207:AS208 AQ237:AS239 T134:V312">
    <cfRule type="expression" dxfId="1465" priority="1695599">
      <formula>$X134:$X460="Penting"</formula>
    </cfRule>
    <cfRule type="expression" dxfId="1464" priority="1695600">
      <formula>$R134:$R460=""</formula>
    </cfRule>
    <cfRule type="expression" dxfId="1463" priority="1695601">
      <formula>$R134:$R460&lt;=0</formula>
    </cfRule>
    <cfRule type="expression" dxfId="1462" priority="1695602">
      <formula>$R134:$R460&lt;4</formula>
    </cfRule>
  </conditionalFormatting>
  <conditionalFormatting sqref="AD404:AD405">
    <cfRule type="expression" dxfId="1461" priority="1695697">
      <formula>$R404:$R681="End"</formula>
    </cfRule>
  </conditionalFormatting>
  <conditionalFormatting sqref="AD404:AD405">
    <cfRule type="expression" dxfId="1460" priority="1695698" stopIfTrue="1">
      <formula>$R404:$R681="Cancel"</formula>
    </cfRule>
  </conditionalFormatting>
  <conditionalFormatting sqref="AQ409:AS409">
    <cfRule type="expression" dxfId="1459" priority="1695751">
      <formula>$X409:$X484="Penting"</formula>
    </cfRule>
    <cfRule type="expression" dxfId="1458" priority="1695752">
      <formula>$R409:$R484=""</formula>
    </cfRule>
    <cfRule type="expression" dxfId="1457" priority="1695753">
      <formula>$R409:$R484&lt;=0</formula>
    </cfRule>
    <cfRule type="expression" dxfId="1456" priority="1695754">
      <formula>$R409:$R484&lt;4</formula>
    </cfRule>
  </conditionalFormatting>
  <conditionalFormatting sqref="AQ410:AS414 AT389:AU390 AT386:AU386">
    <cfRule type="expression" dxfId="1455" priority="1695775">
      <formula>$X386:$X467="Penting"</formula>
    </cfRule>
    <cfRule type="expression" dxfId="1454" priority="1695776">
      <formula>$R386:$R467=""</formula>
    </cfRule>
    <cfRule type="expression" dxfId="1453" priority="1695777">
      <formula>$R386:$R467&lt;=0</formula>
    </cfRule>
    <cfRule type="expression" dxfId="1452" priority="1695778">
      <formula>$R386:$R467&lt;4</formula>
    </cfRule>
  </conditionalFormatting>
  <conditionalFormatting sqref="AD401:AD402">
    <cfRule type="expression" dxfId="1451" priority="1695787">
      <formula>$R401:$R670="End"</formula>
    </cfRule>
  </conditionalFormatting>
  <conditionalFormatting sqref="AD401:AD402">
    <cfRule type="expression" dxfId="1450" priority="1695788" stopIfTrue="1">
      <formula>$R401:$R670="Cancel"</formula>
    </cfRule>
  </conditionalFormatting>
  <conditionalFormatting sqref="AQ406:AS408">
    <cfRule type="expression" dxfId="1449" priority="1695869">
      <formula>$R406:$R532="End"</formula>
    </cfRule>
  </conditionalFormatting>
  <conditionalFormatting sqref="AQ406:AS408">
    <cfRule type="expression" dxfId="1448" priority="1695870" stopIfTrue="1">
      <formula>$R406:$R532="Cancel"</formula>
    </cfRule>
  </conditionalFormatting>
  <conditionalFormatting sqref="AT406:AU408 AQ307:AS308">
    <cfRule type="expression" dxfId="1447" priority="1695871">
      <formula>$X307:$X437="Penting"</formula>
    </cfRule>
    <cfRule type="expression" dxfId="1446" priority="1695872">
      <formula>$R307:$R437=""</formula>
    </cfRule>
    <cfRule type="expression" dxfId="1445" priority="1695873">
      <formula>$R307:$R437&lt;=0</formula>
    </cfRule>
    <cfRule type="expression" dxfId="1444" priority="1695874">
      <formula>$R307:$R437&lt;4</formula>
    </cfRule>
  </conditionalFormatting>
  <conditionalFormatting sqref="AQ406:AS408">
    <cfRule type="expression" dxfId="1443" priority="1695887">
      <formula>$X406:$X467="Penting"</formula>
    </cfRule>
    <cfRule type="expression" dxfId="1442" priority="1695888">
      <formula>$R406:$R467=""</formula>
    </cfRule>
    <cfRule type="expression" dxfId="1441" priority="1695889">
      <formula>$R406:$R467&lt;=0</formula>
    </cfRule>
    <cfRule type="expression" dxfId="1440" priority="1695890">
      <formula>$R406:$R467&lt;4</formula>
    </cfRule>
  </conditionalFormatting>
  <conditionalFormatting sqref="AD406:AD408 P385:P399">
    <cfRule type="expression" dxfId="1439" priority="1695891">
      <formula>$R385:$R676="End"</formula>
    </cfRule>
  </conditionalFormatting>
  <conditionalFormatting sqref="AD406:AD408 P385:P399">
    <cfRule type="expression" dxfId="1438" priority="1695893" stopIfTrue="1">
      <formula>$R385:$R676="Cancel"</formula>
    </cfRule>
  </conditionalFormatting>
  <conditionalFormatting sqref="Q385:Z399 AE385:AP399 E385:O399">
    <cfRule type="expression" dxfId="1437" priority="1695931">
      <formula>$R385:$R670="End"</formula>
    </cfRule>
  </conditionalFormatting>
  <conditionalFormatting sqref="Q385:Z399 AE385:AP399 E385:O399">
    <cfRule type="expression" dxfId="1436" priority="1695934" stopIfTrue="1">
      <formula>$R385:$R670="Cancel"</formula>
    </cfRule>
  </conditionalFormatting>
  <conditionalFormatting sqref="AD385:AD399">
    <cfRule type="expression" dxfId="1435" priority="1695937">
      <formula>$R385:$R647="End"</formula>
    </cfRule>
  </conditionalFormatting>
  <conditionalFormatting sqref="AD385:AD399">
    <cfRule type="expression" dxfId="1434" priority="1695938" stopIfTrue="1">
      <formula>$R385:$R647="Cancel"</formula>
    </cfRule>
  </conditionalFormatting>
  <conditionalFormatting sqref="AQ393:AS394">
    <cfRule type="expression" dxfId="1433" priority="1695939">
      <formula>$R393:$R492="End"</formula>
    </cfRule>
  </conditionalFormatting>
  <conditionalFormatting sqref="AQ393:AS394">
    <cfRule type="expression" dxfId="1432" priority="1695940" stopIfTrue="1">
      <formula>$R393:$R492="Cancel"</formula>
    </cfRule>
  </conditionalFormatting>
  <conditionalFormatting sqref="AD401:AD402">
    <cfRule type="expression" dxfId="1431" priority="1695947">
      <formula>$R401:$R506="End"</formula>
    </cfRule>
  </conditionalFormatting>
  <conditionalFormatting sqref="AD401:AD402">
    <cfRule type="expression" dxfId="1430" priority="1695948" stopIfTrue="1">
      <formula>$R401:$R506="Cancel"</formula>
    </cfRule>
  </conditionalFormatting>
  <conditionalFormatting sqref="AQ396:AS398">
    <cfRule type="expression" dxfId="1429" priority="1695957">
      <formula>$X396:$X437="Penting"</formula>
    </cfRule>
    <cfRule type="expression" dxfId="1428" priority="1695958">
      <formula>$R396:$R437=""</formula>
    </cfRule>
    <cfRule type="expression" dxfId="1427" priority="1695959">
      <formula>$R396:$R437&lt;=0</formula>
    </cfRule>
    <cfRule type="expression" dxfId="1426" priority="1695960">
      <formula>$R396:$R437&lt;4</formula>
    </cfRule>
  </conditionalFormatting>
  <conditionalFormatting sqref="AE382:AP384 Q382:Z384 E382:O384 P347 P359 AA373:AC374 P361 AA356:AC356">
    <cfRule type="expression" dxfId="1425" priority="1696085">
      <formula>$R347:$R706="End"</formula>
    </cfRule>
  </conditionalFormatting>
  <conditionalFormatting sqref="AE382:AP384 Q382:Z384 E382:O384 P347 P359 AA373:AC374 P361 AA356:AC356">
    <cfRule type="expression" dxfId="1424" priority="1696091" stopIfTrue="1">
      <formula>$R347:$R706="Cancel"</formula>
    </cfRule>
  </conditionalFormatting>
  <conditionalFormatting sqref="AQ377:AS377 AT369:AU369">
    <cfRule type="expression" dxfId="1423" priority="1696099">
      <formula>$X369:$X457="Penting"</formula>
    </cfRule>
    <cfRule type="expression" dxfId="1422" priority="1696100">
      <formula>$R369:$R457=""</formula>
    </cfRule>
    <cfRule type="expression" dxfId="1421" priority="1696101">
      <formula>$R369:$R457&lt;=0</formula>
    </cfRule>
    <cfRule type="expression" dxfId="1420" priority="1696102">
      <formula>$R369:$R457&lt;4</formula>
    </cfRule>
  </conditionalFormatting>
  <conditionalFormatting sqref="S382:S384">
    <cfRule type="expression" dxfId="1419" priority="1696135">
      <formula>$X382:$X782="Penting"</formula>
    </cfRule>
    <cfRule type="expression" dxfId="1418" priority="1696136">
      <formula>$R382:$R782=""</formula>
    </cfRule>
    <cfRule type="expression" dxfId="1417" priority="1696137">
      <formula>$R382:$R782&lt;=0</formula>
    </cfRule>
    <cfRule type="expression" dxfId="1416" priority="1696138">
      <formula>$R382:$R782&lt;4</formula>
    </cfRule>
  </conditionalFormatting>
  <conditionalFormatting sqref="AT285:AU285 AQ291:AS291">
    <cfRule type="expression" dxfId="1415" priority="1696309">
      <formula>$X285:$X518="Penting"</formula>
    </cfRule>
    <cfRule type="expression" dxfId="1414" priority="1696310">
      <formula>$R285:$R518=""</formula>
    </cfRule>
    <cfRule type="expression" dxfId="1413" priority="1696311">
      <formula>$R285:$R518&lt;=0</formula>
    </cfRule>
    <cfRule type="expression" dxfId="1412" priority="1696312">
      <formula>$R285:$R518&lt;4</formula>
    </cfRule>
  </conditionalFormatting>
  <conditionalFormatting sqref="AT213:AU214">
    <cfRule type="expression" dxfId="1411" priority="1696373">
      <formula>$X213:$X650="Penting"</formula>
    </cfRule>
    <cfRule type="expression" dxfId="1410" priority="1696374">
      <formula>$R213:$R650=""</formula>
    </cfRule>
    <cfRule type="expression" dxfId="1409" priority="1696375">
      <formula>$R213:$R650&lt;=0</formula>
    </cfRule>
    <cfRule type="expression" dxfId="1408" priority="1696376">
      <formula>$R213:$R650&lt;4</formula>
    </cfRule>
  </conditionalFormatting>
  <conditionalFormatting sqref="P364">
    <cfRule type="expression" dxfId="1407" priority="1696477">
      <formula>$R364:$R723="End"</formula>
    </cfRule>
  </conditionalFormatting>
  <conditionalFormatting sqref="P364">
    <cfRule type="expression" dxfId="1406" priority="1696480" stopIfTrue="1">
      <formula>$R364:$R723="Cancel"</formula>
    </cfRule>
  </conditionalFormatting>
  <conditionalFormatting sqref="AD382:AD384">
    <cfRule type="expression" dxfId="1405" priority="1696565">
      <formula>$R382:$R554="End"</formula>
    </cfRule>
  </conditionalFormatting>
  <conditionalFormatting sqref="AD382:AD384">
    <cfRule type="expression" dxfId="1404" priority="1696566" stopIfTrue="1">
      <formula>$R382:$R554="Cancel"</formula>
    </cfRule>
  </conditionalFormatting>
  <conditionalFormatting sqref="AT382:AU382">
    <cfRule type="expression" dxfId="1403" priority="1696567">
      <formula>$X382:$X604="Penting"</formula>
    </cfRule>
    <cfRule type="expression" dxfId="1402" priority="1696568">
      <formula>$R382:$R604=""</formula>
    </cfRule>
    <cfRule type="expression" dxfId="1401" priority="1696569">
      <formula>$R382:$R604&lt;=0</formula>
    </cfRule>
    <cfRule type="expression" dxfId="1400" priority="1696570">
      <formula>$R382:$R604&lt;4</formula>
    </cfRule>
  </conditionalFormatting>
  <conditionalFormatting sqref="S382:S384 AT203:AU204">
    <cfRule type="expression" dxfId="1399" priority="1696581">
      <formula>$X203:$X604="Penting"</formula>
    </cfRule>
    <cfRule type="expression" dxfId="1398" priority="1696582">
      <formula>$R203:$R604=""</formula>
    </cfRule>
    <cfRule type="expression" dxfId="1397" priority="1696583">
      <formula>$R203:$R604&lt;=0</formula>
    </cfRule>
    <cfRule type="expression" dxfId="1396" priority="1696584">
      <formula>$R203:$R604&lt;4</formula>
    </cfRule>
  </conditionalFormatting>
  <conditionalFormatting sqref="AA382:AC384">
    <cfRule type="expression" dxfId="1395" priority="1696585">
      <formula>$R382:$R759="End"</formula>
    </cfRule>
  </conditionalFormatting>
  <conditionalFormatting sqref="AA382:AC384">
    <cfRule type="expression" dxfId="1394" priority="1696586" stopIfTrue="1">
      <formula>$R382:$R759="Cancel"</formula>
    </cfRule>
  </conditionalFormatting>
  <conditionalFormatting sqref="AA382:AC384">
    <cfRule type="expression" dxfId="1393" priority="1696587">
      <formula>$R382:$R760="End"</formula>
    </cfRule>
  </conditionalFormatting>
  <conditionalFormatting sqref="AA382:AC384">
    <cfRule type="expression" dxfId="1392" priority="1696588" stopIfTrue="1">
      <formula>$R382:$R760="Cancel"</formula>
    </cfRule>
  </conditionalFormatting>
  <conditionalFormatting sqref="C424:D438">
    <cfRule type="expression" dxfId="1391" priority="251">
      <formula>$X424:$X721="Penting"</formula>
    </cfRule>
    <cfRule type="expression" dxfId="1390" priority="252">
      <formula>$R424:$R721=""</formula>
    </cfRule>
    <cfRule type="expression" dxfId="1389" priority="253">
      <formula>$R424:$R721&lt;=0</formula>
    </cfRule>
    <cfRule type="expression" dxfId="1388" priority="254">
      <formula>$R424:$R721&lt;4</formula>
    </cfRule>
  </conditionalFormatting>
  <conditionalFormatting sqref="C403:D403">
    <cfRule type="expression" dxfId="1387" priority="246">
      <formula>$R403:$R698="End"</formula>
    </cfRule>
  </conditionalFormatting>
  <conditionalFormatting sqref="C403:D403">
    <cfRule type="expression" dxfId="1386" priority="245" stopIfTrue="1">
      <formula>$R403:$R698="Cancel"</formula>
    </cfRule>
  </conditionalFormatting>
  <conditionalFormatting sqref="C404:D405">
    <cfRule type="expression" dxfId="1385" priority="244">
      <formula>$R404:$R704="End"</formula>
    </cfRule>
  </conditionalFormatting>
  <conditionalFormatting sqref="C404:D405">
    <cfRule type="expression" dxfId="1384" priority="243" stopIfTrue="1">
      <formula>$R404:$R704="Cancel"</formula>
    </cfRule>
  </conditionalFormatting>
  <conditionalFormatting sqref="C400:D400">
    <cfRule type="expression" dxfId="1383" priority="240">
      <formula>$R400:$R689="End"</formula>
    </cfRule>
  </conditionalFormatting>
  <conditionalFormatting sqref="C400:D400">
    <cfRule type="expression" dxfId="1382" priority="239" stopIfTrue="1">
      <formula>$R400:$R689="Cancel"</formula>
    </cfRule>
  </conditionalFormatting>
  <conditionalFormatting sqref="C424:D438">
    <cfRule type="expression" dxfId="1381" priority="236">
      <formula>$R424:$R744="End"</formula>
    </cfRule>
  </conditionalFormatting>
  <conditionalFormatting sqref="C424:D438">
    <cfRule type="expression" dxfId="1380" priority="235" stopIfTrue="1">
      <formula>$R424:$R744="Cancel"</formula>
    </cfRule>
  </conditionalFormatting>
  <conditionalFormatting sqref="C400:D400">
    <cfRule type="expression" dxfId="1379" priority="230">
      <formula>$R400:$R690="End"</formula>
    </cfRule>
  </conditionalFormatting>
  <conditionalFormatting sqref="C400:D400">
    <cfRule type="expression" dxfId="1378" priority="229" stopIfTrue="1">
      <formula>$R400:$R690="Cancel"</formula>
    </cfRule>
  </conditionalFormatting>
  <conditionalFormatting sqref="C382:D384">
    <cfRule type="expression" dxfId="1377" priority="214">
      <formula>$R382:$R742="End"</formula>
    </cfRule>
  </conditionalFormatting>
  <conditionalFormatting sqref="C382:D384">
    <cfRule type="expression" dxfId="1376" priority="213" stopIfTrue="1">
      <formula>$R382:$R742="Cancel"</formula>
    </cfRule>
  </conditionalFormatting>
  <conditionalFormatting sqref="C381:D381">
    <cfRule type="expression" dxfId="1375" priority="212">
      <formula>$R381:$R733="End"</formula>
    </cfRule>
  </conditionalFormatting>
  <conditionalFormatting sqref="C381:D381">
    <cfRule type="expression" dxfId="1374" priority="211" stopIfTrue="1">
      <formula>$R381:$R733="Cancel"</formula>
    </cfRule>
  </conditionalFormatting>
  <conditionalFormatting sqref="C382:D384">
    <cfRule type="expression" dxfId="1373" priority="205">
      <formula>$X382:$X718="Penting"</formula>
    </cfRule>
    <cfRule type="expression" dxfId="1372" priority="206">
      <formula>$R382:$R718=""</formula>
    </cfRule>
    <cfRule type="expression" dxfId="1371" priority="207">
      <formula>$R382:$R718&lt;=0</formula>
    </cfRule>
    <cfRule type="expression" dxfId="1370" priority="208">
      <formula>$R382:$R718&lt;4</formula>
    </cfRule>
  </conditionalFormatting>
  <conditionalFormatting sqref="C404:D405">
    <cfRule type="expression" dxfId="1369" priority="194">
      <formula>$R404:$R705="End"</formula>
    </cfRule>
  </conditionalFormatting>
  <conditionalFormatting sqref="C404:D405">
    <cfRule type="expression" dxfId="1368" priority="193" stopIfTrue="1">
      <formula>$R404:$R705="Cancel"</formula>
    </cfRule>
  </conditionalFormatting>
  <conditionalFormatting sqref="C409:D415">
    <cfRule type="expression" dxfId="1367" priority="185">
      <formula>$X409:$X702="Penting"</formula>
    </cfRule>
    <cfRule type="expression" dxfId="1366" priority="186">
      <formula>$R409:$R702=""</formula>
    </cfRule>
    <cfRule type="expression" dxfId="1365" priority="187">
      <formula>$R409:$R702&lt;=0</formula>
    </cfRule>
    <cfRule type="expression" dxfId="1364" priority="188">
      <formula>$R409:$R702&lt;4</formula>
    </cfRule>
  </conditionalFormatting>
  <conditionalFormatting sqref="C401:D402">
    <cfRule type="expression" dxfId="1363" priority="181">
      <formula>$X401:$X670="Penting"</formula>
    </cfRule>
    <cfRule type="expression" dxfId="1362" priority="182">
      <formula>$R401:$R670=""</formula>
    </cfRule>
    <cfRule type="expression" dxfId="1361" priority="183">
      <formula>$R401:$R670&lt;=0</formula>
    </cfRule>
    <cfRule type="expression" dxfId="1360" priority="184">
      <formula>$R401:$R670&lt;4</formula>
    </cfRule>
  </conditionalFormatting>
  <conditionalFormatting sqref="C416:D423">
    <cfRule type="expression" dxfId="1359" priority="169">
      <formula>$X416:$X710="Penting"</formula>
    </cfRule>
    <cfRule type="expression" dxfId="1358" priority="170">
      <formula>$R416:$R710=""</formula>
    </cfRule>
    <cfRule type="expression" dxfId="1357" priority="171">
      <formula>$R416:$R710&lt;=0</formula>
    </cfRule>
    <cfRule type="expression" dxfId="1356" priority="172">
      <formula>$R416:$R710&lt;4</formula>
    </cfRule>
  </conditionalFormatting>
  <conditionalFormatting sqref="C416:D423">
    <cfRule type="expression" dxfId="1355" priority="168">
      <formula>$R416:$R734="End"</formula>
    </cfRule>
  </conditionalFormatting>
  <conditionalFormatting sqref="C416:D423">
    <cfRule type="expression" dxfId="1354" priority="167" stopIfTrue="1">
      <formula>$R416:$R734="Cancel"</formula>
    </cfRule>
  </conditionalFormatting>
  <conditionalFormatting sqref="C401:D402">
    <cfRule type="expression" dxfId="1353" priority="166">
      <formula>$R401:$R694="End"</formula>
    </cfRule>
  </conditionalFormatting>
  <conditionalFormatting sqref="C401:D402">
    <cfRule type="expression" dxfId="1352" priority="165" stopIfTrue="1">
      <formula>$R401:$R694="Cancel"</formula>
    </cfRule>
  </conditionalFormatting>
  <conditionalFormatting sqref="C400:D400">
    <cfRule type="expression" dxfId="1351" priority="157">
      <formula>$X400:$X666="Penting"</formula>
    </cfRule>
    <cfRule type="expression" dxfId="1350" priority="158">
      <formula>$R400:$R666=""</formula>
    </cfRule>
    <cfRule type="expression" dxfId="1349" priority="159">
      <formula>$R400:$R666&lt;=0</formula>
    </cfRule>
    <cfRule type="expression" dxfId="1348" priority="160">
      <formula>$R400:$R666&lt;4</formula>
    </cfRule>
  </conditionalFormatting>
  <conditionalFormatting sqref="C381:D381">
    <cfRule type="expression" dxfId="1347" priority="156">
      <formula>$R381:$R732="End"</formula>
    </cfRule>
  </conditionalFormatting>
  <conditionalFormatting sqref="C381:D381">
    <cfRule type="expression" dxfId="1346" priority="155" stopIfTrue="1">
      <formula>$R381:$R732="Cancel"</formula>
    </cfRule>
  </conditionalFormatting>
  <conditionalFormatting sqref="C409:D415">
    <cfRule type="expression" dxfId="1345" priority="154">
      <formula>$R409:$R725="End"</formula>
    </cfRule>
  </conditionalFormatting>
  <conditionalFormatting sqref="C409:D415">
    <cfRule type="expression" dxfId="1344" priority="153" stopIfTrue="1">
      <formula>$R409:$R725="Cancel"</formula>
    </cfRule>
  </conditionalFormatting>
  <conditionalFormatting sqref="C403:D403">
    <cfRule type="expression" dxfId="1343" priority="149">
      <formula>$X403:$X674="Penting"</formula>
    </cfRule>
    <cfRule type="expression" dxfId="1342" priority="150">
      <formula>$R403:$R674=""</formula>
    </cfRule>
    <cfRule type="expression" dxfId="1341" priority="151">
      <formula>$R403:$R674&lt;=0</formula>
    </cfRule>
    <cfRule type="expression" dxfId="1340" priority="152">
      <formula>$R403:$R674&lt;4</formula>
    </cfRule>
  </conditionalFormatting>
  <conditionalFormatting sqref="C406:D408">
    <cfRule type="expression" dxfId="1339" priority="148">
      <formula>$R406:$R720="End"</formula>
    </cfRule>
  </conditionalFormatting>
  <conditionalFormatting sqref="C406:D408">
    <cfRule type="expression" dxfId="1338" priority="147" stopIfTrue="1">
      <formula>$R406:$R720="Cancel"</formula>
    </cfRule>
  </conditionalFormatting>
  <conditionalFormatting sqref="C403:D403">
    <cfRule type="expression" dxfId="1337" priority="146">
      <formula>$R403:$R697="End"</formula>
    </cfRule>
  </conditionalFormatting>
  <conditionalFormatting sqref="C403:D403">
    <cfRule type="expression" dxfId="1336" priority="145" stopIfTrue="1">
      <formula>$R403:$R697="Cancel"</formula>
    </cfRule>
  </conditionalFormatting>
  <conditionalFormatting sqref="C381:D381">
    <cfRule type="expression" dxfId="1335" priority="141">
      <formula>$X381:$X709="Penting"</formula>
    </cfRule>
    <cfRule type="expression" dxfId="1334" priority="142">
      <formula>$R381:$R709=""</formula>
    </cfRule>
    <cfRule type="expression" dxfId="1333" priority="143">
      <formula>$R381:$R709&lt;=0</formula>
    </cfRule>
    <cfRule type="expression" dxfId="1332" priority="144">
      <formula>$R381:$R709&lt;4</formula>
    </cfRule>
  </conditionalFormatting>
  <conditionalFormatting sqref="C404:D405">
    <cfRule type="expression" dxfId="1331" priority="137">
      <formula>$X404:$X681="Penting"</formula>
    </cfRule>
    <cfRule type="expression" dxfId="1330" priority="138">
      <formula>$R404:$R681=""</formula>
    </cfRule>
    <cfRule type="expression" dxfId="1329" priority="139">
      <formula>$R404:$R681&lt;=0</formula>
    </cfRule>
    <cfRule type="expression" dxfId="1328" priority="140">
      <formula>$R404:$R681&lt;4</formula>
    </cfRule>
  </conditionalFormatting>
  <conditionalFormatting sqref="C385:D399">
    <cfRule type="expression" dxfId="1327" priority="133">
      <formula>$X385:$X647="Penting"</formula>
    </cfRule>
    <cfRule type="expression" dxfId="1326" priority="134">
      <formula>$R385:$R647=""</formula>
    </cfRule>
    <cfRule type="expression" dxfId="1325" priority="135">
      <formula>$R385:$R647&lt;=0</formula>
    </cfRule>
    <cfRule type="expression" dxfId="1324" priority="136">
      <formula>$R385:$R647&lt;4</formula>
    </cfRule>
  </conditionalFormatting>
  <conditionalFormatting sqref="C409:D423">
    <cfRule type="expression" dxfId="1323" priority="130">
      <formula>$R409:$R726="End"</formula>
    </cfRule>
  </conditionalFormatting>
  <conditionalFormatting sqref="C409:D423">
    <cfRule type="expression" dxfId="1322" priority="129" stopIfTrue="1">
      <formula>$R409:$R726="Cancel"</formula>
    </cfRule>
  </conditionalFormatting>
  <conditionalFormatting sqref="C406:D408">
    <cfRule type="expression" dxfId="1321" priority="121">
      <formula>$X406:$X697="Penting"</formula>
    </cfRule>
    <cfRule type="expression" dxfId="1320" priority="122">
      <formula>$R406:$R697=""</formula>
    </cfRule>
    <cfRule type="expression" dxfId="1319" priority="123">
      <formula>$R406:$R697&lt;=0</formula>
    </cfRule>
    <cfRule type="expression" dxfId="1318" priority="124">
      <formula>$R406:$R697&lt;4</formula>
    </cfRule>
  </conditionalFormatting>
  <conditionalFormatting sqref="C406:D408">
    <cfRule type="expression" dxfId="1317" priority="120">
      <formula>$R406:$R721="End"</formula>
    </cfRule>
  </conditionalFormatting>
  <conditionalFormatting sqref="C406:D408">
    <cfRule type="expression" dxfId="1316" priority="119" stopIfTrue="1">
      <formula>$R406:$R721="Cancel"</formula>
    </cfRule>
  </conditionalFormatting>
  <conditionalFormatting sqref="C401:D402">
    <cfRule type="expression" dxfId="1315" priority="118">
      <formula>$R401:$R693="End"</formula>
    </cfRule>
  </conditionalFormatting>
  <conditionalFormatting sqref="C401:D402">
    <cfRule type="expression" dxfId="1314" priority="117" stopIfTrue="1">
      <formula>$R401:$R693="Cancel"</formula>
    </cfRule>
  </conditionalFormatting>
  <conditionalFormatting sqref="C385:D399">
    <cfRule type="expression" dxfId="1313" priority="116">
      <formula>$R385:$R671="End"</formula>
    </cfRule>
  </conditionalFormatting>
  <conditionalFormatting sqref="C385:D399">
    <cfRule type="expression" dxfId="1312" priority="115" stopIfTrue="1">
      <formula>$R385:$R671="Cancel"</formula>
    </cfRule>
  </conditionalFormatting>
  <conditionalFormatting sqref="C385:D399">
    <cfRule type="expression" dxfId="1311" priority="114">
      <formula>$R385:$R670="End"</formula>
    </cfRule>
  </conditionalFormatting>
  <conditionalFormatting sqref="C385:D399">
    <cfRule type="expression" dxfId="1310" priority="113" stopIfTrue="1">
      <formula>$R385:$R670="Cancel"</formula>
    </cfRule>
  </conditionalFormatting>
  <conditionalFormatting sqref="C382:D384">
    <cfRule type="expression" dxfId="1309" priority="112">
      <formula>$R382:$R741="End"</formula>
    </cfRule>
  </conditionalFormatting>
  <conditionalFormatting sqref="C382:D384">
    <cfRule type="expression" dxfId="1308" priority="111" stopIfTrue="1">
      <formula>$R382:$R741="Cancel"</formula>
    </cfRule>
  </conditionalFormatting>
  <conditionalFormatting sqref="A440:AG448">
    <cfRule type="expression" dxfId="1307" priority="1696589" stopIfTrue="1">
      <formula>$R440&lt;0</formula>
    </cfRule>
    <cfRule type="expression" dxfId="1306" priority="1696590" stopIfTrue="1">
      <formula>$R440&lt;4</formula>
    </cfRule>
  </conditionalFormatting>
  <conditionalFormatting sqref="A440:AG448">
    <cfRule type="expression" priority="1696593" stopIfTrue="1">
      <formula>$R440&gt;4</formula>
    </cfRule>
  </conditionalFormatting>
  <conditionalFormatting sqref="AQ170:AS170">
    <cfRule type="expression" dxfId="1305" priority="1696980">
      <formula>$R170:$R476="End"</formula>
    </cfRule>
  </conditionalFormatting>
  <conditionalFormatting sqref="AQ170:AS170">
    <cfRule type="expression" dxfId="1304" priority="1696981" stopIfTrue="1">
      <formula>$R170:$R476="Cancel"</formula>
    </cfRule>
  </conditionalFormatting>
  <conditionalFormatting sqref="AQ278:AS278">
    <cfRule type="expression" dxfId="1303" priority="1697088">
      <formula>$R278:$R503="End"</formula>
    </cfRule>
  </conditionalFormatting>
  <conditionalFormatting sqref="AQ278:AS278">
    <cfRule type="expression" dxfId="1302" priority="1697089" stopIfTrue="1">
      <formula>$R278:$R503="Cancel"</formula>
    </cfRule>
  </conditionalFormatting>
  <conditionalFormatting sqref="AA360:AC360">
    <cfRule type="expression" dxfId="1301" priority="1697594">
      <formula>$R360:$R734="End"</formula>
    </cfRule>
  </conditionalFormatting>
  <conditionalFormatting sqref="AA360:AC360">
    <cfRule type="expression" dxfId="1300" priority="1697597" stopIfTrue="1">
      <formula>$R360:$R734="Cancel"</formula>
    </cfRule>
  </conditionalFormatting>
  <conditionalFormatting sqref="AA364:AC364 AA359:AC359 AA361:AC361 AE346:AP346 C346:O346 AA347:AC347 Q346:Z346">
    <cfRule type="expression" dxfId="1299" priority="1697710">
      <formula>$R346:$R718="End"</formula>
    </cfRule>
  </conditionalFormatting>
  <conditionalFormatting sqref="AA364:AC364 AA359:AC359 AA361:AC361 AE346:AP346 C346:O346 AA347:AC347 Q346:Z346">
    <cfRule type="expression" dxfId="1298" priority="1697719" stopIfTrue="1">
      <formula>$R346:$R718="Cancel"</formula>
    </cfRule>
  </conditionalFormatting>
  <conditionalFormatting sqref="AA364:AC364 AA361:AC361">
    <cfRule type="expression" dxfId="1297" priority="1697778">
      <formula>$R361:$R734="End"</formula>
    </cfRule>
  </conditionalFormatting>
  <conditionalFormatting sqref="AA364:AC364 AA361:AC361">
    <cfRule type="expression" dxfId="1296" priority="1697781" stopIfTrue="1">
      <formula>$R361:$R734="Cancel"</formula>
    </cfRule>
  </conditionalFormatting>
  <conditionalFormatting sqref="AA346:AC346">
    <cfRule type="expression" dxfId="1295" priority="1697927">
      <formula>$R346:$R736="End"</formula>
    </cfRule>
  </conditionalFormatting>
  <conditionalFormatting sqref="AA346:AC346">
    <cfRule type="expression" dxfId="1294" priority="1697929" stopIfTrue="1">
      <formula>$R346:$R736="Cancel"</formula>
    </cfRule>
  </conditionalFormatting>
  <conditionalFormatting sqref="AQ346:AS346">
    <cfRule type="expression" dxfId="1293" priority="1698143">
      <formula>$R346:$R529="End"</formula>
    </cfRule>
  </conditionalFormatting>
  <conditionalFormatting sqref="AQ346:AS346">
    <cfRule type="expression" dxfId="1292" priority="1698145" stopIfTrue="1">
      <formula>$R346:$R529="Cancel"</formula>
    </cfRule>
  </conditionalFormatting>
  <conditionalFormatting sqref="P346">
    <cfRule type="expression" dxfId="1291" priority="1698227">
      <formula>$R346:$R723="End"</formula>
    </cfRule>
  </conditionalFormatting>
  <conditionalFormatting sqref="P346">
    <cfRule type="expression" dxfId="1290" priority="1698229" stopIfTrue="1">
      <formula>$R346:$R723="Cancel"</formula>
    </cfRule>
  </conditionalFormatting>
  <conditionalFormatting sqref="AD346">
    <cfRule type="expression" dxfId="1289" priority="1698335">
      <formula>$R346:$R530="End"</formula>
    </cfRule>
  </conditionalFormatting>
  <conditionalFormatting sqref="AD346">
    <cfRule type="expression" dxfId="1288" priority="1698337" stopIfTrue="1">
      <formula>$R346:$R530="Cancel"</formula>
    </cfRule>
  </conditionalFormatting>
  <conditionalFormatting sqref="AD347 AD359 AQ150:AS150">
    <cfRule type="expression" dxfId="1287" priority="1702049">
      <formula>$R150:$R480="End"</formula>
    </cfRule>
  </conditionalFormatting>
  <conditionalFormatting sqref="AD347 AD359 AQ150:AS150">
    <cfRule type="expression" dxfId="1286" priority="1702051" stopIfTrue="1">
      <formula>$R150:$R480="Cancel"</formula>
    </cfRule>
  </conditionalFormatting>
  <conditionalFormatting sqref="AQ347:AS347">
    <cfRule type="expression" dxfId="1285" priority="1702331">
      <formula>$R347:$R523="End"</formula>
    </cfRule>
  </conditionalFormatting>
  <conditionalFormatting sqref="AQ347:AS347">
    <cfRule type="expression" dxfId="1284" priority="1702335" stopIfTrue="1">
      <formula>$R347:$R523="Cancel"</formula>
    </cfRule>
  </conditionalFormatting>
  <conditionalFormatting sqref="AE364:AP364 C360 Q361:Z361 AE361:AP361 P362 C361:O361 Q364:Z364 C364:O364 AE359:AP359 P355 AE347:AP347 P353 C347:O347 Q347:Z347 P350 Q359:Z359 C359:O359">
    <cfRule type="expression" dxfId="1283" priority="1702662">
      <formula>$R347:$R701="End"</formula>
    </cfRule>
  </conditionalFormatting>
  <conditionalFormatting sqref="AE364:AP364 C360 Q361:Z361 AE361:AP361 P362 C361:O361 Q364:Z364 C364:O364 AE359:AP359 P355 AE347:AP347 P353 C347:O347 Q347:Z347 P350 Q359:Z359 C359:O359">
    <cfRule type="expression" dxfId="1282" priority="1702664" stopIfTrue="1">
      <formula>$R347:$R701="Cancel"</formula>
    </cfRule>
  </conditionalFormatting>
  <conditionalFormatting sqref="AT189:AU189">
    <cfRule type="expression" dxfId="1281" priority="1703616">
      <formula>$X189:$X507="Penting"</formula>
    </cfRule>
    <cfRule type="expression" dxfId="1280" priority="1703617">
      <formula>$R189:$R507=""</formula>
    </cfRule>
    <cfRule type="expression" dxfId="1279" priority="1703618">
      <formula>$R189:$R507&lt;=0</formula>
    </cfRule>
    <cfRule type="expression" dxfId="1278" priority="1703619">
      <formula>$R189:$R507&lt;4</formula>
    </cfRule>
  </conditionalFormatting>
  <conditionalFormatting sqref="AD348">
    <cfRule type="expression" dxfId="1277" priority="1704356">
      <formula>$R348:$R512="End"</formula>
    </cfRule>
  </conditionalFormatting>
  <conditionalFormatting sqref="AD348">
    <cfRule type="expression" dxfId="1276" priority="1704357" stopIfTrue="1">
      <formula>$R348:$R512="Cancel"</formula>
    </cfRule>
  </conditionalFormatting>
  <conditionalFormatting sqref="AA348:AC348">
    <cfRule type="expression" dxfId="1275" priority="1706451">
      <formula>$R348:$R717="End"</formula>
    </cfRule>
  </conditionalFormatting>
  <conditionalFormatting sqref="AA348:AC348">
    <cfRule type="expression" dxfId="1274" priority="1706453" stopIfTrue="1">
      <formula>$R348:$R717="Cancel"</formula>
    </cfRule>
  </conditionalFormatting>
  <conditionalFormatting sqref="AA357:AC357">
    <cfRule type="expression" dxfId="1273" priority="1710428">
      <formula>$R357:$R738="End"</formula>
    </cfRule>
  </conditionalFormatting>
  <conditionalFormatting sqref="AA357:AC357">
    <cfRule type="expression" dxfId="1272" priority="1710430" stopIfTrue="1">
      <formula>$R357:$R738="Cancel"</formula>
    </cfRule>
  </conditionalFormatting>
  <conditionalFormatting sqref="P357 P349">
    <cfRule type="expression" dxfId="1271" priority="1710432">
      <formula>$R349:$R717="End"</formula>
    </cfRule>
  </conditionalFormatting>
  <conditionalFormatting sqref="P357 P349">
    <cfRule type="expression" dxfId="1270" priority="1710434" stopIfTrue="1">
      <formula>$R349:$R717="Cancel"</formula>
    </cfRule>
  </conditionalFormatting>
  <conditionalFormatting sqref="P357 AA355:AC355 AA362:AC362 AA353:AC353 AA350:AC350 P349">
    <cfRule type="expression" dxfId="1269" priority="1710452">
      <formula>$R349:$R716="End"</formula>
    </cfRule>
  </conditionalFormatting>
  <conditionalFormatting sqref="P357 AA355:AC355 AA362:AC362 AA353:AC353 AA350:AC350 P349">
    <cfRule type="expression" dxfId="1268" priority="1710455" stopIfTrue="1">
      <formula>$R349:$R716="Cancel"</formula>
    </cfRule>
  </conditionalFormatting>
  <conditionalFormatting sqref="AA357:AC357 AA349:AC349">
    <cfRule type="expression" dxfId="1267" priority="1710458">
      <formula>$R349:$R729="End"</formula>
    </cfRule>
  </conditionalFormatting>
  <conditionalFormatting sqref="AA357:AC357 AA349:AC349">
    <cfRule type="expression" dxfId="1266" priority="1710461" stopIfTrue="1">
      <formula>$R349:$R729="Cancel"</formula>
    </cfRule>
  </conditionalFormatting>
  <conditionalFormatting sqref="P360 AE357:AP357 Q349:Z349 AE349:AP349 AA363:AC363 C349:O349 Q357:Z357 C357:O357 AA352:AC352">
    <cfRule type="expression" dxfId="1265" priority="1710532">
      <formula>$R349:$R711="End"</formula>
    </cfRule>
  </conditionalFormatting>
  <conditionalFormatting sqref="P360 AE357:AP357 Q349:Z349 AE349:AP349 AA363:AC363 C349:O349 Q357:Z357 C357:O357 AA352:AC352">
    <cfRule type="expression" dxfId="1264" priority="1710543" stopIfTrue="1">
      <formula>$R349:$R711="Cancel"</formula>
    </cfRule>
  </conditionalFormatting>
  <conditionalFormatting sqref="S350 S362 S355">
    <cfRule type="expression" dxfId="1263" priority="1719240">
      <formula>$X350:$X740="Penting"</formula>
    </cfRule>
    <cfRule type="expression" dxfId="1262" priority="1719241">
      <formula>$R350:$R740=""</formula>
    </cfRule>
    <cfRule type="expression" dxfId="1261" priority="1719242">
      <formula>$R350:$R740&lt;=0</formula>
    </cfRule>
    <cfRule type="expression" dxfId="1260" priority="1719243">
      <formula>$R350:$R740&lt;4</formula>
    </cfRule>
  </conditionalFormatting>
  <conditionalFormatting sqref="AD364">
    <cfRule type="expression" dxfId="1259" priority="1719580">
      <formula>$R364:$R531="End"</formula>
    </cfRule>
  </conditionalFormatting>
  <conditionalFormatting sqref="AD364">
    <cfRule type="expression" dxfId="1258" priority="1719581" stopIfTrue="1">
      <formula>$R364:$R531="Cancel"</formula>
    </cfRule>
  </conditionalFormatting>
  <conditionalFormatting sqref="AQ313:AS313 AQ362:AS362">
    <cfRule type="expression" dxfId="1257" priority="1723062">
      <formula>$R313:$R473="End"</formula>
    </cfRule>
  </conditionalFormatting>
  <conditionalFormatting sqref="AQ313:AS313 AQ362:AS362">
    <cfRule type="expression" dxfId="1256" priority="1723063" stopIfTrue="1">
      <formula>$R313:$R473="Cancel"</formula>
    </cfRule>
  </conditionalFormatting>
  <conditionalFormatting sqref="AQ353:AS353 AQ350:AS351">
    <cfRule type="expression" dxfId="1255" priority="1725818">
      <formula>$R350:$R521="End"</formula>
    </cfRule>
  </conditionalFormatting>
  <conditionalFormatting sqref="AQ353:AS353 AQ350:AS351">
    <cfRule type="expression" dxfId="1254" priority="1725820" stopIfTrue="1">
      <formula>$R350:$R521="Cancel"</formula>
    </cfRule>
  </conditionalFormatting>
  <conditionalFormatting sqref="P366">
    <cfRule type="expression" dxfId="1253" priority="1728234">
      <formula>$R366:$R676="End"</formula>
    </cfRule>
  </conditionalFormatting>
  <conditionalFormatting sqref="P366">
    <cfRule type="expression" dxfId="1252" priority="1728235" stopIfTrue="1">
      <formula>$R366:$R676="Cancel"</formula>
    </cfRule>
  </conditionalFormatting>
  <conditionalFormatting sqref="P363 AE362:AP362 Q362:Z362 C362:O362 AE355:AP355 Q350:Z350 Q353:Z353 C353:O353 AE353:AP353 P352 AE350:AP350 C350:O350 Q355:Z355 C355:O355 A134:A438">
    <cfRule type="expression" dxfId="1251" priority="1733888">
      <formula>$R134:$R483="End"</formula>
    </cfRule>
  </conditionalFormatting>
  <conditionalFormatting sqref="P363 AE362:AP362 Q362:Z362 C362:O362 AE355:AP355 Q350:Z350 Q353:Z353 C353:O353 AE353:AP353 P352 AE350:AP350 C350:O350 Q355:Z355 C355:O355 A134:A438">
    <cfRule type="expression" dxfId="1250" priority="1733896" stopIfTrue="1">
      <formula>$R134:$R483="Cancel"</formula>
    </cfRule>
  </conditionalFormatting>
  <conditionalFormatting sqref="AD238">
    <cfRule type="expression" dxfId="1249" priority="1734506">
      <formula>$R238:$R403="End"</formula>
    </cfRule>
  </conditionalFormatting>
  <conditionalFormatting sqref="AD238">
    <cfRule type="expression" dxfId="1248" priority="1734507" stopIfTrue="1">
      <formula>$R238:$R403="Cancel"</formula>
    </cfRule>
  </conditionalFormatting>
  <conditionalFormatting sqref="S357">
    <cfRule type="expression" dxfId="1247" priority="1738860">
      <formula>$X357:$X761="Penting"</formula>
    </cfRule>
    <cfRule type="expression" dxfId="1246" priority="1738861">
      <formula>$R357:$R761=""</formula>
    </cfRule>
    <cfRule type="expression" dxfId="1245" priority="1738862">
      <formula>$R357:$R761&lt;=0</formula>
    </cfRule>
    <cfRule type="expression" dxfId="1244" priority="1738863">
      <formula>$R357:$R761&lt;4</formula>
    </cfRule>
  </conditionalFormatting>
  <conditionalFormatting sqref="AD362 AD350 AD353 AD355 AQ358:AS358">
    <cfRule type="expression" dxfId="1243" priority="1739010">
      <formula>$R350:$R511="End"</formula>
    </cfRule>
  </conditionalFormatting>
  <conditionalFormatting sqref="AD362 AD350 AD353 AD355 AQ358:AS358">
    <cfRule type="expression" dxfId="1242" priority="1739013" stopIfTrue="1">
      <formula>$R350:$R511="Cancel"</formula>
    </cfRule>
  </conditionalFormatting>
  <conditionalFormatting sqref="W376:AP376">
    <cfRule type="expression" dxfId="1241" priority="1742262">
      <formula>$X376:$X662="Penting"</formula>
    </cfRule>
    <cfRule type="expression" dxfId="1240" priority="1742263">
      <formula>$R376:$R662=""</formula>
    </cfRule>
    <cfRule type="expression" dxfId="1239" priority="1742264">
      <formula>$R376:$R662&lt;=0</formula>
    </cfRule>
    <cfRule type="expression" dxfId="1238" priority="1742265">
      <formula>$R376:$R662&lt;4</formula>
    </cfRule>
  </conditionalFormatting>
  <conditionalFormatting sqref="AQ357:AS357">
    <cfRule type="expression" dxfId="1237" priority="1742428">
      <formula>$R357:$R531="End"</formula>
    </cfRule>
  </conditionalFormatting>
  <conditionalFormatting sqref="AQ357:AS357">
    <cfRule type="expression" dxfId="1236" priority="1742429" stopIfTrue="1">
      <formula>$R357:$R531="Cancel"</formula>
    </cfRule>
  </conditionalFormatting>
  <conditionalFormatting sqref="P354 Q352:Z352 C352:O352 C358 AE352:AP352 AE363:AP363 C363:O363 Q363:Z363 P371">
    <cfRule type="expression" dxfId="1235" priority="1743210">
      <formula>$R352:$R695="End"</formula>
    </cfRule>
  </conditionalFormatting>
  <conditionalFormatting sqref="P354 Q352:Z352 C352:O352 C358 AE352:AP352 AE363:AP363 C363:O363 Q363:Z363 P371">
    <cfRule type="expression" dxfId="1234" priority="1743217" stopIfTrue="1">
      <formula>$R352:$R695="Cancel"</formula>
    </cfRule>
  </conditionalFormatting>
  <conditionalFormatting sqref="T375:V375 AT180:AU180 AT177:AU177">
    <cfRule type="expression" dxfId="1233" priority="1744788">
      <formula>$X177:$X490="Penting"</formula>
    </cfRule>
    <cfRule type="expression" dxfId="1232" priority="1744789">
      <formula>$R177:$R490=""</formula>
    </cfRule>
    <cfRule type="expression" dxfId="1231" priority="1744790">
      <formula>$R177:$R490&lt;=0</formula>
    </cfRule>
    <cfRule type="expression" dxfId="1230" priority="1744791">
      <formula>$R177:$R490&lt;4</formula>
    </cfRule>
  </conditionalFormatting>
  <conditionalFormatting sqref="P363 C362:O362 AE353:AP353 C355:O355 AE355:AP355 P352 C350:O350 Q353:Z353 C353:O353 AD346 AE350:AP350 Q350:Z350 Q355:Z355 Q362:Z362 AE362:AP362 A134:A438">
    <cfRule type="expression" dxfId="1229" priority="1745804">
      <formula>$R134:$R482="End"</formula>
    </cfRule>
  </conditionalFormatting>
  <conditionalFormatting sqref="P363 C362:O362 AE353:AP353 C355:O355 AE355:AP355 P352 C350:O350 Q353:Z353 C353:O353 AD346 AE350:AP350 Q350:Z350 Q355:Z355 Q362:Z362 AE362:AP362 A134:A438">
    <cfRule type="expression" dxfId="1228" priority="1745816" stopIfTrue="1">
      <formula>$R134:$R482="Cancel"</formula>
    </cfRule>
  </conditionalFormatting>
  <conditionalFormatting sqref="S370 S373:S374 S368 S356">
    <cfRule type="expression" dxfId="1227" priority="1749872">
      <formula>$X356:$X737="Penting"</formula>
    </cfRule>
    <cfRule type="expression" dxfId="1226" priority="1749873">
      <formula>$R356:$R737=""</formula>
    </cfRule>
    <cfRule type="expression" dxfId="1225" priority="1749874">
      <formula>$R356:$R737&lt;=0</formula>
    </cfRule>
    <cfRule type="expression" dxfId="1224" priority="1749875">
      <formula>$R356:$R737&lt;4</formula>
    </cfRule>
  </conditionalFormatting>
  <conditionalFormatting sqref="T370:V370 T373:V374 T368:V368 T356:V356">
    <cfRule type="expression" dxfId="1223" priority="1750754">
      <formula>$X356:$X696="Penting"</formula>
    </cfRule>
    <cfRule type="expression" dxfId="1222" priority="1750755">
      <formula>$R356:$R696=""</formula>
    </cfRule>
    <cfRule type="expression" dxfId="1221" priority="1750756">
      <formula>$R356:$R696&lt;=0</formula>
    </cfRule>
    <cfRule type="expression" dxfId="1220" priority="1750757">
      <formula>$R356:$R696&lt;4</formula>
    </cfRule>
  </conditionalFormatting>
  <conditionalFormatting sqref="AD360 AD231">
    <cfRule type="expression" dxfId="1219" priority="1756747">
      <formula>$R231:$R400="End"</formula>
    </cfRule>
  </conditionalFormatting>
  <conditionalFormatting sqref="AD360 AD231">
    <cfRule type="expression" dxfId="1218" priority="1756750" stopIfTrue="1">
      <formula>$R231:$R400="Cancel"</formula>
    </cfRule>
  </conditionalFormatting>
  <conditionalFormatting sqref="AA360:AC360">
    <cfRule type="expression" dxfId="1217" priority="1757263">
      <formula>$R360:$R735="End"</formula>
    </cfRule>
  </conditionalFormatting>
  <conditionalFormatting sqref="AA360:AC360">
    <cfRule type="expression" dxfId="1216" priority="1757268" stopIfTrue="1">
      <formula>$R360:$R735="Cancel"</formula>
    </cfRule>
  </conditionalFormatting>
  <conditionalFormatting sqref="Q361:Z361 AE364:AP364 Q364:Z364 AA371:AC371 C364:O364 C361:O361 AE361:AP361">
    <cfRule type="expression" dxfId="1215" priority="1762827">
      <formula>$R361:$R716="End"</formula>
    </cfRule>
  </conditionalFormatting>
  <conditionalFormatting sqref="Q361:Z361 AE364:AP364 Q364:Z364 AA371:AC371 C364:O364 C361:O361 AE361:AP361">
    <cfRule type="expression" dxfId="1214" priority="1762837" stopIfTrue="1">
      <formula>$R361:$R716="Cancel"</formula>
    </cfRule>
  </conditionalFormatting>
  <conditionalFormatting sqref="AD227">
    <cfRule type="expression" dxfId="1213" priority="1762885">
      <formula>$R227:$R376="End"</formula>
    </cfRule>
  </conditionalFormatting>
  <conditionalFormatting sqref="AD227">
    <cfRule type="expression" dxfId="1212" priority="1762886" stopIfTrue="1">
      <formula>$R227:$R376="Cancel"</formula>
    </cfRule>
  </conditionalFormatting>
  <conditionalFormatting sqref="AD210 AD377:AD380 AD245:AD246">
    <cfRule type="expression" dxfId="1211" priority="1766243">
      <formula>$R210:$R369="End"</formula>
    </cfRule>
  </conditionalFormatting>
  <conditionalFormatting sqref="AD210 AD377:AD380 AD245:AD246">
    <cfRule type="expression" dxfId="1210" priority="1766245" stopIfTrue="1">
      <formula>$R210:$R369="Cancel"</formula>
    </cfRule>
  </conditionalFormatting>
  <conditionalFormatting sqref="AD254 AD376">
    <cfRule type="expression" dxfId="1209" priority="1777619">
      <formula>$R254:$R376="End"</formula>
    </cfRule>
  </conditionalFormatting>
  <conditionalFormatting sqref="AD254 AD376">
    <cfRule type="expression" dxfId="1208" priority="1777620" stopIfTrue="1">
      <formula>$R254:$R376="Cancel"</formula>
    </cfRule>
  </conditionalFormatting>
  <conditionalFormatting sqref="Q354:Z354">
    <cfRule type="expression" dxfId="1207" priority="1779573">
      <formula>$R354:$R692="End"</formula>
    </cfRule>
  </conditionalFormatting>
  <conditionalFormatting sqref="Q354:Z354">
    <cfRule type="expression" dxfId="1206" priority="1779583" stopIfTrue="1">
      <formula>$R354:$R692="Cancel"</formula>
    </cfRule>
  </conditionalFormatting>
  <conditionalFormatting sqref="D360:O360">
    <cfRule type="expression" dxfId="1205" priority="1779673">
      <formula>$R360:$R716="End"</formula>
    </cfRule>
  </conditionalFormatting>
  <conditionalFormatting sqref="D360:O360">
    <cfRule type="expression" dxfId="1204" priority="1779684" stopIfTrue="1">
      <formula>$R360:$R716="Cancel"</formula>
    </cfRule>
  </conditionalFormatting>
  <conditionalFormatting sqref="S354 S368 S370">
    <cfRule type="expression" dxfId="1203" priority="1780921">
      <formula>$X354:$X734="Penting"</formula>
    </cfRule>
    <cfRule type="expression" dxfId="1202" priority="1780922">
      <formula>$R354:$R734=""</formula>
    </cfRule>
    <cfRule type="expression" dxfId="1201" priority="1780923">
      <formula>$R354:$R734&lt;=0</formula>
    </cfRule>
    <cfRule type="expression" dxfId="1200" priority="1780924">
      <formula>$R354:$R734&lt;4</formula>
    </cfRule>
  </conditionalFormatting>
  <conditionalFormatting sqref="AD366">
    <cfRule type="expression" dxfId="1199" priority="1782669">
      <formula>$R366:$R647="End"</formula>
    </cfRule>
  </conditionalFormatting>
  <conditionalFormatting sqref="AD366">
    <cfRule type="expression" dxfId="1198" priority="1782670" stopIfTrue="1">
      <formula>$R366:$R647="Cancel"</formula>
    </cfRule>
  </conditionalFormatting>
  <conditionalFormatting sqref="AQ370:AS370 AQ368:AS368 AD354">
    <cfRule type="expression" dxfId="1197" priority="1783367">
      <formula>$R354:$R505="End"</formula>
    </cfRule>
  </conditionalFormatting>
  <conditionalFormatting sqref="AQ370:AS370 AQ368:AS368 AD354">
    <cfRule type="expression" dxfId="1196" priority="1783368" stopIfTrue="1">
      <formula>$R354:$R505="Cancel"</formula>
    </cfRule>
  </conditionalFormatting>
  <conditionalFormatting sqref="AQ319:AS319">
    <cfRule type="expression" dxfId="1195" priority="1784667">
      <formula>$R319:$R457="End"</formula>
    </cfRule>
  </conditionalFormatting>
  <conditionalFormatting sqref="AQ319:AS319">
    <cfRule type="expression" dxfId="1194" priority="1784669" stopIfTrue="1">
      <formula>$R319:$R457="Cancel"</formula>
    </cfRule>
  </conditionalFormatting>
  <conditionalFormatting sqref="AT182:AU182">
    <cfRule type="expression" dxfId="1193" priority="1786771">
      <formula>$X182:$X494="Penting"</formula>
    </cfRule>
    <cfRule type="expression" dxfId="1192" priority="1786772">
      <formula>$R182:$R494=""</formula>
    </cfRule>
    <cfRule type="expression" dxfId="1191" priority="1786773">
      <formula>$R182:$R494&lt;=0</formula>
    </cfRule>
    <cfRule type="expression" dxfId="1190" priority="1786774">
      <formula>$R182:$R494&lt;4</formula>
    </cfRule>
  </conditionalFormatting>
  <conditionalFormatting sqref="AQ369:AS369">
    <cfRule type="expression" dxfId="1189" priority="1786823">
      <formula>$R369:$R458="End"</formula>
    </cfRule>
  </conditionalFormatting>
  <conditionalFormatting sqref="AQ369:AS369">
    <cfRule type="expression" dxfId="1188" priority="1786824" stopIfTrue="1">
      <formula>$R369:$R458="Cancel"</formula>
    </cfRule>
  </conditionalFormatting>
  <conditionalFormatting sqref="AQ365:AS365 AQ378:AS380">
    <cfRule type="expression" dxfId="1187" priority="1788017">
      <formula>$R365:$R519="End"</formula>
    </cfRule>
  </conditionalFormatting>
  <conditionalFormatting sqref="AQ365:AS365 AQ378:AS380">
    <cfRule type="expression" dxfId="1186" priority="1788018" stopIfTrue="1">
      <formula>$R365:$R519="Cancel"</formula>
    </cfRule>
  </conditionalFormatting>
  <conditionalFormatting sqref="AQ366:AS366">
    <cfRule type="expression" dxfId="1185" priority="1791588">
      <formula>$R366:$R459="End"</formula>
    </cfRule>
  </conditionalFormatting>
  <conditionalFormatting sqref="AQ366:AS366">
    <cfRule type="expression" dxfId="1184" priority="1791590" stopIfTrue="1">
      <formula>$R366:$R459="Cancel"</formula>
    </cfRule>
  </conditionalFormatting>
  <conditionalFormatting sqref="AQ367:AS367 AQ363:AS363">
    <cfRule type="expression" dxfId="1183" priority="1793131">
      <formula>$R363:$R518="End"</formula>
    </cfRule>
  </conditionalFormatting>
  <conditionalFormatting sqref="AQ367:AS367 AQ363:AS363">
    <cfRule type="expression" dxfId="1182" priority="1793132" stopIfTrue="1">
      <formula>$R363:$R518="Cancel"</formula>
    </cfRule>
  </conditionalFormatting>
  <conditionalFormatting sqref="AD369">
    <cfRule type="expression" dxfId="1181" priority="1796729">
      <formula>$R369:$R482="End"</formula>
    </cfRule>
  </conditionalFormatting>
  <conditionalFormatting sqref="AD369">
    <cfRule type="expression" dxfId="1180" priority="1796730" stopIfTrue="1">
      <formula>$R369:$R482="Cancel"</formula>
    </cfRule>
  </conditionalFormatting>
  <conditionalFormatting sqref="AD352 AD363">
    <cfRule type="expression" dxfId="1179" priority="1797795">
      <formula>$R352:$R508="End"</formula>
    </cfRule>
  </conditionalFormatting>
  <conditionalFormatting sqref="AD352 AD363">
    <cfRule type="expression" dxfId="1178" priority="1797798" stopIfTrue="1">
      <formula>$R352:$R508="Cancel"</formula>
    </cfRule>
  </conditionalFormatting>
  <conditionalFormatting sqref="P372">
    <cfRule type="expression" dxfId="1177" priority="1802899">
      <formula>$R372:$R697="End"</formula>
    </cfRule>
  </conditionalFormatting>
  <conditionalFormatting sqref="P372">
    <cfRule type="expression" dxfId="1176" priority="1802902" stopIfTrue="1">
      <formula>$R372:$R697="Cancel"</formula>
    </cfRule>
  </conditionalFormatting>
  <conditionalFormatting sqref="AT176:AU176 AQ344:AS345 AT184:AU185 AT157:AU158 AT282:AU282">
    <cfRule type="expression" dxfId="1175" priority="1805079">
      <formula>$X157:$X468="Penting"</formula>
    </cfRule>
    <cfRule type="expression" dxfId="1174" priority="1805080">
      <formula>$R157:$R468=""</formula>
    </cfRule>
    <cfRule type="expression" dxfId="1173" priority="1805081">
      <formula>$R157:$R468&lt;=0</formula>
    </cfRule>
    <cfRule type="expression" dxfId="1172" priority="1805082">
      <formula>$R157:$R468&lt;4</formula>
    </cfRule>
  </conditionalFormatting>
  <conditionalFormatting sqref="AD375">
    <cfRule type="expression" dxfId="1171" priority="1805989">
      <formula>$R375:$R501="End"</formula>
    </cfRule>
  </conditionalFormatting>
  <conditionalFormatting sqref="AD375">
    <cfRule type="expression" dxfId="1170" priority="1805990" stopIfTrue="1">
      <formula>$R375:$R501="Cancel"</formula>
    </cfRule>
  </conditionalFormatting>
  <conditionalFormatting sqref="AQ153:AS153">
    <cfRule type="expression" dxfId="1169" priority="1806795">
      <formula>$X153:$X437="Penting"</formula>
    </cfRule>
    <cfRule type="expression" dxfId="1168" priority="1806796">
      <formula>$R153:$R437=""</formula>
    </cfRule>
    <cfRule type="expression" dxfId="1167" priority="1806797">
      <formula>$R153:$R437&lt;=0</formula>
    </cfRule>
    <cfRule type="expression" dxfId="1166" priority="1806798">
      <formula>$R153:$R437&lt;4</formula>
    </cfRule>
  </conditionalFormatting>
  <conditionalFormatting sqref="T360:V360">
    <cfRule type="expression" dxfId="1165" priority="1806811">
      <formula>$X360:$X716="Penting"</formula>
    </cfRule>
    <cfRule type="expression" dxfId="1164" priority="1806812">
      <formula>$R360:$R716=""</formula>
    </cfRule>
    <cfRule type="expression" dxfId="1163" priority="1806813">
      <formula>$R360:$R716&lt;=0</formula>
    </cfRule>
    <cfRule type="expression" dxfId="1162" priority="1806814">
      <formula>$R360:$R716&lt;4</formula>
    </cfRule>
  </conditionalFormatting>
  <conditionalFormatting sqref="T376:V376 AT186:AU186 AT175:AU175">
    <cfRule type="expression" dxfId="1161" priority="1815487">
      <formula>$X175:$X485="Penting"</formula>
    </cfRule>
    <cfRule type="expression" dxfId="1160" priority="1815488">
      <formula>$R175:$R485=""</formula>
    </cfRule>
    <cfRule type="expression" dxfId="1159" priority="1815489">
      <formula>$R175:$R485&lt;=0</formula>
    </cfRule>
    <cfRule type="expression" dxfId="1158" priority="1815490">
      <formula>$R175:$R485&lt;4</formula>
    </cfRule>
  </conditionalFormatting>
  <conditionalFormatting sqref="AT342:AU342">
    <cfRule type="expression" dxfId="1157" priority="1815583">
      <formula>$X342:$X618="Penting"</formula>
    </cfRule>
    <cfRule type="expression" dxfId="1156" priority="1815584">
      <formula>$R342:$R618=""</formula>
    </cfRule>
    <cfRule type="expression" dxfId="1155" priority="1815585">
      <formula>$R342:$R618&lt;=0</formula>
    </cfRule>
    <cfRule type="expression" dxfId="1154" priority="1815586">
      <formula>$R342:$R618&lt;4</formula>
    </cfRule>
  </conditionalFormatting>
  <conditionalFormatting sqref="AD239 AQ320:AS320">
    <cfRule type="expression" dxfId="1153" priority="1816445">
      <formula>$R239:$R376="End"</formula>
    </cfRule>
  </conditionalFormatting>
  <conditionalFormatting sqref="AD239 AQ320:AS320">
    <cfRule type="expression" dxfId="1152" priority="1816446" stopIfTrue="1">
      <formula>$R239:$R376="Cancel"</formula>
    </cfRule>
  </conditionalFormatting>
  <conditionalFormatting sqref="AQ151:AS151">
    <cfRule type="expression" dxfId="1151" priority="1817303">
      <formula>$X151:$X437="Penting"</formula>
    </cfRule>
    <cfRule type="expression" dxfId="1150" priority="1817304">
      <formula>$R151:$R437=""</formula>
    </cfRule>
    <cfRule type="expression" dxfId="1149" priority="1817305">
      <formula>$R151:$R437&lt;=0</formula>
    </cfRule>
    <cfRule type="expression" dxfId="1148" priority="1817306">
      <formula>$R151:$R437&lt;4</formula>
    </cfRule>
  </conditionalFormatting>
  <conditionalFormatting sqref="T348:V348">
    <cfRule type="expression" dxfId="1147" priority="1823285">
      <formula>$X348:$X700="Penting"</formula>
    </cfRule>
    <cfRule type="expression" dxfId="1146" priority="1823286">
      <formula>$R348:$R700=""</formula>
    </cfRule>
    <cfRule type="expression" dxfId="1145" priority="1823287">
      <formula>$R348:$R700&lt;=0</formula>
    </cfRule>
    <cfRule type="expression" dxfId="1144" priority="1823288">
      <formula>$R348:$R700&lt;4</formula>
    </cfRule>
  </conditionalFormatting>
  <conditionalFormatting sqref="T346:V346">
    <cfRule type="expression" dxfId="1143" priority="1823301">
      <formula>$X346:$X718="Penting"</formula>
    </cfRule>
    <cfRule type="expression" dxfId="1142" priority="1823302">
      <formula>$R346:$R718=""</formula>
    </cfRule>
    <cfRule type="expression" dxfId="1141" priority="1823303">
      <formula>$R346:$R718&lt;=0</formula>
    </cfRule>
    <cfRule type="expression" dxfId="1140" priority="1823304">
      <formula>$R346:$R718&lt;4</formula>
    </cfRule>
  </conditionalFormatting>
  <conditionalFormatting sqref="AT262:AU262 AQ302:AS302 AQ298:AS298 AQ336:AS337">
    <cfRule type="expression" dxfId="1139" priority="1824179">
      <formula>$X262:$X473="Penting"</formula>
    </cfRule>
    <cfRule type="expression" dxfId="1138" priority="1824180">
      <formula>$R262:$R473=""</formula>
    </cfRule>
    <cfRule type="expression" dxfId="1137" priority="1824181">
      <formula>$R262:$R473&lt;=0</formula>
    </cfRule>
    <cfRule type="expression" dxfId="1136" priority="1824182">
      <formula>$R262:$R473&lt;4</formula>
    </cfRule>
  </conditionalFormatting>
  <conditionalFormatting sqref="AD367 AD313:AD345">
    <cfRule type="expression" dxfId="1135" priority="1824199">
      <formula>$R313:$R449="End"</formula>
    </cfRule>
  </conditionalFormatting>
  <conditionalFormatting sqref="AD367 AD313:AD345">
    <cfRule type="expression" dxfId="1134" priority="1824200" stopIfTrue="1">
      <formula>$R313:$R449="Cancel"</formula>
    </cfRule>
  </conditionalFormatting>
  <conditionalFormatting sqref="AD250">
    <cfRule type="expression" dxfId="1133" priority="1824201">
      <formula>$R250:$R376="End"</formula>
    </cfRule>
  </conditionalFormatting>
  <conditionalFormatting sqref="AD250">
    <cfRule type="expression" dxfId="1132" priority="1824202" stopIfTrue="1">
      <formula>$R250:$R376="Cancel"</formula>
    </cfRule>
  </conditionalFormatting>
  <conditionalFormatting sqref="AT151:AU151 T358:V358">
    <cfRule type="expression" dxfId="1131" priority="1824217">
      <formula>$X151:$X480="Penting"</formula>
    </cfRule>
    <cfRule type="expression" dxfId="1130" priority="1824218">
      <formula>$R151:$R480=""</formula>
    </cfRule>
    <cfRule type="expression" dxfId="1129" priority="1824219">
      <formula>$R151:$R480&lt;=0</formula>
    </cfRule>
    <cfRule type="expression" dxfId="1128" priority="1824220">
      <formula>$R151:$R480&lt;4</formula>
    </cfRule>
  </conditionalFormatting>
  <conditionalFormatting sqref="AT353:AU353 AT350:AU351">
    <cfRule type="expression" dxfId="1127" priority="1824695">
      <formula>$X350:$X523="Penting"</formula>
    </cfRule>
    <cfRule type="expression" dxfId="1126" priority="1824696">
      <formula>$R350:$R523=""</formula>
    </cfRule>
    <cfRule type="expression" dxfId="1125" priority="1824697">
      <formula>$R350:$R523&lt;=0</formula>
    </cfRule>
    <cfRule type="expression" dxfId="1124" priority="1824698">
      <formula>$R350:$R523&lt;4</formula>
    </cfRule>
  </conditionalFormatting>
  <conditionalFormatting sqref="AQ338:AS338">
    <cfRule type="expression" dxfId="1123" priority="1824855">
      <formula>$X338:$X550="Penting"</formula>
    </cfRule>
    <cfRule type="expression" dxfId="1122" priority="1824856">
      <formula>$R338:$R550=""</formula>
    </cfRule>
    <cfRule type="expression" dxfId="1121" priority="1824857">
      <formula>$R338:$R550&lt;=0</formula>
    </cfRule>
    <cfRule type="expression" dxfId="1120" priority="1824858">
      <formula>$R338:$R550&lt;4</formula>
    </cfRule>
  </conditionalFormatting>
  <conditionalFormatting sqref="S360">
    <cfRule type="expression" dxfId="1119" priority="1824873">
      <formula>$X360:$X758="Penting"</formula>
    </cfRule>
    <cfRule type="expression" dxfId="1118" priority="1824874">
      <formula>$R360:$R758=""</formula>
    </cfRule>
    <cfRule type="expression" dxfId="1117" priority="1824875">
      <formula>$R360:$R758&lt;=0</formula>
    </cfRule>
    <cfRule type="expression" dxfId="1116" priority="1824876">
      <formula>$R360:$R758&lt;4</formula>
    </cfRule>
  </conditionalFormatting>
  <conditionalFormatting sqref="AQ152:AS152">
    <cfRule type="expression" dxfId="1115" priority="1825101">
      <formula>$X152:$X437="Penting"</formula>
    </cfRule>
    <cfRule type="expression" dxfId="1114" priority="1825102">
      <formula>$R152:$R437=""</formula>
    </cfRule>
    <cfRule type="expression" dxfId="1113" priority="1825103">
      <formula>$R152:$R437&lt;=0</formula>
    </cfRule>
    <cfRule type="expression" dxfId="1112" priority="1825104">
      <formula>$R152:$R437&lt;4</formula>
    </cfRule>
  </conditionalFormatting>
  <conditionalFormatting sqref="S369">
    <cfRule type="expression" dxfId="1111" priority="1825429">
      <formula>$X369:$X711="Penting"</formula>
    </cfRule>
    <cfRule type="expression" dxfId="1110" priority="1825430">
      <formula>$R369:$R711=""</formula>
    </cfRule>
    <cfRule type="expression" dxfId="1109" priority="1825431">
      <formula>$R369:$R711&lt;=0</formula>
    </cfRule>
    <cfRule type="expression" dxfId="1108" priority="1825432">
      <formula>$R369:$R711&lt;4</formula>
    </cfRule>
  </conditionalFormatting>
  <conditionalFormatting sqref="AQ376:AS376 AD273:AD281">
    <cfRule type="expression" dxfId="1107" priority="1828931">
      <formula>$R273:$R415="End"</formula>
    </cfRule>
  </conditionalFormatting>
  <conditionalFormatting sqref="AQ376:AS376 AD273:AD281">
    <cfRule type="expression" dxfId="1106" priority="1828932" stopIfTrue="1">
      <formula>$R273:$R415="Cancel"</formula>
    </cfRule>
  </conditionalFormatting>
  <conditionalFormatting sqref="AT301:AU301 AT340:AU341 AQ159:AS161">
    <cfRule type="expression" dxfId="1105" priority="1829203">
      <formula>$X159:$X437="Penting"</formula>
    </cfRule>
    <cfRule type="expression" dxfId="1104" priority="1829204">
      <formula>$R159:$R437=""</formula>
    </cfRule>
    <cfRule type="expression" dxfId="1103" priority="1829205">
      <formula>$R159:$R437&lt;=0</formula>
    </cfRule>
    <cfRule type="expression" dxfId="1102" priority="1829206">
      <formula>$R159:$R437&lt;4</formula>
    </cfRule>
  </conditionalFormatting>
  <conditionalFormatting sqref="T376:V376">
    <cfRule type="expression" dxfId="1101" priority="1829449">
      <formula>$X376:$X685="Penting"</formula>
    </cfRule>
    <cfRule type="expression" dxfId="1100" priority="1829450">
      <formula>$R376:$R685=""</formula>
    </cfRule>
    <cfRule type="expression" dxfId="1099" priority="1829451">
      <formula>$R376:$R685&lt;=0</formula>
    </cfRule>
    <cfRule type="expression" dxfId="1098" priority="1829452">
      <formula>$R376:$R685&lt;4</formula>
    </cfRule>
  </conditionalFormatting>
  <conditionalFormatting sqref="S376">
    <cfRule type="expression" dxfId="1097" priority="1829469">
      <formula>$X376:$X726="Penting"</formula>
    </cfRule>
    <cfRule type="expression" dxfId="1096" priority="1829470">
      <formula>$R376:$R726=""</formula>
    </cfRule>
    <cfRule type="expression" dxfId="1095" priority="1829471">
      <formula>$R376:$R726&lt;=0</formula>
    </cfRule>
    <cfRule type="expression" dxfId="1094" priority="1829472">
      <formula>$R376:$R726&lt;4</formula>
    </cfRule>
  </conditionalFormatting>
  <conditionalFormatting sqref="T346:V346">
    <cfRule type="expression" dxfId="1093" priority="1829517">
      <formula>$X346:$X717="Penting"</formula>
    </cfRule>
    <cfRule type="expression" dxfId="1092" priority="1829518">
      <formula>$R346:$R717=""</formula>
    </cfRule>
    <cfRule type="expression" dxfId="1091" priority="1829519">
      <formula>$R346:$R717&lt;=0</formula>
    </cfRule>
    <cfRule type="expression" dxfId="1090" priority="1829520">
      <formula>$R346:$R717&lt;4</formula>
    </cfRule>
  </conditionalFormatting>
  <conditionalFormatting sqref="AT357:AU357">
    <cfRule type="expression" dxfId="1089" priority="1829721">
      <formula>$X357:$X535="Penting"</formula>
    </cfRule>
    <cfRule type="expression" dxfId="1088" priority="1829722">
      <formula>$R357:$R535=""</formula>
    </cfRule>
    <cfRule type="expression" dxfId="1087" priority="1829723">
      <formula>$R357:$R535&lt;=0</formula>
    </cfRule>
    <cfRule type="expression" dxfId="1086" priority="1829724">
      <formula>$R357:$R535&lt;4</formula>
    </cfRule>
  </conditionalFormatting>
  <conditionalFormatting sqref="AQ268:AS268">
    <cfRule type="expression" dxfId="1085" priority="1829753">
      <formula>$X268:$X657="Penting"</formula>
    </cfRule>
    <cfRule type="expression" dxfId="1084" priority="1829754">
      <formula>$R268:$R657=""</formula>
    </cfRule>
    <cfRule type="expression" dxfId="1083" priority="1829755">
      <formula>$R268:$R657&lt;=0</formula>
    </cfRule>
    <cfRule type="expression" dxfId="1082" priority="1829756">
      <formula>$R268:$R657&lt;4</formula>
    </cfRule>
  </conditionalFormatting>
  <conditionalFormatting sqref="AQ199:AS199 AQ196:AS197">
    <cfRule type="expression" dxfId="1081" priority="1830321">
      <formula>$X196:$X449="Penting"</formula>
    </cfRule>
    <cfRule type="expression" dxfId="1080" priority="1830322">
      <formula>$R196:$R449=""</formula>
    </cfRule>
    <cfRule type="expression" dxfId="1079" priority="1830323">
      <formula>$R196:$R449&lt;=0</formula>
    </cfRule>
    <cfRule type="expression" dxfId="1078" priority="1830324">
      <formula>$R196:$R449&lt;4</formula>
    </cfRule>
  </conditionalFormatting>
  <conditionalFormatting sqref="AQ342:AS342">
    <cfRule type="expression" dxfId="1077" priority="1830405">
      <formula>$X342:$X549="Penting"</formula>
    </cfRule>
    <cfRule type="expression" dxfId="1076" priority="1830406">
      <formula>$R342:$R549=""</formula>
    </cfRule>
    <cfRule type="expression" dxfId="1075" priority="1830407">
      <formula>$R342:$R549&lt;=0</formula>
    </cfRule>
    <cfRule type="expression" dxfId="1074" priority="1830408">
      <formula>$R342:$R549&lt;4</formula>
    </cfRule>
  </conditionalFormatting>
  <conditionalFormatting sqref="W362:AP362 C362:S362 C355:S355 W350:AP350 C350:S350 W353:AP353 C353:S353 W355:AP355 AT138:AU138 AT134:AU134">
    <cfRule type="expression" dxfId="1073" priority="1830443">
      <formula>$X134:$X459="Penting"</formula>
    </cfRule>
    <cfRule type="expression" dxfId="1072" priority="1830444">
      <formula>$R134:$R459=""</formula>
    </cfRule>
    <cfRule type="expression" dxfId="1071" priority="1830445">
      <formula>$R134:$R459&lt;=0</formula>
    </cfRule>
    <cfRule type="expression" dxfId="1070" priority="1830446">
      <formula>$R134:$R459&lt;4</formula>
    </cfRule>
  </conditionalFormatting>
  <conditionalFormatting sqref="AQ273:AS273">
    <cfRule type="expression" dxfId="1069" priority="1830471">
      <formula>$X273:$X437="Penting"</formula>
    </cfRule>
    <cfRule type="expression" dxfId="1068" priority="1830472">
      <formula>$R273:$R437=""</formula>
    </cfRule>
    <cfRule type="expression" dxfId="1067" priority="1830473">
      <formula>$R273:$R437&lt;=0</formula>
    </cfRule>
    <cfRule type="expression" dxfId="1066" priority="1830474">
      <formula>$R273:$R437&lt;4</formula>
    </cfRule>
  </conditionalFormatting>
  <conditionalFormatting sqref="AT365:AU365">
    <cfRule type="expression" dxfId="1065" priority="1830507">
      <formula>$X365:$X521="Penting"</formula>
    </cfRule>
    <cfRule type="expression" dxfId="1064" priority="1830508">
      <formula>$R365:$R521=""</formula>
    </cfRule>
    <cfRule type="expression" dxfId="1063" priority="1830509">
      <formula>$R365:$R521&lt;=0</formula>
    </cfRule>
    <cfRule type="expression" dxfId="1062" priority="1830510">
      <formula>$R365:$R521&lt;4</formula>
    </cfRule>
  </conditionalFormatting>
  <conditionalFormatting sqref="AD258">
    <cfRule type="expression" dxfId="1061" priority="1830863">
      <formula>$R258:$R376="End"</formula>
    </cfRule>
  </conditionalFormatting>
  <conditionalFormatting sqref="AD258">
    <cfRule type="expression" dxfId="1060" priority="1830864" stopIfTrue="1">
      <formula>$R258:$R376="Cancel"</formula>
    </cfRule>
  </conditionalFormatting>
  <conditionalFormatting sqref="AQ262:AS262">
    <cfRule type="expression" dxfId="1059" priority="1830981">
      <formula>$X262:$X437="Penting"</formula>
    </cfRule>
    <cfRule type="expression" dxfId="1058" priority="1830982">
      <formula>$R262:$R437=""</formula>
    </cfRule>
    <cfRule type="expression" dxfId="1057" priority="1830983">
      <formula>$R262:$R437&lt;=0</formula>
    </cfRule>
    <cfRule type="expression" dxfId="1056" priority="1830984">
      <formula>$R262:$R437&lt;4</formula>
    </cfRule>
  </conditionalFormatting>
  <conditionalFormatting sqref="AD241 AD365">
    <cfRule type="expression" dxfId="1055" priority="1831067">
      <formula>$R241:$R376="End"</formula>
    </cfRule>
  </conditionalFormatting>
  <conditionalFormatting sqref="AD241 AD365">
    <cfRule type="expression" dxfId="1054" priority="1831069" stopIfTrue="1">
      <formula>$R241:$R376="Cancel"</formula>
    </cfRule>
  </conditionalFormatting>
  <conditionalFormatting sqref="AQ334:AS334">
    <cfRule type="expression" dxfId="1053" priority="1831141">
      <formula>$X334:$X545="Penting"</formula>
    </cfRule>
    <cfRule type="expression" dxfId="1052" priority="1831142">
      <formula>$R334:$R545=""</formula>
    </cfRule>
    <cfRule type="expression" dxfId="1051" priority="1831143">
      <formula>$R334:$R545&lt;=0</formula>
    </cfRule>
    <cfRule type="expression" dxfId="1050" priority="1831144">
      <formula>$R334:$R545&lt;4</formula>
    </cfRule>
  </conditionalFormatting>
  <conditionalFormatting sqref="S360">
    <cfRule type="expression" dxfId="1049" priority="1831159">
      <formula>$X360:$X757="Penting"</formula>
    </cfRule>
    <cfRule type="expression" dxfId="1048" priority="1831160">
      <formula>$R360:$R757=""</formula>
    </cfRule>
    <cfRule type="expression" dxfId="1047" priority="1831161">
      <formula>$R360:$R757&lt;=0</formula>
    </cfRule>
    <cfRule type="expression" dxfId="1046" priority="1831162">
      <formula>$R360:$R757&lt;4</formula>
    </cfRule>
  </conditionalFormatting>
  <conditionalFormatting sqref="AQ370:AS370 AQ368:AS368">
    <cfRule type="expression" dxfId="1045" priority="1831241">
      <formula>$X368:$X454="Penting"</formula>
    </cfRule>
    <cfRule type="expression" dxfId="1044" priority="1831242">
      <formula>$R368:$R454=""</formula>
    </cfRule>
    <cfRule type="expression" dxfId="1043" priority="1831243">
      <formula>$R368:$R454&lt;=0</formula>
    </cfRule>
    <cfRule type="expression" dxfId="1042" priority="1831244">
      <formula>$R368:$R454&lt;4</formula>
    </cfRule>
  </conditionalFormatting>
  <conditionalFormatting sqref="D358:S358 W358:AP358 T366:V366">
    <cfRule type="expression" dxfId="1041" priority="1831325">
      <formula>$X358:$X663="Penting"</formula>
    </cfRule>
    <cfRule type="expression" dxfId="1040" priority="1831326">
      <formula>$R358:$R663=""</formula>
    </cfRule>
    <cfRule type="expression" dxfId="1039" priority="1831327">
      <formula>$R358:$R663&lt;=0</formula>
    </cfRule>
    <cfRule type="expression" dxfId="1038" priority="1831328">
      <formula>$R358:$R663&lt;4</formula>
    </cfRule>
  </conditionalFormatting>
  <conditionalFormatting sqref="C366:S366 AT338:AU338 W366:AP366">
    <cfRule type="expression" dxfId="1037" priority="1831387">
      <formula>$X338:$X619="Penting"</formula>
    </cfRule>
    <cfRule type="expression" dxfId="1036" priority="1831388">
      <formula>$R338:$R619=""</formula>
    </cfRule>
    <cfRule type="expression" dxfId="1035" priority="1831389">
      <formula>$R338:$R619&lt;=0</formula>
    </cfRule>
    <cfRule type="expression" dxfId="1034" priority="1831390">
      <formula>$R338:$R619&lt;4</formula>
    </cfRule>
  </conditionalFormatting>
  <conditionalFormatting sqref="AT272:AU272">
    <cfRule type="expression" dxfId="1033" priority="1831565">
      <formula>$X272:$X508="Penting"</formula>
    </cfRule>
    <cfRule type="expression" dxfId="1032" priority="1831566">
      <formula>$R272:$R508=""</formula>
    </cfRule>
    <cfRule type="expression" dxfId="1031" priority="1831567">
      <formula>$R272:$R508&lt;=0</formula>
    </cfRule>
    <cfRule type="expression" dxfId="1030" priority="1831568">
      <formula>$R272:$R508&lt;4</formula>
    </cfRule>
  </conditionalFormatting>
  <conditionalFormatting sqref="S348">
    <cfRule type="expression" dxfId="1029" priority="1831609">
      <formula>$X348:$X741="Penting"</formula>
    </cfRule>
    <cfRule type="expression" dxfId="1028" priority="1831610">
      <formula>$R348:$R741=""</formula>
    </cfRule>
    <cfRule type="expression" dxfId="1027" priority="1831611">
      <formula>$R348:$R741&lt;=0</formula>
    </cfRule>
    <cfRule type="expression" dxfId="1026" priority="1831612">
      <formula>$R348:$R741&lt;4</formula>
    </cfRule>
  </conditionalFormatting>
  <conditionalFormatting sqref="S356 S373:S374">
    <cfRule type="expression" dxfId="1025" priority="1831721">
      <formula>$X356:$X738="Penting"</formula>
    </cfRule>
    <cfRule type="expression" dxfId="1024" priority="1831722">
      <formula>$R356:$R738=""</formula>
    </cfRule>
    <cfRule type="expression" dxfId="1023" priority="1831723">
      <formula>$R356:$R738&lt;=0</formula>
    </cfRule>
    <cfRule type="expression" dxfId="1022" priority="1831724">
      <formula>$R356:$R738&lt;4</formula>
    </cfRule>
  </conditionalFormatting>
  <conditionalFormatting sqref="S369">
    <cfRule type="expression" dxfId="1021" priority="1831733">
      <formula>$X369:$X710="Penting"</formula>
    </cfRule>
    <cfRule type="expression" dxfId="1020" priority="1831734">
      <formula>$R369:$R710=""</formula>
    </cfRule>
    <cfRule type="expression" dxfId="1019" priority="1831735">
      <formula>$R369:$R710&lt;=0</formula>
    </cfRule>
    <cfRule type="expression" dxfId="1018" priority="1831736">
      <formula>$R369:$R710&lt;4</formula>
    </cfRule>
  </conditionalFormatting>
  <conditionalFormatting sqref="AD228">
    <cfRule type="expression" dxfId="1017" priority="1831935">
      <formula>$R228:$R376="End"</formula>
    </cfRule>
  </conditionalFormatting>
  <conditionalFormatting sqref="AD228">
    <cfRule type="expression" dxfId="1016" priority="1831936" stopIfTrue="1">
      <formula>$R228:$R376="Cancel"</formula>
    </cfRule>
  </conditionalFormatting>
  <conditionalFormatting sqref="S371 S354">
    <cfRule type="expression" dxfId="1015" priority="1834351">
      <formula>$X354:$X733="Penting"</formula>
    </cfRule>
    <cfRule type="expression" dxfId="1014" priority="1834352">
      <formula>$R354:$R733=""</formula>
    </cfRule>
    <cfRule type="expression" dxfId="1013" priority="1834353">
      <formula>$R354:$R733&lt;=0</formula>
    </cfRule>
    <cfRule type="expression" dxfId="1012" priority="1834354">
      <formula>$R354:$R733&lt;4</formula>
    </cfRule>
  </conditionalFormatting>
  <conditionalFormatting sqref="AD237 AQ317:AS318 AD285:AD312">
    <cfRule type="expression" dxfId="1011" priority="1834549">
      <formula>$R237:$R376="End"</formula>
    </cfRule>
  </conditionalFormatting>
  <conditionalFormatting sqref="AD237 AQ317:AS318 AD285:AD312">
    <cfRule type="expression" dxfId="1010" priority="1834550" stopIfTrue="1">
      <formula>$R237:$R376="Cancel"</formula>
    </cfRule>
  </conditionalFormatting>
  <conditionalFormatting sqref="S376">
    <cfRule type="expression" dxfId="1009" priority="1834697">
      <formula>$X376:$X727="Penting"</formula>
    </cfRule>
    <cfRule type="expression" dxfId="1008" priority="1834698">
      <formula>$R376:$R727=""</formula>
    </cfRule>
    <cfRule type="expression" dxfId="1007" priority="1834699">
      <formula>$R376:$R727&lt;=0</formula>
    </cfRule>
    <cfRule type="expression" dxfId="1006" priority="1834700">
      <formula>$R376:$R727&lt;4</formula>
    </cfRule>
  </conditionalFormatting>
  <conditionalFormatting sqref="AT179:AU179">
    <cfRule type="expression" dxfId="1005" priority="1834965">
      <formula>$X179:$X490="Penting"</formula>
    </cfRule>
    <cfRule type="expression" dxfId="1004" priority="1834966">
      <formula>$R179:$R490=""</formula>
    </cfRule>
    <cfRule type="expression" dxfId="1003" priority="1834967">
      <formula>$R179:$R490&lt;=0</formula>
    </cfRule>
    <cfRule type="expression" dxfId="1002" priority="1834968">
      <formula>$R179:$R490&lt;4</formula>
    </cfRule>
  </conditionalFormatting>
  <conditionalFormatting sqref="T362:V362 T355:V355 T353:V353 T350:V350">
    <cfRule type="expression" dxfId="1001" priority="1834985">
      <formula>$X350:$X699="Penting"</formula>
    </cfRule>
    <cfRule type="expression" dxfId="1000" priority="1834986">
      <formula>$R350:$R699=""</formula>
    </cfRule>
    <cfRule type="expression" dxfId="999" priority="1834987">
      <formula>$R350:$R699&lt;=0</formula>
    </cfRule>
    <cfRule type="expression" dxfId="998" priority="1834988">
      <formula>$R350:$R699&lt;4</formula>
    </cfRule>
  </conditionalFormatting>
  <conditionalFormatting sqref="AT319:AU319">
    <cfRule type="expression" dxfId="997" priority="1835009">
      <formula>$X319:$X456="Penting"</formula>
    </cfRule>
    <cfRule type="expression" dxfId="996" priority="1835010">
      <formula>$R319:$R456=""</formula>
    </cfRule>
    <cfRule type="expression" dxfId="995" priority="1835011">
      <formula>$R319:$R456&lt;=0</formula>
    </cfRule>
    <cfRule type="expression" dxfId="994" priority="1835012">
      <formula>$R319:$R456&lt;4</formula>
    </cfRule>
  </conditionalFormatting>
  <conditionalFormatting sqref="AQ358:AS358">
    <cfRule type="expression" dxfId="993" priority="1835013">
      <formula>$X358:$X454="Penting"</formula>
    </cfRule>
    <cfRule type="expression" dxfId="992" priority="1835014">
      <formula>$R358:$R454=""</formula>
    </cfRule>
    <cfRule type="expression" dxfId="991" priority="1835015">
      <formula>$R358:$R454&lt;=0</formula>
    </cfRule>
    <cfRule type="expression" dxfId="990" priority="1835016">
      <formula>$R358:$R454&lt;4</formula>
    </cfRule>
  </conditionalFormatting>
  <conditionalFormatting sqref="S358">
    <cfRule type="expression" dxfId="989" priority="1835021">
      <formula>$X358:$X728="Penting"</formula>
    </cfRule>
    <cfRule type="expression" dxfId="988" priority="1835022">
      <formula>$R358:$R728=""</formula>
    </cfRule>
    <cfRule type="expression" dxfId="987" priority="1835023">
      <formula>$R358:$R728&lt;=0</formula>
    </cfRule>
    <cfRule type="expression" dxfId="986" priority="1835024">
      <formula>$R358:$R728&lt;4</formula>
    </cfRule>
  </conditionalFormatting>
  <conditionalFormatting sqref="AT279:AU279">
    <cfRule type="expression" dxfId="985" priority="1835049">
      <formula>$X279:$X502="Penting"</formula>
    </cfRule>
    <cfRule type="expression" dxfId="984" priority="1835050">
      <formula>$R279:$R502=""</formula>
    </cfRule>
    <cfRule type="expression" dxfId="983" priority="1835051">
      <formula>$R279:$R502&lt;=0</formula>
    </cfRule>
    <cfRule type="expression" dxfId="982" priority="1835052">
      <formula>$R279:$R502&lt;4</formula>
    </cfRule>
  </conditionalFormatting>
  <conditionalFormatting sqref="AQ319:AS319">
    <cfRule type="expression" dxfId="981" priority="1835057">
      <formula>$X319:$X437="Penting"</formula>
    </cfRule>
    <cfRule type="expression" dxfId="980" priority="1835058">
      <formula>$R319:$R437=""</formula>
    </cfRule>
    <cfRule type="expression" dxfId="979" priority="1835059">
      <formula>$R319:$R437&lt;=0</formula>
    </cfRule>
    <cfRule type="expression" dxfId="978" priority="1835060">
      <formula>$R319:$R437&lt;4</formula>
    </cfRule>
  </conditionalFormatting>
  <conditionalFormatting sqref="AT280:AU280">
    <cfRule type="expression" dxfId="977" priority="1835065">
      <formula>$X280:$X509="Penting"</formula>
    </cfRule>
    <cfRule type="expression" dxfId="976" priority="1835066">
      <formula>$R280:$R509=""</formula>
    </cfRule>
    <cfRule type="expression" dxfId="975" priority="1835067">
      <formula>$R280:$R509&lt;=0</formula>
    </cfRule>
    <cfRule type="expression" dxfId="974" priority="1835068">
      <formula>$R280:$R509&lt;4</formula>
    </cfRule>
  </conditionalFormatting>
  <conditionalFormatting sqref="AT236:AU236">
    <cfRule type="expression" dxfId="973" priority="1835069">
      <formula>$X236:$X698="Penting"</formula>
    </cfRule>
    <cfRule type="expression" dxfId="972" priority="1835070">
      <formula>$R236:$R698=""</formula>
    </cfRule>
    <cfRule type="expression" dxfId="971" priority="1835071">
      <formula>$R236:$R698&lt;=0</formula>
    </cfRule>
    <cfRule type="expression" dxfId="970" priority="1835072">
      <formula>$R236:$R698&lt;4</formula>
    </cfRule>
  </conditionalFormatting>
  <conditionalFormatting sqref="AQ297:AS297">
    <cfRule type="expression" dxfId="969" priority="1835081">
      <formula>$X297:$X517="Penting"</formula>
    </cfRule>
    <cfRule type="expression" dxfId="968" priority="1835082">
      <formula>$R297:$R517=""</formula>
    </cfRule>
    <cfRule type="expression" dxfId="967" priority="1835083">
      <formula>$R297:$R517&lt;=0</formula>
    </cfRule>
    <cfRule type="expression" dxfId="966" priority="1835084">
      <formula>$R297:$R517&lt;4</formula>
    </cfRule>
  </conditionalFormatting>
  <conditionalFormatting sqref="AT264:AU264">
    <cfRule type="expression" dxfId="965" priority="1835125">
      <formula>$X262:$X472="Penting"</formula>
    </cfRule>
    <cfRule type="expression" dxfId="964" priority="1835126">
      <formula>$R262:$R472=""</formula>
    </cfRule>
    <cfRule type="expression" dxfId="963" priority="1835127">
      <formula>$R262:$R472&lt;=0</formula>
    </cfRule>
    <cfRule type="expression" dxfId="962" priority="1835128">
      <formula>$R262:$R472&lt;4</formula>
    </cfRule>
  </conditionalFormatting>
  <conditionalFormatting sqref="AQ241:AS241">
    <cfRule type="expression" dxfId="961" priority="1835213">
      <formula>$X237:$X562="Penting"</formula>
    </cfRule>
    <cfRule type="expression" dxfId="960" priority="1835214">
      <formula>$R237:$R562=""</formula>
    </cfRule>
    <cfRule type="expression" dxfId="959" priority="1835215">
      <formula>$R237:$R562&lt;=0</formula>
    </cfRule>
    <cfRule type="expression" dxfId="958" priority="1835216">
      <formula>$R237:$R562&lt;4</formula>
    </cfRule>
  </conditionalFormatting>
  <conditionalFormatting sqref="S346">
    <cfRule type="expression" dxfId="957" priority="1835221">
      <formula>$X346:$X759="Penting"</formula>
    </cfRule>
    <cfRule type="expression" dxfId="956" priority="1835222">
      <formula>$R346:$R759=""</formula>
    </cfRule>
    <cfRule type="expression" dxfId="955" priority="1835223">
      <formula>$R346:$R759&lt;=0</formula>
    </cfRule>
    <cfRule type="expression" dxfId="954" priority="1835224">
      <formula>$R346:$R759&lt;4</formula>
    </cfRule>
  </conditionalFormatting>
  <conditionalFormatting sqref="AT349:AU349">
    <cfRule type="expression" dxfId="953" priority="1835225">
      <formula>$X349:$X526="Penting"</formula>
    </cfRule>
    <cfRule type="expression" dxfId="952" priority="1835226">
      <formula>$R349:$R526=""</formula>
    </cfRule>
    <cfRule type="expression" dxfId="951" priority="1835227">
      <formula>$R349:$R526&lt;=0</formula>
    </cfRule>
    <cfRule type="expression" dxfId="950" priority="1835228">
      <formula>$R349:$R526&lt;4</formula>
    </cfRule>
  </conditionalFormatting>
  <conditionalFormatting sqref="S353">
    <cfRule type="expression" dxfId="949" priority="1835233">
      <formula>$X353:$X743="Penting"</formula>
    </cfRule>
    <cfRule type="expression" dxfId="948" priority="1835234">
      <formula>$R353:$R743=""</formula>
    </cfRule>
    <cfRule type="expression" dxfId="947" priority="1835235">
      <formula>$R353:$R743&lt;=0</formula>
    </cfRule>
    <cfRule type="expression" dxfId="946" priority="1835236">
      <formula>$R353:$R743&lt;4</formula>
    </cfRule>
  </conditionalFormatting>
  <conditionalFormatting sqref="S363 S352">
    <cfRule type="expression" dxfId="945" priority="1835257">
      <formula>$X352:$X737="Penting"</formula>
    </cfRule>
    <cfRule type="expression" dxfId="944" priority="1835258">
      <formula>$R352:$R737=""</formula>
    </cfRule>
    <cfRule type="expression" dxfId="943" priority="1835259">
      <formula>$R352:$R737&lt;=0</formula>
    </cfRule>
    <cfRule type="expression" dxfId="942" priority="1835260">
      <formula>$R352:$R737&lt;4</formula>
    </cfRule>
  </conditionalFormatting>
  <conditionalFormatting sqref="T369:V369">
    <cfRule type="expression" dxfId="941" priority="1835771">
      <formula>$X369:$X670="Penting"</formula>
    </cfRule>
    <cfRule type="expression" dxfId="940" priority="1835772">
      <formula>$R369:$R670=""</formula>
    </cfRule>
    <cfRule type="expression" dxfId="939" priority="1835773">
      <formula>$R369:$R670&lt;=0</formula>
    </cfRule>
    <cfRule type="expression" dxfId="938" priority="1835774">
      <formula>$R369:$R670&lt;4</formula>
    </cfRule>
  </conditionalFormatting>
  <conditionalFormatting sqref="AQ198:AS198 AQ201:AS201">
    <cfRule type="expression" dxfId="937" priority="1835827">
      <formula>$X198:$X450="Penting"</formula>
    </cfRule>
    <cfRule type="expression" dxfId="936" priority="1835828">
      <formula>$R198:$R450=""</formula>
    </cfRule>
    <cfRule type="expression" dxfId="935" priority="1835829">
      <formula>$R198:$R450&lt;=0</formula>
    </cfRule>
    <cfRule type="expression" dxfId="934" priority="1835830">
      <formula>$R198:$R450&lt;4</formula>
    </cfRule>
  </conditionalFormatting>
  <conditionalFormatting sqref="AT265:AU265 AQ329:AS332 AQ340:AS341">
    <cfRule type="expression" dxfId="933" priority="1835911">
      <formula>$X265:$X474="Penting"</formula>
    </cfRule>
    <cfRule type="expression" dxfId="932" priority="1835912">
      <formula>$R265:$R474=""</formula>
    </cfRule>
    <cfRule type="expression" dxfId="931" priority="1835913">
      <formula>$R265:$R474&lt;=0</formula>
    </cfRule>
    <cfRule type="expression" dxfId="930" priority="1835914">
      <formula>$R265:$R474&lt;4</formula>
    </cfRule>
  </conditionalFormatting>
  <conditionalFormatting sqref="AD242">
    <cfRule type="expression" dxfId="929" priority="1835931">
      <formula>$R242:$R376="End"</formula>
    </cfRule>
  </conditionalFormatting>
  <conditionalFormatting sqref="AD242">
    <cfRule type="expression" dxfId="928" priority="1835933" stopIfTrue="1">
      <formula>$R242:$R376="Cancel"</formula>
    </cfRule>
  </conditionalFormatting>
  <conditionalFormatting sqref="AD251">
    <cfRule type="expression" dxfId="927" priority="1835935">
      <formula>$R251:$R376="End"</formula>
    </cfRule>
  </conditionalFormatting>
  <conditionalFormatting sqref="AD251">
    <cfRule type="expression" dxfId="926" priority="1835936" stopIfTrue="1">
      <formula>$R251:$R376="Cancel"</formula>
    </cfRule>
  </conditionalFormatting>
  <conditionalFormatting sqref="T367:V367 T313:V345">
    <cfRule type="expression" dxfId="925" priority="1835951">
      <formula>$X313:$X637="Penting"</formula>
    </cfRule>
    <cfRule type="expression" dxfId="924" priority="1835952">
      <formula>$R313:$R637=""</formula>
    </cfRule>
    <cfRule type="expression" dxfId="923" priority="1835953">
      <formula>$R313:$R637&lt;=0</formula>
    </cfRule>
    <cfRule type="expression" dxfId="922" priority="1835954">
      <formula>$R313:$R637&lt;4</formula>
    </cfRule>
  </conditionalFormatting>
  <conditionalFormatting sqref="AQ274:AS274 AT358:AU358">
    <cfRule type="expression" dxfId="921" priority="1835979">
      <formula>$X274:$X437="Penting"</formula>
    </cfRule>
    <cfRule type="expression" dxfId="920" priority="1835980">
      <formula>$R274:$R437=""</formula>
    </cfRule>
    <cfRule type="expression" dxfId="919" priority="1835981">
      <formula>$R274:$R437&lt;=0</formula>
    </cfRule>
    <cfRule type="expression" dxfId="918" priority="1835982">
      <formula>$R274:$R437&lt;4</formula>
    </cfRule>
  </conditionalFormatting>
  <conditionalFormatting sqref="AT368:AU368">
    <cfRule type="expression" dxfId="917" priority="1836005">
      <formula>$X368:$X522="Penting"</formula>
    </cfRule>
    <cfRule type="expression" dxfId="916" priority="1836006">
      <formula>$R368:$R522=""</formula>
    </cfRule>
    <cfRule type="expression" dxfId="915" priority="1836007">
      <formula>$R368:$R522&lt;=0</formula>
    </cfRule>
    <cfRule type="expression" dxfId="914" priority="1836008">
      <formula>$R368:$R522&lt;4</formula>
    </cfRule>
  </conditionalFormatting>
  <conditionalFormatting sqref="AD255">
    <cfRule type="expression" dxfId="913" priority="1836021">
      <formula>$R255:$R376="End"</formula>
    </cfRule>
  </conditionalFormatting>
  <conditionalFormatting sqref="AD255">
    <cfRule type="expression" dxfId="912" priority="1836022" stopIfTrue="1">
      <formula>$R255:$R376="Cancel"</formula>
    </cfRule>
  </conditionalFormatting>
  <conditionalFormatting sqref="S367 S313:S345">
    <cfRule type="expression" dxfId="911" priority="1836071">
      <formula>$X313:$X678="Penting"</formula>
    </cfRule>
    <cfRule type="expression" dxfId="910" priority="1836072">
      <formula>$R313:$R678=""</formula>
    </cfRule>
    <cfRule type="expression" dxfId="909" priority="1836073">
      <formula>$R313:$R678&lt;=0</formula>
    </cfRule>
    <cfRule type="expression" dxfId="908" priority="1836074">
      <formula>$R313:$R678&lt;4</formula>
    </cfRule>
  </conditionalFormatting>
  <conditionalFormatting sqref="AT291:AU291">
    <cfRule type="expression" dxfId="907" priority="1836231">
      <formula>$X291:$X592="Penting"</formula>
    </cfRule>
    <cfRule type="expression" dxfId="906" priority="1836232">
      <formula>$R291:$R592=""</formula>
    </cfRule>
    <cfRule type="expression" dxfId="905" priority="1836233">
      <formula>$R291:$R592&lt;=0</formula>
    </cfRule>
    <cfRule type="expression" dxfId="904" priority="1836234">
      <formula>$R291:$R592&lt;4</formula>
    </cfRule>
  </conditionalFormatting>
  <conditionalFormatting sqref="C349:S349 W357:AP357 T368:V368 T370:V370 C357:S357 W349:AP349 T354:V354">
    <cfRule type="expression" dxfId="903" priority="1836323">
      <formula>$X349:$X688="Penting"</formula>
    </cfRule>
    <cfRule type="expression" dxfId="902" priority="1836324">
      <formula>$R349:$R688=""</formula>
    </cfRule>
    <cfRule type="expression" dxfId="901" priority="1836325">
      <formula>$R349:$R688&lt;=0</formula>
    </cfRule>
    <cfRule type="expression" dxfId="900" priority="1836326">
      <formula>$R349:$R688&lt;4</formula>
    </cfRule>
  </conditionalFormatting>
  <conditionalFormatting sqref="AD259">
    <cfRule type="expression" dxfId="899" priority="1836339">
      <formula>$R259:$R376="End"</formula>
    </cfRule>
  </conditionalFormatting>
  <conditionalFormatting sqref="AD259">
    <cfRule type="expression" dxfId="898" priority="1836340" stopIfTrue="1">
      <formula>$R259:$R376="Cancel"</formula>
    </cfRule>
  </conditionalFormatting>
  <conditionalFormatting sqref="S366">
    <cfRule type="expression" dxfId="897" priority="1836363">
      <formula>$X366:$X711="Penting"</formula>
    </cfRule>
    <cfRule type="expression" dxfId="896" priority="1836364">
      <formula>$R366:$R711=""</formula>
    </cfRule>
    <cfRule type="expression" dxfId="895" priority="1836365">
      <formula>$R366:$R711&lt;=0</formula>
    </cfRule>
    <cfRule type="expression" dxfId="894" priority="1836366">
      <formula>$R366:$R711&lt;4</formula>
    </cfRule>
  </conditionalFormatting>
  <conditionalFormatting sqref="AT360:AU360">
    <cfRule type="expression" dxfId="893" priority="1836457">
      <formula>$X360:$X531="Penting"</formula>
    </cfRule>
    <cfRule type="expression" dxfId="892" priority="1836458">
      <formula>$R360:$R531=""</formula>
    </cfRule>
    <cfRule type="expression" dxfId="891" priority="1836459">
      <formula>$R360:$R531&lt;=0</formula>
    </cfRule>
    <cfRule type="expression" dxfId="890" priority="1836460">
      <formula>$R360:$R531&lt;4</formula>
    </cfRule>
  </conditionalFormatting>
  <conditionalFormatting sqref="AD372">
    <cfRule type="expression" dxfId="889" priority="1836543">
      <formula>$R372:$R504="End"</formula>
    </cfRule>
  </conditionalFormatting>
  <conditionalFormatting sqref="AD372">
    <cfRule type="expression" dxfId="888" priority="1836545" stopIfTrue="1">
      <formula>$R372:$R504="Cancel"</formula>
    </cfRule>
  </conditionalFormatting>
  <conditionalFormatting sqref="AQ367:AS367 AQ363:AS363">
    <cfRule type="expression" dxfId="887" priority="1836611">
      <formula>$X363:$X453="Penting"</formula>
    </cfRule>
    <cfRule type="expression" dxfId="886" priority="1836612">
      <formula>$R363:$R453=""</formula>
    </cfRule>
    <cfRule type="expression" dxfId="885" priority="1836613">
      <formula>$R363:$R453&lt;=0</formula>
    </cfRule>
    <cfRule type="expression" dxfId="884" priority="1836614">
      <formula>$R363:$R453&lt;4</formula>
    </cfRule>
  </conditionalFormatting>
  <conditionalFormatting sqref="AQ339:AS339 AQ335:AS335 AQ301:AS301 AT261:AU261">
    <cfRule type="expression" dxfId="883" priority="1836615">
      <formula>$X261:$X471="Penting"</formula>
    </cfRule>
    <cfRule type="expression" dxfId="882" priority="1836616">
      <formula>$R261:$R471=""</formula>
    </cfRule>
    <cfRule type="expression" dxfId="881" priority="1836617">
      <formula>$R261:$R471&lt;=0</formula>
    </cfRule>
    <cfRule type="expression" dxfId="880" priority="1836618">
      <formula>$R261:$R471&lt;4</formula>
    </cfRule>
  </conditionalFormatting>
  <conditionalFormatting sqref="S364 S361">
    <cfRule type="expression" dxfId="879" priority="1836633">
      <formula>$X361:$X757="Penting"</formula>
    </cfRule>
    <cfRule type="expression" dxfId="878" priority="1836634">
      <formula>$R361:$R757=""</formula>
    </cfRule>
    <cfRule type="expression" dxfId="877" priority="1836635">
      <formula>$R361:$R757&lt;=0</formula>
    </cfRule>
    <cfRule type="expression" dxfId="876" priority="1836636">
      <formula>$R361:$R757&lt;4</formula>
    </cfRule>
  </conditionalFormatting>
  <conditionalFormatting sqref="AT140:AU140 T371:V371">
    <cfRule type="expression" dxfId="875" priority="1836783">
      <formula>$X140:$X477="Penting"</formula>
    </cfRule>
    <cfRule type="expression" dxfId="874" priority="1836784">
      <formula>$R140:$R477=""</formula>
    </cfRule>
    <cfRule type="expression" dxfId="873" priority="1836785">
      <formula>$R140:$R477&lt;=0</formula>
    </cfRule>
    <cfRule type="expression" dxfId="872" priority="1836786">
      <formula>$R140:$R477&lt;4</formula>
    </cfRule>
  </conditionalFormatting>
  <conditionalFormatting sqref="T366:V366 AT173:AU174">
    <cfRule type="expression" dxfId="871" priority="1836799">
      <formula>$X173:$X477="Penting"</formula>
    </cfRule>
    <cfRule type="expression" dxfId="870" priority="1836800">
      <formula>$R173:$R477=""</formula>
    </cfRule>
    <cfRule type="expression" dxfId="869" priority="1836801">
      <formula>$R173:$R477&lt;=0</formula>
    </cfRule>
    <cfRule type="expression" dxfId="868" priority="1836802">
      <formula>$R173:$R477&lt;4</formula>
    </cfRule>
  </conditionalFormatting>
  <conditionalFormatting sqref="C361:S361">
    <cfRule type="expression" dxfId="867" priority="1836825">
      <formula>$X361:$X692="Penting"</formula>
    </cfRule>
    <cfRule type="expression" dxfId="866" priority="1836826">
      <formula>$R361:$R692=""</formula>
    </cfRule>
    <cfRule type="expression" dxfId="865" priority="1836827">
      <formula>$R361:$R692&lt;=0</formula>
    </cfRule>
    <cfRule type="expression" dxfId="864" priority="1836828">
      <formula>$R361:$R692&lt;4</formula>
    </cfRule>
  </conditionalFormatting>
  <conditionalFormatting sqref="AT334:AU334 AT302:AU302 AT298:AU298">
    <cfRule type="expression" dxfId="863" priority="1836861">
      <formula>$X298:$X577="Penting"</formula>
    </cfRule>
    <cfRule type="expression" dxfId="862" priority="1836862">
      <formula>$R298:$R577=""</formula>
    </cfRule>
    <cfRule type="expression" dxfId="861" priority="1836863">
      <formula>$R298:$R577&lt;=0</formula>
    </cfRule>
    <cfRule type="expression" dxfId="860" priority="1836864">
      <formula>$R298:$R577&lt;4</formula>
    </cfRule>
  </conditionalFormatting>
  <conditionalFormatting sqref="S375">
    <cfRule type="expression" dxfId="859" priority="1836877">
      <formula>$X375:$X730="Penting"</formula>
    </cfRule>
    <cfRule type="expression" dxfId="858" priority="1836878">
      <formula>$R375:$R730=""</formula>
    </cfRule>
    <cfRule type="expression" dxfId="857" priority="1836879">
      <formula>$R375:$R730&lt;=0</formula>
    </cfRule>
    <cfRule type="expression" dxfId="856" priority="1836880">
      <formula>$R375:$R730&lt;4</formula>
    </cfRule>
  </conditionalFormatting>
  <conditionalFormatting sqref="AT364:AU364">
    <cfRule type="expression" dxfId="855" priority="1836941">
      <formula>$X364:$X532="Penting"</formula>
    </cfRule>
    <cfRule type="expression" dxfId="854" priority="1836942">
      <formula>$R364:$R532=""</formula>
    </cfRule>
    <cfRule type="expression" dxfId="853" priority="1836943">
      <formula>$R364:$R532&lt;=0</formula>
    </cfRule>
    <cfRule type="expression" dxfId="852" priority="1836944">
      <formula>$R364:$R532&lt;4</formula>
    </cfRule>
  </conditionalFormatting>
  <conditionalFormatting sqref="AD226 AD371">
    <cfRule type="expression" dxfId="851" priority="1836989">
      <formula>$R226:$R376="End"</formula>
    </cfRule>
  </conditionalFormatting>
  <conditionalFormatting sqref="AD226 AD371">
    <cfRule type="expression" dxfId="850" priority="1836990" stopIfTrue="1">
      <formula>$R226:$R376="Cancel"</formula>
    </cfRule>
  </conditionalFormatting>
  <conditionalFormatting sqref="AT284:AU284 AQ295:AS296">
    <cfRule type="expression" dxfId="849" priority="1837043">
      <formula>$X284:$X519="Penting"</formula>
    </cfRule>
    <cfRule type="expression" dxfId="848" priority="1837044">
      <formula>$R284:$R519=""</formula>
    </cfRule>
    <cfRule type="expression" dxfId="847" priority="1837045">
      <formula>$R284:$R519&lt;=0</formula>
    </cfRule>
    <cfRule type="expression" dxfId="846" priority="1837046">
      <formula>$R284:$R519&lt;4</formula>
    </cfRule>
  </conditionalFormatting>
  <conditionalFormatting sqref="S349">
    <cfRule type="expression" dxfId="845" priority="1837053">
      <formula>$X349:$X753="Penting"</formula>
    </cfRule>
    <cfRule type="expression" dxfId="844" priority="1837054">
      <formula>$R349:$R753=""</formula>
    </cfRule>
    <cfRule type="expression" dxfId="843" priority="1837055">
      <formula>$R349:$R753&lt;=0</formula>
    </cfRule>
    <cfRule type="expression" dxfId="842" priority="1837056">
      <formula>$R349:$R753&lt;4</formula>
    </cfRule>
  </conditionalFormatting>
  <conditionalFormatting sqref="S351">
    <cfRule type="expression" dxfId="841" priority="1837083">
      <formula>$X351:$X743="Penting"</formula>
    </cfRule>
    <cfRule type="expression" dxfId="840" priority="1837084">
      <formula>$R351:$R743=""</formula>
    </cfRule>
    <cfRule type="expression" dxfId="839" priority="1837085">
      <formula>$R351:$R743&lt;=0</formula>
    </cfRule>
    <cfRule type="expression" dxfId="838" priority="1837086">
      <formula>$R351:$R743&lt;4</formula>
    </cfRule>
  </conditionalFormatting>
  <conditionalFormatting sqref="C371:S371">
    <cfRule type="expression" dxfId="837" priority="1837155">
      <formula>$X371:$X685="Penting"</formula>
    </cfRule>
    <cfRule type="expression" dxfId="836" priority="1837156">
      <formula>$R371:$R685=""</formula>
    </cfRule>
    <cfRule type="expression" dxfId="835" priority="1837157">
      <formula>$R371:$R685&lt;=0</formula>
    </cfRule>
    <cfRule type="expression" dxfId="834" priority="1837158">
      <formula>$R371:$R685&lt;4</formula>
    </cfRule>
  </conditionalFormatting>
  <conditionalFormatting sqref="W369:AP369">
    <cfRule type="expression" dxfId="833" priority="1837385">
      <formula>$X369:$X646="Penting"</formula>
    </cfRule>
    <cfRule type="expression" dxfId="832" priority="1837386">
      <formula>$R369:$R646=""</formula>
    </cfRule>
    <cfRule type="expression" dxfId="831" priority="1837387">
      <formula>$R369:$R646&lt;=0</formula>
    </cfRule>
    <cfRule type="expression" dxfId="830" priority="1837388">
      <formula>$R369:$R646&lt;4</formula>
    </cfRule>
  </conditionalFormatting>
  <conditionalFormatting sqref="AA375:AC375 AD364 AD361 P134:P312">
    <cfRule type="expression" dxfId="829" priority="1837431">
      <formula>$R134:$R465="End"</formula>
    </cfRule>
  </conditionalFormatting>
  <conditionalFormatting sqref="AA375:AC375 AD364 AD361 P134:P312">
    <cfRule type="expression" dxfId="828" priority="1837434" stopIfTrue="1">
      <formula>$R134:$R465="Cancel"</formula>
    </cfRule>
  </conditionalFormatting>
  <conditionalFormatting sqref="AD358">
    <cfRule type="expression" dxfId="827" priority="1837559">
      <formula>$R358:$R499="End"</formula>
    </cfRule>
  </conditionalFormatting>
  <conditionalFormatting sqref="AD358">
    <cfRule type="expression" dxfId="826" priority="1837561" stopIfTrue="1">
      <formula>$R358:$R499="Cancel"</formula>
    </cfRule>
  </conditionalFormatting>
  <conditionalFormatting sqref="AD249">
    <cfRule type="expression" dxfId="825" priority="1837747">
      <formula>$R249:$R376="End"</formula>
    </cfRule>
  </conditionalFormatting>
  <conditionalFormatting sqref="AD249">
    <cfRule type="expression" dxfId="824" priority="1837748" stopIfTrue="1">
      <formula>$R249:$R376="Cancel"</formula>
    </cfRule>
  </conditionalFormatting>
  <conditionalFormatting sqref="W375:AP375">
    <cfRule type="expression" dxfId="823" priority="1837955">
      <formula>$X375:$X665="Penting"</formula>
    </cfRule>
    <cfRule type="expression" dxfId="822" priority="1837956">
      <formula>$R375:$R665=""</formula>
    </cfRule>
    <cfRule type="expression" dxfId="821" priority="1837957">
      <formula>$R375:$R665&lt;=0</formula>
    </cfRule>
    <cfRule type="expression" dxfId="820" priority="1837958">
      <formula>$R375:$R665&lt;4</formula>
    </cfRule>
  </conditionalFormatting>
  <conditionalFormatting sqref="AQ195:AS195">
    <cfRule type="expression" dxfId="819" priority="1838051">
      <formula>$X195:$X451="Penting"</formula>
    </cfRule>
    <cfRule type="expression" dxfId="818" priority="1838052">
      <formula>$R195:$R451=""</formula>
    </cfRule>
    <cfRule type="expression" dxfId="817" priority="1838053">
      <formula>$R195:$R451&lt;=0</formula>
    </cfRule>
    <cfRule type="expression" dxfId="816" priority="1838054">
      <formula>$R195:$R451&lt;4</formula>
    </cfRule>
  </conditionalFormatting>
  <conditionalFormatting sqref="AD232">
    <cfRule type="expression" dxfId="815" priority="1839939">
      <formula>$R232:$R376="End"</formula>
    </cfRule>
  </conditionalFormatting>
  <conditionalFormatting sqref="AD232">
    <cfRule type="expression" dxfId="814" priority="1839940" stopIfTrue="1">
      <formula>$R232:$R376="Cancel"</formula>
    </cfRule>
  </conditionalFormatting>
  <conditionalFormatting sqref="AA375:AC375">
    <cfRule type="expression" dxfId="813" priority="1840019">
      <formula>$R375:$R707="End"</formula>
    </cfRule>
  </conditionalFormatting>
  <conditionalFormatting sqref="AA375:AC375">
    <cfRule type="expression" dxfId="812" priority="1840020" stopIfTrue="1">
      <formula>$R375:$R707="Cancel"</formula>
    </cfRule>
  </conditionalFormatting>
  <conditionalFormatting sqref="AQ297:AS297">
    <cfRule type="expression" dxfId="811" priority="1840233">
      <formula>$R297:$R582="End"</formula>
    </cfRule>
  </conditionalFormatting>
  <conditionalFormatting sqref="AQ297:AS297">
    <cfRule type="expression" dxfId="810" priority="1840234" stopIfTrue="1">
      <formula>$R297:$R582="Cancel"</formula>
    </cfRule>
  </conditionalFormatting>
  <conditionalFormatting sqref="AQ342:AS342">
    <cfRule type="expression" dxfId="809" priority="1840277">
      <formula>$R342:$R614="End"</formula>
    </cfRule>
  </conditionalFormatting>
  <conditionalFormatting sqref="AQ342:AS342">
    <cfRule type="expression" dxfId="808" priority="1840279" stopIfTrue="1">
      <formula>$R342:$R614="Cancel"</formula>
    </cfRule>
  </conditionalFormatting>
  <conditionalFormatting sqref="AQ188:AS188">
    <cfRule type="expression" dxfId="807" priority="1840289">
      <formula>$X188:$X438="Penting"</formula>
    </cfRule>
    <cfRule type="expression" dxfId="806" priority="1840290">
      <formula>$R188:$R438=""</formula>
    </cfRule>
    <cfRule type="expression" dxfId="805" priority="1840291">
      <formula>$R188:$R438&lt;=0</formula>
    </cfRule>
    <cfRule type="expression" dxfId="804" priority="1840292">
      <formula>$R188:$R438&lt;4</formula>
    </cfRule>
  </conditionalFormatting>
  <conditionalFormatting sqref="AD375">
    <cfRule type="expression" dxfId="803" priority="1840323">
      <formula>$R375:$R665="End"</formula>
    </cfRule>
  </conditionalFormatting>
  <conditionalFormatting sqref="AD375">
    <cfRule type="expression" dxfId="802" priority="1840324" stopIfTrue="1">
      <formula>$R375:$R665="Cancel"</formula>
    </cfRule>
  </conditionalFormatting>
  <conditionalFormatting sqref="AQ355:AS355 AQ360:AS360">
    <cfRule type="expression" dxfId="801" priority="1840351">
      <formula>$R355:$R523="End"</formula>
    </cfRule>
  </conditionalFormatting>
  <conditionalFormatting sqref="AQ355:AS355 AQ360:AS360">
    <cfRule type="expression" dxfId="800" priority="1840353" stopIfTrue="1">
      <formula>$R355:$R523="Cancel"</formula>
    </cfRule>
  </conditionalFormatting>
  <conditionalFormatting sqref="AD349 AD357">
    <cfRule type="expression" dxfId="799" priority="1840355">
      <formula>$R349:$R524="End"</formula>
    </cfRule>
  </conditionalFormatting>
  <conditionalFormatting sqref="AD349 AD357">
    <cfRule type="expression" dxfId="798" priority="1840357" stopIfTrue="1">
      <formula>$R349:$R524="Cancel"</formula>
    </cfRule>
  </conditionalFormatting>
  <conditionalFormatting sqref="AT346:AU346 AQ251:AS252">
    <cfRule type="expression" dxfId="797" priority="1840359">
      <formula>$X251:$X437="Penting"</formula>
    </cfRule>
    <cfRule type="expression" dxfId="796" priority="1840360">
      <formula>$R251:$R437=""</formula>
    </cfRule>
    <cfRule type="expression" dxfId="795" priority="1840361">
      <formula>$R251:$R437&lt;=0</formula>
    </cfRule>
    <cfRule type="expression" dxfId="794" priority="1840362">
      <formula>$R251:$R437&lt;4</formula>
    </cfRule>
  </conditionalFormatting>
  <conditionalFormatting sqref="AQ284:AS284">
    <cfRule type="expression" dxfId="793" priority="1840401">
      <formula>$X284:$X452="Penting"</formula>
    </cfRule>
    <cfRule type="expression" dxfId="792" priority="1840402">
      <formula>$R284:$R452=""</formula>
    </cfRule>
    <cfRule type="expression" dxfId="791" priority="1840403">
      <formula>$R284:$R452&lt;=0</formula>
    </cfRule>
    <cfRule type="expression" dxfId="790" priority="1840404">
      <formula>$R284:$R452&lt;4</formula>
    </cfRule>
  </conditionalFormatting>
  <conditionalFormatting sqref="AQ359:AS359">
    <cfRule type="expression" dxfId="789" priority="1840461">
      <formula>$R359:$R524="End"</formula>
    </cfRule>
  </conditionalFormatting>
  <conditionalFormatting sqref="AQ359:AS359">
    <cfRule type="expression" dxfId="788" priority="1840463" stopIfTrue="1">
      <formula>$R359:$R524="Cancel"</formula>
    </cfRule>
  </conditionalFormatting>
  <conditionalFormatting sqref="AT371:AU371">
    <cfRule type="expression" dxfId="787" priority="1840467">
      <formula>$X371:$X523="Penting"</formula>
    </cfRule>
    <cfRule type="expression" dxfId="786" priority="1840468">
      <formula>$R371:$R523=""</formula>
    </cfRule>
    <cfRule type="expression" dxfId="785" priority="1840469">
      <formula>$R371:$R523&lt;=0</formula>
    </cfRule>
    <cfRule type="expression" dxfId="784" priority="1840470">
      <formula>$R371:$R523&lt;4</formula>
    </cfRule>
  </conditionalFormatting>
  <conditionalFormatting sqref="AE363:AP363 Q363:Z363 C363:O363 Q352:Z352 C358 P368 C352:O352 AE352:AP352 P370 P354 AA134:AC312 AQ141:AS141">
    <cfRule type="expression" dxfId="783" priority="1840491">
      <formula>$R134:$R478="End"</formula>
    </cfRule>
  </conditionalFormatting>
  <conditionalFormatting sqref="AE363:AP363 Q363:Z363 C363:O363 Q352:Z352 C358 P368 C352:O352 AE352:AP352 P370 P354 AA134:AC312 AQ141:AS141">
    <cfRule type="expression" dxfId="782" priority="1840501" stopIfTrue="1">
      <formula>$R134:$R478="Cancel"</formula>
    </cfRule>
  </conditionalFormatting>
  <conditionalFormatting sqref="C370:O370">
    <cfRule type="expression" dxfId="781" priority="1840549">
      <formula>$R370:$R709="End"</formula>
    </cfRule>
  </conditionalFormatting>
  <conditionalFormatting sqref="C370:O370">
    <cfRule type="expression" dxfId="780" priority="1840561" stopIfTrue="1">
      <formula>$R370:$R709="Cancel"</formula>
    </cfRule>
  </conditionalFormatting>
  <conditionalFormatting sqref="AA370:AC370">
    <cfRule type="expression" dxfId="779" priority="1840687">
      <formula>$R370:$R727="End"</formula>
    </cfRule>
  </conditionalFormatting>
  <conditionalFormatting sqref="AA370:AC370">
    <cfRule type="expression" dxfId="778" priority="1840699" stopIfTrue="1">
      <formula>$R370:$R727="Cancel"</formula>
    </cfRule>
  </conditionalFormatting>
  <conditionalFormatting sqref="AD370 AQ373:AS374 AD368">
    <cfRule type="expression" dxfId="777" priority="1840775">
      <formula>$R368:$R520="End"</formula>
    </cfRule>
  </conditionalFormatting>
  <conditionalFormatting sqref="AD370 AQ373:AS374 AD368">
    <cfRule type="expression" dxfId="776" priority="1840778" stopIfTrue="1">
      <formula>$R368:$R520="Cancel"</formula>
    </cfRule>
  </conditionalFormatting>
  <conditionalFormatting sqref="AQ372:AS372">
    <cfRule type="expression" dxfId="775" priority="1840781">
      <formula>$R372:$R475="End"</formula>
    </cfRule>
  </conditionalFormatting>
  <conditionalFormatting sqref="AQ372:AS372">
    <cfRule type="expression" dxfId="774" priority="1840782" stopIfTrue="1">
      <formula>$R372:$R475="Cancel"</formula>
    </cfRule>
  </conditionalFormatting>
  <conditionalFormatting sqref="P358">
    <cfRule type="expression" dxfId="773" priority="1840805">
      <formula>$R358:$R691="End"</formula>
    </cfRule>
  </conditionalFormatting>
  <conditionalFormatting sqref="P358">
    <cfRule type="expression" dxfId="772" priority="1840808" stopIfTrue="1">
      <formula>$R358:$R691="Cancel"</formula>
    </cfRule>
  </conditionalFormatting>
  <conditionalFormatting sqref="AQ354:AS354 AQ356:AS356">
    <cfRule type="expression" dxfId="771" priority="1840853">
      <formula>$R354:$R517="End"</formula>
    </cfRule>
  </conditionalFormatting>
  <conditionalFormatting sqref="AQ354:AS354 AQ356:AS356">
    <cfRule type="expression" dxfId="770" priority="1840855" stopIfTrue="1">
      <formula>$R354:$R517="Cancel"</formula>
    </cfRule>
  </conditionalFormatting>
  <conditionalFormatting sqref="AQ164:AS164">
    <cfRule type="expression" dxfId="769" priority="1840987">
      <formula>$X164:$X437="Penting"</formula>
    </cfRule>
    <cfRule type="expression" dxfId="768" priority="1840988">
      <formula>$R164:$R437=""</formula>
    </cfRule>
    <cfRule type="expression" dxfId="767" priority="1840989">
      <formula>$R164:$R437&lt;=0</formula>
    </cfRule>
    <cfRule type="expression" dxfId="766" priority="1840990">
      <formula>$R164:$R437&lt;4</formula>
    </cfRule>
  </conditionalFormatting>
  <conditionalFormatting sqref="AQ364:AS364">
    <cfRule type="expression" dxfId="765" priority="1841047">
      <formula>$X364:$X464="Penting"</formula>
    </cfRule>
    <cfRule type="expression" dxfId="764" priority="1841048">
      <formula>$R364:$R464=""</formula>
    </cfRule>
    <cfRule type="expression" dxfId="763" priority="1841049">
      <formula>$R364:$R464&lt;=0</formula>
    </cfRule>
    <cfRule type="expression" dxfId="762" priority="1841050">
      <formula>$R364:$R464&lt;4</formula>
    </cfRule>
  </conditionalFormatting>
  <conditionalFormatting sqref="AA348:AC348">
    <cfRule type="expression" dxfId="761" priority="1841245">
      <formula>$R348:$R718="End"</formula>
    </cfRule>
  </conditionalFormatting>
  <conditionalFormatting sqref="AA348:AC348">
    <cfRule type="expression" dxfId="760" priority="1841247" stopIfTrue="1">
      <formula>$R348:$R718="Cancel"</formula>
    </cfRule>
  </conditionalFormatting>
  <conditionalFormatting sqref="Q366:Z366">
    <cfRule type="expression" dxfId="759" priority="1841271">
      <formula>$R366:$R670="End"</formula>
    </cfRule>
  </conditionalFormatting>
  <conditionalFormatting sqref="Q366:Z366">
    <cfRule type="expression" dxfId="758" priority="1841276" stopIfTrue="1">
      <formula>$R366:$R670="Cancel"</formula>
    </cfRule>
  </conditionalFormatting>
  <conditionalFormatting sqref="R376">
    <cfRule type="expression" dxfId="757" priority="1841309">
      <formula>$X376:$X648="Penting"</formula>
    </cfRule>
    <cfRule type="expression" dxfId="756" priority="1841310">
      <formula>$R376:$R648=""</formula>
    </cfRule>
    <cfRule type="expression" dxfId="755" priority="1841311">
      <formula>$R376:$R648&lt;=0</formula>
    </cfRule>
    <cfRule type="expression" dxfId="754" priority="1841312">
      <formula>$R376:$R648&lt;4</formula>
    </cfRule>
  </conditionalFormatting>
  <conditionalFormatting sqref="AE349:AP349">
    <cfRule type="expression" dxfId="753" priority="1841339">
      <formula>$R349:$R712="End"</formula>
    </cfRule>
  </conditionalFormatting>
  <conditionalFormatting sqref="AE349:AP349">
    <cfRule type="expression" dxfId="752" priority="1841345" stopIfTrue="1">
      <formula>$R349:$R712="Cancel"</formula>
    </cfRule>
  </conditionalFormatting>
  <conditionalFormatting sqref="AQ356:AS356 AQ354:AS354">
    <cfRule type="expression" dxfId="751" priority="1841407">
      <formula>$X354:$X452="Penting"</formula>
    </cfRule>
    <cfRule type="expression" dxfId="750" priority="1841408">
      <formula>$R354:$R452=""</formula>
    </cfRule>
    <cfRule type="expression" dxfId="749" priority="1841409">
      <formula>$R354:$R452&lt;=0</formula>
    </cfRule>
    <cfRule type="expression" dxfId="748" priority="1841410">
      <formula>$R354:$R452&lt;4</formula>
    </cfRule>
  </conditionalFormatting>
  <conditionalFormatting sqref="AQ188:AS188">
    <cfRule type="expression" dxfId="747" priority="1841475">
      <formula>$R188:$R502="End"</formula>
    </cfRule>
  </conditionalFormatting>
  <conditionalFormatting sqref="AQ188:AS188">
    <cfRule type="expression" dxfId="746" priority="1841476" stopIfTrue="1">
      <formula>$R188:$R502="Cancel"</formula>
    </cfRule>
  </conditionalFormatting>
  <conditionalFormatting sqref="AD376">
    <cfRule type="expression" dxfId="745" priority="1841545">
      <formula>$R376:$R662="End"</formula>
    </cfRule>
  </conditionalFormatting>
  <conditionalFormatting sqref="AD376">
    <cfRule type="expression" dxfId="744" priority="1841546" stopIfTrue="1">
      <formula>$R376:$R662="Cancel"</formula>
    </cfRule>
  </conditionalFormatting>
  <conditionalFormatting sqref="P361">
    <cfRule type="expression" dxfId="743" priority="1841547">
      <formula>$R361:$R721="End"</formula>
    </cfRule>
  </conditionalFormatting>
  <conditionalFormatting sqref="P361">
    <cfRule type="expression" dxfId="742" priority="1841549" stopIfTrue="1">
      <formula>$R361:$R721="Cancel"</formula>
    </cfRule>
  </conditionalFormatting>
  <conditionalFormatting sqref="AT278:AU278">
    <cfRule type="expression" dxfId="741" priority="1841593">
      <formula>$X278:$X504="Penting"</formula>
    </cfRule>
    <cfRule type="expression" dxfId="740" priority="1841594">
      <formula>$R278:$R504=""</formula>
    </cfRule>
    <cfRule type="expression" dxfId="739" priority="1841595">
      <formula>$R278:$R504&lt;=0</formula>
    </cfRule>
    <cfRule type="expression" dxfId="738" priority="1841596">
      <formula>$R278:$R504&lt;4</formula>
    </cfRule>
  </conditionalFormatting>
  <conditionalFormatting sqref="AT335:AU335">
    <cfRule type="expression" dxfId="737" priority="1842273">
      <formula>$X335:$X609="Penting"</formula>
    </cfRule>
    <cfRule type="expression" dxfId="736" priority="1842274">
      <formula>$R335:$R609=""</formula>
    </cfRule>
    <cfRule type="expression" dxfId="735" priority="1842275">
      <formula>$R335:$R609&lt;=0</formula>
    </cfRule>
    <cfRule type="expression" dxfId="734" priority="1842276">
      <formula>$R335:$R609&lt;4</formula>
    </cfRule>
  </conditionalFormatting>
  <conditionalFormatting sqref="AQ371:AS371">
    <cfRule type="expression" dxfId="733" priority="1842549">
      <formula>$X371:$X455="Penting"</formula>
    </cfRule>
    <cfRule type="expression" dxfId="732" priority="1842550">
      <formula>$R371:$R455=""</formula>
    </cfRule>
    <cfRule type="expression" dxfId="731" priority="1842551">
      <formula>$R371:$R455&lt;=0</formula>
    </cfRule>
    <cfRule type="expression" dxfId="730" priority="1842552">
      <formula>$R371:$R455&lt;4</formula>
    </cfRule>
  </conditionalFormatting>
  <conditionalFormatting sqref="S371">
    <cfRule type="expression" dxfId="729" priority="1842553">
      <formula>$X371:$X749="Penting"</formula>
    </cfRule>
    <cfRule type="expression" dxfId="728" priority="1842554">
      <formula>$R371:$R749=""</formula>
    </cfRule>
    <cfRule type="expression" dxfId="727" priority="1842555">
      <formula>$R371:$R749&lt;=0</formula>
    </cfRule>
    <cfRule type="expression" dxfId="726" priority="1842556">
      <formula>$R371:$R749&lt;4</formula>
    </cfRule>
  </conditionalFormatting>
  <conditionalFormatting sqref="AD177:AD209 AD240">
    <cfRule type="expression" dxfId="725" priority="1842557">
      <formula>$R177:$R313="End"</formula>
    </cfRule>
  </conditionalFormatting>
  <conditionalFormatting sqref="AD177:AD209 AD240">
    <cfRule type="expression" dxfId="724" priority="1842558" stopIfTrue="1">
      <formula>$R177:$R313="Cancel"</formula>
    </cfRule>
  </conditionalFormatting>
  <conditionalFormatting sqref="T350:V350 W346:AP346 C346:S346 T355:V355 T353:V353 T362:V362">
    <cfRule type="expression" dxfId="723" priority="1842587">
      <formula>$X346:$X694="Penting"</formula>
    </cfRule>
    <cfRule type="expression" dxfId="722" priority="1842588">
      <formula>$R346:$R694=""</formula>
    </cfRule>
    <cfRule type="expression" dxfId="721" priority="1842589">
      <formula>$R346:$R694&lt;=0</formula>
    </cfRule>
    <cfRule type="expression" dxfId="720" priority="1842590">
      <formula>$R346:$R694&lt;4</formula>
    </cfRule>
  </conditionalFormatting>
  <conditionalFormatting sqref="AT320:AU320">
    <cfRule type="expression" dxfId="719" priority="1842611">
      <formula>$X320:$X456="Penting"</formula>
    </cfRule>
    <cfRule type="expression" dxfId="718" priority="1842612">
      <formula>$R320:$R456=""</formula>
    </cfRule>
    <cfRule type="expression" dxfId="717" priority="1842613">
      <formula>$R320:$R456&lt;=0</formula>
    </cfRule>
    <cfRule type="expression" dxfId="716" priority="1842614">
      <formula>$R320:$R456&lt;4</formula>
    </cfRule>
  </conditionalFormatting>
  <conditionalFormatting sqref="AQ362:AS362">
    <cfRule type="expression" dxfId="715" priority="1842615">
      <formula>$X362:$X457="Penting"</formula>
    </cfRule>
    <cfRule type="expression" dxfId="714" priority="1842616">
      <formula>$R362:$R457=""</formula>
    </cfRule>
    <cfRule type="expression" dxfId="713" priority="1842617">
      <formula>$R362:$R457&lt;=0</formula>
    </cfRule>
    <cfRule type="expression" dxfId="712" priority="1842618">
      <formula>$R362:$R457&lt;4</formula>
    </cfRule>
  </conditionalFormatting>
  <conditionalFormatting sqref="AQ369:AS369">
    <cfRule type="expression" dxfId="711" priority="1842619">
      <formula>$X369:$X437="Penting"</formula>
    </cfRule>
    <cfRule type="expression" dxfId="710" priority="1842620">
      <formula>$R369:$R437=""</formula>
    </cfRule>
    <cfRule type="expression" dxfId="709" priority="1842621">
      <formula>$R369:$R437&lt;=0</formula>
    </cfRule>
    <cfRule type="expression" dxfId="708" priority="1842622">
      <formula>$R369:$R437&lt;4</formula>
    </cfRule>
  </conditionalFormatting>
  <conditionalFormatting sqref="S358">
    <cfRule type="expression" dxfId="707" priority="1842623">
      <formula>$X358:$X727="Penting"</formula>
    </cfRule>
    <cfRule type="expression" dxfId="706" priority="1842624">
      <formula>$R358:$R727=""</formula>
    </cfRule>
    <cfRule type="expression" dxfId="705" priority="1842625">
      <formula>$R358:$R727&lt;=0</formula>
    </cfRule>
    <cfRule type="expression" dxfId="704" priority="1842626">
      <formula>$R358:$R727&lt;4</formula>
    </cfRule>
  </conditionalFormatting>
  <conditionalFormatting sqref="AT362:AU362">
    <cfRule type="expression" dxfId="703" priority="1842627">
      <formula>$X362:$X525="Penting"</formula>
    </cfRule>
    <cfRule type="expression" dxfId="702" priority="1842628">
      <formula>$R362:$R525=""</formula>
    </cfRule>
    <cfRule type="expression" dxfId="701" priority="1842629">
      <formula>$R362:$R525&lt;=0</formula>
    </cfRule>
    <cfRule type="expression" dxfId="700" priority="1842630">
      <formula>$R362:$R525&lt;4</formula>
    </cfRule>
  </conditionalFormatting>
  <conditionalFormatting sqref="AT163:AU163">
    <cfRule type="expression" dxfId="699" priority="1842643">
      <formula>$X163:$X628="Penting"</formula>
    </cfRule>
    <cfRule type="expression" dxfId="698" priority="1842644">
      <formula>$R163:$R628=""</formula>
    </cfRule>
    <cfRule type="expression" dxfId="697" priority="1842645">
      <formula>$R163:$R628&lt;=0</formula>
    </cfRule>
    <cfRule type="expression" dxfId="696" priority="1842646">
      <formula>$R163:$R628&lt;4</formula>
    </cfRule>
  </conditionalFormatting>
  <conditionalFormatting sqref="AQ333:AS333">
    <cfRule type="expression" dxfId="695" priority="1842647">
      <formula>$X333:$X568="Penting"</formula>
    </cfRule>
    <cfRule type="expression" dxfId="694" priority="1842648">
      <formula>$R333:$R568=""</formula>
    </cfRule>
    <cfRule type="expression" dxfId="693" priority="1842649">
      <formula>$R333:$R568&lt;=0</formula>
    </cfRule>
    <cfRule type="expression" dxfId="692" priority="1842650">
      <formula>$R333:$R568&lt;4</formula>
    </cfRule>
  </conditionalFormatting>
  <conditionalFormatting sqref="AT273:AU273">
    <cfRule type="expression" dxfId="691" priority="1842651">
      <formula>$X273:$X495="Penting"</formula>
    </cfRule>
    <cfRule type="expression" dxfId="690" priority="1842652">
      <formula>$R273:$R495=""</formula>
    </cfRule>
    <cfRule type="expression" dxfId="689" priority="1842653">
      <formula>$R273:$R495&lt;=0</formula>
    </cfRule>
    <cfRule type="expression" dxfId="688" priority="1842654">
      <formula>$R273:$R495&lt;4</formula>
    </cfRule>
  </conditionalFormatting>
  <conditionalFormatting sqref="AT263:AU263">
    <cfRule type="expression" dxfId="687" priority="1842655">
      <formula>$X263:$X460="Penting"</formula>
    </cfRule>
    <cfRule type="expression" dxfId="686" priority="1842656">
      <formula>$R263:$R460=""</formula>
    </cfRule>
    <cfRule type="expression" dxfId="685" priority="1842657">
      <formula>$R263:$R460&lt;=0</formula>
    </cfRule>
    <cfRule type="expression" dxfId="684" priority="1842658">
      <formula>$R263:$R460&lt;4</formula>
    </cfRule>
  </conditionalFormatting>
  <conditionalFormatting sqref="AQ320:AS320">
    <cfRule type="expression" dxfId="683" priority="1842659">
      <formula>$X320:$X437="Penting"</formula>
    </cfRule>
    <cfRule type="expression" dxfId="682" priority="1842660">
      <formula>$R320:$R437=""</formula>
    </cfRule>
    <cfRule type="expression" dxfId="681" priority="1842661">
      <formula>$R320:$R437&lt;=0</formula>
    </cfRule>
    <cfRule type="expression" dxfId="680" priority="1842662">
      <formula>$R320:$R437&lt;4</formula>
    </cfRule>
  </conditionalFormatting>
  <conditionalFormatting sqref="AT267:AU267">
    <cfRule type="expression" dxfId="679" priority="1842663">
      <formula>$X267:$X470="Penting"</formula>
    </cfRule>
    <cfRule type="expression" dxfId="678" priority="1842664">
      <formula>$R267:$R470=""</formula>
    </cfRule>
    <cfRule type="expression" dxfId="677" priority="1842665">
      <formula>$R267:$R470&lt;=0</formula>
    </cfRule>
    <cfRule type="expression" dxfId="676" priority="1842666">
      <formula>$R267:$R470&lt;4</formula>
    </cfRule>
  </conditionalFormatting>
  <conditionalFormatting sqref="AT281:AU281">
    <cfRule type="expression" dxfId="675" priority="1842667">
      <formula>$X281:$X509="Penting"</formula>
    </cfRule>
    <cfRule type="expression" dxfId="674" priority="1842668">
      <formula>$R281:$R509=""</formula>
    </cfRule>
    <cfRule type="expression" dxfId="673" priority="1842669">
      <formula>$R281:$R509&lt;=0</formula>
    </cfRule>
    <cfRule type="expression" dxfId="672" priority="1842670">
      <formula>$R281:$R509&lt;4</formula>
    </cfRule>
  </conditionalFormatting>
  <conditionalFormatting sqref="AT235:AU235">
    <cfRule type="expression" dxfId="671" priority="1842671">
      <formula>$X235:$X696="Penting"</formula>
    </cfRule>
    <cfRule type="expression" dxfId="670" priority="1842672">
      <formula>$R235:$R696=""</formula>
    </cfRule>
    <cfRule type="expression" dxfId="669" priority="1842673">
      <formula>$R235:$R696&lt;=0</formula>
    </cfRule>
    <cfRule type="expression" dxfId="668" priority="1842674">
      <formula>$R235:$R696&lt;4</formula>
    </cfRule>
  </conditionalFormatting>
  <conditionalFormatting sqref="AQ282:AS282">
    <cfRule type="expression" dxfId="667" priority="1842675">
      <formula>$X282:$X525="Penting"</formula>
    </cfRule>
    <cfRule type="expression" dxfId="666" priority="1842676">
      <formula>$R282:$R525=""</formula>
    </cfRule>
    <cfRule type="expression" dxfId="665" priority="1842677">
      <formula>$R282:$R525&lt;=0</formula>
    </cfRule>
    <cfRule type="expression" dxfId="664" priority="1842678">
      <formula>$R282:$R525&lt;4</formula>
    </cfRule>
  </conditionalFormatting>
  <conditionalFormatting sqref="AT229:AU229">
    <cfRule type="expression" dxfId="663" priority="1842679">
      <formula>$X229:$X677="Penting"</formula>
    </cfRule>
    <cfRule type="expression" dxfId="662" priority="1842680">
      <formula>$R229:$R677=""</formula>
    </cfRule>
    <cfRule type="expression" dxfId="661" priority="1842681">
      <formula>$R229:$R677&lt;=0</formula>
    </cfRule>
    <cfRule type="expression" dxfId="660" priority="1842682">
      <formula>$R229:$R677&lt;4</formula>
    </cfRule>
  </conditionalFormatting>
  <conditionalFormatting sqref="AQ299:AS299">
    <cfRule type="expression" dxfId="659" priority="1842683">
      <formula>$X299:$X518="Penting"</formula>
    </cfRule>
    <cfRule type="expression" dxfId="658" priority="1842684">
      <formula>$R299:$R518=""</formula>
    </cfRule>
    <cfRule type="expression" dxfId="657" priority="1842685">
      <formula>$R299:$R518&lt;=0</formula>
    </cfRule>
    <cfRule type="expression" dxfId="656" priority="1842686">
      <formula>$R299:$R518&lt;4</formula>
    </cfRule>
  </conditionalFormatting>
  <conditionalFormatting sqref="AQ175:AS175">
    <cfRule type="expression" dxfId="655" priority="1842691">
      <formula>$X175:$X437="Penting"</formula>
    </cfRule>
    <cfRule type="expression" dxfId="654" priority="1842692">
      <formula>$R175:$R437=""</formula>
    </cfRule>
    <cfRule type="expression" dxfId="653" priority="1842693">
      <formula>$R175:$R437&lt;=0</formula>
    </cfRule>
    <cfRule type="expression" dxfId="652" priority="1842694">
      <formula>$R175:$R437&lt;4</formula>
    </cfRule>
  </conditionalFormatting>
  <conditionalFormatting sqref="AT232:AU232">
    <cfRule type="expression" dxfId="651" priority="1842695">
      <formula>$X232:$X687="Penting"</formula>
    </cfRule>
    <cfRule type="expression" dxfId="650" priority="1842696">
      <formula>$R232:$R687=""</formula>
    </cfRule>
    <cfRule type="expression" dxfId="649" priority="1842697">
      <formula>$R232:$R687&lt;=0</formula>
    </cfRule>
    <cfRule type="expression" dxfId="648" priority="1842698">
      <formula>$R232:$R687&lt;4</formula>
    </cfRule>
  </conditionalFormatting>
  <conditionalFormatting sqref="AT183:AU183">
    <cfRule type="expression" dxfId="647" priority="1842699">
      <formula>$X183:$X596="Penting"</formula>
    </cfRule>
    <cfRule type="expression" dxfId="646" priority="1842700">
      <formula>$R183:$R596=""</formula>
    </cfRule>
    <cfRule type="expression" dxfId="645" priority="1842701">
      <formula>$R183:$R596&lt;=0</formula>
    </cfRule>
    <cfRule type="expression" dxfId="644" priority="1842702">
      <formula>$R183:$R596&lt;4</formula>
    </cfRule>
  </conditionalFormatting>
  <conditionalFormatting sqref="AT212:AU212">
    <cfRule type="expression" dxfId="643" priority="1842703">
      <formula>$X212:$X645="Penting"</formula>
    </cfRule>
    <cfRule type="expression" dxfId="642" priority="1842704">
      <formula>$R212:$R645=""</formula>
    </cfRule>
    <cfRule type="expression" dxfId="641" priority="1842705">
      <formula>$R212:$R645&lt;=0</formula>
    </cfRule>
    <cfRule type="expression" dxfId="640" priority="1842706">
      <formula>$R212:$R645&lt;4</formula>
    </cfRule>
  </conditionalFormatting>
  <conditionalFormatting sqref="AQ270:AS270">
    <cfRule type="expression" dxfId="639" priority="1842707">
      <formula>$X251:$X437="Penting"</formula>
    </cfRule>
    <cfRule type="expression" dxfId="638" priority="1842708">
      <formula>$R251:$R437=""</formula>
    </cfRule>
    <cfRule type="expression" dxfId="637" priority="1842709">
      <formula>$R251:$R437&lt;=0</formula>
    </cfRule>
    <cfRule type="expression" dxfId="636" priority="1842710">
      <formula>$R251:$R437&lt;4</formula>
    </cfRule>
  </conditionalFormatting>
  <conditionalFormatting sqref="AQ169:AS169">
    <cfRule type="expression" dxfId="635" priority="1842711">
      <formula>$X167:$X527="Penting"</formula>
    </cfRule>
    <cfRule type="expression" dxfId="634" priority="1842712">
      <formula>$R167:$R527=""</formula>
    </cfRule>
    <cfRule type="expression" dxfId="633" priority="1842713">
      <formula>$R167:$R527&lt;=0</formula>
    </cfRule>
    <cfRule type="expression" dxfId="632" priority="1842714">
      <formula>$R167:$R527&lt;4</formula>
    </cfRule>
  </conditionalFormatting>
  <conditionalFormatting sqref="AT385:AU385">
    <cfRule type="expression" dxfId="631" priority="1842715">
      <formula>$X369:$X442="Penting"</formula>
    </cfRule>
    <cfRule type="expression" dxfId="630" priority="1842716">
      <formula>$R369:$R442=""</formula>
    </cfRule>
    <cfRule type="expression" dxfId="629" priority="1842717">
      <formula>$R369:$R442&lt;=0</formula>
    </cfRule>
    <cfRule type="expression" dxfId="628" priority="1842718">
      <formula>$R369:$R442&lt;4</formula>
    </cfRule>
  </conditionalFormatting>
  <conditionalFormatting sqref="AQ385:AS385">
    <cfRule type="expression" dxfId="627" priority="1842719">
      <formula>$X369:$X437="Penting"</formula>
    </cfRule>
    <cfRule type="expression" dxfId="626" priority="1842720">
      <formula>$R369:$R437=""</formula>
    </cfRule>
    <cfRule type="expression" dxfId="625" priority="1842721">
      <formula>$R369:$R437&lt;=0</formula>
    </cfRule>
    <cfRule type="expression" dxfId="624" priority="1842722">
      <formula>$R369:$R437&lt;4</formula>
    </cfRule>
  </conditionalFormatting>
  <conditionalFormatting sqref="AT165:AU165">
    <cfRule type="expression" dxfId="623" priority="1842723">
      <formula>$X165:$X594="Penting"</formula>
    </cfRule>
    <cfRule type="expression" dxfId="622" priority="1842724">
      <formula>$R165:$R594=""</formula>
    </cfRule>
    <cfRule type="expression" dxfId="621" priority="1842725">
      <formula>$R165:$R594&lt;=0</formula>
    </cfRule>
    <cfRule type="expression" dxfId="620" priority="1842726">
      <formula>$R165:$R594&lt;4</formula>
    </cfRule>
  </conditionalFormatting>
  <conditionalFormatting sqref="AQ303:AS303">
    <cfRule type="expression" dxfId="619" priority="1842727">
      <formula>$X301:$X510="Penting"</formula>
    </cfRule>
    <cfRule type="expression" dxfId="618" priority="1842728">
      <formula>$R301:$R510=""</formula>
    </cfRule>
    <cfRule type="expression" dxfId="617" priority="1842729">
      <formula>$R301:$R510&lt;=0</formula>
    </cfRule>
    <cfRule type="expression" dxfId="616" priority="1842730">
      <formula>$R301:$R510&lt;4</formula>
    </cfRule>
  </conditionalFormatting>
  <conditionalFormatting sqref="AQ264:AS264">
    <cfRule type="expression" dxfId="615" priority="1842731">
      <formula>$X262:$X437="Penting"</formula>
    </cfRule>
    <cfRule type="expression" dxfId="614" priority="1842732">
      <formula>$R262:$R437=""</formula>
    </cfRule>
    <cfRule type="expression" dxfId="613" priority="1842733">
      <formula>$R262:$R437&lt;=0</formula>
    </cfRule>
    <cfRule type="expression" dxfId="612" priority="1842734">
      <formula>$R262:$R437&lt;4</formula>
    </cfRule>
  </conditionalFormatting>
  <conditionalFormatting sqref="AT283:AU283">
    <cfRule type="expression" dxfId="611" priority="1842735">
      <formula>$X281:$X510="Penting"</formula>
    </cfRule>
    <cfRule type="expression" dxfId="610" priority="1842736">
      <formula>$R281:$R510=""</formula>
    </cfRule>
    <cfRule type="expression" dxfId="609" priority="1842737">
      <formula>$R281:$R510&lt;=0</formula>
    </cfRule>
    <cfRule type="expression" dxfId="608" priority="1842738">
      <formula>$R281:$R510&lt;4</formula>
    </cfRule>
  </conditionalFormatting>
  <conditionalFormatting sqref="AT293:AU293">
    <cfRule type="expression" dxfId="607" priority="1842739">
      <formula>$X281:$X510="Penting"</formula>
    </cfRule>
    <cfRule type="expression" dxfId="606" priority="1842740">
      <formula>$R281:$R510=""</formula>
    </cfRule>
    <cfRule type="expression" dxfId="605" priority="1842741">
      <formula>$R281:$R510&lt;=0</formula>
    </cfRule>
    <cfRule type="expression" dxfId="604" priority="1842742">
      <formula>$R281:$R510&lt;4</formula>
    </cfRule>
  </conditionalFormatting>
  <conditionalFormatting sqref="AT294:AU294">
    <cfRule type="expression" dxfId="603" priority="1842743">
      <formula>$X283:$X511="Penting"</formula>
    </cfRule>
    <cfRule type="expression" dxfId="602" priority="1842744">
      <formula>$R283:$R511=""</formula>
    </cfRule>
    <cfRule type="expression" dxfId="601" priority="1842745">
      <formula>$R283:$R511&lt;=0</formula>
    </cfRule>
    <cfRule type="expression" dxfId="600" priority="1842746">
      <formula>$R283:$R511&lt;4</formula>
    </cfRule>
  </conditionalFormatting>
  <conditionalFormatting sqref="AT240:AU240">
    <cfRule type="expression" dxfId="599" priority="1842747">
      <formula>$X210:$X597="Penting"</formula>
    </cfRule>
    <cfRule type="expression" dxfId="598" priority="1842748">
      <formula>$R210:$R597=""</formula>
    </cfRule>
    <cfRule type="expression" dxfId="597" priority="1842749">
      <formula>$R210:$R597&lt;=0</formula>
    </cfRule>
    <cfRule type="expression" dxfId="596" priority="1842750">
      <formula>$R210:$R597&lt;4</formula>
    </cfRule>
  </conditionalFormatting>
  <conditionalFormatting sqref="AT209:AU209">
    <cfRule type="expression" dxfId="595" priority="1842751">
      <formula>$X205:$X596="Penting"</formula>
    </cfRule>
    <cfRule type="expression" dxfId="594" priority="1842752">
      <formula>$R205:$R596=""</formula>
    </cfRule>
    <cfRule type="expression" dxfId="593" priority="1842753">
      <formula>$R205:$R596&lt;=0</formula>
    </cfRule>
    <cfRule type="expression" dxfId="592" priority="1842754">
      <formula>$R205:$R596&lt;4</formula>
    </cfRule>
  </conditionalFormatting>
  <conditionalFormatting sqref="AT172:AU172 AT233:AU234">
    <cfRule type="expression" dxfId="591" priority="1842755">
      <formula>$X172:$X631="Penting"</formula>
    </cfRule>
    <cfRule type="expression" dxfId="590" priority="1842756">
      <formula>$R172:$R631=""</formula>
    </cfRule>
    <cfRule type="expression" dxfId="589" priority="1842757">
      <formula>$R172:$R631&lt;=0</formula>
    </cfRule>
    <cfRule type="expression" dxfId="588" priority="1842758">
      <formula>$R172:$R631&lt;4</formula>
    </cfRule>
  </conditionalFormatting>
  <conditionalFormatting sqref="AQ283:AS283">
    <cfRule type="expression" dxfId="587" priority="1842763">
      <formula>$X281:$X443="Penting"</formula>
    </cfRule>
    <cfRule type="expression" dxfId="586" priority="1842764">
      <formula>$R281:$R443=""</formula>
    </cfRule>
    <cfRule type="expression" dxfId="585" priority="1842765">
      <formula>$R281:$R443&lt;=0</formula>
    </cfRule>
    <cfRule type="expression" dxfId="584" priority="1842766">
      <formula>$R281:$R443&lt;4</formula>
    </cfRule>
  </conditionalFormatting>
  <conditionalFormatting sqref="AT303:AU303">
    <cfRule type="expression" dxfId="583" priority="1842767">
      <formula>$X301:$X578="Penting"</formula>
    </cfRule>
    <cfRule type="expression" dxfId="582" priority="1842768">
      <formula>$R301:$R578=""</formula>
    </cfRule>
    <cfRule type="expression" dxfId="581" priority="1842769">
      <formula>$R301:$R578&lt;=0</formula>
    </cfRule>
    <cfRule type="expression" dxfId="580" priority="1842770">
      <formula>$R301:$R578&lt;4</formula>
    </cfRule>
  </conditionalFormatting>
  <conditionalFormatting sqref="AT300:AU300">
    <cfRule type="expression" dxfId="579" priority="1842771">
      <formula>$X297:$X584="Penting"</formula>
    </cfRule>
    <cfRule type="expression" dxfId="578" priority="1842772">
      <formula>$R297:$R584=""</formula>
    </cfRule>
    <cfRule type="expression" dxfId="577" priority="1842773">
      <formula>$R297:$R584&lt;=0</formula>
    </cfRule>
    <cfRule type="expression" dxfId="576" priority="1842774">
      <formula>$R297:$R584&lt;4</formula>
    </cfRule>
  </conditionalFormatting>
  <conditionalFormatting sqref="AT292:AU292">
    <cfRule type="expression" dxfId="575" priority="1842775">
      <formula>$X291:$X591="Penting"</formula>
    </cfRule>
    <cfRule type="expression" dxfId="574" priority="1842776">
      <formula>$R291:$R591=""</formula>
    </cfRule>
    <cfRule type="expression" dxfId="573" priority="1842777">
      <formula>$R291:$R591&lt;=0</formula>
    </cfRule>
    <cfRule type="expression" dxfId="572" priority="1842778">
      <formula>$R291:$R591&lt;4</formula>
    </cfRule>
  </conditionalFormatting>
  <conditionalFormatting sqref="AT169:AU169">
    <cfRule type="expression" dxfId="571" priority="1842779">
      <formula>$X167:$X595="Penting"</formula>
    </cfRule>
    <cfRule type="expression" dxfId="570" priority="1842780">
      <formula>$R167:$R595=""</formula>
    </cfRule>
    <cfRule type="expression" dxfId="569" priority="1842781">
      <formula>$R167:$R595&lt;=0</formula>
    </cfRule>
    <cfRule type="expression" dxfId="568" priority="1842782">
      <formula>$R167:$R595&lt;4</formula>
    </cfRule>
  </conditionalFormatting>
  <conditionalFormatting sqref="AQ300:AS300">
    <cfRule type="expression" dxfId="567" priority="1842783">
      <formula>$X297:$X516="Penting"</formula>
    </cfRule>
    <cfRule type="expression" dxfId="566" priority="1842784">
      <formula>$R297:$R516=""</formula>
    </cfRule>
    <cfRule type="expression" dxfId="565" priority="1842785">
      <formula>$R297:$R516&lt;=0</formula>
    </cfRule>
    <cfRule type="expression" dxfId="564" priority="1842786">
      <formula>$R297:$R516&lt;4</formula>
    </cfRule>
  </conditionalFormatting>
  <conditionalFormatting sqref="AQ181:AS181">
    <cfRule type="expression" dxfId="563" priority="1842787">
      <formula>$X179:$X560="Penting"</formula>
    </cfRule>
    <cfRule type="expression" dxfId="562" priority="1842788">
      <formula>$R179:$R560=""</formula>
    </cfRule>
    <cfRule type="expression" dxfId="561" priority="1842789">
      <formula>$R179:$R560&lt;=0</formula>
    </cfRule>
    <cfRule type="expression" dxfId="560" priority="1842790">
      <formula>$R179:$R560&lt;4</formula>
    </cfRule>
  </conditionalFormatting>
  <conditionalFormatting sqref="AQ293:AS293">
    <cfRule type="expression" dxfId="559" priority="1842791">
      <formula>$X281:$X443="Penting"</formula>
    </cfRule>
    <cfRule type="expression" dxfId="558" priority="1842792">
      <formula>$R281:$R443=""</formula>
    </cfRule>
    <cfRule type="expression" dxfId="557" priority="1842793">
      <formula>$R281:$R443&lt;=0</formula>
    </cfRule>
    <cfRule type="expression" dxfId="556" priority="1842794">
      <formula>$R281:$R443&lt;4</formula>
    </cfRule>
  </conditionalFormatting>
  <conditionalFormatting sqref="AQ292:AS292">
    <cfRule type="expression" dxfId="555" priority="1842795">
      <formula>$X291:$X523="Penting"</formula>
    </cfRule>
    <cfRule type="expression" dxfId="554" priority="1842796">
      <formula>$R291:$R523=""</formula>
    </cfRule>
    <cfRule type="expression" dxfId="553" priority="1842797">
      <formula>$R291:$R523&lt;=0</formula>
    </cfRule>
    <cfRule type="expression" dxfId="552" priority="1842798">
      <formula>$R291:$R523&lt;4</formula>
    </cfRule>
  </conditionalFormatting>
  <conditionalFormatting sqref="AQ294:AS294">
    <cfRule type="expression" dxfId="551" priority="1842799">
      <formula>$X283:$X444="Penting"</formula>
    </cfRule>
    <cfRule type="expression" dxfId="550" priority="1842800">
      <formula>$R283:$R444=""</formula>
    </cfRule>
    <cfRule type="expression" dxfId="549" priority="1842801">
      <formula>$R283:$R444&lt;=0</formula>
    </cfRule>
    <cfRule type="expression" dxfId="548" priority="1842802">
      <formula>$R283:$R444&lt;4</formula>
    </cfRule>
  </conditionalFormatting>
  <conditionalFormatting sqref="AT275:AU275">
    <cfRule type="expression" dxfId="547" priority="1842803">
      <formula>$X253:$X475="Penting"</formula>
    </cfRule>
    <cfRule type="expression" dxfId="546" priority="1842804">
      <formula>$R253:$R475=""</formula>
    </cfRule>
    <cfRule type="expression" dxfId="545" priority="1842805">
      <formula>$R253:$R475&lt;=0</formula>
    </cfRule>
    <cfRule type="expression" dxfId="544" priority="1842806">
      <formula>$R253:$R475&lt;4</formula>
    </cfRule>
  </conditionalFormatting>
  <conditionalFormatting sqref="AT241:AU241">
    <cfRule type="expression" dxfId="543" priority="1842807">
      <formula>$X237:$X639="Penting"</formula>
    </cfRule>
    <cfRule type="expression" dxfId="542" priority="1842808">
      <formula>$R237:$R639=""</formula>
    </cfRule>
    <cfRule type="expression" dxfId="541" priority="1842809">
      <formula>$R237:$R639&lt;=0</formula>
    </cfRule>
    <cfRule type="expression" dxfId="540" priority="1842810">
      <formula>$R237:$R639&lt;4</formula>
    </cfRule>
  </conditionalFormatting>
  <conditionalFormatting sqref="AQ240:AS240">
    <cfRule type="expression" dxfId="539" priority="1842811">
      <formula>$X210:$X530="Penting"</formula>
    </cfRule>
    <cfRule type="expression" dxfId="538" priority="1842812">
      <formula>$R210:$R530=""</formula>
    </cfRule>
    <cfRule type="expression" dxfId="537" priority="1842813">
      <formula>$R210:$R530&lt;=0</formula>
    </cfRule>
    <cfRule type="expression" dxfId="536" priority="1842814">
      <formula>$R210:$R530&lt;4</formula>
    </cfRule>
  </conditionalFormatting>
  <conditionalFormatting sqref="AQ209:AS209">
    <cfRule type="expression" dxfId="535" priority="1842815">
      <formula>$X205:$X529="Penting"</formula>
    </cfRule>
    <cfRule type="expression" dxfId="534" priority="1842816">
      <formula>$R205:$R529=""</formula>
    </cfRule>
    <cfRule type="expression" dxfId="533" priority="1842817">
      <formula>$R205:$R529&lt;=0</formula>
    </cfRule>
    <cfRule type="expression" dxfId="532" priority="1842818">
      <formula>$R205:$R529&lt;4</formula>
    </cfRule>
  </conditionalFormatting>
  <conditionalFormatting sqref="AT181:AU181">
    <cfRule type="expression" dxfId="531" priority="1842819">
      <formula>$X179:$X636="Penting"</formula>
    </cfRule>
    <cfRule type="expression" dxfId="530" priority="1842820">
      <formula>$R179:$R636=""</formula>
    </cfRule>
    <cfRule type="expression" dxfId="529" priority="1842821">
      <formula>$R179:$R636&lt;=0</formula>
    </cfRule>
    <cfRule type="expression" dxfId="528" priority="1842822">
      <formula>$R179:$R636&lt;4</formula>
    </cfRule>
  </conditionalFormatting>
  <conditionalFormatting sqref="S346">
    <cfRule type="expression" dxfId="527" priority="1842823">
      <formula>$X346:$X758="Penting"</formula>
    </cfRule>
    <cfRule type="expression" dxfId="526" priority="1842824">
      <formula>$R346:$R758=""</formula>
    </cfRule>
    <cfRule type="expression" dxfId="525" priority="1842825">
      <formula>$R346:$R758&lt;=0</formula>
    </cfRule>
    <cfRule type="expression" dxfId="524" priority="1842826">
      <formula>$R346:$R758&lt;4</formula>
    </cfRule>
  </conditionalFormatting>
  <conditionalFormatting sqref="AT348:AU348 AQ261:AS261">
    <cfRule type="expression" dxfId="523" priority="1842827">
      <formula>$X261:$X437="Penting"</formula>
    </cfRule>
    <cfRule type="expression" dxfId="522" priority="1842828">
      <formula>$R261:$R437=""</formula>
    </cfRule>
    <cfRule type="expression" dxfId="521" priority="1842829">
      <formula>$R261:$R437&lt;=0</formula>
    </cfRule>
    <cfRule type="expression" dxfId="520" priority="1842830">
      <formula>$R261:$R437&lt;4</formula>
    </cfRule>
  </conditionalFormatting>
  <conditionalFormatting sqref="S362">
    <cfRule type="expression" dxfId="519" priority="1842835">
      <formula>$X362:$X751="Penting"</formula>
    </cfRule>
    <cfRule type="expression" dxfId="518" priority="1842836">
      <formula>$R362:$R751=""</formula>
    </cfRule>
    <cfRule type="expression" dxfId="517" priority="1842837">
      <formula>$R362:$R751&lt;=0</formula>
    </cfRule>
    <cfRule type="expression" dxfId="516" priority="1842838">
      <formula>$R362:$R751&lt;4</formula>
    </cfRule>
  </conditionalFormatting>
  <conditionalFormatting sqref="AQ353:AS353 AQ350:AS351">
    <cfRule type="expression" dxfId="515" priority="1842851">
      <formula>$X350:$X456="Penting"</formula>
    </cfRule>
    <cfRule type="expression" dxfId="514" priority="1842852">
      <formula>$R350:$R456=""</formula>
    </cfRule>
    <cfRule type="expression" dxfId="513" priority="1842853">
      <formula>$R350:$R456&lt;=0</formula>
    </cfRule>
    <cfRule type="expression" dxfId="512" priority="1842854">
      <formula>$R350:$R456&lt;4</formula>
    </cfRule>
  </conditionalFormatting>
  <conditionalFormatting sqref="S352 S363">
    <cfRule type="expression" dxfId="511" priority="1842859">
      <formula>$X352:$X736="Penting"</formula>
    </cfRule>
    <cfRule type="expression" dxfId="510" priority="1842860">
      <formula>$R352:$R736=""</formula>
    </cfRule>
    <cfRule type="expression" dxfId="509" priority="1842861">
      <formula>$R352:$R736&lt;=0</formula>
    </cfRule>
    <cfRule type="expression" dxfId="508" priority="1842862">
      <formula>$R352:$R736&lt;4</formula>
    </cfRule>
  </conditionalFormatting>
  <conditionalFormatting sqref="AT366:AU366">
    <cfRule type="expression" dxfId="507" priority="1842875">
      <formula>$X366:$X458="Penting"</formula>
    </cfRule>
    <cfRule type="expression" dxfId="506" priority="1842876">
      <formula>$R366:$R458=""</formula>
    </cfRule>
    <cfRule type="expression" dxfId="505" priority="1842877">
      <formula>$R366:$R458&lt;=0</formula>
    </cfRule>
    <cfRule type="expression" dxfId="504" priority="1842878">
      <formula>$R366:$R458&lt;4</formula>
    </cfRule>
  </conditionalFormatting>
  <conditionalFormatting sqref="AQ366:AS366">
    <cfRule type="expression" dxfId="503" priority="1842879">
      <formula>$X366:$X438="Penting"</formula>
    </cfRule>
    <cfRule type="expression" dxfId="502" priority="1842880">
      <formula>$R366:$R438=""</formula>
    </cfRule>
    <cfRule type="expression" dxfId="501" priority="1842881">
      <formula>$R366:$R438&lt;=0</formula>
    </cfRule>
    <cfRule type="expression" dxfId="500" priority="1842882">
      <formula>$R366:$R438&lt;4</formula>
    </cfRule>
  </conditionalFormatting>
  <conditionalFormatting sqref="AQ372:AS372">
    <cfRule type="expression" dxfId="499" priority="1842883">
      <formula>$X372:$X437="Penting"</formula>
    </cfRule>
    <cfRule type="expression" dxfId="498" priority="1842884">
      <formula>$R372:$R437=""</formula>
    </cfRule>
    <cfRule type="expression" dxfId="497" priority="1842885">
      <formula>$R372:$R437&lt;=0</formula>
    </cfRule>
    <cfRule type="expression" dxfId="496" priority="1842886">
      <formula>$R372:$R437&lt;4</formula>
    </cfRule>
  </conditionalFormatting>
  <conditionalFormatting sqref="AT372:AU372">
    <cfRule type="expression" dxfId="495" priority="1842887">
      <formula>$X372:$X505="Penting"</formula>
    </cfRule>
    <cfRule type="expression" dxfId="494" priority="1842888">
      <formula>$R372:$R505=""</formula>
    </cfRule>
    <cfRule type="expression" dxfId="493" priority="1842889">
      <formula>$R372:$R505&lt;=0</formula>
    </cfRule>
    <cfRule type="expression" dxfId="492" priority="1842890">
      <formula>$R372:$R505&lt;4</formula>
    </cfRule>
  </conditionalFormatting>
  <conditionalFormatting sqref="AQ375:AS375">
    <cfRule type="expression" dxfId="491" priority="1843349">
      <formula>$X375:$X455="Penting"</formula>
    </cfRule>
    <cfRule type="expression" dxfId="490" priority="1843350">
      <formula>$R375:$R455=""</formula>
    </cfRule>
    <cfRule type="expression" dxfId="489" priority="1843351">
      <formula>$R375:$R455&lt;=0</formula>
    </cfRule>
    <cfRule type="expression" dxfId="488" priority="1843352">
      <formula>$R375:$R455&lt;4</formula>
    </cfRule>
  </conditionalFormatting>
  <conditionalFormatting sqref="W365:AP365 C365:S365 AQ138:AS138">
    <cfRule type="expression" dxfId="487" priority="1843365">
      <formula>$X138:$X437="Penting"</formula>
    </cfRule>
    <cfRule type="expression" dxfId="486" priority="1843366">
      <formula>$R138:$R437=""</formula>
    </cfRule>
    <cfRule type="expression" dxfId="485" priority="1843367">
      <formula>$R138:$R437&lt;=0</formula>
    </cfRule>
    <cfRule type="expression" dxfId="484" priority="1843368">
      <formula>$R138:$R437&lt;4</formula>
    </cfRule>
  </conditionalFormatting>
  <conditionalFormatting sqref="AQ304:AS306 AQ258:AS260">
    <cfRule type="expression" dxfId="483" priority="1843385">
      <formula>$R258:$R449="End"</formula>
    </cfRule>
  </conditionalFormatting>
  <conditionalFormatting sqref="AQ304:AS306 AQ258:AS260">
    <cfRule type="expression" dxfId="482" priority="1843387" stopIfTrue="1">
      <formula>$R258:$R449="Cancel"</formula>
    </cfRule>
  </conditionalFormatting>
  <conditionalFormatting sqref="R376 AD372">
    <cfRule type="expression" dxfId="481" priority="1843443">
      <formula>$R372:$R668="End"</formula>
    </cfRule>
  </conditionalFormatting>
  <conditionalFormatting sqref="R376 AD372">
    <cfRule type="expression" dxfId="480" priority="1843444" stopIfTrue="1">
      <formula>$R372:$R668="Cancel"</formula>
    </cfRule>
  </conditionalFormatting>
  <conditionalFormatting sqref="AQ200:AS200 AQ189:AS189 AQ186:AS186">
    <cfRule type="expression" dxfId="479" priority="1843451">
      <formula>$X186:$X437="Penting"</formula>
    </cfRule>
    <cfRule type="expression" dxfId="478" priority="1843452">
      <formula>$R186:$R437=""</formula>
    </cfRule>
    <cfRule type="expression" dxfId="477" priority="1843453">
      <formula>$R186:$R437&lt;=0</formula>
    </cfRule>
    <cfRule type="expression" dxfId="476" priority="1843454">
      <formula>$R186:$R437&lt;4</formula>
    </cfRule>
  </conditionalFormatting>
  <conditionalFormatting sqref="AT274:AU274">
    <cfRule type="expression" dxfId="475" priority="1843551">
      <formula>$X274:$X482="Penting"</formula>
    </cfRule>
    <cfRule type="expression" dxfId="474" priority="1843552">
      <formula>$R274:$R482=""</formula>
    </cfRule>
    <cfRule type="expression" dxfId="473" priority="1843553">
      <formula>$R274:$R482&lt;=0</formula>
    </cfRule>
    <cfRule type="expression" dxfId="472" priority="1843554">
      <formula>$R274:$R482&lt;4</formula>
    </cfRule>
  </conditionalFormatting>
  <conditionalFormatting sqref="AQ250:AS250">
    <cfRule type="expression" dxfId="471" priority="1843561">
      <formula>$X250:$X437="Penting"</formula>
    </cfRule>
    <cfRule type="expression" dxfId="470" priority="1843562">
      <formula>$R250:$R437=""</formula>
    </cfRule>
    <cfRule type="expression" dxfId="469" priority="1843563">
      <formula>$R250:$R437&lt;=0</formula>
    </cfRule>
    <cfRule type="expression" dxfId="468" priority="1843564">
      <formula>$R250:$R437&lt;4</formula>
    </cfRule>
  </conditionalFormatting>
  <conditionalFormatting sqref="AQ184:AS185">
    <cfRule type="expression" dxfId="467" priority="1843589">
      <formula>$X184:$X327="Penting"</formula>
    </cfRule>
    <cfRule type="expression" dxfId="466" priority="1843590">
      <formula>$R184:$R327=""</formula>
    </cfRule>
    <cfRule type="expression" dxfId="465" priority="1843591">
      <formula>$R184:$R327&lt;=0</formula>
    </cfRule>
    <cfRule type="expression" dxfId="464" priority="1843592">
      <formula>$R184:$R327&lt;4</formula>
    </cfRule>
  </conditionalFormatting>
  <conditionalFormatting sqref="T367:V367 W377:AP378 T365:V365 C377:S378 C379:Q379 Y379:AP380 T313:V345 AT145:AU146 AT195:AU195 C380:O380">
    <cfRule type="expression" dxfId="463" priority="1843593">
      <formula>$X145:$X468="Penting"</formula>
    </cfRule>
    <cfRule type="expression" dxfId="462" priority="1843594">
      <formula>$R145:$R468=""</formula>
    </cfRule>
    <cfRule type="expression" dxfId="461" priority="1843595">
      <formula>$R145:$R468&lt;=0</formula>
    </cfRule>
    <cfRule type="expression" dxfId="460" priority="1843596">
      <formula>$R145:$R468&lt;4</formula>
    </cfRule>
  </conditionalFormatting>
  <conditionalFormatting sqref="AT375:AU375">
    <cfRule type="expression" dxfId="459" priority="1843633">
      <formula>$X375:$X522="Penting"</formula>
    </cfRule>
    <cfRule type="expression" dxfId="458" priority="1843634">
      <formula>$R375:$R522=""</formula>
    </cfRule>
    <cfRule type="expression" dxfId="457" priority="1843635">
      <formula>$R375:$R522&lt;=0</formula>
    </cfRule>
    <cfRule type="expression" dxfId="456" priority="1843636">
      <formula>$R375:$R522&lt;4</formula>
    </cfRule>
  </conditionalFormatting>
  <conditionalFormatting sqref="AT313:AU313">
    <cfRule type="expression" dxfId="455" priority="1843637">
      <formula>$X313:$X472="Penting"</formula>
    </cfRule>
    <cfRule type="expression" dxfId="454" priority="1843638">
      <formula>$R313:$R472=""</formula>
    </cfRule>
    <cfRule type="expression" dxfId="453" priority="1843639">
      <formula>$R313:$R472&lt;=0</formula>
    </cfRule>
    <cfRule type="expression" dxfId="452" priority="1843640">
      <formula>$R313:$R472&lt;4</formula>
    </cfRule>
  </conditionalFormatting>
  <conditionalFormatting sqref="AT317:AU318">
    <cfRule type="expression" dxfId="451" priority="1843659">
      <formula>$X317:$X455="Penting"</formula>
    </cfRule>
    <cfRule type="expression" dxfId="450" priority="1843660">
      <formula>$R317:$R455=""</formula>
    </cfRule>
    <cfRule type="expression" dxfId="449" priority="1843661">
      <formula>$R317:$R455&lt;=0</formula>
    </cfRule>
    <cfRule type="expression" dxfId="448" priority="1843662">
      <formula>$R317:$R455&lt;4</formula>
    </cfRule>
  </conditionalFormatting>
  <conditionalFormatting sqref="AT370:AU370">
    <cfRule type="expression" dxfId="447" priority="1843663">
      <formula>$X370:$X524="Penting"</formula>
    </cfRule>
    <cfRule type="expression" dxfId="446" priority="1843664">
      <formula>$R370:$R524=""</formula>
    </cfRule>
    <cfRule type="expression" dxfId="445" priority="1843665">
      <formula>$R370:$R524&lt;=0</formula>
    </cfRule>
    <cfRule type="expression" dxfId="444" priority="1843666">
      <formula>$R370:$R524&lt;4</formula>
    </cfRule>
  </conditionalFormatting>
  <conditionalFormatting sqref="AT367:AU367">
    <cfRule type="expression" dxfId="443" priority="1843691">
      <formula>$X367:$X524="Penting"</formula>
    </cfRule>
    <cfRule type="expression" dxfId="442" priority="1843692">
      <formula>$R367:$R524=""</formula>
    </cfRule>
    <cfRule type="expression" dxfId="441" priority="1843693">
      <formula>$R367:$R524&lt;=0</formula>
    </cfRule>
    <cfRule type="expression" dxfId="440" priority="1843694">
      <formula>$R367:$R524&lt;4</formula>
    </cfRule>
  </conditionalFormatting>
  <conditionalFormatting sqref="S367 S365 S313:S345">
    <cfRule type="expression" dxfId="439" priority="1843733">
      <formula>$X313:$X677="Penting"</formula>
    </cfRule>
    <cfRule type="expression" dxfId="438" priority="1843734">
      <formula>$R313:$R677=""</formula>
    </cfRule>
    <cfRule type="expression" dxfId="437" priority="1843735">
      <formula>$R313:$R677&lt;=0</formula>
    </cfRule>
    <cfRule type="expression" dxfId="436" priority="1843736">
      <formula>$R313:$R677&lt;4</formula>
    </cfRule>
  </conditionalFormatting>
  <conditionalFormatting sqref="C358">
    <cfRule type="expression" dxfId="435" priority="1843745">
      <formula>$X358:$X678="Penting"</formula>
    </cfRule>
    <cfRule type="expression" dxfId="434" priority="1843746">
      <formula>$R358:$R678=""</formula>
    </cfRule>
    <cfRule type="expression" dxfId="433" priority="1843747">
      <formula>$R358:$R678&lt;=0</formula>
    </cfRule>
    <cfRule type="expression" dxfId="432" priority="1843748">
      <formula>$R358:$R678&lt;4</formula>
    </cfRule>
  </conditionalFormatting>
  <conditionalFormatting sqref="AQ140:AS140">
    <cfRule type="expression" dxfId="431" priority="1843893">
      <formula>$X140:$X437="Penting"</formula>
    </cfRule>
    <cfRule type="expression" dxfId="430" priority="1843894">
      <formula>$R140:$R437=""</formula>
    </cfRule>
    <cfRule type="expression" dxfId="429" priority="1843895">
      <formula>$R140:$R437&lt;=0</formula>
    </cfRule>
    <cfRule type="expression" dxfId="428" priority="1843896">
      <formula>$R140:$R437&lt;4</formula>
    </cfRule>
  </conditionalFormatting>
  <conditionalFormatting sqref="T354:V354 T371:V371">
    <cfRule type="expression" dxfId="427" priority="1844005">
      <formula>$X354:$X692="Penting"</formula>
    </cfRule>
    <cfRule type="expression" dxfId="426" priority="1844006">
      <formula>$R354:$R692=""</formula>
    </cfRule>
    <cfRule type="expression" dxfId="425" priority="1844007">
      <formula>$R354:$R692&lt;=0</formula>
    </cfRule>
    <cfRule type="expression" dxfId="424" priority="1844008">
      <formula>$R354:$R692&lt;4</formula>
    </cfRule>
  </conditionalFormatting>
  <conditionalFormatting sqref="T363:V363 T352:V352">
    <cfRule type="expression" dxfId="423" priority="1844045">
      <formula>$X352:$X696="Penting"</formula>
    </cfRule>
    <cfRule type="expression" dxfId="422" priority="1844046">
      <formula>$R352:$R696=""</formula>
    </cfRule>
    <cfRule type="expression" dxfId="421" priority="1844047">
      <formula>$R352:$R696&lt;=0</formula>
    </cfRule>
    <cfRule type="expression" dxfId="420" priority="1844048">
      <formula>$R352:$R696&lt;4</formula>
    </cfRule>
  </conditionalFormatting>
  <conditionalFormatting sqref="AT355:AU355">
    <cfRule type="expression" dxfId="419" priority="1844147">
      <formula>$X355:$X525="Penting"</formula>
    </cfRule>
    <cfRule type="expression" dxfId="418" priority="1844148">
      <formula>$R355:$R525=""</formula>
    </cfRule>
    <cfRule type="expression" dxfId="417" priority="1844149">
      <formula>$R355:$R525&lt;=0</formula>
    </cfRule>
    <cfRule type="expression" dxfId="416" priority="1844150">
      <formula>$R355:$R525&lt;4</formula>
    </cfRule>
  </conditionalFormatting>
  <conditionalFormatting sqref="AQ166:AS166">
    <cfRule type="expression" dxfId="415" priority="1844279">
      <formula>$X166:$X437="Penting"</formula>
    </cfRule>
    <cfRule type="expression" dxfId="414" priority="1844280">
      <formula>$R166:$R437=""</formula>
    </cfRule>
    <cfRule type="expression" dxfId="413" priority="1844281">
      <formula>$R166:$R437&lt;=0</formula>
    </cfRule>
    <cfRule type="expression" dxfId="412" priority="1844282">
      <formula>$R166:$R437&lt;4</formula>
    </cfRule>
  </conditionalFormatting>
  <conditionalFormatting sqref="S347 S364 S361 S359 AT205:AU206 AT202:AU202 AQ163:AS163">
    <cfRule type="expression" dxfId="411" priority="1844335">
      <formula>$X163:$X558="Penting"</formula>
    </cfRule>
    <cfRule type="expression" dxfId="410" priority="1844336">
      <formula>$R163:$R558=""</formula>
    </cfRule>
    <cfRule type="expression" dxfId="409" priority="1844337">
      <formula>$R163:$R558&lt;=0</formula>
    </cfRule>
    <cfRule type="expression" dxfId="408" priority="1844338">
      <formula>$R163:$R558&lt;4</formula>
    </cfRule>
  </conditionalFormatting>
  <conditionalFormatting sqref="W360:AP360">
    <cfRule type="expression" dxfId="407" priority="1844489">
      <formula>$X360:$X693="Penting"</formula>
    </cfRule>
    <cfRule type="expression" dxfId="406" priority="1844490">
      <formula>$R360:$R693=""</formula>
    </cfRule>
    <cfRule type="expression" dxfId="405" priority="1844491">
      <formula>$R360:$R693&lt;=0</formula>
    </cfRule>
    <cfRule type="expression" dxfId="404" priority="1844492">
      <formula>$R360:$R693&lt;4</formula>
    </cfRule>
  </conditionalFormatting>
  <conditionalFormatting sqref="W134:AS134 AT295:AU296 A134:S135 C136:S312 A136:B380 A380:A438 W135:AP312">
    <cfRule type="expression" dxfId="403" priority="1844505">
      <formula>$X134:$X437="Penting"</formula>
    </cfRule>
    <cfRule type="expression" dxfId="402" priority="1844506">
      <formula>$R134:$R437=""</formula>
    </cfRule>
    <cfRule type="expression" dxfId="401" priority="1844507">
      <formula>$R134:$R437&lt;=0</formula>
    </cfRule>
    <cfRule type="expression" dxfId="400" priority="1844508">
      <formula>$R134:$R437&lt;4</formula>
    </cfRule>
  </conditionalFormatting>
  <conditionalFormatting sqref="C359:S359">
    <cfRule type="expression" dxfId="399" priority="1844531">
      <formula>$X359:$X689="Penting"</formula>
    </cfRule>
    <cfRule type="expression" dxfId="398" priority="1844532">
      <formula>$R359:$R689=""</formula>
    </cfRule>
    <cfRule type="expression" dxfId="397" priority="1844533">
      <formula>$R359:$R689&lt;=0</formula>
    </cfRule>
    <cfRule type="expression" dxfId="396" priority="1844534">
      <formula>$R359:$R689&lt;4</formula>
    </cfRule>
  </conditionalFormatting>
  <conditionalFormatting sqref="AQ357:AS357">
    <cfRule type="expression" dxfId="395" priority="1844559">
      <formula>$X357:$X466="Penting"</formula>
    </cfRule>
    <cfRule type="expression" dxfId="394" priority="1844560">
      <formula>$R357:$R466=""</formula>
    </cfRule>
    <cfRule type="expression" dxfId="393" priority="1844561">
      <formula>$R357:$R466&lt;=0</formula>
    </cfRule>
    <cfRule type="expression" dxfId="392" priority="1844562">
      <formula>$R357:$R466&lt;4</formula>
    </cfRule>
  </conditionalFormatting>
  <conditionalFormatting sqref="AT339:AU339">
    <cfRule type="expression" dxfId="391" priority="1844567">
      <formula>$X339:$X618="Penting"</formula>
    </cfRule>
    <cfRule type="expression" dxfId="390" priority="1844568">
      <formula>$R339:$R618=""</formula>
    </cfRule>
    <cfRule type="expression" dxfId="389" priority="1844569">
      <formula>$R339:$R618&lt;=0</formula>
    </cfRule>
    <cfRule type="expression" dxfId="388" priority="1844570">
      <formula>$R339:$R618&lt;4</formula>
    </cfRule>
  </conditionalFormatting>
  <conditionalFormatting sqref="AQ170:AS170">
    <cfRule type="expression" dxfId="387" priority="1844575">
      <formula>$X170:$X437="Penting"</formula>
    </cfRule>
    <cfRule type="expression" dxfId="386" priority="1844576">
      <formula>$R170:$R437=""</formula>
    </cfRule>
    <cfRule type="expression" dxfId="385" priority="1844577">
      <formula>$R170:$R437&lt;=0</formula>
    </cfRule>
    <cfRule type="expression" dxfId="384" priority="1844578">
      <formula>$R170:$R437&lt;4</formula>
    </cfRule>
  </conditionalFormatting>
  <conditionalFormatting sqref="T364:V364 T347:V347 T361:V361 T359:V359 S375 AQ212:AS231">
    <cfRule type="expression" dxfId="383" priority="1844585">
      <formula>$X212:$X566="Penting"</formula>
    </cfRule>
    <cfRule type="expression" dxfId="382" priority="1844586">
      <formula>$R212:$R566=""</formula>
    </cfRule>
    <cfRule type="expression" dxfId="381" priority="1844587">
      <formula>$R212:$R566&lt;=0</formula>
    </cfRule>
    <cfRule type="expression" dxfId="380" priority="1844588">
      <formula>$R212:$R566&lt;4</formula>
    </cfRule>
  </conditionalFormatting>
  <conditionalFormatting sqref="AQ347:AS347">
    <cfRule type="expression" dxfId="379" priority="1844631">
      <formula>$X347:$X458="Penting"</formula>
    </cfRule>
    <cfRule type="expression" dxfId="378" priority="1844632">
      <formula>$R347:$R458=""</formula>
    </cfRule>
    <cfRule type="expression" dxfId="377" priority="1844633">
      <formula>$R347:$R458&lt;=0</formula>
    </cfRule>
    <cfRule type="expression" dxfId="376" priority="1844634">
      <formula>$R347:$R458&lt;4</formula>
    </cfRule>
  </conditionalFormatting>
  <conditionalFormatting sqref="AQ267:AS267">
    <cfRule type="expression" dxfId="375" priority="1844655">
      <formula>$X267:$X437="Penting"</formula>
    </cfRule>
    <cfRule type="expression" dxfId="374" priority="1844656">
      <formula>$R267:$R437=""</formula>
    </cfRule>
    <cfRule type="expression" dxfId="373" priority="1844657">
      <formula>$R267:$R437&lt;=0</formula>
    </cfRule>
    <cfRule type="expression" dxfId="372" priority="1844658">
      <formula>$R267:$R437&lt;4</formula>
    </cfRule>
  </conditionalFormatting>
  <conditionalFormatting sqref="AQ376:AS376">
    <cfRule type="expression" dxfId="371" priority="1844741">
      <formula>$X376:$X453="Penting"</formula>
    </cfRule>
    <cfRule type="expression" dxfId="370" priority="1844742">
      <formula>$R376:$R453=""</formula>
    </cfRule>
    <cfRule type="expression" dxfId="369" priority="1844743">
      <formula>$R376:$R453&lt;=0</formula>
    </cfRule>
    <cfRule type="expression" dxfId="368" priority="1844744">
      <formula>$R376:$R453&lt;4</formula>
    </cfRule>
  </conditionalFormatting>
  <conditionalFormatting sqref="S357 S349">
    <cfRule type="expression" dxfId="367" priority="1844777">
      <formula>$X349:$X752="Penting"</formula>
    </cfRule>
    <cfRule type="expression" dxfId="366" priority="1844778">
      <formula>$R349:$R752=""</formula>
    </cfRule>
    <cfRule type="expression" dxfId="365" priority="1844779">
      <formula>$R349:$R752&lt;=0</formula>
    </cfRule>
    <cfRule type="expression" dxfId="364" priority="1844780">
      <formula>$R349:$R752&lt;4</formula>
    </cfRule>
  </conditionalFormatting>
  <conditionalFormatting sqref="AT222:AU223">
    <cfRule type="expression" dxfId="363" priority="1845809">
      <formula>$X222:$X664="Penting"</formula>
    </cfRule>
    <cfRule type="expression" dxfId="362" priority="1845810">
      <formula>$R222:$R664=""</formula>
    </cfRule>
    <cfRule type="expression" dxfId="361" priority="1845811">
      <formula>$R222:$R664&lt;=0</formula>
    </cfRule>
    <cfRule type="expression" dxfId="360" priority="1845812">
      <formula>$R222:$R664&lt;4</formula>
    </cfRule>
  </conditionalFormatting>
  <conditionalFormatting sqref="R379 P362 Q347:Z347 P353 C347:O347 AE347:AP347 P350 AE359:AP359 Q359:Z359 C359:O359 C360 P355">
    <cfRule type="expression" dxfId="359" priority="92">
      <formula>$R347:$R700="End"</formula>
    </cfRule>
  </conditionalFormatting>
  <conditionalFormatting sqref="R379 P362 Q347:Z347 P353 C347:O347 AE347:AP347 P350 AE359:AP359 Q359:Z359 C359:O359 C360 P355">
    <cfRule type="expression" dxfId="358" priority="91" stopIfTrue="1">
      <formula>$R347:$R700="Cancel"</formula>
    </cfRule>
  </conditionalFormatting>
  <conditionalFormatting sqref="R379">
    <cfRule type="expression" dxfId="357" priority="90">
      <formula>$R379:$R731="End"</formula>
    </cfRule>
  </conditionalFormatting>
  <conditionalFormatting sqref="R379">
    <cfRule type="expression" dxfId="356" priority="89" stopIfTrue="1">
      <formula>$R379:$R731="Cancel"</formula>
    </cfRule>
  </conditionalFormatting>
  <conditionalFormatting sqref="R379">
    <cfRule type="expression" dxfId="355" priority="85">
      <formula>$X379:$X708="Penting"</formula>
    </cfRule>
    <cfRule type="expression" dxfId="354" priority="86">
      <formula>$R379:$R708=""</formula>
    </cfRule>
    <cfRule type="expression" dxfId="353" priority="87">
      <formula>$R379:$R708&lt;=0</formula>
    </cfRule>
    <cfRule type="expression" dxfId="352" priority="88">
      <formula>$R379:$R708&lt;4</formula>
    </cfRule>
  </conditionalFormatting>
  <conditionalFormatting sqref="S379">
    <cfRule type="expression" dxfId="351" priority="84">
      <formula>$R379:$R732="End"</formula>
    </cfRule>
  </conditionalFormatting>
  <conditionalFormatting sqref="S379">
    <cfRule type="expression" dxfId="350" priority="83" stopIfTrue="1">
      <formula>$R379:$R732="Cancel"</formula>
    </cfRule>
  </conditionalFormatting>
  <conditionalFormatting sqref="S379 S347 AT207:AU208 S359">
    <cfRule type="expression" dxfId="349" priority="79">
      <formula>$X207:$X601="Penting"</formula>
    </cfRule>
    <cfRule type="expression" dxfId="348" priority="80">
      <formula>$R207:$R601=""</formula>
    </cfRule>
    <cfRule type="expression" dxfId="347" priority="81">
      <formula>$R207:$R601&lt;=0</formula>
    </cfRule>
    <cfRule type="expression" dxfId="346" priority="82">
      <formula>$R207:$R601&lt;4</formula>
    </cfRule>
  </conditionalFormatting>
  <conditionalFormatting sqref="S379">
    <cfRule type="expression" dxfId="345" priority="78">
      <formula>$R379:$R731="End"</formula>
    </cfRule>
  </conditionalFormatting>
  <conditionalFormatting sqref="S379">
    <cfRule type="expression" dxfId="344" priority="77" stopIfTrue="1">
      <formula>$R379:$R731="Cancel"</formula>
    </cfRule>
  </conditionalFormatting>
  <conditionalFormatting sqref="S379">
    <cfRule type="expression" dxfId="343" priority="73">
      <formula>$X379:$X708="Penting"</formula>
    </cfRule>
    <cfRule type="expression" dxfId="342" priority="74">
      <formula>$R379:$R708=""</formula>
    </cfRule>
    <cfRule type="expression" dxfId="341" priority="75">
      <formula>$R379:$R708&lt;=0</formula>
    </cfRule>
    <cfRule type="expression" dxfId="340" priority="76">
      <formula>$R379:$R708&lt;4</formula>
    </cfRule>
  </conditionalFormatting>
  <conditionalFormatting sqref="S379">
    <cfRule type="expression" dxfId="339" priority="69">
      <formula>$X379:$X772="Penting"</formula>
    </cfRule>
    <cfRule type="expression" dxfId="338" priority="70">
      <formula>$R379:$R772=""</formula>
    </cfRule>
    <cfRule type="expression" dxfId="337" priority="71">
      <formula>$R379:$R772&lt;=0</formula>
    </cfRule>
    <cfRule type="expression" dxfId="336" priority="72">
      <formula>$R379:$R772&lt;4</formula>
    </cfRule>
  </conditionalFormatting>
  <conditionalFormatting sqref="T379:X379">
    <cfRule type="expression" dxfId="335" priority="68">
      <formula>$R379:$R732="End"</formula>
    </cfRule>
  </conditionalFormatting>
  <conditionalFormatting sqref="T379:X379">
    <cfRule type="expression" dxfId="334" priority="67" stopIfTrue="1">
      <formula>$R379:$R732="Cancel"</formula>
    </cfRule>
  </conditionalFormatting>
  <conditionalFormatting sqref="T379:X379">
    <cfRule type="expression" dxfId="333" priority="66">
      <formula>$R379:$R731="End"</formula>
    </cfRule>
  </conditionalFormatting>
  <conditionalFormatting sqref="T379:X379">
    <cfRule type="expression" dxfId="332" priority="65" stopIfTrue="1">
      <formula>$R379:$R731="Cancel"</formula>
    </cfRule>
  </conditionalFormatting>
  <conditionalFormatting sqref="W379:X379">
    <cfRule type="expression" dxfId="331" priority="61">
      <formula>$X379:$X708="Penting"</formula>
    </cfRule>
    <cfRule type="expression" dxfId="330" priority="62">
      <formula>$R379:$R708=""</formula>
    </cfRule>
    <cfRule type="expression" dxfId="329" priority="63">
      <formula>$R379:$R708&lt;=0</formula>
    </cfRule>
    <cfRule type="expression" dxfId="328" priority="64">
      <formula>$R379:$R708&lt;4</formula>
    </cfRule>
  </conditionalFormatting>
  <conditionalFormatting sqref="T379:V379 T347:V347 T359:V359">
    <cfRule type="expression" dxfId="327" priority="57">
      <formula>$X347:$X700="Penting"</formula>
    </cfRule>
    <cfRule type="expression" dxfId="326" priority="58">
      <formula>$R347:$R700=""</formula>
    </cfRule>
    <cfRule type="expression" dxfId="325" priority="59">
      <formula>$R347:$R700&lt;=0</formula>
    </cfRule>
    <cfRule type="expression" dxfId="324" priority="60">
      <formula>$R347:$R700&lt;4</formula>
    </cfRule>
  </conditionalFormatting>
  <conditionalFormatting sqref="T379:V379">
    <cfRule type="expression" dxfId="323" priority="53">
      <formula>$X379:$X731="Penting"</formula>
    </cfRule>
    <cfRule type="expression" dxfId="322" priority="54">
      <formula>$R379:$R731=""</formula>
    </cfRule>
    <cfRule type="expression" dxfId="321" priority="55">
      <formula>$R379:$R731&lt;=0</formula>
    </cfRule>
    <cfRule type="expression" dxfId="320" priority="56">
      <formula>$R379:$R731&lt;4</formula>
    </cfRule>
  </conditionalFormatting>
  <conditionalFormatting sqref="AT304:AU306 AT253:AU257 AT248:AU249">
    <cfRule type="expression" dxfId="319" priority="1845901">
      <formula>$X248:$X440="Penting"</formula>
    </cfRule>
    <cfRule type="expression" dxfId="318" priority="1845902">
      <formula>$R248:$R440=""</formula>
    </cfRule>
    <cfRule type="expression" dxfId="317" priority="1845903">
      <formula>$R248:$R440&lt;=0</formula>
    </cfRule>
    <cfRule type="expression" dxfId="316" priority="1845904">
      <formula>$R248:$R440&lt;4</formula>
    </cfRule>
  </conditionalFormatting>
  <conditionalFormatting sqref="AD252">
    <cfRule type="expression" dxfId="315" priority="1845915">
      <formula>$R252:$R376="End"</formula>
    </cfRule>
  </conditionalFormatting>
  <conditionalFormatting sqref="AD252">
    <cfRule type="expression" dxfId="314" priority="1845916" stopIfTrue="1">
      <formula>$R252:$R376="Cancel"</formula>
    </cfRule>
  </conditionalFormatting>
  <conditionalFormatting sqref="AQ177:AS177">
    <cfRule type="expression" dxfId="313" priority="1845935">
      <formula>$X177:$X324="Penting"</formula>
    </cfRule>
    <cfRule type="expression" dxfId="312" priority="1845936">
      <formula>$R177:$R324=""</formula>
    </cfRule>
    <cfRule type="expression" dxfId="311" priority="1845937">
      <formula>$R177:$R324&lt;=0</formula>
    </cfRule>
    <cfRule type="expression" dxfId="310" priority="1845938">
      <formula>$R177:$R324&lt;4</formula>
    </cfRule>
  </conditionalFormatting>
  <conditionalFormatting sqref="AQ202:AS202 AQ205:AS206">
    <cfRule type="expression" dxfId="309" priority="1845947">
      <formula>$R202:$R594="End"</formula>
    </cfRule>
  </conditionalFormatting>
  <conditionalFormatting sqref="AQ202:AS202 AQ205:AS206">
    <cfRule type="expression" dxfId="308" priority="1845949" stopIfTrue="1">
      <formula>$R202:$R594="Cancel"</formula>
    </cfRule>
  </conditionalFormatting>
  <conditionalFormatting sqref="AQ178:AS178">
    <cfRule type="expression" dxfId="307" priority="1845951">
      <formula>$X178:$X326="Penting"</formula>
    </cfRule>
    <cfRule type="expression" dxfId="306" priority="1845952">
      <formula>$R178:$R326=""</formula>
    </cfRule>
    <cfRule type="expression" dxfId="305" priority="1845953">
      <formula>$R178:$R326&lt;=0</formula>
    </cfRule>
    <cfRule type="expression" dxfId="304" priority="1845954">
      <formula>$R178:$R326&lt;4</formula>
    </cfRule>
  </conditionalFormatting>
  <conditionalFormatting sqref="AD233 AD266:AD272">
    <cfRule type="expression" dxfId="303" priority="1845973">
      <formula>$R233:$R376="End"</formula>
    </cfRule>
  </conditionalFormatting>
  <conditionalFormatting sqref="AD233 AD266:AD272">
    <cfRule type="expression" dxfId="302" priority="1845974" stopIfTrue="1">
      <formula>$R233:$R376="Cancel"</formula>
    </cfRule>
  </conditionalFormatting>
  <conditionalFormatting sqref="AD257">
    <cfRule type="expression" dxfId="301" priority="1846029">
      <formula>$R257:$R376="End"</formula>
    </cfRule>
  </conditionalFormatting>
  <conditionalFormatting sqref="AD257">
    <cfRule type="expression" dxfId="300" priority="1846030" stopIfTrue="1">
      <formula>$R257:$R376="Cancel"</formula>
    </cfRule>
  </conditionalFormatting>
  <conditionalFormatting sqref="AQ265:AS265">
    <cfRule type="expression" dxfId="299" priority="1846089">
      <formula>$X265:$X437="Penting"</formula>
    </cfRule>
    <cfRule type="expression" dxfId="298" priority="1846090">
      <formula>$R265:$R437=""</formula>
    </cfRule>
    <cfRule type="expression" dxfId="297" priority="1846091">
      <formula>$R265:$R437&lt;=0</formula>
    </cfRule>
    <cfRule type="expression" dxfId="296" priority="1846092">
      <formula>$R265:$R437&lt;4</formula>
    </cfRule>
  </conditionalFormatting>
  <conditionalFormatting sqref="AT220:AU221">
    <cfRule type="expression" dxfId="295" priority="1846105">
      <formula>$X220:$X661="Penting"</formula>
    </cfRule>
    <cfRule type="expression" dxfId="294" priority="1846106">
      <formula>$R220:$R661=""</formula>
    </cfRule>
    <cfRule type="expression" dxfId="293" priority="1846107">
      <formula>$R220:$R661&lt;=0</formula>
    </cfRule>
    <cfRule type="expression" dxfId="292" priority="1846108">
      <formula>$R220:$R661&lt;4</formula>
    </cfRule>
  </conditionalFormatting>
  <conditionalFormatting sqref="AQ162:AS162">
    <cfRule type="expression" dxfId="291" priority="1846189">
      <formula>$X162:$X437="Penting"</formula>
    </cfRule>
    <cfRule type="expression" dxfId="290" priority="1846190">
      <formula>$R162:$R437=""</formula>
    </cfRule>
    <cfRule type="expression" dxfId="289" priority="1846191">
      <formula>$R162:$R437&lt;=0</formula>
    </cfRule>
    <cfRule type="expression" dxfId="288" priority="1846192">
      <formula>$R162:$R437&lt;4</formula>
    </cfRule>
  </conditionalFormatting>
  <conditionalFormatting sqref="AD244">
    <cfRule type="expression" dxfId="287" priority="1846199">
      <formula>$R244:$R376="End"</formula>
    </cfRule>
  </conditionalFormatting>
  <conditionalFormatting sqref="AD244">
    <cfRule type="expression" dxfId="286" priority="1846200" stopIfTrue="1">
      <formula>$R244:$R376="Cancel"</formula>
    </cfRule>
  </conditionalFormatting>
  <conditionalFormatting sqref="AD253">
    <cfRule type="expression" dxfId="285" priority="1846203">
      <formula>$R253:$R376="End"</formula>
    </cfRule>
  </conditionalFormatting>
  <conditionalFormatting sqref="AD253">
    <cfRule type="expression" dxfId="284" priority="1846204" stopIfTrue="1">
      <formula>$R253:$R376="Cancel"</formula>
    </cfRule>
  </conditionalFormatting>
  <conditionalFormatting sqref="AT218:AU219">
    <cfRule type="expression" dxfId="283" priority="1846275">
      <formula>$X218:$X658="Penting"</formula>
    </cfRule>
    <cfRule type="expression" dxfId="282" priority="1846276">
      <formula>$R218:$R658=""</formula>
    </cfRule>
    <cfRule type="expression" dxfId="281" priority="1846277">
      <formula>$R218:$R658&lt;=0</formula>
    </cfRule>
    <cfRule type="expression" dxfId="280" priority="1846278">
      <formula>$R218:$R658&lt;4</formula>
    </cfRule>
  </conditionalFormatting>
  <conditionalFormatting sqref="AQ299:AS299">
    <cfRule type="expression" dxfId="279" priority="1846295">
      <formula>$R299:$R583="End"</formula>
    </cfRule>
  </conditionalFormatting>
  <conditionalFormatting sqref="AQ299:AS299">
    <cfRule type="expression" dxfId="278" priority="1846296" stopIfTrue="1">
      <formula>$R299:$R583="Cancel"</formula>
    </cfRule>
  </conditionalFormatting>
  <conditionalFormatting sqref="AD248">
    <cfRule type="expression" dxfId="277" priority="1846315">
      <formula>$R248:$R376="End"</formula>
    </cfRule>
  </conditionalFormatting>
  <conditionalFormatting sqref="AD248">
    <cfRule type="expression" dxfId="276" priority="1846316" stopIfTrue="1">
      <formula>$R248:$R376="Cancel"</formula>
    </cfRule>
  </conditionalFormatting>
  <conditionalFormatting sqref="AT297:AU297">
    <cfRule type="expression" dxfId="275" priority="1846325">
      <formula>$X297:$X585="Penting"</formula>
    </cfRule>
    <cfRule type="expression" dxfId="274" priority="1846326">
      <formula>$R297:$R585=""</formula>
    </cfRule>
    <cfRule type="expression" dxfId="273" priority="1846327">
      <formula>$R297:$R585&lt;=0</formula>
    </cfRule>
    <cfRule type="expression" dxfId="272" priority="1846328">
      <formula>$R297:$R585&lt;4</formula>
    </cfRule>
  </conditionalFormatting>
  <conditionalFormatting sqref="AT187:AU187">
    <cfRule type="expression" dxfId="271" priority="1846379">
      <formula>$X187:$X495="Penting"</formula>
    </cfRule>
    <cfRule type="expression" dxfId="270" priority="1846380">
      <formula>$R187:$R495=""</formula>
    </cfRule>
    <cfRule type="expression" dxfId="269" priority="1846381">
      <formula>$R187:$R495&lt;=0</formula>
    </cfRule>
    <cfRule type="expression" dxfId="268" priority="1846382">
      <formula>$R187:$R495&lt;4</formula>
    </cfRule>
  </conditionalFormatting>
  <conditionalFormatting sqref="S134:S312">
    <cfRule type="expression" dxfId="267" priority="1846441">
      <formula>$X134:$X501="Penting"</formula>
    </cfRule>
    <cfRule type="expression" dxfId="266" priority="1846442">
      <formula>$R134:$R501=""</formula>
    </cfRule>
    <cfRule type="expression" dxfId="265" priority="1846443">
      <formula>$R134:$R501&lt;=0</formula>
    </cfRule>
    <cfRule type="expression" dxfId="264" priority="1846444">
      <formula>$R134:$R501&lt;4</formula>
    </cfRule>
  </conditionalFormatting>
  <conditionalFormatting sqref="AQ263:AS263 AQ276:AS277">
    <cfRule type="expression" dxfId="263" priority="1846449">
      <formula>$X263:$X437="Penting"</formula>
    </cfRule>
    <cfRule type="expression" dxfId="262" priority="1846450">
      <formula>$R263:$R437=""</formula>
    </cfRule>
    <cfRule type="expression" dxfId="261" priority="1846451">
      <formula>$R263:$R437&lt;=0</formula>
    </cfRule>
    <cfRule type="expression" dxfId="260" priority="1846452">
      <formula>$R263:$R437&lt;4</formula>
    </cfRule>
  </conditionalFormatting>
  <conditionalFormatting sqref="AQ154:AS154">
    <cfRule type="expression" dxfId="259" priority="1846459">
      <formula>$X154:$X437="Penting"</formula>
    </cfRule>
    <cfRule type="expression" dxfId="258" priority="1846460">
      <formula>$R154:$R437=""</formula>
    </cfRule>
    <cfRule type="expression" dxfId="257" priority="1846461">
      <formula>$R154:$R437&lt;=0</formula>
    </cfRule>
    <cfRule type="expression" dxfId="256" priority="1846462">
      <formula>$R154:$R437&lt;4</formula>
    </cfRule>
  </conditionalFormatting>
  <conditionalFormatting sqref="AQ253:AS257 AQ248:AS249">
    <cfRule type="expression" dxfId="255" priority="1846525">
      <formula>$R248:$R442="End"</formula>
    </cfRule>
  </conditionalFormatting>
  <conditionalFormatting sqref="AQ253:AS257 AQ248:AS249">
    <cfRule type="expression" dxfId="254" priority="1846527" stopIfTrue="1">
      <formula>$R248:$R442="Cancel"</formula>
    </cfRule>
  </conditionalFormatting>
  <conditionalFormatting sqref="AQ275:AS275 AQ280:AS280">
    <cfRule type="expression" dxfId="253" priority="1846569">
      <formula>$X275:$X437="Penting"</formula>
    </cfRule>
    <cfRule type="expression" dxfId="252" priority="1846570">
      <formula>$R275:$R437=""</formula>
    </cfRule>
    <cfRule type="expression" dxfId="251" priority="1846571">
      <formula>$R275:$R437&lt;=0</formula>
    </cfRule>
    <cfRule type="expression" dxfId="250" priority="1846572">
      <formula>$R275:$R437&lt;4</formula>
    </cfRule>
  </conditionalFormatting>
  <conditionalFormatting sqref="AQ278:AS278">
    <cfRule type="expression" dxfId="249" priority="1846577">
      <formula>$X278:$X438="Penting"</formula>
    </cfRule>
    <cfRule type="expression" dxfId="248" priority="1846578">
      <formula>$R278:$R438=""</formula>
    </cfRule>
    <cfRule type="expression" dxfId="247" priority="1846579">
      <formula>$R278:$R438&lt;=0</formula>
    </cfRule>
    <cfRule type="expression" dxfId="246" priority="1846580">
      <formula>$R278:$R438&lt;4</formula>
    </cfRule>
  </conditionalFormatting>
  <conditionalFormatting sqref="AT170:AU170 AT166:AU168">
    <cfRule type="expression" dxfId="245" priority="1846605">
      <formula>$X166:$X472="Penting"</formula>
    </cfRule>
    <cfRule type="expression" dxfId="244" priority="1846606">
      <formula>$R166:$R472=""</formula>
    </cfRule>
    <cfRule type="expression" dxfId="243" priority="1846607">
      <formula>$R166:$R472&lt;=0</formula>
    </cfRule>
    <cfRule type="expression" dxfId="242" priority="1846608">
      <formula>$R166:$R472&lt;4</formula>
    </cfRule>
  </conditionalFormatting>
  <conditionalFormatting sqref="AQ139:AS139">
    <cfRule type="expression" dxfId="241" priority="1846705">
      <formula>$X139:$X437="Penting"</formula>
    </cfRule>
    <cfRule type="expression" dxfId="240" priority="1846706">
      <formula>$R139:$R437=""</formula>
    </cfRule>
    <cfRule type="expression" dxfId="239" priority="1846707">
      <formula>$R139:$R437&lt;=0</formula>
    </cfRule>
    <cfRule type="expression" dxfId="238" priority="1846708">
      <formula>$R139:$R437&lt;4</formula>
    </cfRule>
  </conditionalFormatting>
  <conditionalFormatting sqref="AA376:AC376 AQ135:AS137 B134:O135 C136:O312 B136:B380 Q134:Z312 P365 AE134:AP312">
    <cfRule type="expression" dxfId="237" priority="1846767">
      <formula>$R134:$R461="End"</formula>
    </cfRule>
  </conditionalFormatting>
  <conditionalFormatting sqref="AA376:AC376 AQ135:AS137 B134:O135 C136:O312 B136:B380 Q134:Z312 P365 AE134:AP312">
    <cfRule type="expression" dxfId="236" priority="1846776" stopIfTrue="1">
      <formula>$R134:$R461="Cancel"</formula>
    </cfRule>
  </conditionalFormatting>
  <conditionalFormatting sqref="AD359 AQ361:AS361 AD347">
    <cfRule type="expression" dxfId="235" priority="1846811">
      <formula>$R347:$R513="End"</formula>
    </cfRule>
  </conditionalFormatting>
  <conditionalFormatting sqref="AD359 AQ361:AS361 AD347">
    <cfRule type="expression" dxfId="234" priority="1846814" stopIfTrue="1">
      <formula>$R347:$R513="Cancel"</formula>
    </cfRule>
  </conditionalFormatting>
  <conditionalFormatting sqref="AQ246:AU247 AT259:AU260">
    <cfRule type="expression" dxfId="233" priority="1846837">
      <formula>$X246:$X436="Penting"</formula>
    </cfRule>
    <cfRule type="expression" dxfId="232" priority="1846838">
      <formula>$R246:$R436=""</formula>
    </cfRule>
    <cfRule type="expression" dxfId="231" priority="1846839">
      <formula>$R246:$R436&lt;=0</formula>
    </cfRule>
    <cfRule type="expression" dxfId="230" priority="1846840">
      <formula>$R246:$R436&lt;4</formula>
    </cfRule>
  </conditionalFormatting>
  <conditionalFormatting sqref="AQ253:AS257">
    <cfRule type="expression" dxfId="229" priority="1846847">
      <formula>$X253:$X437="Penting"</formula>
    </cfRule>
    <cfRule type="expression" dxfId="228" priority="1846848">
      <formula>$R253:$R437=""</formula>
    </cfRule>
    <cfRule type="expression" dxfId="227" priority="1846849">
      <formula>$R253:$R437&lt;=0</formula>
    </cfRule>
    <cfRule type="expression" dxfId="226" priority="1846850">
      <formula>$R253:$R437&lt;4</formula>
    </cfRule>
  </conditionalFormatting>
  <conditionalFormatting sqref="AT190:AU194 AT142:AU144 AT147:AU147 T365:V365">
    <cfRule type="expression" dxfId="225" priority="1846861">
      <formula>$X142:$X464="Penting"</formula>
    </cfRule>
    <cfRule type="expression" dxfId="224" priority="1846862">
      <formula>$R142:$R464=""</formula>
    </cfRule>
    <cfRule type="expression" dxfId="223" priority="1846863">
      <formula>$R142:$R464&lt;=0</formula>
    </cfRule>
    <cfRule type="expression" dxfId="222" priority="1846864">
      <formula>$R142:$R464&lt;4</formula>
    </cfRule>
  </conditionalFormatting>
  <conditionalFormatting sqref="AQ279:AS279 AT363:AU363 AT378:AU380">
    <cfRule type="expression" dxfId="221" priority="1846877">
      <formula>$X279:$X437="Penting"</formula>
    </cfRule>
    <cfRule type="expression" dxfId="220" priority="1846878">
      <formula>$R279:$R437=""</formula>
    </cfRule>
    <cfRule type="expression" dxfId="219" priority="1846879">
      <formula>$R279:$R437&lt;=0</formula>
    </cfRule>
    <cfRule type="expression" dxfId="218" priority="1846880">
      <formula>$R279:$R437&lt;4</formula>
    </cfRule>
  </conditionalFormatting>
  <conditionalFormatting sqref="S365 T349:V349 T357:V357">
    <cfRule type="expression" dxfId="217" priority="1846923">
      <formula>$X349:$X712="Penting"</formula>
    </cfRule>
    <cfRule type="expression" dxfId="216" priority="1846924">
      <formula>$R349:$R712=""</formula>
    </cfRule>
    <cfRule type="expression" dxfId="215" priority="1846925">
      <formula>$R349:$R712&lt;=0</formula>
    </cfRule>
    <cfRule type="expression" dxfId="214" priority="1846926">
      <formula>$R349:$R712&lt;4</formula>
    </cfRule>
  </conditionalFormatting>
  <conditionalFormatting sqref="AT201:AU201 AT198:AU198 T372:V372">
    <cfRule type="expression" dxfId="213" priority="1846935">
      <formula>$X198:$X517="Penting"</formula>
    </cfRule>
    <cfRule type="expression" dxfId="212" priority="1846936">
      <formula>$R198:$R517=""</formula>
    </cfRule>
    <cfRule type="expression" dxfId="211" priority="1846937">
      <formula>$R198:$R517&lt;=0</formula>
    </cfRule>
    <cfRule type="expression" dxfId="210" priority="1846938">
      <formula>$R198:$R517&lt;4</formula>
    </cfRule>
  </conditionalFormatting>
  <conditionalFormatting sqref="AQ309:AS312">
    <cfRule type="expression" dxfId="209" priority="1846951">
      <formula>$R309:$R508="End"</formula>
    </cfRule>
  </conditionalFormatting>
  <conditionalFormatting sqref="AQ309:AS312">
    <cfRule type="expression" dxfId="208" priority="1846952" stopIfTrue="1">
      <formula>$R309:$R508="Cancel"</formula>
    </cfRule>
  </conditionalFormatting>
  <conditionalFormatting sqref="AE368:AP368 Q368:Z368 C368:O368 Q356:Z356 AA365:AC365 AE373:AP374 Q373:Z374 C373:O374 AE370:AP370 Q370:Z370 C370:O370 C356:O356 AE356:AP356">
    <cfRule type="expression" dxfId="207" priority="1846981">
      <formula>$R356:$R696="End"</formula>
    </cfRule>
  </conditionalFormatting>
  <conditionalFormatting sqref="AE368:AP368 Q368:Z368 C368:O368 Q356:Z356 AA365:AC365 AE373:AP374 Q373:Z374 C373:O374 AE370:AP370 Q370:Z370 C370:O370 C356:O356 AE356:AP356">
    <cfRule type="expression" dxfId="206" priority="1846994" stopIfTrue="1">
      <formula>$R356:$R696="Cancel"</formula>
    </cfRule>
  </conditionalFormatting>
  <conditionalFormatting sqref="AA370:AC370 P359 AA373:AC374 P347 AA368:AC368 AA356:AC356">
    <cfRule type="expression" dxfId="205" priority="1847055">
      <formula>$R347:$R705="End"</formula>
    </cfRule>
  </conditionalFormatting>
  <conditionalFormatting sqref="AA370:AC370 P359 AA373:AC374 P347 AA368:AC368 AA356:AC356">
    <cfRule type="expression" dxfId="204" priority="1847061" stopIfTrue="1">
      <formula>$R347:$R705="Cancel"</formula>
    </cfRule>
  </conditionalFormatting>
  <conditionalFormatting sqref="AA352:AC352 AA363:AC363 P360">
    <cfRule type="expression" dxfId="203" priority="1847067">
      <formula>$R352:$R713="End"</formula>
    </cfRule>
  </conditionalFormatting>
  <conditionalFormatting sqref="AA352:AC352 AA363:AC363 P360">
    <cfRule type="expression" dxfId="202" priority="1847070" stopIfTrue="1">
      <formula>$R352:$R713="Cancel"</formula>
    </cfRule>
  </conditionalFormatting>
  <conditionalFormatting sqref="W372:AP372 AQ141:AS141 C372:S372">
    <cfRule type="expression" dxfId="201" priority="1847087">
      <formula>$X141:$X437="Penting"</formula>
    </cfRule>
    <cfRule type="expression" dxfId="200" priority="1847088">
      <formula>$R141:$R437=""</formula>
    </cfRule>
    <cfRule type="expression" dxfId="199" priority="1847089">
      <formula>$R141:$R437&lt;=0</formula>
    </cfRule>
    <cfRule type="expression" dxfId="198" priority="1847090">
      <formula>$R141:$R437&lt;4</formula>
    </cfRule>
  </conditionalFormatting>
  <conditionalFormatting sqref="C376:O376 P366 S376:Z376 Q376 AQ175:AS175 AQ182:AS182 AE376:AP376">
    <cfRule type="expression" dxfId="197" priority="1847141">
      <formula>$R175:$R484="End"</formula>
    </cfRule>
  </conditionalFormatting>
  <conditionalFormatting sqref="C376:O376 P366 S376:Z376 Q376 AQ175:AS175 AQ182:AS182 AE376:AP376">
    <cfRule type="expression" dxfId="196" priority="1847148" stopIfTrue="1">
      <formula>$R175:$R484="Cancel"</formula>
    </cfRule>
  </conditionalFormatting>
  <conditionalFormatting sqref="T363:V363 T352:V352">
    <cfRule type="expression" dxfId="195" priority="1847207">
      <formula>$X352:$X695="Penting"</formula>
    </cfRule>
    <cfRule type="expression" dxfId="194" priority="1847208">
      <formula>$R352:$R695=""</formula>
    </cfRule>
    <cfRule type="expression" dxfId="193" priority="1847209">
      <formula>$R352:$R695&lt;=0</formula>
    </cfRule>
    <cfRule type="expression" dxfId="192" priority="1847210">
      <formula>$R352:$R695&lt;4</formula>
    </cfRule>
  </conditionalFormatting>
  <conditionalFormatting sqref="AT352:AU352 AQ272:AS272 AT361:AU361">
    <cfRule type="expression" dxfId="191" priority="1847267">
      <formula>$X272:$X441="Penting"</formula>
    </cfRule>
    <cfRule type="expression" dxfId="190" priority="1847268">
      <formula>$R272:$R441=""</formula>
    </cfRule>
    <cfRule type="expression" dxfId="189" priority="1847269">
      <formula>$R272:$R441&lt;=0</formula>
    </cfRule>
    <cfRule type="expression" dxfId="188" priority="1847270">
      <formula>$R272:$R441&lt;4</formula>
    </cfRule>
  </conditionalFormatting>
  <conditionalFormatting sqref="AQ167:AS168">
    <cfRule type="expression" dxfId="187" priority="1847281">
      <formula>$X167:$X437="Penting"</formula>
    </cfRule>
    <cfRule type="expression" dxfId="186" priority="1847282">
      <formula>$R167:$R437=""</formula>
    </cfRule>
    <cfRule type="expression" dxfId="185" priority="1847283">
      <formula>$R167:$R437&lt;=0</formula>
    </cfRule>
    <cfRule type="expression" dxfId="184" priority="1847284">
      <formula>$R167:$R437&lt;4</formula>
    </cfRule>
  </conditionalFormatting>
  <conditionalFormatting sqref="AA362:AC362 AA355:AC355 AA350:AC350 AA353:AC353">
    <cfRule type="expression" dxfId="183" priority="1847303">
      <formula>$R350:$R716="End"</formula>
    </cfRule>
  </conditionalFormatting>
  <conditionalFormatting sqref="AA362:AC362 AA355:AC355 AA350:AC350 AA353:AC353">
    <cfRule type="expression" dxfId="182" priority="1847307" stopIfTrue="1">
      <formula>$R350:$R716="Cancel"</formula>
    </cfRule>
  </conditionalFormatting>
  <conditionalFormatting sqref="C367:O367 Q367:Z367 AE367:AP367 AQ145:AS146 AE313:AP345 Q313:Z345 C313:O345 P372">
    <cfRule type="expression" dxfId="181" priority="1847347">
      <formula>$R145:$R469="End"</formula>
    </cfRule>
  </conditionalFormatting>
  <conditionalFormatting sqref="C367:O367 Q367:Z367 AE367:AP367 AQ145:AS146 AE313:AP345 Q313:Z345 C313:O345 P372">
    <cfRule type="expression" dxfId="180" priority="1847355" stopIfTrue="1">
      <formula>$R145:$R469="Cancel"</formula>
    </cfRule>
  </conditionalFormatting>
  <conditionalFormatting sqref="AA372:AC372 AE371:AP371 Q371:Z371 AQ140:AS140 C371:O371">
    <cfRule type="expression" dxfId="179" priority="1847385">
      <formula>$R140:$R477="End"</formula>
    </cfRule>
  </conditionalFormatting>
  <conditionalFormatting sqref="AA372:AC372 AE371:AP371 Q371:Z371 AQ140:AS140 C371:O371">
    <cfRule type="expression" dxfId="178" priority="1847390" stopIfTrue="1">
      <formula>$R140:$R477="Cancel"</formula>
    </cfRule>
  </conditionalFormatting>
  <conditionalFormatting sqref="AQ150:AS150 AT299:AU299">
    <cfRule type="expression" dxfId="177" priority="1847437">
      <formula>$X150:$X437="Penting"</formula>
    </cfRule>
    <cfRule type="expression" dxfId="176" priority="1847438">
      <formula>$R150:$R437=""</formula>
    </cfRule>
    <cfRule type="expression" dxfId="175" priority="1847439">
      <formula>$R150:$R437&lt;=0</formula>
    </cfRule>
    <cfRule type="expression" dxfId="174" priority="1847440">
      <formula>$R150:$R437&lt;4</formula>
    </cfRule>
  </conditionalFormatting>
  <conditionalFormatting sqref="D358:O358 AE358:AP358 P367 AQ153:AS154 P313:P345 Q358:Z358">
    <cfRule type="expression" dxfId="173" priority="1847469">
      <formula>$R153:$R482="End"</formula>
    </cfRule>
  </conditionalFormatting>
  <conditionalFormatting sqref="D358:O358 AE358:AP358 P367 AQ153:AS154 P313:P345 Q358:Z358">
    <cfRule type="expression" dxfId="172" priority="1847475" stopIfTrue="1">
      <formula>$R153:$R482="Cancel"</formula>
    </cfRule>
  </conditionalFormatting>
  <conditionalFormatting sqref="AE346:AP346 Q346:Z346 AA359:AC359 AA347:AC347 C346:O346">
    <cfRule type="expression" dxfId="171" priority="1847483">
      <formula>$R346:$R717="End"</formula>
    </cfRule>
  </conditionalFormatting>
  <conditionalFormatting sqref="AE346:AP346 Q346:Z346 AA359:AC359 AA347:AC347 C346:O346">
    <cfRule type="expression" dxfId="170" priority="1847488" stopIfTrue="1">
      <formula>$R346:$R717="Cancel"</formula>
    </cfRule>
  </conditionalFormatting>
  <conditionalFormatting sqref="AT286:AU290 AQ135:AS135 AT333:AU333 A381:B438">
    <cfRule type="expression" dxfId="169" priority="1847553">
      <formula>$X135:$X437="Penting"</formula>
    </cfRule>
    <cfRule type="expression" dxfId="168" priority="1847554">
      <formula>$R135:$R437=""</formula>
    </cfRule>
    <cfRule type="expression" dxfId="167" priority="1847555">
      <formula>$R135:$R437&lt;=0</formula>
    </cfRule>
    <cfRule type="expression" dxfId="166" priority="1847556">
      <formula>$R135:$R437&lt;4</formula>
    </cfRule>
  </conditionalFormatting>
  <conditionalFormatting sqref="AQ281:AS281">
    <cfRule type="expression" dxfId="165" priority="1847575">
      <formula>$X281:$X442="Penting"</formula>
    </cfRule>
    <cfRule type="expression" dxfId="164" priority="1847576">
      <formula>$R281:$R442=""</formula>
    </cfRule>
    <cfRule type="expression" dxfId="163" priority="1847577">
      <formula>$R281:$R442&lt;=0</formula>
    </cfRule>
    <cfRule type="expression" dxfId="162" priority="1847578">
      <formula>$R281:$R442&lt;4</formula>
    </cfRule>
  </conditionalFormatting>
  <conditionalFormatting sqref="AQ321:AS328">
    <cfRule type="expression" dxfId="161" priority="1847607">
      <formula>$R321:$R703="End"</formula>
    </cfRule>
  </conditionalFormatting>
  <conditionalFormatting sqref="AQ321:AS328">
    <cfRule type="expression" dxfId="160" priority="1847608" stopIfTrue="1">
      <formula>$R321:$R703="Cancel"</formula>
    </cfRule>
  </conditionalFormatting>
  <conditionalFormatting sqref="AQ258:AS260">
    <cfRule type="expression" dxfId="159" priority="1847625">
      <formula>$X258:$X437="Penting"</formula>
    </cfRule>
    <cfRule type="expression" dxfId="158" priority="1847626">
      <formula>$R258:$R437=""</formula>
    </cfRule>
    <cfRule type="expression" dxfId="157" priority="1847627">
      <formula>$R258:$R437&lt;=0</formula>
    </cfRule>
    <cfRule type="expression" dxfId="156" priority="1847628">
      <formula>$R258:$R437&lt;4</formula>
    </cfRule>
  </conditionalFormatting>
  <conditionalFormatting sqref="AQ271:AS271 AQ285:AS285">
    <cfRule type="expression" dxfId="155" priority="1847657">
      <formula>$X271:$X437="Penting"</formula>
    </cfRule>
    <cfRule type="expression" dxfId="154" priority="1847658">
      <formula>$R271:$R437=""</formula>
    </cfRule>
    <cfRule type="expression" dxfId="153" priority="1847659">
      <formula>$R271:$R437&lt;=0</formula>
    </cfRule>
    <cfRule type="expression" dxfId="152" priority="1847660">
      <formula>$R271:$R437&lt;4</formula>
    </cfRule>
  </conditionalFormatting>
  <conditionalFormatting sqref="AQ313:AS313">
    <cfRule type="expression" dxfId="151" priority="1847699">
      <formula>$X313:$X437="Penting"</formula>
    </cfRule>
    <cfRule type="expression" dxfId="150" priority="1847700">
      <formula>$R313:$R437=""</formula>
    </cfRule>
    <cfRule type="expression" dxfId="149" priority="1847701">
      <formula>$R313:$R437&lt;=0</formula>
    </cfRule>
    <cfRule type="expression" dxfId="148" priority="1847702">
      <formula>$R313:$R437&lt;4</formula>
    </cfRule>
  </conditionalFormatting>
  <conditionalFormatting sqref="AD282:AD284">
    <cfRule type="expression" dxfId="147" priority="1847719">
      <formula>$R282:$R382="End"</formula>
    </cfRule>
  </conditionalFormatting>
  <conditionalFormatting sqref="AD282:AD284">
    <cfRule type="expression" dxfId="146" priority="1847720" stopIfTrue="1">
      <formula>$R282:$R382="Cancel"</formula>
    </cfRule>
  </conditionalFormatting>
  <conditionalFormatting sqref="AT215:AU217">
    <cfRule type="expression" dxfId="145" priority="1847735">
      <formula>$X215:$X653="Penting"</formula>
    </cfRule>
    <cfRule type="expression" dxfId="144" priority="1847736">
      <formula>$R215:$R653=""</formula>
    </cfRule>
    <cfRule type="expression" dxfId="143" priority="1847737">
      <formula>$R215:$R653&lt;=0</formula>
    </cfRule>
    <cfRule type="expression" dxfId="142" priority="1847738">
      <formula>$R215:$R653&lt;4</formula>
    </cfRule>
  </conditionalFormatting>
  <conditionalFormatting sqref="AT336:AU337 AQ157:AS158">
    <cfRule type="expression" dxfId="141" priority="1848279">
      <formula>$X157:$X437="Penting"</formula>
    </cfRule>
    <cfRule type="expression" dxfId="140" priority="1848280">
      <formula>$R157:$R437=""</formula>
    </cfRule>
    <cfRule type="expression" dxfId="139" priority="1848281">
      <formula>$R157:$R437&lt;=0</formula>
    </cfRule>
    <cfRule type="expression" dxfId="138" priority="1848282">
      <formula>$R157:$R437&lt;4</formula>
    </cfRule>
  </conditionalFormatting>
  <conditionalFormatting sqref="AQ309:AS312">
    <cfRule type="expression" dxfId="137" priority="1848325">
      <formula>$X309:$X443="Penting"</formula>
    </cfRule>
    <cfRule type="expression" dxfId="136" priority="1848326">
      <formula>$R309:$R443=""</formula>
    </cfRule>
    <cfRule type="expression" dxfId="135" priority="1848327">
      <formula>$R309:$R443&lt;=0</formula>
    </cfRule>
    <cfRule type="expression" dxfId="134" priority="1848328">
      <formula>$R309:$R443&lt;4</formula>
    </cfRule>
  </conditionalFormatting>
  <conditionalFormatting sqref="AD261:AD263 AQ375:AS375">
    <cfRule type="expression" dxfId="133" priority="1848329">
      <formula>$R261:$R406="End"</formula>
    </cfRule>
  </conditionalFormatting>
  <conditionalFormatting sqref="AD261:AD263 AQ375:AS375">
    <cfRule type="expression" dxfId="132" priority="1848331" stopIfTrue="1">
      <formula>$R261:$R406="Cancel"</formula>
    </cfRule>
  </conditionalFormatting>
  <conditionalFormatting sqref="AT314:AU316">
    <cfRule type="expression" dxfId="131" priority="1848495">
      <formula>$X314:$X453="Penting"</formula>
    </cfRule>
    <cfRule type="expression" dxfId="130" priority="1848496">
      <formula>$R314:$R453=""</formula>
    </cfRule>
    <cfRule type="expression" dxfId="129" priority="1848497">
      <formula>$R314:$R453&lt;=0</formula>
    </cfRule>
    <cfRule type="expression" dxfId="128" priority="1848498">
      <formula>$R314:$R453&lt;4</formula>
    </cfRule>
  </conditionalFormatting>
  <conditionalFormatting sqref="S377:S378 AT210:AU211">
    <cfRule type="expression" dxfId="127" priority="1848551">
      <formula>$X210:$X598="Penting"</formula>
    </cfRule>
    <cfRule type="expression" dxfId="126" priority="1848552">
      <formula>$R210:$R598=""</formula>
    </cfRule>
    <cfRule type="expression" dxfId="125" priority="1848553">
      <formula>$R210:$R598&lt;=0</formula>
    </cfRule>
    <cfRule type="expression" dxfId="124" priority="1848554">
      <formula>$R210:$R598&lt;4</formula>
    </cfRule>
  </conditionalFormatting>
  <conditionalFormatting sqref="T377:V378">
    <cfRule type="expression" dxfId="123" priority="1848563">
      <formula>$X377:$X724="Penting"</formula>
    </cfRule>
    <cfRule type="expression" dxfId="122" priority="1848564">
      <formula>$R377:$R724=""</formula>
    </cfRule>
    <cfRule type="expression" dxfId="121" priority="1848565">
      <formula>$R377:$R724&lt;=0</formula>
    </cfRule>
    <cfRule type="expression" dxfId="120" priority="1848566">
      <formula>$R377:$R724&lt;4</formula>
    </cfRule>
  </conditionalFormatting>
  <conditionalFormatting sqref="AT237:AU239">
    <cfRule type="expression" dxfId="119" priority="1848699">
      <formula>$X237:$X642="Penting"</formula>
    </cfRule>
    <cfRule type="expression" dxfId="118" priority="1848700">
      <formula>$R237:$R642=""</formula>
    </cfRule>
    <cfRule type="expression" dxfId="117" priority="1848701">
      <formula>$R237:$R642&lt;=0</formula>
    </cfRule>
    <cfRule type="expression" dxfId="116" priority="1848702">
      <formula>$R237:$R642&lt;4</formula>
    </cfRule>
  </conditionalFormatting>
  <conditionalFormatting sqref="AQ373:AS374">
    <cfRule type="expression" dxfId="115" priority="1848705">
      <formula>$X373:$X460="Penting"</formula>
    </cfRule>
    <cfRule type="expression" dxfId="114" priority="1848706">
      <formula>$R373:$R460=""</formula>
    </cfRule>
    <cfRule type="expression" dxfId="113" priority="1848707">
      <formula>$R373:$R460&lt;=0</formula>
    </cfRule>
    <cfRule type="expression" dxfId="112" priority="1848708">
      <formula>$R373:$R460&lt;4</formula>
    </cfRule>
  </conditionalFormatting>
  <conditionalFormatting sqref="AT227:AU228">
    <cfRule type="expression" dxfId="111" priority="1848709">
      <formula>$X227:$X673="Penting"</formula>
    </cfRule>
    <cfRule type="expression" dxfId="110" priority="1848710">
      <formula>$R227:$R673=""</formula>
    </cfRule>
    <cfRule type="expression" dxfId="109" priority="1848711">
      <formula>$R227:$R673&lt;=0</formula>
    </cfRule>
    <cfRule type="expression" dxfId="108" priority="1848712">
      <formula>$R227:$R673&lt;4</formula>
    </cfRule>
  </conditionalFormatting>
  <conditionalFormatting sqref="AQ340:AS341 AQ329:AS332">
    <cfRule type="expression" dxfId="107" priority="1848721">
      <formula>$R329:$R603="End"</formula>
    </cfRule>
  </conditionalFormatting>
  <conditionalFormatting sqref="AQ340:AS341 AQ329:AS332">
    <cfRule type="expression" dxfId="106" priority="1848723" stopIfTrue="1">
      <formula>$R329:$R603="Cancel"</formula>
    </cfRule>
  </conditionalFormatting>
  <conditionalFormatting sqref="AT224:AU226">
    <cfRule type="expression" dxfId="105" priority="1848725">
      <formula>$X224:$X667="Penting"</formula>
    </cfRule>
    <cfRule type="expression" dxfId="104" priority="1848726">
      <formula>$R224:$R667=""</formula>
    </cfRule>
    <cfRule type="expression" dxfId="103" priority="1848727">
      <formula>$R224:$R667&lt;=0</formula>
    </cfRule>
    <cfRule type="expression" dxfId="102" priority="1848728">
      <formula>$R224:$R667&lt;4</formula>
    </cfRule>
  </conditionalFormatting>
  <conditionalFormatting sqref="AT307:AU308 AT250:AU252">
    <cfRule type="expression" dxfId="101" priority="1848733">
      <formula>$X250:$X443="Penting"</formula>
    </cfRule>
    <cfRule type="expression" dxfId="100" priority="1848734">
      <formula>$R250:$R443=""</formula>
    </cfRule>
    <cfRule type="expression" dxfId="99" priority="1848735">
      <formula>$R250:$R443&lt;=0</formula>
    </cfRule>
    <cfRule type="expression" dxfId="98" priority="1848736">
      <formula>$R250:$R443&lt;4</formula>
    </cfRule>
  </conditionalFormatting>
  <conditionalFormatting sqref="AQ286:AS287">
    <cfRule type="expression" dxfId="97" priority="1848749">
      <formula>$X286:$X518="Penting"</formula>
    </cfRule>
    <cfRule type="expression" dxfId="96" priority="1848750">
      <formula>$R286:$R518=""</formula>
    </cfRule>
    <cfRule type="expression" dxfId="95" priority="1848751">
      <formula>$R286:$R518&lt;=0</formula>
    </cfRule>
    <cfRule type="expression" dxfId="94" priority="1848752">
      <formula>$R286:$R518&lt;4</formula>
    </cfRule>
  </conditionalFormatting>
  <conditionalFormatting sqref="AD229:AD230">
    <cfRule type="expression" dxfId="93" priority="1848757">
      <formula>$R229:$R399="End"</formula>
    </cfRule>
  </conditionalFormatting>
  <conditionalFormatting sqref="AD229:AD230">
    <cfRule type="expression" dxfId="92" priority="1848758" stopIfTrue="1">
      <formula>$R229:$R399="Cancel"</formula>
    </cfRule>
  </conditionalFormatting>
  <conditionalFormatting sqref="S134:S312">
    <cfRule type="expression" dxfId="91" priority="1848759">
      <formula>$X134:$X502="Penting"</formula>
    </cfRule>
    <cfRule type="expression" dxfId="90" priority="1848760">
      <formula>$R134:$R502=""</formula>
    </cfRule>
    <cfRule type="expression" dxfId="89" priority="1848761">
      <formula>$R134:$R502&lt;=0</formula>
    </cfRule>
    <cfRule type="expression" dxfId="88" priority="1848762">
      <formula>$R134:$R502&lt;4</formula>
    </cfRule>
  </conditionalFormatting>
  <conditionalFormatting sqref="AQ246:AS247 AQ250:AS252">
    <cfRule type="expression" dxfId="87" priority="1848767">
      <formula>$R246:$R441="End"</formula>
    </cfRule>
  </conditionalFormatting>
  <conditionalFormatting sqref="AQ246:AS247 AQ250:AS252">
    <cfRule type="expression" dxfId="86" priority="1848769" stopIfTrue="1">
      <formula>$R246:$R441="Cancel"</formula>
    </cfRule>
  </conditionalFormatting>
  <conditionalFormatting sqref="AQ210:AS211">
    <cfRule type="expression" dxfId="85" priority="1848799">
      <formula>$R210:$R596="End"</formula>
    </cfRule>
  </conditionalFormatting>
  <conditionalFormatting sqref="AQ210:AS211">
    <cfRule type="expression" dxfId="84" priority="1848800" stopIfTrue="1">
      <formula>$R210:$R596="Cancel"</formula>
    </cfRule>
  </conditionalFormatting>
  <conditionalFormatting sqref="AQ288:AS290">
    <cfRule type="expression" dxfId="83" priority="1848801">
      <formula>$X288:$X522="Penting"</formula>
    </cfRule>
    <cfRule type="expression" dxfId="82" priority="1848802">
      <formula>$R288:$R522=""</formula>
    </cfRule>
    <cfRule type="expression" dxfId="81" priority="1848803">
      <formula>$R288:$R522&lt;=0</formula>
    </cfRule>
    <cfRule type="expression" dxfId="80" priority="1848804">
      <formula>$R288:$R522&lt;4</formula>
    </cfRule>
  </conditionalFormatting>
  <conditionalFormatting sqref="AQ242:AS245">
    <cfRule type="expression" dxfId="79" priority="1848805">
      <formula>$X242:$X650="Penting"</formula>
    </cfRule>
    <cfRule type="expression" dxfId="78" priority="1848806">
      <formula>$R242:$R650=""</formula>
    </cfRule>
    <cfRule type="expression" dxfId="77" priority="1848807">
      <formula>$R242:$R650&lt;=0</formula>
    </cfRule>
    <cfRule type="expression" dxfId="76" priority="1848808">
      <formula>$R242:$R650&lt;4</formula>
    </cfRule>
  </conditionalFormatting>
  <conditionalFormatting sqref="AT230:AU231">
    <cfRule type="expression" dxfId="75" priority="1848811">
      <formula>$X230:$X679="Penting"</formula>
    </cfRule>
    <cfRule type="expression" dxfId="74" priority="1848812">
      <formula>$R230:$R679=""</formula>
    </cfRule>
    <cfRule type="expression" dxfId="73" priority="1848813">
      <formula>$R230:$R679&lt;=0</formula>
    </cfRule>
    <cfRule type="expression" dxfId="72" priority="1848814">
      <formula>$R230:$R679&lt;4</formula>
    </cfRule>
  </conditionalFormatting>
  <conditionalFormatting sqref="AT276:AU277">
    <cfRule type="expression" dxfId="71" priority="1848819">
      <formula>$X276:$X517="Penting"</formula>
    </cfRule>
    <cfRule type="expression" dxfId="70" priority="1848820">
      <formula>$R276:$R517=""</formula>
    </cfRule>
    <cfRule type="expression" dxfId="69" priority="1848821">
      <formula>$R276:$R517&lt;=0</formula>
    </cfRule>
    <cfRule type="expression" dxfId="68" priority="1848822">
      <formula>$R276:$R517&lt;4</formula>
    </cfRule>
  </conditionalFormatting>
  <conditionalFormatting sqref="AQ237:AS239 AQ207:AS208">
    <cfRule type="expression" dxfId="67" priority="1848823">
      <formula>$R207:$R598="End"</formula>
    </cfRule>
  </conditionalFormatting>
  <conditionalFormatting sqref="AQ237:AS239 AQ207:AS208">
    <cfRule type="expression" dxfId="66" priority="1848825" stopIfTrue="1">
      <formula>$R207:$R598="Cancel"</formula>
    </cfRule>
  </conditionalFormatting>
  <conditionalFormatting sqref="AQ233:AS236">
    <cfRule type="expression" dxfId="65" priority="1848831">
      <formula>$R233:$R654="End"</formula>
    </cfRule>
  </conditionalFormatting>
  <conditionalFormatting sqref="AQ233:AS236">
    <cfRule type="expression" dxfId="64" priority="1848832" stopIfTrue="1">
      <formula>$R233:$R654="Cancel"</formula>
    </cfRule>
  </conditionalFormatting>
  <conditionalFormatting sqref="AQ212:AS231">
    <cfRule type="expression" dxfId="63" priority="1848833">
      <formula>$R212:$R631="End"</formula>
    </cfRule>
  </conditionalFormatting>
  <conditionalFormatting sqref="AQ212:AS231">
    <cfRule type="expression" dxfId="62" priority="1848834" stopIfTrue="1">
      <formula>$R212:$R631="Cancel"</formula>
    </cfRule>
  </conditionalFormatting>
  <conditionalFormatting sqref="AQ203:AS204">
    <cfRule type="expression" dxfId="61" priority="1848835">
      <formula>$R203:$R601="End"</formula>
    </cfRule>
  </conditionalFormatting>
  <conditionalFormatting sqref="AQ203:AS204">
    <cfRule type="expression" dxfId="60" priority="1848836" stopIfTrue="1">
      <formula>$R203:$R601="Cancel"</formula>
    </cfRule>
  </conditionalFormatting>
  <conditionalFormatting sqref="AQ276:AS277">
    <cfRule type="expression" dxfId="59" priority="1848837">
      <formula>$R276:$R515="End"</formula>
    </cfRule>
  </conditionalFormatting>
  <conditionalFormatting sqref="AQ276:AS277">
    <cfRule type="expression" dxfId="58" priority="1848838" stopIfTrue="1">
      <formula>$R276:$R515="Cancel"</formula>
    </cfRule>
  </conditionalFormatting>
  <conditionalFormatting sqref="AQ242:AS245">
    <cfRule type="expression" dxfId="57" priority="1848839">
      <formula>$R242:$R715="End"</formula>
    </cfRule>
  </conditionalFormatting>
  <conditionalFormatting sqref="AQ242:AS245">
    <cfRule type="expression" dxfId="56" priority="1848840" stopIfTrue="1">
      <formula>$R242:$R715="Cancel"</formula>
    </cfRule>
  </conditionalFormatting>
  <conditionalFormatting sqref="AT270:AU271">
    <cfRule type="expression" dxfId="55" priority="1848841">
      <formula>$X251:$X473="Penting"</formula>
    </cfRule>
    <cfRule type="expression" dxfId="54" priority="1848842">
      <formula>$R251:$R473=""</formula>
    </cfRule>
    <cfRule type="expression" dxfId="53" priority="1848843">
      <formula>$R251:$R473&lt;=0</formula>
    </cfRule>
    <cfRule type="expression" dxfId="52" priority="1848844">
      <formula>$R251:$R473&lt;4</formula>
    </cfRule>
  </conditionalFormatting>
  <conditionalFormatting sqref="Q380">
    <cfRule type="expression" dxfId="51" priority="52">
      <formula>$R380:$R726="End"</formula>
    </cfRule>
  </conditionalFormatting>
  <conditionalFormatting sqref="Q380">
    <cfRule type="expression" dxfId="50" priority="51" stopIfTrue="1">
      <formula>$R380:$R726="Cancel"</formula>
    </cfRule>
  </conditionalFormatting>
  <conditionalFormatting sqref="P380">
    <cfRule type="expression" dxfId="49" priority="50">
      <formula>$R380:$R732="End"</formula>
    </cfRule>
  </conditionalFormatting>
  <conditionalFormatting sqref="P380">
    <cfRule type="expression" dxfId="48" priority="49" stopIfTrue="1">
      <formula>$R380:$R732="Cancel"</formula>
    </cfRule>
  </conditionalFormatting>
  <conditionalFormatting sqref="Q380">
    <cfRule type="expression" dxfId="47" priority="48">
      <formula>$R380:$R727="End"</formula>
    </cfRule>
  </conditionalFormatting>
  <conditionalFormatting sqref="Q380">
    <cfRule type="expression" dxfId="46" priority="47" stopIfTrue="1">
      <formula>$R380:$R727="Cancel"</formula>
    </cfRule>
  </conditionalFormatting>
  <conditionalFormatting sqref="P380">
    <cfRule type="expression" dxfId="45" priority="46">
      <formula>$R380:$R731="End"</formula>
    </cfRule>
  </conditionalFormatting>
  <conditionalFormatting sqref="P380">
    <cfRule type="expression" dxfId="44" priority="45" stopIfTrue="1">
      <formula>$R380:$R731="Cancel"</formula>
    </cfRule>
  </conditionalFormatting>
  <conditionalFormatting sqref="P380:Q380">
    <cfRule type="expression" dxfId="43" priority="41">
      <formula>$X380:$X703="Penting"</formula>
    </cfRule>
    <cfRule type="expression" dxfId="42" priority="42">
      <formula>$R380:$R703=""</formula>
    </cfRule>
    <cfRule type="expression" dxfId="41" priority="43">
      <formula>$R380:$R703&lt;=0</formula>
    </cfRule>
    <cfRule type="expression" dxfId="40" priority="44">
      <formula>$R380:$R703&lt;4</formula>
    </cfRule>
  </conditionalFormatting>
  <conditionalFormatting sqref="R380">
    <cfRule type="expression" dxfId="39" priority="40">
      <formula>$R380:$R733="End"</formula>
    </cfRule>
  </conditionalFormatting>
  <conditionalFormatting sqref="R380">
    <cfRule type="expression" dxfId="38" priority="39" stopIfTrue="1">
      <formula>$R380:$R733="Cancel"</formula>
    </cfRule>
  </conditionalFormatting>
  <conditionalFormatting sqref="R380">
    <cfRule type="expression" dxfId="37" priority="38">
      <formula>$R380:$R732="End"</formula>
    </cfRule>
  </conditionalFormatting>
  <conditionalFormatting sqref="R380">
    <cfRule type="expression" dxfId="36" priority="37" stopIfTrue="1">
      <formula>$R380:$R732="Cancel"</formula>
    </cfRule>
  </conditionalFormatting>
  <conditionalFormatting sqref="R380">
    <cfRule type="expression" dxfId="35" priority="33">
      <formula>$X380:$X709="Penting"</formula>
    </cfRule>
    <cfRule type="expression" dxfId="34" priority="34">
      <formula>$R380:$R709=""</formula>
    </cfRule>
    <cfRule type="expression" dxfId="33" priority="35">
      <formula>$R380:$R709&lt;=0</formula>
    </cfRule>
    <cfRule type="expression" dxfId="32" priority="36">
      <formula>$R380:$R709&lt;4</formula>
    </cfRule>
  </conditionalFormatting>
  <conditionalFormatting sqref="S380">
    <cfRule type="expression" dxfId="31" priority="32">
      <formula>$R380:$R733="End"</formula>
    </cfRule>
  </conditionalFormatting>
  <conditionalFormatting sqref="S380">
    <cfRule type="expression" dxfId="30" priority="31" stopIfTrue="1">
      <formula>$R380:$R733="Cancel"</formula>
    </cfRule>
  </conditionalFormatting>
  <conditionalFormatting sqref="S380">
    <cfRule type="expression" dxfId="29" priority="27">
      <formula>$X380:$X774="Penting"</formula>
    </cfRule>
    <cfRule type="expression" dxfId="28" priority="28">
      <formula>$R380:$R774=""</formula>
    </cfRule>
    <cfRule type="expression" dxfId="27" priority="29">
      <formula>$R380:$R774&lt;=0</formula>
    </cfRule>
    <cfRule type="expression" dxfId="26" priority="30">
      <formula>$R380:$R774&lt;4</formula>
    </cfRule>
  </conditionalFormatting>
  <conditionalFormatting sqref="S380">
    <cfRule type="expression" dxfId="25" priority="26">
      <formula>$R380:$R732="End"</formula>
    </cfRule>
  </conditionalFormatting>
  <conditionalFormatting sqref="S380">
    <cfRule type="expression" dxfId="24" priority="25" stopIfTrue="1">
      <formula>$R380:$R732="Cancel"</formula>
    </cfRule>
  </conditionalFormatting>
  <conditionalFormatting sqref="S380">
    <cfRule type="expression" dxfId="23" priority="21">
      <formula>$X380:$X709="Penting"</formula>
    </cfRule>
    <cfRule type="expression" dxfId="22" priority="22">
      <formula>$R380:$R709=""</formula>
    </cfRule>
    <cfRule type="expression" dxfId="21" priority="23">
      <formula>$R380:$R709&lt;=0</formula>
    </cfRule>
    <cfRule type="expression" dxfId="20" priority="24">
      <formula>$R380:$R709&lt;4</formula>
    </cfRule>
  </conditionalFormatting>
  <conditionalFormatting sqref="S380">
    <cfRule type="expression" dxfId="19" priority="17">
      <formula>$X380:$X773="Penting"</formula>
    </cfRule>
    <cfRule type="expression" dxfId="18" priority="18">
      <formula>$R380:$R773=""</formula>
    </cfRule>
    <cfRule type="expression" dxfId="17" priority="19">
      <formula>$R380:$R773&lt;=0</formula>
    </cfRule>
    <cfRule type="expression" dxfId="16" priority="20">
      <formula>$R380:$R773&lt;4</formula>
    </cfRule>
  </conditionalFormatting>
  <conditionalFormatting sqref="T380:X380">
    <cfRule type="expression" dxfId="15" priority="16">
      <formula>$R380:$R733="End"</formula>
    </cfRule>
  </conditionalFormatting>
  <conditionalFormatting sqref="T380:X380">
    <cfRule type="expression" dxfId="14" priority="15" stopIfTrue="1">
      <formula>$R380:$R733="Cancel"</formula>
    </cfRule>
  </conditionalFormatting>
  <conditionalFormatting sqref="T380:X380">
    <cfRule type="expression" dxfId="13" priority="14">
      <formula>$R380:$R732="End"</formula>
    </cfRule>
  </conditionalFormatting>
  <conditionalFormatting sqref="T380:X380">
    <cfRule type="expression" dxfId="12" priority="13" stopIfTrue="1">
      <formula>$R380:$R732="Cancel"</formula>
    </cfRule>
  </conditionalFormatting>
  <conditionalFormatting sqref="W380:X380">
    <cfRule type="expression" dxfId="11" priority="9">
      <formula>$X380:$X709="Penting"</formula>
    </cfRule>
    <cfRule type="expression" dxfId="10" priority="10">
      <formula>$R380:$R709=""</formula>
    </cfRule>
    <cfRule type="expression" dxfId="9" priority="11">
      <formula>$R380:$R709&lt;=0</formula>
    </cfRule>
    <cfRule type="expression" dxfId="8" priority="12">
      <formula>$R380:$R709&lt;4</formula>
    </cfRule>
  </conditionalFormatting>
  <conditionalFormatting sqref="T380:V380">
    <cfRule type="expression" dxfId="7" priority="5">
      <formula>$X380:$X733="Penting"</formula>
    </cfRule>
    <cfRule type="expression" dxfId="6" priority="6">
      <formula>$R380:$R733=""</formula>
    </cfRule>
    <cfRule type="expression" dxfId="5" priority="7">
      <formula>$R380:$R733&lt;=0</formula>
    </cfRule>
    <cfRule type="expression" dxfId="4" priority="8">
      <formula>$R380:$R733&lt;4</formula>
    </cfRule>
  </conditionalFormatting>
  <conditionalFormatting sqref="T380:V380">
    <cfRule type="expression" dxfId="3" priority="1">
      <formula>$X380:$X732="Penting"</formula>
    </cfRule>
    <cfRule type="expression" dxfId="2" priority="2">
      <formula>$R380:$R732=""</formula>
    </cfRule>
    <cfRule type="expression" dxfId="1" priority="3">
      <formula>$R380:$R732&lt;=0</formula>
    </cfRule>
    <cfRule type="expression" dxfId="0" priority="4">
      <formula>$R380:$R732&lt;4</formula>
    </cfRule>
  </conditionalFormatting>
  <hyperlinks>
    <hyperlink ref="K235" r:id="rId1"/>
    <hyperlink ref="K274" r:id="rId2"/>
    <hyperlink ref="K237" r:id="rId3"/>
  </hyperlinks>
  <printOptions horizontalCentered="1"/>
  <pageMargins left="0" right="0" top="0.19685039370078741" bottom="0" header="0" footer="0"/>
  <pageSetup paperSize="9" scale="13" orientation="landscape" r:id="rId4"/>
  <rowBreaks count="8" manualBreakCount="8">
    <brk id="119" max="41" man="1"/>
    <brk id="176" max="41" man="1"/>
    <brk id="353" max="41" man="1"/>
    <brk id="408" max="41" man="1"/>
    <brk id="416" max="41" man="1"/>
    <brk id="424" max="41" man="1"/>
    <brk id="227" max="41" man="1"/>
    <brk id="323" max="41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Kontrak ALL ok</vt:lpstr>
      <vt:lpstr>'Kontrak ALL ok'!Print_Area</vt:lpstr>
      <vt:lpstr>'Kontrak ALL ok'!Print_Titles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GA-08</dc:creator>
  <cp:lastModifiedBy>GA-06</cp:lastModifiedBy>
  <dcterms:created xsi:type="dcterms:W3CDTF">2022-11-05T01:01:18Z</dcterms:created>
  <dcterms:modified xsi:type="dcterms:W3CDTF">2022-12-08T09:42:58Z</dcterms:modified>
</cp:coreProperties>
</file>