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DATA\PUTRI MEI E\3. TERM 83\1. BUDGET\2.1. PR\3. HARGA 3 PEMBANDING\1. MTP\6. DESEMBER\"/>
    </mc:Choice>
  </mc:AlternateContent>
  <xr:revisionPtr revIDLastSave="0" documentId="13_ncr:1_{B8884088-BCA9-4B6B-B956-CA0E0CE847F7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 (2)" sheetId="2" state="hidden" r:id="rId1"/>
    <sheet name="Sheet2" sheetId="3" r:id="rId2"/>
  </sheets>
  <externalReferences>
    <externalReference r:id="rId3"/>
  </externalReferences>
  <definedNames>
    <definedName name="_xlnm._FilterDatabase" localSheetId="1" hidden="1">Sheet2!$B$3:$AB$16</definedName>
    <definedName name="_xlnm.Print_Area" localSheetId="0">'Sheet1 (2)'!$A$1:$T$17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16" i="2"/>
  <c r="R16" i="2" s="1"/>
  <c r="E15" i="2"/>
  <c r="R15" i="2" s="1"/>
  <c r="E14" i="2"/>
  <c r="R14" i="2" s="1"/>
  <c r="E13" i="2"/>
  <c r="R13" i="2" s="1"/>
  <c r="E12" i="2"/>
  <c r="R12" i="2" s="1"/>
  <c r="E11" i="2"/>
  <c r="R11" i="2" s="1"/>
  <c r="E10" i="2"/>
  <c r="R10" i="2" s="1"/>
  <c r="E9" i="2"/>
  <c r="R9" i="2" s="1"/>
  <c r="E8" i="2"/>
  <c r="R8" i="2" s="1"/>
  <c r="E7" i="2"/>
  <c r="R7" i="2" s="1"/>
  <c r="E6" i="2"/>
  <c r="E5" i="2"/>
  <c r="R5" i="2" s="1"/>
  <c r="E4" i="2"/>
  <c r="Q5" i="2" l="1"/>
  <c r="Q7" i="2"/>
  <c r="Q9" i="2"/>
  <c r="Q11" i="2"/>
  <c r="Q13" i="2"/>
  <c r="Q15" i="2"/>
  <c r="Q8" i="2"/>
  <c r="Q10" i="2"/>
  <c r="Q12" i="2"/>
  <c r="Q14" i="2"/>
  <c r="Q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MTP-01</author>
  </authors>
  <commentList>
    <comment ref="T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DI ISI TANGGAL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DI ISI TANGGAL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<sst xmlns="http://schemas.openxmlformats.org/spreadsheetml/2006/main" count="319" uniqueCount="145">
  <si>
    <t>NO</t>
  </si>
  <si>
    <t>PART_NO</t>
  </si>
  <si>
    <t>PART  NAME</t>
  </si>
  <si>
    <t>DETAIL PART</t>
  </si>
  <si>
    <t>PURCHASING</t>
  </si>
  <si>
    <t>CATEGORY</t>
  </si>
  <si>
    <t>UOM</t>
  </si>
  <si>
    <t>ORG CURR</t>
  </si>
  <si>
    <t>NOP-22</t>
  </si>
  <si>
    <t>QTY</t>
  </si>
  <si>
    <t>CUP002</t>
  </si>
  <si>
    <t>CUP</t>
  </si>
  <si>
    <t>CUP TRANSPARAN MOQ : 2000PCS</t>
  </si>
  <si>
    <t>MTP</t>
  </si>
  <si>
    <t>RUTIN</t>
  </si>
  <si>
    <t>PCE</t>
  </si>
  <si>
    <t>IDR</t>
  </si>
  <si>
    <t>KUAS001</t>
  </si>
  <si>
    <t>KUAS</t>
  </si>
  <si>
    <t>KUAS 1 INCH</t>
  </si>
  <si>
    <t>KUAS002</t>
  </si>
  <si>
    <t>KUAS NO 5 1/2 INCH</t>
  </si>
  <si>
    <t>KUAS003</t>
  </si>
  <si>
    <t>KUAS 2 INCH</t>
  </si>
  <si>
    <t>SIKAT001</t>
  </si>
  <si>
    <t>SIKAT</t>
  </si>
  <si>
    <t>SIKAT GIGI ORAL B</t>
  </si>
  <si>
    <t>SET</t>
  </si>
  <si>
    <t>TANG003</t>
  </si>
  <si>
    <t>TANG</t>
  </si>
  <si>
    <t>TANG POTONG 6 INCH SELLERY 88-566</t>
  </si>
  <si>
    <t>TOPLES002</t>
  </si>
  <si>
    <t>TOPLES</t>
  </si>
  <si>
    <t>TOPLES 102 PRAXIS KEEPER</t>
  </si>
  <si>
    <t>TOPLES003</t>
  </si>
  <si>
    <t>TOPLES NAGATA 991</t>
  </si>
  <si>
    <t>SPN08</t>
  </si>
  <si>
    <t>SPON</t>
  </si>
  <si>
    <t>SPON SEPEDA</t>
  </si>
  <si>
    <t>LEM001</t>
  </si>
  <si>
    <t>LEM</t>
  </si>
  <si>
    <t>LEM FULLOC</t>
  </si>
  <si>
    <t>BRUSH003</t>
  </si>
  <si>
    <t>BRUSH</t>
  </si>
  <si>
    <t>WIRE BRUSH MINI SET (3PCS) 10203862</t>
  </si>
  <si>
    <t>COVER08</t>
  </si>
  <si>
    <t>COVER</t>
  </si>
  <si>
    <t>COVER CONNECTOR TYPE 1</t>
  </si>
  <si>
    <t>RUBBER</t>
  </si>
  <si>
    <t>STRIPPER002</t>
  </si>
  <si>
    <t>WIRE STRIPPER</t>
  </si>
  <si>
    <t>WIRE STRIPPER SENATOR AUTOMATIC SEN-516-8240K</t>
  </si>
  <si>
    <t>RUBBER001</t>
  </si>
  <si>
    <t>RUBBER PINK</t>
  </si>
  <si>
    <t>JAN-23</t>
  </si>
  <si>
    <t>PRICE</t>
  </si>
  <si>
    <t>ACT ORDER</t>
  </si>
  <si>
    <t>REMARK</t>
  </si>
  <si>
    <t>STOK ACT</t>
  </si>
  <si>
    <t>STOK MIN</t>
  </si>
  <si>
    <t>STOK MAX</t>
  </si>
  <si>
    <t>CEK 1</t>
  </si>
  <si>
    <t>CEK 2</t>
  </si>
  <si>
    <t>ORDER</t>
  </si>
  <si>
    <t>PLAN ORDER NOVEMBER MTP</t>
  </si>
  <si>
    <t>CODE
MTP</t>
  </si>
  <si>
    <t>PART_NO PURCH</t>
  </si>
  <si>
    <t>PART  NAME PURCH</t>
  </si>
  <si>
    <t>PLAN QTY ORDER</t>
  </si>
  <si>
    <t>HARGA
PEMBELIAN</t>
  </si>
  <si>
    <t>AMOUNT</t>
  </si>
  <si>
    <t>SELISIH</t>
  </si>
  <si>
    <t>ESTIMASI LEADTIME PENGIRIMAN</t>
  </si>
  <si>
    <t>TANGGAL PR DITERIMA LP</t>
  </si>
  <si>
    <t>TANGGAL KIRIM PO</t>
  </si>
  <si>
    <t>ETA BARANG SAMI</t>
  </si>
  <si>
    <t>MINGGU KE</t>
  </si>
  <si>
    <t>SUPPLIER</t>
  </si>
  <si>
    <t>STATUS</t>
  </si>
  <si>
    <t>MTP00039</t>
  </si>
  <si>
    <t>MTP00469</t>
  </si>
  <si>
    <t>SPR</t>
  </si>
  <si>
    <t>STU</t>
  </si>
  <si>
    <t>AJS</t>
  </si>
  <si>
    <t>SMS</t>
  </si>
  <si>
    <t>HIB</t>
  </si>
  <si>
    <t>HEL</t>
  </si>
  <si>
    <t>GMM</t>
  </si>
  <si>
    <t>NO.</t>
  </si>
  <si>
    <t>PIC</t>
  </si>
  <si>
    <t>PURCH</t>
  </si>
  <si>
    <t>CONTROL NO.</t>
  </si>
  <si>
    <t>PEMBANDING 1</t>
  </si>
  <si>
    <t>SUPPLIER 2</t>
  </si>
  <si>
    <t>SUPPLIER 3</t>
  </si>
  <si>
    <t>CLOSE</t>
  </si>
  <si>
    <t>PRD</t>
  </si>
  <si>
    <t>RUBBER005</t>
  </si>
  <si>
    <t>RUBBER YELLOW</t>
  </si>
  <si>
    <t>MTP01168</t>
  </si>
  <si>
    <t>14 HARI</t>
  </si>
  <si>
    <t>SIAP</t>
  </si>
  <si>
    <t>WRENCH013</t>
  </si>
  <si>
    <t>BALL POINT</t>
  </si>
  <si>
    <t>EIGHT BH-1.5 BALL POINT HEX KEY WRENCH 1.5MM</t>
  </si>
  <si>
    <t>MTP00423</t>
  </si>
  <si>
    <t>KUNCI04</t>
  </si>
  <si>
    <t>KUNCI</t>
  </si>
  <si>
    <t>KUNCI L3 PANJANG TEKIRO HK-LO1167</t>
  </si>
  <si>
    <t>MTP00425</t>
  </si>
  <si>
    <t>WRENCH015</t>
  </si>
  <si>
    <t>EIGHT BH-4 BALL POINT HEX KEY WRENCH 4.0MM</t>
  </si>
  <si>
    <t>MTP00426</t>
  </si>
  <si>
    <t>SCRAP001</t>
  </si>
  <si>
    <t>SCRAPPER</t>
  </si>
  <si>
    <t>SCRAPPER SCRAPPER 2 INCH</t>
  </si>
  <si>
    <t>MTP00784</t>
  </si>
  <si>
    <t>TOPLES004</t>
  </si>
  <si>
    <t>TOPLES PUTIH LIONSTAR 14.5X10X5CM</t>
  </si>
  <si>
    <t>MTP00930</t>
  </si>
  <si>
    <t>TOPLES005</t>
  </si>
  <si>
    <t>KOTAK ENGSEL</t>
  </si>
  <si>
    <t>KOTAK ENGSEL HAWAII 8050</t>
  </si>
  <si>
    <t>MTP00402</t>
  </si>
  <si>
    <t>BOTOL002</t>
  </si>
  <si>
    <t>BOTOL</t>
  </si>
  <si>
    <t>BOTOL KECAP 400ML</t>
  </si>
  <si>
    <t>MTP00117</t>
  </si>
  <si>
    <t>KUNCI006</t>
  </si>
  <si>
    <t>KUNCI PAS 14-15MM WR-OE0162</t>
  </si>
  <si>
    <t>MTP01118</t>
  </si>
  <si>
    <t>PAKU004</t>
  </si>
  <si>
    <t>PAKU RIVET</t>
  </si>
  <si>
    <t>PAKU RIVET FB 435 4MM (1SET=100PCS)</t>
  </si>
  <si>
    <t>MTP01939</t>
  </si>
  <si>
    <t>SPRING026</t>
  </si>
  <si>
    <t>SPRING</t>
  </si>
  <si>
    <t>SPRING TANG POTONG 6INCH SELLERY 88-566 1 PACK 5PCS</t>
  </si>
  <si>
    <t>MTP11236</t>
  </si>
  <si>
    <t>SUDAH UPLOAD 8.11.23</t>
  </si>
  <si>
    <t>MIN</t>
  </si>
  <si>
    <t>MTI</t>
  </si>
  <si>
    <t>AAG</t>
  </si>
  <si>
    <t>TPL</t>
  </si>
  <si>
    <t>14 HSRI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</si>
</sst>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3" fillId="0" borderId="0" applyNumberFormat="0"/>
    <xf numFmtId="0" fontId="3" fillId="0" borderId="0"/>
    <xf numFmtId="43" fontId="10" fillId="0" borderId="0" applyFont="0" applyFill="0" applyBorder="0" applyAlignment="0" applyProtection="0"/>
  </cellStyleXfs>
  <cellXfs count="40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" fontId="0" fillId="0" borderId="3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5" fontId="5" fillId="0" borderId="3" xfId="1" applyNumberFormat="1" applyFont="1" applyFill="1" applyBorder="1" applyAlignment="1">
      <alignment horizontal="center" vertical="center" wrapText="1"/>
    </xf>
    <xf numFmtId="0" fontId="9" fillId="0" borderId="3" xfId="3" applyFont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5" fillId="0" borderId="3" xfId="3" applyFont="1" applyBorder="1" applyAlignment="1">
      <alignment horizontal="left"/>
    </xf>
    <xf numFmtId="0" fontId="9" fillId="3" borderId="3" xfId="3" applyFont="1" applyFill="1" applyBorder="1" applyAlignment="1">
      <alignment horizontal="left"/>
    </xf>
    <xf numFmtId="165" fontId="9" fillId="3" borderId="3" xfId="1" applyNumberFormat="1" applyFont="1" applyFill="1" applyBorder="1" applyAlignment="1">
      <alignment horizontal="left"/>
    </xf>
    <xf numFmtId="165" fontId="5" fillId="0" borderId="1" xfId="1" applyNumberFormat="1" applyFont="1" applyFill="1" applyBorder="1" applyAlignment="1">
      <alignment horizontal="left" vertical="center"/>
    </xf>
    <xf numFmtId="165" fontId="5" fillId="0" borderId="1" xfId="4" applyNumberFormat="1" applyFont="1" applyBorder="1" applyAlignment="1">
      <alignment horizontal="left" vertical="center"/>
    </xf>
    <xf numFmtId="16" fontId="9" fillId="0" borderId="3" xfId="3" applyNumberFormat="1" applyFont="1" applyBorder="1" applyAlignment="1">
      <alignment horizontal="left"/>
    </xf>
    <xf numFmtId="16" fontId="9" fillId="4" borderId="3" xfId="3" applyNumberFormat="1" applyFont="1" applyFill="1" applyBorder="1" applyAlignment="1">
      <alignment horizontal="left"/>
    </xf>
    <xf numFmtId="165" fontId="5" fillId="0" borderId="3" xfId="1" applyNumberFormat="1" applyFont="1" applyFill="1" applyBorder="1" applyAlignment="1">
      <alignment horizontal="left" vertical="center"/>
    </xf>
    <xf numFmtId="166" fontId="5" fillId="6" borderId="3" xfId="5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165" fontId="5" fillId="0" borderId="3" xfId="4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16" fontId="5" fillId="0" borderId="3" xfId="0" applyNumberFormat="1" applyFont="1" applyBorder="1" applyAlignment="1">
      <alignment horizontal="left"/>
    </xf>
    <xf numFmtId="165" fontId="9" fillId="0" borderId="3" xfId="1" applyNumberFormat="1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16" fontId="11" fillId="0" borderId="3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6">
    <cellStyle name="Comma" xfId="1" builtinId="3"/>
    <cellStyle name="Comma 10" xfId="5" xr:uid="{00000000-0005-0000-0000-000001000000}"/>
    <cellStyle name="Normal" xfId="0" builtinId="0"/>
    <cellStyle name="Normal 15" xfId="3" xr:uid="{00000000-0005-0000-0000-000003000000}"/>
    <cellStyle name="Normal 15 2" xfId="4" xr:uid="{00000000-0005-0000-0000-000004000000}"/>
    <cellStyle name="Normal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35\Share%20SAMI-69\Erwin\ADM\1.%20CONTROL%20BARANG%20PRODUKSI\TERM%2082\MIN%20MAX%20STOCK%208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imulasi"/>
    </sheetNames>
    <sheetDataSet>
      <sheetData sheetId="0">
        <row r="7">
          <cell r="C7" t="str">
            <v>KERTAS ATK001 KERTAS A3</v>
          </cell>
          <cell r="D7">
            <v>1</v>
          </cell>
          <cell r="E7">
            <v>0</v>
          </cell>
          <cell r="F7">
            <v>0</v>
          </cell>
          <cell r="H7" t="str">
            <v>GA</v>
          </cell>
          <cell r="I7" t="str">
            <v>RIM</v>
          </cell>
          <cell r="J7">
            <v>5</v>
          </cell>
          <cell r="K7">
            <v>3</v>
          </cell>
          <cell r="L7">
            <v>3</v>
          </cell>
          <cell r="M7">
            <v>14</v>
          </cell>
          <cell r="N7">
            <v>25</v>
          </cell>
          <cell r="O7">
            <v>25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0.83333333333333337</v>
          </cell>
          <cell r="X7">
            <v>25</v>
          </cell>
          <cell r="Y7">
            <v>1.8333333333333335</v>
          </cell>
          <cell r="Z7">
            <v>1</v>
          </cell>
          <cell r="AA7">
            <v>1.8333333333333335</v>
          </cell>
          <cell r="AB7">
            <v>2.8333333333333335</v>
          </cell>
        </row>
        <row r="8">
          <cell r="C8" t="str">
            <v>KERTAS ATK002 KERTAS A4 70 GR</v>
          </cell>
          <cell r="D8">
            <v>0</v>
          </cell>
          <cell r="E8">
            <v>0</v>
          </cell>
          <cell r="F8">
            <v>0</v>
          </cell>
          <cell r="H8" t="str">
            <v>GA</v>
          </cell>
          <cell r="I8" t="str">
            <v>RIM</v>
          </cell>
          <cell r="J8">
            <v>5</v>
          </cell>
          <cell r="K8">
            <v>3</v>
          </cell>
          <cell r="L8">
            <v>3</v>
          </cell>
          <cell r="M8">
            <v>14</v>
          </cell>
          <cell r="N8">
            <v>25</v>
          </cell>
          <cell r="O8">
            <v>25</v>
          </cell>
          <cell r="P8">
            <v>1</v>
          </cell>
          <cell r="Q8">
            <v>250</v>
          </cell>
          <cell r="R8">
            <v>250</v>
          </cell>
          <cell r="S8">
            <v>300</v>
          </cell>
          <cell r="T8">
            <v>250</v>
          </cell>
          <cell r="U8">
            <v>250</v>
          </cell>
          <cell r="V8">
            <v>22.360679774997898</v>
          </cell>
          <cell r="W8">
            <v>0.83333333333333337</v>
          </cell>
          <cell r="X8">
            <v>25</v>
          </cell>
          <cell r="Y8">
            <v>217.66666666666669</v>
          </cell>
          <cell r="Z8">
            <v>64.278485021898774</v>
          </cell>
          <cell r="AA8">
            <v>280.94515168856549</v>
          </cell>
          <cell r="AB8">
            <v>281.94515168856549</v>
          </cell>
        </row>
        <row r="9">
          <cell r="C9" t="str">
            <v>ACCO FASTENER ATK128 ACCO FASTENER FASTENER</v>
          </cell>
          <cell r="D9">
            <v>2</v>
          </cell>
          <cell r="E9">
            <v>0</v>
          </cell>
          <cell r="F9">
            <v>0</v>
          </cell>
          <cell r="H9" t="str">
            <v>GA</v>
          </cell>
          <cell r="I9" t="str">
            <v>PAK</v>
          </cell>
          <cell r="J9">
            <v>5</v>
          </cell>
          <cell r="K9">
            <v>3</v>
          </cell>
          <cell r="L9">
            <v>3</v>
          </cell>
          <cell r="M9">
            <v>14</v>
          </cell>
          <cell r="N9">
            <v>25</v>
          </cell>
          <cell r="O9">
            <v>300</v>
          </cell>
          <cell r="P9">
            <v>12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10</v>
          </cell>
          <cell r="X9">
            <v>300</v>
          </cell>
          <cell r="Y9">
            <v>1</v>
          </cell>
          <cell r="Z9">
            <v>1</v>
          </cell>
          <cell r="AA9">
            <v>1</v>
          </cell>
          <cell r="AB9">
            <v>2</v>
          </cell>
        </row>
        <row r="10">
          <cell r="C10" t="str">
            <v>CELEMEK ARN021 CELEMEK APRON</v>
          </cell>
          <cell r="D10">
            <v>4</v>
          </cell>
          <cell r="E10">
            <v>0</v>
          </cell>
          <cell r="F10">
            <v>0</v>
          </cell>
          <cell r="H10" t="str">
            <v>GA</v>
          </cell>
          <cell r="I10" t="str">
            <v>PCS</v>
          </cell>
          <cell r="J10">
            <v>5</v>
          </cell>
          <cell r="K10">
            <v>3</v>
          </cell>
          <cell r="L10">
            <v>3</v>
          </cell>
          <cell r="M10">
            <v>14</v>
          </cell>
          <cell r="N10">
            <v>25</v>
          </cell>
          <cell r="O10">
            <v>25</v>
          </cell>
          <cell r="P10">
            <v>1</v>
          </cell>
          <cell r="Q10">
            <v>1</v>
          </cell>
          <cell r="R10">
            <v>2</v>
          </cell>
          <cell r="S10">
            <v>5</v>
          </cell>
          <cell r="T10">
            <v>2</v>
          </cell>
          <cell r="U10">
            <v>1</v>
          </cell>
          <cell r="V10">
            <v>1.6431676725154984</v>
          </cell>
          <cell r="W10">
            <v>0.83333333333333337</v>
          </cell>
          <cell r="X10">
            <v>25</v>
          </cell>
          <cell r="Y10">
            <v>2.8333333333333335</v>
          </cell>
          <cell r="Z10">
            <v>5.65</v>
          </cell>
          <cell r="AA10">
            <v>7.4833333333333343</v>
          </cell>
          <cell r="AB10">
            <v>8.4833333333333343</v>
          </cell>
        </row>
        <row r="11">
          <cell r="C11" t="str">
            <v>BOARD MARKER ATK120 BOARD MARKER ARTLINE 157 R</v>
          </cell>
          <cell r="D11">
            <v>4</v>
          </cell>
          <cell r="E11">
            <v>0</v>
          </cell>
          <cell r="F11">
            <v>0</v>
          </cell>
          <cell r="H11" t="str">
            <v>GA</v>
          </cell>
          <cell r="I11" t="str">
            <v>PCS</v>
          </cell>
          <cell r="J11">
            <v>5</v>
          </cell>
          <cell r="K11">
            <v>3</v>
          </cell>
          <cell r="L11">
            <v>3</v>
          </cell>
          <cell r="M11">
            <v>14</v>
          </cell>
          <cell r="N11">
            <v>25</v>
          </cell>
          <cell r="O11">
            <v>50</v>
          </cell>
          <cell r="P11">
            <v>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1.6666666666666667</v>
          </cell>
          <cell r="X11">
            <v>50</v>
          </cell>
          <cell r="Y11">
            <v>1</v>
          </cell>
          <cell r="Z11">
            <v>1</v>
          </cell>
          <cell r="AA11">
            <v>1</v>
          </cell>
          <cell r="AB11">
            <v>2</v>
          </cell>
        </row>
        <row r="12">
          <cell r="C12" t="str">
            <v>BALLPOINT ATK024 BALLPOINT SNOWMAN V7</v>
          </cell>
          <cell r="D12">
            <v>4</v>
          </cell>
          <cell r="E12">
            <v>0</v>
          </cell>
          <cell r="F12">
            <v>0</v>
          </cell>
          <cell r="H12" t="str">
            <v>GA</v>
          </cell>
          <cell r="I12" t="str">
            <v>PCS</v>
          </cell>
          <cell r="J12">
            <v>5</v>
          </cell>
          <cell r="K12">
            <v>3</v>
          </cell>
          <cell r="L12">
            <v>3</v>
          </cell>
          <cell r="M12">
            <v>14</v>
          </cell>
          <cell r="N12">
            <v>25</v>
          </cell>
          <cell r="O12">
            <v>50</v>
          </cell>
          <cell r="P12">
            <v>2</v>
          </cell>
          <cell r="Q12">
            <v>0</v>
          </cell>
          <cell r="R12">
            <v>50</v>
          </cell>
          <cell r="S12">
            <v>0</v>
          </cell>
          <cell r="T12">
            <v>75</v>
          </cell>
          <cell r="U12">
            <v>0</v>
          </cell>
          <cell r="V12">
            <v>35.355339059327378</v>
          </cell>
          <cell r="W12">
            <v>1.6666666666666667</v>
          </cell>
          <cell r="X12">
            <v>50</v>
          </cell>
          <cell r="Y12">
            <v>42.666666666666671</v>
          </cell>
          <cell r="Z12">
            <v>142.4949940221679</v>
          </cell>
          <cell r="AA12">
            <v>184.16166068883456</v>
          </cell>
          <cell r="AB12">
            <v>185.16166068883456</v>
          </cell>
        </row>
        <row r="13">
          <cell r="C13" t="str">
            <v>BALLPOINT ATK025 BALLPOINT STANDARD AE7</v>
          </cell>
          <cell r="D13">
            <v>18</v>
          </cell>
          <cell r="E13">
            <v>13</v>
          </cell>
          <cell r="F13">
            <v>5</v>
          </cell>
          <cell r="H13" t="str">
            <v>GA</v>
          </cell>
          <cell r="I13" t="str">
            <v>PCS</v>
          </cell>
          <cell r="J13">
            <v>5</v>
          </cell>
          <cell r="K13">
            <v>3</v>
          </cell>
          <cell r="L13">
            <v>3</v>
          </cell>
          <cell r="M13">
            <v>14</v>
          </cell>
          <cell r="N13">
            <v>25</v>
          </cell>
          <cell r="O13">
            <v>50</v>
          </cell>
          <cell r="P13">
            <v>2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1.6666666666666667</v>
          </cell>
          <cell r="X13">
            <v>50</v>
          </cell>
          <cell r="Y13">
            <v>1</v>
          </cell>
          <cell r="Z13">
            <v>1</v>
          </cell>
          <cell r="AA13">
            <v>1</v>
          </cell>
          <cell r="AB13">
            <v>2</v>
          </cell>
        </row>
        <row r="14">
          <cell r="C14" t="str">
            <v>BAND CUTTER 4BA000128 BAND CUTTER</v>
          </cell>
          <cell r="D14">
            <v>39</v>
          </cell>
          <cell r="E14">
            <v>15</v>
          </cell>
          <cell r="F14">
            <v>24</v>
          </cell>
          <cell r="H14" t="str">
            <v>MTP</v>
          </cell>
          <cell r="I14" t="str">
            <v>PCE</v>
          </cell>
          <cell r="J14">
            <v>5</v>
          </cell>
          <cell r="K14">
            <v>3</v>
          </cell>
          <cell r="L14">
            <v>3</v>
          </cell>
          <cell r="M14">
            <v>21</v>
          </cell>
          <cell r="N14">
            <v>32</v>
          </cell>
          <cell r="O14">
            <v>96</v>
          </cell>
          <cell r="P14">
            <v>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3.2</v>
          </cell>
          <cell r="X14">
            <v>96</v>
          </cell>
          <cell r="Y14">
            <v>1</v>
          </cell>
          <cell r="Z14">
            <v>1</v>
          </cell>
          <cell r="AA14">
            <v>1</v>
          </cell>
          <cell r="AB14">
            <v>2</v>
          </cell>
        </row>
        <row r="15">
          <cell r="C15" t="str">
            <v>BUKU ATK034 BUKU FOLIO 100 PPL</v>
          </cell>
          <cell r="D15">
            <v>31</v>
          </cell>
          <cell r="E15">
            <v>18</v>
          </cell>
          <cell r="F15">
            <v>13</v>
          </cell>
          <cell r="H15" t="str">
            <v>GA</v>
          </cell>
          <cell r="I15" t="str">
            <v>PCS</v>
          </cell>
          <cell r="J15">
            <v>5</v>
          </cell>
          <cell r="K15">
            <v>3</v>
          </cell>
          <cell r="L15">
            <v>3</v>
          </cell>
          <cell r="M15">
            <v>14</v>
          </cell>
          <cell r="N15">
            <v>25</v>
          </cell>
          <cell r="O15">
            <v>50</v>
          </cell>
          <cell r="P15">
            <v>2</v>
          </cell>
          <cell r="Q15">
            <v>0</v>
          </cell>
          <cell r="R15">
            <v>2</v>
          </cell>
          <cell r="S15">
            <v>0</v>
          </cell>
          <cell r="T15">
            <v>2</v>
          </cell>
          <cell r="U15">
            <v>0</v>
          </cell>
          <cell r="V15">
            <v>1.0954451150103321</v>
          </cell>
          <cell r="W15">
            <v>1.6666666666666667</v>
          </cell>
          <cell r="X15">
            <v>50</v>
          </cell>
          <cell r="Y15">
            <v>2.3333333333333335</v>
          </cell>
          <cell r="Z15">
            <v>5.384062043356594</v>
          </cell>
          <cell r="AA15">
            <v>6.717395376689927</v>
          </cell>
          <cell r="AB15">
            <v>7.717395376689927</v>
          </cell>
        </row>
        <row r="16">
          <cell r="C16" t="str">
            <v>BUKU ATK037 BUKU OKTAVO 100 GK</v>
          </cell>
          <cell r="D16">
            <v>31</v>
          </cell>
          <cell r="E16">
            <v>15</v>
          </cell>
          <cell r="F16">
            <v>16</v>
          </cell>
          <cell r="H16" t="str">
            <v>GA</v>
          </cell>
          <cell r="I16" t="str">
            <v>PCS</v>
          </cell>
          <cell r="J16">
            <v>5</v>
          </cell>
          <cell r="K16">
            <v>3</v>
          </cell>
          <cell r="L16">
            <v>3</v>
          </cell>
          <cell r="M16">
            <v>14</v>
          </cell>
          <cell r="N16">
            <v>25</v>
          </cell>
          <cell r="O16">
            <v>50</v>
          </cell>
          <cell r="P16">
            <v>2</v>
          </cell>
          <cell r="Q16">
            <v>0</v>
          </cell>
          <cell r="R16">
            <v>16</v>
          </cell>
          <cell r="S16">
            <v>0</v>
          </cell>
          <cell r="T16">
            <v>16</v>
          </cell>
          <cell r="U16">
            <v>38</v>
          </cell>
          <cell r="V16">
            <v>15.620499351813308</v>
          </cell>
          <cell r="W16">
            <v>1.6666666666666667</v>
          </cell>
          <cell r="X16">
            <v>50</v>
          </cell>
          <cell r="Y16">
            <v>24.333333333333336</v>
          </cell>
          <cell r="Z16">
            <v>63.514531643983922</v>
          </cell>
          <cell r="AA16">
            <v>86.847864977317258</v>
          </cell>
          <cell r="AB16">
            <v>87.847864977317258</v>
          </cell>
        </row>
        <row r="17">
          <cell r="C17" t="str">
            <v>BUKU ATK157 BUKU QUARTO 200</v>
          </cell>
          <cell r="D17">
            <v>5</v>
          </cell>
          <cell r="E17">
            <v>3</v>
          </cell>
          <cell r="F17">
            <v>2</v>
          </cell>
          <cell r="H17" t="str">
            <v>GA</v>
          </cell>
          <cell r="I17" t="str">
            <v>PCS</v>
          </cell>
          <cell r="J17">
            <v>5</v>
          </cell>
          <cell r="K17">
            <v>3</v>
          </cell>
          <cell r="L17">
            <v>3</v>
          </cell>
          <cell r="M17">
            <v>14</v>
          </cell>
          <cell r="N17">
            <v>25</v>
          </cell>
          <cell r="O17">
            <v>50</v>
          </cell>
          <cell r="P17">
            <v>2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1.6666666666666667</v>
          </cell>
          <cell r="X17">
            <v>50</v>
          </cell>
          <cell r="Y17">
            <v>1</v>
          </cell>
          <cell r="Z17">
            <v>1</v>
          </cell>
          <cell r="AA17">
            <v>1</v>
          </cell>
          <cell r="AB17">
            <v>2</v>
          </cell>
        </row>
        <row r="18">
          <cell r="C18" t="str">
            <v>BUKU ATK041 BUKU BUKU SAKU</v>
          </cell>
          <cell r="D18">
            <v>6</v>
          </cell>
          <cell r="E18">
            <v>1</v>
          </cell>
          <cell r="F18">
            <v>5</v>
          </cell>
          <cell r="H18" t="str">
            <v>GA</v>
          </cell>
          <cell r="I18" t="str">
            <v>PCS</v>
          </cell>
          <cell r="J18">
            <v>5</v>
          </cell>
          <cell r="K18">
            <v>3</v>
          </cell>
          <cell r="L18">
            <v>3</v>
          </cell>
          <cell r="M18">
            <v>14</v>
          </cell>
          <cell r="N18">
            <v>25</v>
          </cell>
          <cell r="O18">
            <v>50</v>
          </cell>
          <cell r="P18">
            <v>2</v>
          </cell>
          <cell r="Q18">
            <v>25</v>
          </cell>
          <cell r="R18">
            <v>0</v>
          </cell>
          <cell r="S18">
            <v>25</v>
          </cell>
          <cell r="T18">
            <v>0</v>
          </cell>
          <cell r="U18">
            <v>25</v>
          </cell>
          <cell r="V18">
            <v>13.693063937629153</v>
          </cell>
          <cell r="W18">
            <v>1.6666666666666667</v>
          </cell>
          <cell r="X18">
            <v>50</v>
          </cell>
          <cell r="Y18">
            <v>26</v>
          </cell>
          <cell r="Z18">
            <v>55.800775541957435</v>
          </cell>
          <cell r="AA18">
            <v>80.800775541957435</v>
          </cell>
          <cell r="AB18">
            <v>81.800775541957435</v>
          </cell>
        </row>
        <row r="19">
          <cell r="C19" t="str">
            <v>CELEMEK ARN016 CELEMEK TAPPING</v>
          </cell>
          <cell r="D19">
            <v>1</v>
          </cell>
          <cell r="E19">
            <v>0</v>
          </cell>
          <cell r="F19">
            <v>0</v>
          </cell>
          <cell r="H19" t="str">
            <v>GA</v>
          </cell>
          <cell r="I19" t="str">
            <v>PCS</v>
          </cell>
          <cell r="J19">
            <v>5</v>
          </cell>
          <cell r="K19">
            <v>3</v>
          </cell>
          <cell r="L19">
            <v>3</v>
          </cell>
          <cell r="M19">
            <v>14</v>
          </cell>
          <cell r="N19">
            <v>25</v>
          </cell>
          <cell r="O19">
            <v>25</v>
          </cell>
          <cell r="P19">
            <v>1</v>
          </cell>
          <cell r="Q19">
            <v>15</v>
          </cell>
          <cell r="R19">
            <v>22</v>
          </cell>
          <cell r="S19">
            <v>59</v>
          </cell>
          <cell r="T19">
            <v>22</v>
          </cell>
          <cell r="U19">
            <v>38</v>
          </cell>
          <cell r="V19">
            <v>17.683325479106017</v>
          </cell>
          <cell r="W19">
            <v>0.83333333333333337</v>
          </cell>
          <cell r="X19">
            <v>25</v>
          </cell>
          <cell r="Y19">
            <v>27</v>
          </cell>
          <cell r="Z19">
            <v>51.042040659163114</v>
          </cell>
          <cell r="AA19">
            <v>77.042040659163121</v>
          </cell>
          <cell r="AB19">
            <v>78.042040659163121</v>
          </cell>
        </row>
        <row r="20">
          <cell r="C20" t="str">
            <v>CELEMEK ARN013 CELEMEK SUB ASSY</v>
          </cell>
          <cell r="D20">
            <v>1</v>
          </cell>
          <cell r="E20">
            <v>0</v>
          </cell>
          <cell r="F20">
            <v>0</v>
          </cell>
          <cell r="H20" t="str">
            <v>GA</v>
          </cell>
          <cell r="I20" t="str">
            <v>PCS</v>
          </cell>
          <cell r="J20">
            <v>5</v>
          </cell>
          <cell r="K20">
            <v>3</v>
          </cell>
          <cell r="L20">
            <v>3</v>
          </cell>
          <cell r="M20">
            <v>14</v>
          </cell>
          <cell r="N20">
            <v>25</v>
          </cell>
          <cell r="O20">
            <v>25</v>
          </cell>
          <cell r="P20">
            <v>1</v>
          </cell>
          <cell r="Q20">
            <v>11</v>
          </cell>
          <cell r="R20">
            <v>16</v>
          </cell>
          <cell r="S20">
            <v>43</v>
          </cell>
          <cell r="T20">
            <v>16</v>
          </cell>
          <cell r="U20">
            <v>0</v>
          </cell>
          <cell r="V20">
            <v>15.833508770957875</v>
          </cell>
          <cell r="W20">
            <v>0.83333333333333337</v>
          </cell>
          <cell r="X20">
            <v>25</v>
          </cell>
          <cell r="Y20">
            <v>15.333333333333334</v>
          </cell>
          <cell r="Z20">
            <v>45.807244577932558</v>
          </cell>
          <cell r="AA20">
            <v>60.140577911265893</v>
          </cell>
          <cell r="AB20">
            <v>61.140577911265893</v>
          </cell>
        </row>
        <row r="21">
          <cell r="C21" t="str">
            <v>CELEMEK ARN015 CELEMEK MATERIAL SUPPLY</v>
          </cell>
          <cell r="D21">
            <v>2</v>
          </cell>
          <cell r="E21">
            <v>0</v>
          </cell>
          <cell r="F21">
            <v>0</v>
          </cell>
          <cell r="H21" t="str">
            <v>GA</v>
          </cell>
          <cell r="I21" t="str">
            <v>PCS</v>
          </cell>
          <cell r="J21">
            <v>5</v>
          </cell>
          <cell r="K21">
            <v>3</v>
          </cell>
          <cell r="L21">
            <v>3</v>
          </cell>
          <cell r="M21">
            <v>14</v>
          </cell>
          <cell r="N21">
            <v>25</v>
          </cell>
          <cell r="O21">
            <v>25</v>
          </cell>
          <cell r="P21">
            <v>1</v>
          </cell>
          <cell r="Q21">
            <v>5</v>
          </cell>
          <cell r="R21">
            <v>2</v>
          </cell>
          <cell r="S21">
            <v>9</v>
          </cell>
          <cell r="T21">
            <v>2</v>
          </cell>
          <cell r="U21">
            <v>5</v>
          </cell>
          <cell r="V21">
            <v>2.8809720581775866</v>
          </cell>
          <cell r="W21">
            <v>0.83333333333333337</v>
          </cell>
          <cell r="X21">
            <v>25</v>
          </cell>
          <cell r="Y21">
            <v>4.833333333333333</v>
          </cell>
          <cell r="Z21">
            <v>9.1528624829974099</v>
          </cell>
          <cell r="AA21">
            <v>12.986195816330742</v>
          </cell>
          <cell r="AB21">
            <v>13.986195816330742</v>
          </cell>
        </row>
        <row r="22">
          <cell r="C22" t="str">
            <v>CELEMEK ARN019 CELEMEK GUN CLIP KANTONG 1</v>
          </cell>
          <cell r="D22">
            <v>72</v>
          </cell>
          <cell r="E22">
            <v>6</v>
          </cell>
          <cell r="F22">
            <v>66</v>
          </cell>
          <cell r="H22" t="str">
            <v>GA</v>
          </cell>
          <cell r="I22" t="str">
            <v>PCS</v>
          </cell>
          <cell r="J22">
            <v>5</v>
          </cell>
          <cell r="K22">
            <v>3</v>
          </cell>
          <cell r="L22">
            <v>3</v>
          </cell>
          <cell r="M22">
            <v>14</v>
          </cell>
          <cell r="N22">
            <v>25</v>
          </cell>
          <cell r="O22">
            <v>25</v>
          </cell>
          <cell r="P22">
            <v>1</v>
          </cell>
          <cell r="Q22">
            <v>12</v>
          </cell>
          <cell r="R22">
            <v>16</v>
          </cell>
          <cell r="S22">
            <v>44</v>
          </cell>
          <cell r="T22">
            <v>16</v>
          </cell>
          <cell r="U22">
            <v>0</v>
          </cell>
          <cell r="V22">
            <v>16.149303390549079</v>
          </cell>
          <cell r="W22">
            <v>0.83333333333333337</v>
          </cell>
          <cell r="X22">
            <v>25</v>
          </cell>
          <cell r="Y22">
            <v>15.666666666666668</v>
          </cell>
          <cell r="Z22">
            <v>46.70091173415836</v>
          </cell>
          <cell r="AA22">
            <v>61.367578400825025</v>
          </cell>
          <cell r="AB22">
            <v>62.367578400825025</v>
          </cell>
        </row>
        <row r="23">
          <cell r="C23" t="str">
            <v>CLIP ATK043 CLIP BANTEX PLASTIK 8850</v>
          </cell>
          <cell r="D23">
            <v>62</v>
          </cell>
          <cell r="E23">
            <v>3</v>
          </cell>
          <cell r="F23">
            <v>59</v>
          </cell>
          <cell r="H23" t="str">
            <v>GA</v>
          </cell>
          <cell r="I23" t="str">
            <v>PAK</v>
          </cell>
          <cell r="J23">
            <v>5</v>
          </cell>
          <cell r="K23">
            <v>3</v>
          </cell>
          <cell r="L23">
            <v>3</v>
          </cell>
          <cell r="M23">
            <v>14</v>
          </cell>
          <cell r="N23">
            <v>25</v>
          </cell>
          <cell r="O23">
            <v>50</v>
          </cell>
          <cell r="P23">
            <v>2</v>
          </cell>
          <cell r="Q23">
            <v>3</v>
          </cell>
          <cell r="R23">
            <v>0</v>
          </cell>
          <cell r="S23">
            <v>3</v>
          </cell>
          <cell r="T23">
            <v>0</v>
          </cell>
          <cell r="U23">
            <v>3</v>
          </cell>
          <cell r="V23">
            <v>1.6431676725154984</v>
          </cell>
          <cell r="W23">
            <v>1.6666666666666667</v>
          </cell>
          <cell r="X23">
            <v>50</v>
          </cell>
          <cell r="Y23">
            <v>4</v>
          </cell>
          <cell r="Z23">
            <v>7.5760930650348923</v>
          </cell>
          <cell r="AA23">
            <v>10.576093065034893</v>
          </cell>
          <cell r="AB23">
            <v>11.576093065034893</v>
          </cell>
        </row>
        <row r="24">
          <cell r="C24" t="str">
            <v>CLIP ATK045 CLIPBOARD</v>
          </cell>
          <cell r="D24">
            <v>87</v>
          </cell>
          <cell r="E24">
            <v>37</v>
          </cell>
          <cell r="F24">
            <v>50</v>
          </cell>
          <cell r="H24" t="str">
            <v>GA</v>
          </cell>
          <cell r="I24" t="str">
            <v>PCS</v>
          </cell>
          <cell r="J24">
            <v>5</v>
          </cell>
          <cell r="K24">
            <v>3</v>
          </cell>
          <cell r="L24">
            <v>3</v>
          </cell>
          <cell r="M24">
            <v>14</v>
          </cell>
          <cell r="N24">
            <v>25</v>
          </cell>
          <cell r="O24">
            <v>50</v>
          </cell>
          <cell r="P24">
            <v>2</v>
          </cell>
          <cell r="Q24">
            <v>0</v>
          </cell>
          <cell r="R24">
            <v>6</v>
          </cell>
          <cell r="S24">
            <v>0</v>
          </cell>
          <cell r="T24">
            <v>2</v>
          </cell>
          <cell r="U24">
            <v>0</v>
          </cell>
          <cell r="V24">
            <v>2.6076809620810595</v>
          </cell>
          <cell r="W24">
            <v>1.6666666666666667</v>
          </cell>
          <cell r="X24">
            <v>50</v>
          </cell>
          <cell r="Y24">
            <v>3.666666666666667</v>
          </cell>
          <cell r="Z24">
            <v>11.436155102974148</v>
          </cell>
          <cell r="AA24">
            <v>14.102821769640816</v>
          </cell>
          <cell r="AB24">
            <v>15.102821769640816</v>
          </cell>
        </row>
        <row r="25">
          <cell r="C25" t="str">
            <v>JEPIT JEMURAN CSB011 JEPIT JEMURAN HOLLY</v>
          </cell>
          <cell r="D25">
            <v>94</v>
          </cell>
          <cell r="E25">
            <v>9</v>
          </cell>
          <cell r="F25">
            <v>85</v>
          </cell>
          <cell r="H25" t="str">
            <v>GA</v>
          </cell>
          <cell r="I25" t="str">
            <v>PAK</v>
          </cell>
          <cell r="J25">
            <v>5</v>
          </cell>
          <cell r="K25">
            <v>3</v>
          </cell>
          <cell r="L25">
            <v>3</v>
          </cell>
          <cell r="M25">
            <v>14</v>
          </cell>
          <cell r="N25">
            <v>25</v>
          </cell>
          <cell r="O25">
            <v>75</v>
          </cell>
          <cell r="P25">
            <v>3</v>
          </cell>
          <cell r="Q25">
            <v>0</v>
          </cell>
          <cell r="R25">
            <v>1</v>
          </cell>
          <cell r="S25">
            <v>0</v>
          </cell>
          <cell r="T25">
            <v>0</v>
          </cell>
          <cell r="U25">
            <v>0</v>
          </cell>
          <cell r="V25">
            <v>0.44721359549995793</v>
          </cell>
          <cell r="W25">
            <v>2.5</v>
          </cell>
          <cell r="X25">
            <v>75</v>
          </cell>
          <cell r="Y25">
            <v>1.5</v>
          </cell>
          <cell r="Z25">
            <v>3.1920310216782974</v>
          </cell>
          <cell r="AA25">
            <v>3.6920310216782974</v>
          </cell>
          <cell r="AB25">
            <v>4.6920310216782974</v>
          </cell>
        </row>
        <row r="26">
          <cell r="C26" t="str">
            <v>CUP CUP002 CUP TRANSPARAN MOQ : 2000PCS</v>
          </cell>
          <cell r="D26">
            <v>3</v>
          </cell>
          <cell r="E26">
            <v>1</v>
          </cell>
          <cell r="F26">
            <v>2</v>
          </cell>
          <cell r="H26" t="str">
            <v>MTP</v>
          </cell>
          <cell r="I26" t="str">
            <v>PCE</v>
          </cell>
          <cell r="J26">
            <v>5</v>
          </cell>
          <cell r="K26">
            <v>3</v>
          </cell>
          <cell r="L26">
            <v>3</v>
          </cell>
          <cell r="M26">
            <v>21</v>
          </cell>
          <cell r="N26">
            <v>32</v>
          </cell>
          <cell r="O26">
            <v>96</v>
          </cell>
          <cell r="P26">
            <v>3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3.2</v>
          </cell>
          <cell r="X26">
            <v>96</v>
          </cell>
          <cell r="Y26">
            <v>1</v>
          </cell>
          <cell r="Z26">
            <v>1</v>
          </cell>
          <cell r="AA26">
            <v>1</v>
          </cell>
          <cell r="AB26">
            <v>2</v>
          </cell>
        </row>
        <row r="27">
          <cell r="C27" t="str">
            <v>CUTTER ATK047 CUTTER JOYKO BESAR L500</v>
          </cell>
          <cell r="D27">
            <v>5</v>
          </cell>
          <cell r="E27">
            <v>1</v>
          </cell>
          <cell r="F27">
            <v>4</v>
          </cell>
          <cell r="H27" t="str">
            <v>GA</v>
          </cell>
          <cell r="I27" t="str">
            <v>PCS</v>
          </cell>
          <cell r="J27">
            <v>5</v>
          </cell>
          <cell r="K27">
            <v>3</v>
          </cell>
          <cell r="L27">
            <v>3</v>
          </cell>
          <cell r="M27">
            <v>14</v>
          </cell>
          <cell r="N27">
            <v>25</v>
          </cell>
          <cell r="O27">
            <v>75</v>
          </cell>
          <cell r="P27">
            <v>3</v>
          </cell>
          <cell r="Q27">
            <v>0</v>
          </cell>
          <cell r="R27">
            <v>0</v>
          </cell>
          <cell r="S27">
            <v>1</v>
          </cell>
          <cell r="T27">
            <v>0</v>
          </cell>
          <cell r="U27">
            <v>0</v>
          </cell>
          <cell r="V27">
            <v>0.44721359549995793</v>
          </cell>
          <cell r="W27">
            <v>2.5</v>
          </cell>
          <cell r="X27">
            <v>75</v>
          </cell>
          <cell r="Y27">
            <v>1.5</v>
          </cell>
          <cell r="Z27">
            <v>3.1920310216782974</v>
          </cell>
          <cell r="AA27">
            <v>3.6920310216782974</v>
          </cell>
          <cell r="AB27">
            <v>4.6920310216782974</v>
          </cell>
        </row>
        <row r="28">
          <cell r="C28" t="str">
            <v>DOUBLE TAPE ATK052 DOUBLE TAPE HIJAU</v>
          </cell>
          <cell r="D28">
            <v>4</v>
          </cell>
          <cell r="E28">
            <v>1</v>
          </cell>
          <cell r="F28">
            <v>3</v>
          </cell>
          <cell r="H28" t="str">
            <v>GA</v>
          </cell>
          <cell r="I28" t="str">
            <v>ROL</v>
          </cell>
          <cell r="J28">
            <v>5</v>
          </cell>
          <cell r="K28">
            <v>3</v>
          </cell>
          <cell r="L28">
            <v>3</v>
          </cell>
          <cell r="M28">
            <v>14</v>
          </cell>
          <cell r="N28">
            <v>25</v>
          </cell>
          <cell r="O28">
            <v>25</v>
          </cell>
          <cell r="P28">
            <v>1</v>
          </cell>
          <cell r="Q28">
            <v>0</v>
          </cell>
          <cell r="R28">
            <v>2</v>
          </cell>
          <cell r="S28">
            <v>0</v>
          </cell>
          <cell r="T28">
            <v>2</v>
          </cell>
          <cell r="U28">
            <v>4</v>
          </cell>
          <cell r="V28">
            <v>1.6733200530681511</v>
          </cell>
          <cell r="W28">
            <v>0.83333333333333337</v>
          </cell>
          <cell r="X28">
            <v>25</v>
          </cell>
          <cell r="Y28">
            <v>2.3333333333333335</v>
          </cell>
          <cell r="Z28">
            <v>5.735328218121035</v>
          </cell>
          <cell r="AA28">
            <v>7.0686615514543689</v>
          </cell>
          <cell r="AB28">
            <v>8.0686615514543689</v>
          </cell>
        </row>
        <row r="29">
          <cell r="C29" t="str">
            <v>BAHAN BERBAHAYA CSB057 BAHAN BERBAHAYA ETANOL</v>
          </cell>
          <cell r="D29">
            <v>18</v>
          </cell>
          <cell r="E29">
            <v>11</v>
          </cell>
          <cell r="F29">
            <v>7</v>
          </cell>
          <cell r="H29" t="str">
            <v>GA</v>
          </cell>
          <cell r="I29" t="str">
            <v>LITER</v>
          </cell>
          <cell r="J29">
            <v>5</v>
          </cell>
          <cell r="K29">
            <v>3</v>
          </cell>
          <cell r="L29">
            <v>3</v>
          </cell>
          <cell r="M29">
            <v>14</v>
          </cell>
          <cell r="N29">
            <v>25</v>
          </cell>
          <cell r="O29">
            <v>25</v>
          </cell>
          <cell r="P29">
            <v>1</v>
          </cell>
          <cell r="Q29">
            <v>15</v>
          </cell>
          <cell r="R29">
            <v>10</v>
          </cell>
          <cell r="S29">
            <v>5</v>
          </cell>
          <cell r="T29">
            <v>5</v>
          </cell>
          <cell r="U29">
            <v>5</v>
          </cell>
          <cell r="V29">
            <v>4.4721359549995796</v>
          </cell>
          <cell r="W29">
            <v>0.83333333333333337</v>
          </cell>
          <cell r="X29">
            <v>25</v>
          </cell>
          <cell r="Y29">
            <v>7.666666666666667</v>
          </cell>
          <cell r="Z29">
            <v>13.655697004379755</v>
          </cell>
          <cell r="AA29">
            <v>20.322363671046421</v>
          </cell>
          <cell r="AB29">
            <v>21.322363671046421</v>
          </cell>
        </row>
        <row r="30">
          <cell r="C30" t="str">
            <v>GANTUNGAN KUNCI CSB061 GANTUNGAN KUNCI TALI MANDREL BESAR</v>
          </cell>
          <cell r="D30">
            <v>32</v>
          </cell>
          <cell r="E30">
            <v>17</v>
          </cell>
          <cell r="F30">
            <v>15</v>
          </cell>
          <cell r="H30" t="str">
            <v>GA</v>
          </cell>
          <cell r="I30" t="str">
            <v>PCS</v>
          </cell>
          <cell r="J30">
            <v>5</v>
          </cell>
          <cell r="K30">
            <v>3</v>
          </cell>
          <cell r="L30">
            <v>3</v>
          </cell>
          <cell r="M30">
            <v>14</v>
          </cell>
          <cell r="N30">
            <v>25</v>
          </cell>
          <cell r="O30">
            <v>50</v>
          </cell>
          <cell r="P30">
            <v>2</v>
          </cell>
          <cell r="Q30">
            <v>0</v>
          </cell>
          <cell r="R30">
            <v>118</v>
          </cell>
          <cell r="S30">
            <v>0</v>
          </cell>
          <cell r="T30">
            <v>118</v>
          </cell>
          <cell r="U30">
            <v>0</v>
          </cell>
          <cell r="V30">
            <v>64.631261785609595</v>
          </cell>
          <cell r="W30">
            <v>1.6666666666666667</v>
          </cell>
          <cell r="X30">
            <v>50</v>
          </cell>
          <cell r="Y30">
            <v>79.666666666666671</v>
          </cell>
          <cell r="Z30">
            <v>259.65966055803904</v>
          </cell>
          <cell r="AA30">
            <v>338.32632722470572</v>
          </cell>
          <cell r="AB30">
            <v>339.32632722470572</v>
          </cell>
        </row>
        <row r="31">
          <cell r="C31" t="str">
            <v>GEMBOK TOL102 GEMBOK GEMBOK SEDANG</v>
          </cell>
          <cell r="D31">
            <v>20</v>
          </cell>
          <cell r="E31">
            <v>8</v>
          </cell>
          <cell r="F31">
            <v>12</v>
          </cell>
          <cell r="H31" t="str">
            <v>GA</v>
          </cell>
          <cell r="I31" t="str">
            <v>PCS</v>
          </cell>
          <cell r="J31">
            <v>5</v>
          </cell>
          <cell r="K31">
            <v>3</v>
          </cell>
          <cell r="L31">
            <v>3</v>
          </cell>
          <cell r="M31">
            <v>14</v>
          </cell>
          <cell r="N31">
            <v>25</v>
          </cell>
          <cell r="O31">
            <v>50</v>
          </cell>
          <cell r="P31">
            <v>2</v>
          </cell>
          <cell r="Q31">
            <v>11</v>
          </cell>
          <cell r="R31">
            <v>0</v>
          </cell>
          <cell r="S31">
            <v>5</v>
          </cell>
          <cell r="T31">
            <v>0</v>
          </cell>
          <cell r="U31">
            <v>4</v>
          </cell>
          <cell r="V31">
            <v>4.5276925690687087</v>
          </cell>
          <cell r="W31">
            <v>1.6666666666666667</v>
          </cell>
          <cell r="X31">
            <v>50</v>
          </cell>
          <cell r="Y31">
            <v>7.666666666666667</v>
          </cell>
          <cell r="Z31">
            <v>19.120200513975188</v>
          </cell>
          <cell r="AA31">
            <v>25.786867180641856</v>
          </cell>
          <cell r="AB31">
            <v>26.786867180641856</v>
          </cell>
        </row>
        <row r="32">
          <cell r="C32" t="str">
            <v>GUNTING ATK054 GUNTING BESAR</v>
          </cell>
          <cell r="D32">
            <v>33</v>
          </cell>
          <cell r="E32">
            <v>13</v>
          </cell>
          <cell r="F32">
            <v>20</v>
          </cell>
          <cell r="H32" t="str">
            <v>GA</v>
          </cell>
          <cell r="I32" t="str">
            <v>PCS</v>
          </cell>
          <cell r="J32">
            <v>5</v>
          </cell>
          <cell r="K32">
            <v>3</v>
          </cell>
          <cell r="L32">
            <v>3</v>
          </cell>
          <cell r="M32">
            <v>14</v>
          </cell>
          <cell r="N32">
            <v>25</v>
          </cell>
          <cell r="O32">
            <v>50</v>
          </cell>
          <cell r="P32">
            <v>2</v>
          </cell>
          <cell r="Q32">
            <v>2</v>
          </cell>
          <cell r="R32">
            <v>0</v>
          </cell>
          <cell r="S32">
            <v>0</v>
          </cell>
          <cell r="T32">
            <v>2</v>
          </cell>
          <cell r="U32">
            <v>0</v>
          </cell>
          <cell r="V32">
            <v>1.0954451150103321</v>
          </cell>
          <cell r="W32">
            <v>1.6666666666666667</v>
          </cell>
          <cell r="X32">
            <v>50</v>
          </cell>
          <cell r="Y32">
            <v>2.3333333333333335</v>
          </cell>
          <cell r="Z32">
            <v>5.384062043356594</v>
          </cell>
          <cell r="AA32">
            <v>6.717395376689927</v>
          </cell>
          <cell r="AB32">
            <v>7.717395376689927</v>
          </cell>
        </row>
        <row r="33">
          <cell r="C33" t="str">
            <v>ISI BALLPOINT ATK056 ISI BALLPOINT SNOWMAN V1V2</v>
          </cell>
          <cell r="D33">
            <v>6</v>
          </cell>
          <cell r="E33">
            <v>3</v>
          </cell>
          <cell r="F33">
            <v>3</v>
          </cell>
          <cell r="H33" t="str">
            <v>GA</v>
          </cell>
          <cell r="I33" t="str">
            <v>PCS</v>
          </cell>
          <cell r="J33">
            <v>5</v>
          </cell>
          <cell r="K33">
            <v>3</v>
          </cell>
          <cell r="L33">
            <v>3</v>
          </cell>
          <cell r="M33">
            <v>14</v>
          </cell>
          <cell r="N33">
            <v>25</v>
          </cell>
          <cell r="O33">
            <v>25</v>
          </cell>
          <cell r="P33">
            <v>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0.83333333333333337</v>
          </cell>
          <cell r="X33">
            <v>25</v>
          </cell>
          <cell r="Y33">
            <v>1</v>
          </cell>
          <cell r="Z33">
            <v>1</v>
          </cell>
          <cell r="AA33">
            <v>1</v>
          </cell>
          <cell r="AB33">
            <v>2</v>
          </cell>
        </row>
        <row r="34">
          <cell r="C34" t="str">
            <v>ISOLASI ATK064 ISOLASI 0.5 INS X 25 NACHI</v>
          </cell>
          <cell r="D34">
            <v>38</v>
          </cell>
          <cell r="E34">
            <v>18</v>
          </cell>
          <cell r="F34">
            <v>20</v>
          </cell>
          <cell r="H34" t="str">
            <v>GA</v>
          </cell>
          <cell r="I34" t="str">
            <v>ROL</v>
          </cell>
          <cell r="J34">
            <v>5</v>
          </cell>
          <cell r="K34">
            <v>3</v>
          </cell>
          <cell r="L34">
            <v>3</v>
          </cell>
          <cell r="M34">
            <v>14</v>
          </cell>
          <cell r="N34">
            <v>25</v>
          </cell>
          <cell r="O34">
            <v>50</v>
          </cell>
          <cell r="P34">
            <v>2</v>
          </cell>
          <cell r="Q34">
            <v>45</v>
          </cell>
          <cell r="R34">
            <v>0</v>
          </cell>
          <cell r="S34">
            <v>45</v>
          </cell>
          <cell r="T34">
            <v>0</v>
          </cell>
          <cell r="U34">
            <v>90</v>
          </cell>
          <cell r="V34">
            <v>37.649701194033398</v>
          </cell>
          <cell r="W34">
            <v>1.6666666666666667</v>
          </cell>
          <cell r="X34">
            <v>50</v>
          </cell>
          <cell r="Y34">
            <v>61</v>
          </cell>
          <cell r="Z34">
            <v>151.67722123798274</v>
          </cell>
          <cell r="AA34">
            <v>211.67722123798274</v>
          </cell>
          <cell r="AB34">
            <v>212.67722123798274</v>
          </cell>
        </row>
        <row r="35">
          <cell r="C35" t="str">
            <v>PENJEPIT PENJEPIT004 PENJEPIT JUMBO PINCH 50PC=1SET</v>
          </cell>
          <cell r="D35">
            <v>16</v>
          </cell>
          <cell r="E35">
            <v>5</v>
          </cell>
          <cell r="F35">
            <v>11</v>
          </cell>
          <cell r="H35" t="str">
            <v>MTP</v>
          </cell>
          <cell r="I35" t="str">
            <v>PK</v>
          </cell>
          <cell r="J35">
            <v>5</v>
          </cell>
          <cell r="K35">
            <v>3</v>
          </cell>
          <cell r="L35">
            <v>3</v>
          </cell>
          <cell r="M35">
            <v>21</v>
          </cell>
          <cell r="N35">
            <v>32</v>
          </cell>
          <cell r="O35">
            <v>64</v>
          </cell>
          <cell r="P35">
            <v>2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2.1333333333333333</v>
          </cell>
          <cell r="X35">
            <v>64</v>
          </cell>
          <cell r="Y35">
            <v>1</v>
          </cell>
          <cell r="Z35">
            <v>1</v>
          </cell>
          <cell r="AA35">
            <v>1</v>
          </cell>
          <cell r="AB35">
            <v>2</v>
          </cell>
        </row>
        <row r="36">
          <cell r="C36" t="str">
            <v>KALKULATOR ATK135 KALKULATOR KALKULATOR CITIZEN SDC 868 L</v>
          </cell>
          <cell r="D36">
            <v>4</v>
          </cell>
          <cell r="E36">
            <v>1</v>
          </cell>
          <cell r="F36">
            <v>3</v>
          </cell>
          <cell r="H36" t="str">
            <v>GA</v>
          </cell>
          <cell r="I36" t="str">
            <v>PCS</v>
          </cell>
          <cell r="J36">
            <v>5</v>
          </cell>
          <cell r="K36">
            <v>3</v>
          </cell>
          <cell r="L36">
            <v>3</v>
          </cell>
          <cell r="M36">
            <v>14</v>
          </cell>
          <cell r="N36">
            <v>25</v>
          </cell>
          <cell r="O36">
            <v>50</v>
          </cell>
          <cell r="P36">
            <v>2</v>
          </cell>
          <cell r="Q36">
            <v>0</v>
          </cell>
          <cell r="R36">
            <v>3</v>
          </cell>
          <cell r="S36">
            <v>0</v>
          </cell>
          <cell r="T36">
            <v>0</v>
          </cell>
          <cell r="U36">
            <v>3</v>
          </cell>
          <cell r="V36">
            <v>1.6431676725154984</v>
          </cell>
          <cell r="W36">
            <v>1.6666666666666667</v>
          </cell>
          <cell r="X36">
            <v>50</v>
          </cell>
          <cell r="Y36">
            <v>3</v>
          </cell>
          <cell r="Z36">
            <v>7.5760930650348923</v>
          </cell>
          <cell r="AA36">
            <v>9.5760930650348932</v>
          </cell>
          <cell r="AB36">
            <v>10.576093065034893</v>
          </cell>
        </row>
        <row r="37">
          <cell r="C37" t="str">
            <v>KARET GELANG PCG004 KARET GELANG MERK AA</v>
          </cell>
          <cell r="D37">
            <v>4</v>
          </cell>
          <cell r="E37">
            <v>2</v>
          </cell>
          <cell r="F37">
            <v>2</v>
          </cell>
          <cell r="H37" t="str">
            <v>GA</v>
          </cell>
          <cell r="I37" t="str">
            <v>KG</v>
          </cell>
          <cell r="J37">
            <v>5</v>
          </cell>
          <cell r="K37">
            <v>3</v>
          </cell>
          <cell r="L37">
            <v>3</v>
          </cell>
          <cell r="M37">
            <v>14</v>
          </cell>
          <cell r="N37">
            <v>25</v>
          </cell>
          <cell r="O37">
            <v>25</v>
          </cell>
          <cell r="P37">
            <v>1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0.83333333333333337</v>
          </cell>
          <cell r="X37">
            <v>25</v>
          </cell>
          <cell r="Y37">
            <v>1</v>
          </cell>
          <cell r="Z37">
            <v>1</v>
          </cell>
          <cell r="AA37">
            <v>1</v>
          </cell>
          <cell r="AB37">
            <v>2</v>
          </cell>
        </row>
        <row r="38">
          <cell r="C38" t="str">
            <v>KOTAK ENGSEL TOPLES006 KOTAK ENGSEL HAWAII BESAR (7.5X12X6CM)</v>
          </cell>
          <cell r="D38">
            <v>3</v>
          </cell>
          <cell r="E38">
            <v>1</v>
          </cell>
          <cell r="F38">
            <v>2</v>
          </cell>
          <cell r="H38" t="str">
            <v>MTP</v>
          </cell>
          <cell r="I38" t="str">
            <v>PCE</v>
          </cell>
          <cell r="J38">
            <v>5</v>
          </cell>
          <cell r="K38">
            <v>3</v>
          </cell>
          <cell r="L38">
            <v>3</v>
          </cell>
          <cell r="M38">
            <v>21</v>
          </cell>
          <cell r="N38">
            <v>32</v>
          </cell>
          <cell r="O38">
            <v>64</v>
          </cell>
          <cell r="P38">
            <v>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2.1333333333333333</v>
          </cell>
          <cell r="X38">
            <v>64</v>
          </cell>
          <cell r="Y38">
            <v>1</v>
          </cell>
          <cell r="Z38">
            <v>1</v>
          </cell>
          <cell r="AA38">
            <v>1</v>
          </cell>
          <cell r="AB38">
            <v>2</v>
          </cell>
        </row>
        <row r="39">
          <cell r="C39" t="str">
            <v>KUAS KUAS001 KUAS 1 INCH</v>
          </cell>
          <cell r="D39">
            <v>7</v>
          </cell>
          <cell r="E39">
            <v>0</v>
          </cell>
          <cell r="F39">
            <v>0</v>
          </cell>
          <cell r="H39" t="str">
            <v>MTP</v>
          </cell>
          <cell r="I39" t="str">
            <v>PCE</v>
          </cell>
          <cell r="J39">
            <v>5</v>
          </cell>
          <cell r="K39">
            <v>3</v>
          </cell>
          <cell r="L39">
            <v>3</v>
          </cell>
          <cell r="M39">
            <v>21</v>
          </cell>
          <cell r="N39">
            <v>32</v>
          </cell>
          <cell r="O39">
            <v>64</v>
          </cell>
          <cell r="P39">
            <v>2</v>
          </cell>
          <cell r="Q39">
            <v>78</v>
          </cell>
          <cell r="R39">
            <v>0</v>
          </cell>
          <cell r="S39">
            <v>65</v>
          </cell>
          <cell r="T39">
            <v>0</v>
          </cell>
          <cell r="U39">
            <v>65</v>
          </cell>
          <cell r="V39">
            <v>38.344491129756832</v>
          </cell>
          <cell r="W39">
            <v>2.1333333333333333</v>
          </cell>
          <cell r="X39">
            <v>64</v>
          </cell>
          <cell r="Y39">
            <v>89.74666666666667</v>
          </cell>
          <cell r="Z39">
            <v>174.61771338201643</v>
          </cell>
          <cell r="AA39">
            <v>263.36438004868307</v>
          </cell>
          <cell r="AB39">
            <v>264.36438004868307</v>
          </cell>
        </row>
        <row r="40">
          <cell r="C40" t="str">
            <v>KUAS KUAS002 KUAS NO 5 1/2 INCH</v>
          </cell>
          <cell r="D40">
            <v>78</v>
          </cell>
          <cell r="E40">
            <v>78</v>
          </cell>
          <cell r="F40">
            <v>0</v>
          </cell>
          <cell r="H40" t="str">
            <v>MTP</v>
          </cell>
          <cell r="I40" t="str">
            <v>PCE</v>
          </cell>
          <cell r="J40">
            <v>5</v>
          </cell>
          <cell r="K40">
            <v>3</v>
          </cell>
          <cell r="L40">
            <v>3</v>
          </cell>
          <cell r="M40">
            <v>21</v>
          </cell>
          <cell r="N40">
            <v>32</v>
          </cell>
          <cell r="O40">
            <v>64</v>
          </cell>
          <cell r="P40">
            <v>2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2.1333333333333333</v>
          </cell>
          <cell r="X40">
            <v>64</v>
          </cell>
          <cell r="Y40">
            <v>1</v>
          </cell>
          <cell r="Z40">
            <v>1</v>
          </cell>
          <cell r="AA40">
            <v>1</v>
          </cell>
          <cell r="AB40">
            <v>2</v>
          </cell>
        </row>
        <row r="41">
          <cell r="C41" t="str">
            <v>KUAS KUAS003 KUAS 2 INCH</v>
          </cell>
          <cell r="D41">
            <v>10</v>
          </cell>
          <cell r="E41">
            <v>2</v>
          </cell>
          <cell r="F41">
            <v>8</v>
          </cell>
          <cell r="H41" t="str">
            <v>MTP</v>
          </cell>
          <cell r="I41" t="str">
            <v>PCE</v>
          </cell>
          <cell r="J41">
            <v>5</v>
          </cell>
          <cell r="K41">
            <v>3</v>
          </cell>
          <cell r="L41">
            <v>3</v>
          </cell>
          <cell r="M41">
            <v>21</v>
          </cell>
          <cell r="N41">
            <v>32</v>
          </cell>
          <cell r="O41">
            <v>64</v>
          </cell>
          <cell r="P41">
            <v>2</v>
          </cell>
          <cell r="Q41">
            <v>0</v>
          </cell>
          <cell r="R41">
            <v>0</v>
          </cell>
          <cell r="S41">
            <v>9</v>
          </cell>
          <cell r="T41">
            <v>0</v>
          </cell>
          <cell r="U41">
            <v>9</v>
          </cell>
          <cell r="V41">
            <v>4.9295030175464953</v>
          </cell>
          <cell r="W41">
            <v>2.1333333333333333</v>
          </cell>
          <cell r="X41">
            <v>64</v>
          </cell>
          <cell r="Y41">
            <v>8.68</v>
          </cell>
          <cell r="Z41">
            <v>23.32</v>
          </cell>
          <cell r="AA41">
            <v>31</v>
          </cell>
          <cell r="AB41">
            <v>32</v>
          </cell>
        </row>
        <row r="42">
          <cell r="C42" t="str">
            <v>BALL POINT WRENCH013 EIGHT BH-1.5 BALL POINT HEX KEY WRENCH 1.5MM</v>
          </cell>
          <cell r="D42">
            <v>201</v>
          </cell>
          <cell r="E42">
            <v>28</v>
          </cell>
          <cell r="F42">
            <v>173</v>
          </cell>
          <cell r="H42" t="str">
            <v>MTP</v>
          </cell>
          <cell r="I42" t="str">
            <v>PCE</v>
          </cell>
          <cell r="J42">
            <v>5</v>
          </cell>
          <cell r="K42">
            <v>3</v>
          </cell>
          <cell r="L42">
            <v>3</v>
          </cell>
          <cell r="M42">
            <v>21</v>
          </cell>
          <cell r="N42">
            <v>32</v>
          </cell>
          <cell r="O42">
            <v>96</v>
          </cell>
          <cell r="P42">
            <v>3</v>
          </cell>
          <cell r="Q42">
            <v>0</v>
          </cell>
          <cell r="R42">
            <v>0</v>
          </cell>
          <cell r="S42">
            <v>1</v>
          </cell>
          <cell r="T42">
            <v>0</v>
          </cell>
          <cell r="U42">
            <v>0</v>
          </cell>
          <cell r="V42">
            <v>0.44721359549995793</v>
          </cell>
          <cell r="W42">
            <v>3.2</v>
          </cell>
          <cell r="X42">
            <v>96</v>
          </cell>
          <cell r="Y42">
            <v>1.6400000000000001</v>
          </cell>
          <cell r="Z42">
            <v>3.48</v>
          </cell>
          <cell r="AA42">
            <v>4.12</v>
          </cell>
          <cell r="AB42">
            <v>5.12</v>
          </cell>
        </row>
        <row r="43">
          <cell r="C43" t="str">
            <v>KUNCI KUNCI04 KUNCI L3 PANJANG TEKIRO HK-LO1167</v>
          </cell>
          <cell r="D43">
            <v>5</v>
          </cell>
          <cell r="E43">
            <v>0</v>
          </cell>
          <cell r="F43">
            <v>5</v>
          </cell>
          <cell r="H43" t="str">
            <v>MTP</v>
          </cell>
          <cell r="I43" t="str">
            <v>PCE</v>
          </cell>
          <cell r="J43">
            <v>5</v>
          </cell>
          <cell r="K43">
            <v>3</v>
          </cell>
          <cell r="L43">
            <v>3</v>
          </cell>
          <cell r="M43">
            <v>21</v>
          </cell>
          <cell r="N43">
            <v>32</v>
          </cell>
          <cell r="O43">
            <v>64</v>
          </cell>
          <cell r="P43">
            <v>2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2.1333333333333333</v>
          </cell>
          <cell r="X43">
            <v>64</v>
          </cell>
          <cell r="Y43">
            <v>1</v>
          </cell>
          <cell r="Z43">
            <v>1</v>
          </cell>
          <cell r="AA43">
            <v>1</v>
          </cell>
          <cell r="AB43">
            <v>2</v>
          </cell>
        </row>
        <row r="44">
          <cell r="C44" t="str">
            <v>BALL POINT WRENCH015 EIGHT BH-4 BALL POINT HEX KEY WRENCH 4.0MM</v>
          </cell>
          <cell r="D44">
            <v>2</v>
          </cell>
          <cell r="E44">
            <v>0</v>
          </cell>
          <cell r="F44">
            <v>2</v>
          </cell>
          <cell r="H44" t="str">
            <v>MTP</v>
          </cell>
          <cell r="I44" t="str">
            <v>PCE</v>
          </cell>
          <cell r="J44">
            <v>5</v>
          </cell>
          <cell r="K44">
            <v>3</v>
          </cell>
          <cell r="L44">
            <v>3</v>
          </cell>
          <cell r="M44">
            <v>21</v>
          </cell>
          <cell r="N44">
            <v>32</v>
          </cell>
          <cell r="O44">
            <v>64</v>
          </cell>
          <cell r="P44">
            <v>2</v>
          </cell>
          <cell r="Q44">
            <v>0</v>
          </cell>
          <cell r="R44">
            <v>0</v>
          </cell>
          <cell r="S44">
            <v>0</v>
          </cell>
          <cell r="T44">
            <v>3</v>
          </cell>
          <cell r="U44">
            <v>0</v>
          </cell>
          <cell r="V44">
            <v>1.3416407864998738</v>
          </cell>
          <cell r="W44">
            <v>2.1333333333333333</v>
          </cell>
          <cell r="X44">
            <v>64</v>
          </cell>
          <cell r="Y44">
            <v>2.2800000000000002</v>
          </cell>
          <cell r="Z44">
            <v>7.0747345621022824</v>
          </cell>
          <cell r="AA44">
            <v>8.3547345621022817</v>
          </cell>
          <cell r="AB44">
            <v>9.3547345621022835</v>
          </cell>
        </row>
        <row r="45">
          <cell r="C45" t="str">
            <v>KUNCI KUNCI05 KUNCI L5 PANJANG HK-LO1169</v>
          </cell>
          <cell r="D45">
            <v>2</v>
          </cell>
          <cell r="E45">
            <v>1</v>
          </cell>
          <cell r="F45">
            <v>1</v>
          </cell>
          <cell r="H45" t="str">
            <v>MTP</v>
          </cell>
          <cell r="I45" t="str">
            <v>PCE</v>
          </cell>
          <cell r="J45">
            <v>5</v>
          </cell>
          <cell r="K45">
            <v>3</v>
          </cell>
          <cell r="L45">
            <v>3</v>
          </cell>
          <cell r="M45">
            <v>21</v>
          </cell>
          <cell r="N45">
            <v>32</v>
          </cell>
          <cell r="O45">
            <v>64</v>
          </cell>
          <cell r="P45">
            <v>2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2.1333333333333333</v>
          </cell>
          <cell r="X45">
            <v>64</v>
          </cell>
          <cell r="Y45">
            <v>1</v>
          </cell>
          <cell r="Z45">
            <v>1</v>
          </cell>
          <cell r="AA45">
            <v>1</v>
          </cell>
          <cell r="AB45">
            <v>2</v>
          </cell>
        </row>
        <row r="46">
          <cell r="C46" t="str">
            <v>KUNCI KUNCI09 KUNCI T WR-TT0234 TEKIRO</v>
          </cell>
          <cell r="D46">
            <v>463</v>
          </cell>
          <cell r="E46">
            <v>24</v>
          </cell>
          <cell r="F46">
            <v>-35</v>
          </cell>
          <cell r="H46" t="str">
            <v>MTP</v>
          </cell>
          <cell r="I46" t="str">
            <v>PCE</v>
          </cell>
          <cell r="J46">
            <v>5</v>
          </cell>
          <cell r="K46">
            <v>3</v>
          </cell>
          <cell r="L46">
            <v>3</v>
          </cell>
          <cell r="M46">
            <v>21</v>
          </cell>
          <cell r="N46">
            <v>32</v>
          </cell>
          <cell r="O46">
            <v>64</v>
          </cell>
          <cell r="P46">
            <v>2</v>
          </cell>
          <cell r="Q46">
            <v>0</v>
          </cell>
          <cell r="R46">
            <v>1</v>
          </cell>
          <cell r="S46">
            <v>0</v>
          </cell>
          <cell r="T46">
            <v>0</v>
          </cell>
          <cell r="U46">
            <v>0</v>
          </cell>
          <cell r="V46">
            <v>0.44721359549995793</v>
          </cell>
          <cell r="W46">
            <v>2.1333333333333333</v>
          </cell>
          <cell r="X46">
            <v>64</v>
          </cell>
          <cell r="Y46">
            <v>1.4266666666666667</v>
          </cell>
          <cell r="Z46">
            <v>3.0249115207007606</v>
          </cell>
          <cell r="AA46">
            <v>3.4515781873674274</v>
          </cell>
          <cell r="AB46">
            <v>4.4515781873674278</v>
          </cell>
        </row>
        <row r="47">
          <cell r="C47" t="str">
            <v>LAUNDRY CBH007 LAUNDRY CELEMEK 1</v>
          </cell>
          <cell r="D47">
            <v>4</v>
          </cell>
          <cell r="E47">
            <v>2</v>
          </cell>
          <cell r="F47">
            <v>2</v>
          </cell>
          <cell r="H47" t="str">
            <v>GA</v>
          </cell>
          <cell r="I47" t="str">
            <v>KG</v>
          </cell>
          <cell r="J47">
            <v>5</v>
          </cell>
          <cell r="K47">
            <v>3</v>
          </cell>
          <cell r="L47">
            <v>3</v>
          </cell>
          <cell r="M47">
            <v>14</v>
          </cell>
          <cell r="N47">
            <v>25</v>
          </cell>
          <cell r="O47">
            <v>25</v>
          </cell>
          <cell r="P47">
            <v>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0.83333333333333337</v>
          </cell>
          <cell r="X47">
            <v>25</v>
          </cell>
          <cell r="Y47">
            <v>1</v>
          </cell>
          <cell r="Z47">
            <v>1</v>
          </cell>
          <cell r="AA47">
            <v>1</v>
          </cell>
          <cell r="AB47">
            <v>2</v>
          </cell>
        </row>
        <row r="48">
          <cell r="C48" t="str">
            <v>LEM KERTAS ATK072 LEM KERTAS POVINAL TANGGUNG 112</v>
          </cell>
          <cell r="D48">
            <v>8</v>
          </cell>
          <cell r="E48">
            <v>0</v>
          </cell>
          <cell r="F48">
            <v>0</v>
          </cell>
          <cell r="H48" t="str">
            <v>GA</v>
          </cell>
          <cell r="I48" t="str">
            <v>PCS</v>
          </cell>
          <cell r="J48">
            <v>5</v>
          </cell>
          <cell r="K48">
            <v>3</v>
          </cell>
          <cell r="L48">
            <v>3</v>
          </cell>
          <cell r="M48">
            <v>14</v>
          </cell>
          <cell r="N48">
            <v>25</v>
          </cell>
          <cell r="O48">
            <v>100</v>
          </cell>
          <cell r="P48">
            <v>4</v>
          </cell>
          <cell r="Q48">
            <v>1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0.44721359549995793</v>
          </cell>
          <cell r="W48">
            <v>3.3333333333333335</v>
          </cell>
          <cell r="X48">
            <v>100</v>
          </cell>
          <cell r="Y48">
            <v>1.6666666666666667</v>
          </cell>
          <cell r="Z48">
            <v>3.5311394008759507</v>
          </cell>
          <cell r="AA48">
            <v>4.1978060675426176</v>
          </cell>
          <cell r="AB48">
            <v>5.1978060675426176</v>
          </cell>
        </row>
        <row r="49">
          <cell r="C49" t="str">
            <v>SPIDOL ATK101 SPIDOL GOLD</v>
          </cell>
          <cell r="D49">
            <v>3</v>
          </cell>
          <cell r="E49">
            <v>0</v>
          </cell>
          <cell r="F49">
            <v>0</v>
          </cell>
          <cell r="H49" t="str">
            <v>GA</v>
          </cell>
          <cell r="I49" t="str">
            <v>PCS</v>
          </cell>
          <cell r="J49">
            <v>5</v>
          </cell>
          <cell r="K49">
            <v>3</v>
          </cell>
          <cell r="L49">
            <v>3</v>
          </cell>
          <cell r="M49">
            <v>14</v>
          </cell>
          <cell r="N49">
            <v>25</v>
          </cell>
          <cell r="O49">
            <v>50</v>
          </cell>
          <cell r="P49">
            <v>2</v>
          </cell>
          <cell r="Q49">
            <v>0</v>
          </cell>
          <cell r="R49">
            <v>4</v>
          </cell>
          <cell r="S49">
            <v>0</v>
          </cell>
          <cell r="T49">
            <v>4</v>
          </cell>
          <cell r="U49">
            <v>0</v>
          </cell>
          <cell r="V49">
            <v>2.1908902300206643</v>
          </cell>
          <cell r="W49">
            <v>1.6666666666666667</v>
          </cell>
          <cell r="X49">
            <v>50</v>
          </cell>
          <cell r="Y49">
            <v>3.666666666666667</v>
          </cell>
          <cell r="Z49">
            <v>9.768124086713188</v>
          </cell>
          <cell r="AA49">
            <v>12.434790753379854</v>
          </cell>
          <cell r="AB49">
            <v>13.434790753379854</v>
          </cell>
        </row>
        <row r="50">
          <cell r="C50" t="str">
            <v>MASKER SFT034 MASKER POLUSI MASKR PENDEK</v>
          </cell>
          <cell r="D50">
            <v>83</v>
          </cell>
          <cell r="E50">
            <v>18</v>
          </cell>
          <cell r="F50">
            <v>65</v>
          </cell>
          <cell r="H50" t="str">
            <v>GA</v>
          </cell>
          <cell r="I50" t="str">
            <v>PCS</v>
          </cell>
          <cell r="J50">
            <v>5</v>
          </cell>
          <cell r="K50">
            <v>3</v>
          </cell>
          <cell r="L50">
            <v>3</v>
          </cell>
          <cell r="M50">
            <v>14</v>
          </cell>
          <cell r="N50">
            <v>25</v>
          </cell>
          <cell r="O50">
            <v>50</v>
          </cell>
          <cell r="P50">
            <v>2</v>
          </cell>
          <cell r="Q50">
            <v>10</v>
          </cell>
          <cell r="R50">
            <v>5</v>
          </cell>
          <cell r="S50">
            <v>5</v>
          </cell>
          <cell r="T50">
            <v>5</v>
          </cell>
          <cell r="U50">
            <v>0</v>
          </cell>
          <cell r="V50">
            <v>3.5355339059327378</v>
          </cell>
          <cell r="W50">
            <v>1.6666666666666667</v>
          </cell>
          <cell r="X50">
            <v>50</v>
          </cell>
          <cell r="Y50">
            <v>9.3333333333333339</v>
          </cell>
          <cell r="Z50">
            <v>15.149499402216794</v>
          </cell>
          <cell r="AA50">
            <v>23.482832735550126</v>
          </cell>
          <cell r="AB50">
            <v>24.482832735550126</v>
          </cell>
        </row>
        <row r="51">
          <cell r="C51" t="str">
            <v>MICROFIBER CSB104 MICROFIBER HAND TOWEL</v>
          </cell>
          <cell r="D51">
            <v>6</v>
          </cell>
          <cell r="E51">
            <v>2</v>
          </cell>
          <cell r="F51">
            <v>4</v>
          </cell>
          <cell r="H51" t="str">
            <v>GA</v>
          </cell>
          <cell r="I51" t="str">
            <v>SET</v>
          </cell>
          <cell r="J51">
            <v>5</v>
          </cell>
          <cell r="K51">
            <v>3</v>
          </cell>
          <cell r="L51">
            <v>3</v>
          </cell>
          <cell r="M51">
            <v>14</v>
          </cell>
          <cell r="N51">
            <v>25</v>
          </cell>
          <cell r="O51">
            <v>75</v>
          </cell>
          <cell r="P51">
            <v>3</v>
          </cell>
          <cell r="Q51">
            <v>1</v>
          </cell>
          <cell r="R51">
            <v>0</v>
          </cell>
          <cell r="S51">
            <v>1</v>
          </cell>
          <cell r="T51">
            <v>0</v>
          </cell>
          <cell r="U51">
            <v>1</v>
          </cell>
          <cell r="V51">
            <v>0.54772255750516607</v>
          </cell>
          <cell r="W51">
            <v>2.5</v>
          </cell>
          <cell r="X51">
            <v>75</v>
          </cell>
          <cell r="Y51">
            <v>2.5</v>
          </cell>
          <cell r="Z51">
            <v>3.6846787517317598</v>
          </cell>
          <cell r="AA51">
            <v>5.1846787517317594</v>
          </cell>
          <cell r="AB51">
            <v>6.1846787517317594</v>
          </cell>
        </row>
        <row r="52">
          <cell r="C52" t="str">
            <v>MIKA LAMINATING ATK081 MIKA LAMINATING TOHO</v>
          </cell>
          <cell r="D52">
            <v>2</v>
          </cell>
          <cell r="E52">
            <v>1</v>
          </cell>
          <cell r="F52">
            <v>1</v>
          </cell>
          <cell r="H52" t="str">
            <v>GA</v>
          </cell>
          <cell r="I52" t="str">
            <v>PAK</v>
          </cell>
          <cell r="J52">
            <v>5</v>
          </cell>
          <cell r="K52">
            <v>3</v>
          </cell>
          <cell r="L52">
            <v>3</v>
          </cell>
          <cell r="M52">
            <v>14</v>
          </cell>
          <cell r="N52">
            <v>25</v>
          </cell>
          <cell r="O52">
            <v>50</v>
          </cell>
          <cell r="P52">
            <v>2</v>
          </cell>
          <cell r="Q52">
            <v>0</v>
          </cell>
          <cell r="R52">
            <v>1</v>
          </cell>
          <cell r="S52">
            <v>0</v>
          </cell>
          <cell r="T52">
            <v>0</v>
          </cell>
          <cell r="U52">
            <v>0</v>
          </cell>
          <cell r="V52">
            <v>0.44721359549995793</v>
          </cell>
          <cell r="W52">
            <v>1.6666666666666667</v>
          </cell>
          <cell r="X52">
            <v>50</v>
          </cell>
          <cell r="Y52">
            <v>1.3333333333333335</v>
          </cell>
          <cell r="Z52">
            <v>2.7897858344878399</v>
          </cell>
          <cell r="AA52">
            <v>3.1231191678211734</v>
          </cell>
          <cell r="AB52">
            <v>4.1231191678211729</v>
          </cell>
        </row>
        <row r="53">
          <cell r="C53" t="str">
            <v>LAKBAN 2 INS ATK071 LAKBAN 2 INS DAIMARU BNG</v>
          </cell>
          <cell r="D53">
            <v>0</v>
          </cell>
          <cell r="E53">
            <v>0</v>
          </cell>
          <cell r="F53">
            <v>0</v>
          </cell>
          <cell r="H53" t="str">
            <v>GA</v>
          </cell>
          <cell r="I53" t="str">
            <v>ROL</v>
          </cell>
          <cell r="J53">
            <v>5</v>
          </cell>
          <cell r="K53">
            <v>3</v>
          </cell>
          <cell r="L53">
            <v>3</v>
          </cell>
          <cell r="M53">
            <v>14</v>
          </cell>
          <cell r="N53">
            <v>25</v>
          </cell>
          <cell r="O53">
            <v>50</v>
          </cell>
          <cell r="P53">
            <v>2</v>
          </cell>
          <cell r="Q53">
            <v>26</v>
          </cell>
          <cell r="R53">
            <v>0</v>
          </cell>
          <cell r="S53">
            <v>10</v>
          </cell>
          <cell r="T53">
            <v>0</v>
          </cell>
          <cell r="U53">
            <v>26</v>
          </cell>
          <cell r="V53">
            <v>13.069047402163633</v>
          </cell>
          <cell r="W53">
            <v>1.6666666666666667</v>
          </cell>
          <cell r="X53">
            <v>50</v>
          </cell>
          <cell r="Y53">
            <v>21.666666666666668</v>
          </cell>
          <cell r="Z53">
            <v>53.303409704020901</v>
          </cell>
          <cell r="AA53">
            <v>73.970076370687565</v>
          </cell>
          <cell r="AB53">
            <v>74.970076370687565</v>
          </cell>
        </row>
        <row r="54">
          <cell r="C54" t="str">
            <v>TAPE ATK126 TAPE PAPER TAPE 18MM X 10Y X 500R</v>
          </cell>
          <cell r="D54">
            <v>0</v>
          </cell>
          <cell r="E54">
            <v>0</v>
          </cell>
          <cell r="F54">
            <v>0</v>
          </cell>
          <cell r="H54" t="str">
            <v>GA</v>
          </cell>
          <cell r="I54" t="str">
            <v>ROL</v>
          </cell>
          <cell r="J54">
            <v>5</v>
          </cell>
          <cell r="K54">
            <v>3</v>
          </cell>
          <cell r="L54">
            <v>3</v>
          </cell>
          <cell r="M54">
            <v>14</v>
          </cell>
          <cell r="N54">
            <v>25</v>
          </cell>
          <cell r="O54">
            <v>150</v>
          </cell>
          <cell r="P54">
            <v>6</v>
          </cell>
          <cell r="Q54">
            <v>0</v>
          </cell>
          <cell r="R54">
            <v>500</v>
          </cell>
          <cell r="S54">
            <v>0</v>
          </cell>
          <cell r="T54">
            <v>0</v>
          </cell>
          <cell r="U54">
            <v>0</v>
          </cell>
          <cell r="V54">
            <v>223.60679774997897</v>
          </cell>
          <cell r="W54">
            <v>5</v>
          </cell>
          <cell r="X54">
            <v>150</v>
          </cell>
          <cell r="Y54">
            <v>501</v>
          </cell>
          <cell r="Z54">
            <v>1551</v>
          </cell>
          <cell r="AA54">
            <v>2051</v>
          </cell>
          <cell r="AB54">
            <v>2052</v>
          </cell>
        </row>
        <row r="55">
          <cell r="C55" t="str">
            <v>REFILL CSB023 REFILL PEMBERSIH KACA</v>
          </cell>
          <cell r="D55">
            <v>0</v>
          </cell>
          <cell r="E55">
            <v>0</v>
          </cell>
          <cell r="F55">
            <v>0</v>
          </cell>
          <cell r="H55" t="str">
            <v>GA</v>
          </cell>
          <cell r="I55" t="str">
            <v>PCS</v>
          </cell>
          <cell r="J55">
            <v>5</v>
          </cell>
          <cell r="K55">
            <v>3</v>
          </cell>
          <cell r="L55">
            <v>3</v>
          </cell>
          <cell r="M55">
            <v>14</v>
          </cell>
          <cell r="N55">
            <v>25</v>
          </cell>
          <cell r="O55">
            <v>150</v>
          </cell>
          <cell r="P55">
            <v>6</v>
          </cell>
          <cell r="Q55">
            <v>0</v>
          </cell>
          <cell r="R55">
            <v>2</v>
          </cell>
          <cell r="S55">
            <v>0</v>
          </cell>
          <cell r="T55">
            <v>0</v>
          </cell>
          <cell r="U55">
            <v>0</v>
          </cell>
          <cell r="V55">
            <v>0.89442719099991586</v>
          </cell>
          <cell r="W55">
            <v>5</v>
          </cell>
          <cell r="X55">
            <v>150</v>
          </cell>
          <cell r="Y55">
            <v>3</v>
          </cell>
          <cell r="Z55">
            <v>7.2</v>
          </cell>
          <cell r="AA55">
            <v>9.1999999999999993</v>
          </cell>
          <cell r="AB55">
            <v>10.199999999999999</v>
          </cell>
        </row>
        <row r="56">
          <cell r="C56" t="str">
            <v>PEREKAT PEREKAT001 PEREKAT GLASSWALL 1SET</v>
          </cell>
          <cell r="D56">
            <v>0</v>
          </cell>
          <cell r="E56">
            <v>0</v>
          </cell>
          <cell r="F56">
            <v>0</v>
          </cell>
          <cell r="H56" t="str">
            <v>MTP</v>
          </cell>
          <cell r="I56" t="str">
            <v>SET</v>
          </cell>
          <cell r="J56">
            <v>5</v>
          </cell>
          <cell r="K56">
            <v>3</v>
          </cell>
          <cell r="L56">
            <v>3</v>
          </cell>
          <cell r="M56">
            <v>21</v>
          </cell>
          <cell r="N56">
            <v>32</v>
          </cell>
          <cell r="O56">
            <v>96</v>
          </cell>
          <cell r="P56">
            <v>3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3.2</v>
          </cell>
          <cell r="X56">
            <v>96</v>
          </cell>
          <cell r="Y56">
            <v>1</v>
          </cell>
          <cell r="Z56">
            <v>1</v>
          </cell>
          <cell r="AA56">
            <v>1</v>
          </cell>
          <cell r="AB56">
            <v>2</v>
          </cell>
        </row>
        <row r="57">
          <cell r="C57" t="str">
            <v>MARKER ATK125 MARKER PERMANENT MARKER AL 70</v>
          </cell>
          <cell r="D57">
            <v>7</v>
          </cell>
          <cell r="E57">
            <v>0</v>
          </cell>
          <cell r="F57">
            <v>0</v>
          </cell>
          <cell r="H57" t="str">
            <v>GA</v>
          </cell>
          <cell r="I57" t="str">
            <v>PCS</v>
          </cell>
          <cell r="J57">
            <v>5</v>
          </cell>
          <cell r="K57">
            <v>3</v>
          </cell>
          <cell r="L57">
            <v>3</v>
          </cell>
          <cell r="M57">
            <v>14</v>
          </cell>
          <cell r="N57">
            <v>25</v>
          </cell>
          <cell r="O57">
            <v>50</v>
          </cell>
          <cell r="P57">
            <v>2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1.6666666666666667</v>
          </cell>
          <cell r="X57">
            <v>50</v>
          </cell>
          <cell r="Y57">
            <v>1</v>
          </cell>
          <cell r="Z57">
            <v>1</v>
          </cell>
          <cell r="AA57">
            <v>1</v>
          </cell>
          <cell r="AB57">
            <v>2</v>
          </cell>
        </row>
        <row r="58">
          <cell r="C58" t="str">
            <v>ISI CUTTER ATK057 ISI CUTTER BESAR</v>
          </cell>
          <cell r="D58">
            <v>1030</v>
          </cell>
          <cell r="E58">
            <v>211</v>
          </cell>
          <cell r="F58">
            <v>819</v>
          </cell>
          <cell r="H58" t="str">
            <v>GA</v>
          </cell>
          <cell r="I58" t="str">
            <v>TUB</v>
          </cell>
          <cell r="J58">
            <v>5</v>
          </cell>
          <cell r="K58">
            <v>3</v>
          </cell>
          <cell r="L58">
            <v>3</v>
          </cell>
          <cell r="M58">
            <v>14</v>
          </cell>
          <cell r="N58">
            <v>25</v>
          </cell>
          <cell r="O58">
            <v>50</v>
          </cell>
          <cell r="P58">
            <v>2</v>
          </cell>
          <cell r="Q58">
            <v>0</v>
          </cell>
          <cell r="R58">
            <v>2</v>
          </cell>
          <cell r="S58">
            <v>0</v>
          </cell>
          <cell r="T58">
            <v>3</v>
          </cell>
          <cell r="U58">
            <v>0</v>
          </cell>
          <cell r="V58">
            <v>1.4142135623730951</v>
          </cell>
          <cell r="W58">
            <v>1.6666666666666667</v>
          </cell>
          <cell r="X58">
            <v>50</v>
          </cell>
          <cell r="Y58">
            <v>2.666666666666667</v>
          </cell>
          <cell r="Z58">
            <v>6.6597997608867168</v>
          </cell>
          <cell r="AA58">
            <v>8.3264664275533828</v>
          </cell>
          <cell r="AB58">
            <v>9.3264664275533846</v>
          </cell>
        </row>
        <row r="59">
          <cell r="C59" t="str">
            <v>PLASTIK CSB022 PLASTIK 5KG</v>
          </cell>
          <cell r="D59">
            <v>1032</v>
          </cell>
          <cell r="E59">
            <v>154</v>
          </cell>
          <cell r="F59">
            <v>878</v>
          </cell>
          <cell r="H59" t="str">
            <v>GA</v>
          </cell>
          <cell r="I59" t="str">
            <v>PAK</v>
          </cell>
          <cell r="J59">
            <v>5</v>
          </cell>
          <cell r="K59">
            <v>3</v>
          </cell>
          <cell r="L59">
            <v>3</v>
          </cell>
          <cell r="M59">
            <v>14</v>
          </cell>
          <cell r="N59">
            <v>25</v>
          </cell>
          <cell r="O59">
            <v>50</v>
          </cell>
          <cell r="P59">
            <v>2</v>
          </cell>
          <cell r="Q59">
            <v>0</v>
          </cell>
          <cell r="R59">
            <v>0</v>
          </cell>
          <cell r="S59">
            <v>0</v>
          </cell>
          <cell r="T59">
            <v>3</v>
          </cell>
          <cell r="U59">
            <v>0</v>
          </cell>
          <cell r="V59">
            <v>1.3416407864998738</v>
          </cell>
          <cell r="W59">
            <v>1.6666666666666667</v>
          </cell>
          <cell r="X59">
            <v>50</v>
          </cell>
          <cell r="Y59">
            <v>2</v>
          </cell>
          <cell r="Z59">
            <v>6.3693575034635197</v>
          </cell>
          <cell r="AA59">
            <v>7.3693575034635197</v>
          </cell>
          <cell r="AB59">
            <v>8.3693575034635188</v>
          </cell>
        </row>
        <row r="60">
          <cell r="C60" t="str">
            <v>PLASTIK PCG028 PLASTIK KLIP 6X10</v>
          </cell>
          <cell r="D60">
            <v>189</v>
          </cell>
          <cell r="E60">
            <v>6</v>
          </cell>
          <cell r="F60">
            <v>183</v>
          </cell>
          <cell r="H60" t="str">
            <v>GA</v>
          </cell>
          <cell r="I60" t="str">
            <v>PAK</v>
          </cell>
          <cell r="J60">
            <v>5</v>
          </cell>
          <cell r="K60">
            <v>3</v>
          </cell>
          <cell r="L60">
            <v>3</v>
          </cell>
          <cell r="M60">
            <v>14</v>
          </cell>
          <cell r="N60">
            <v>25</v>
          </cell>
          <cell r="O60">
            <v>50</v>
          </cell>
          <cell r="P60">
            <v>2</v>
          </cell>
          <cell r="Q60">
            <v>0</v>
          </cell>
          <cell r="R60">
            <v>12</v>
          </cell>
          <cell r="S60">
            <v>0</v>
          </cell>
          <cell r="T60">
            <v>12</v>
          </cell>
          <cell r="U60">
            <v>0</v>
          </cell>
          <cell r="V60">
            <v>6.5726706900619938</v>
          </cell>
          <cell r="W60">
            <v>1.6666666666666667</v>
          </cell>
          <cell r="X60">
            <v>50</v>
          </cell>
          <cell r="Y60">
            <v>9</v>
          </cell>
          <cell r="Z60">
            <v>27.304372260139569</v>
          </cell>
          <cell r="AA60">
            <v>35.304372260139573</v>
          </cell>
          <cell r="AB60">
            <v>36.304372260139573</v>
          </cell>
        </row>
        <row r="61">
          <cell r="C61" t="str">
            <v>PLASTIK PCG040 PLASTIK POLYBAG UK 15X28</v>
          </cell>
          <cell r="D61">
            <v>3</v>
          </cell>
          <cell r="E61">
            <v>1</v>
          </cell>
          <cell r="F61">
            <v>2</v>
          </cell>
          <cell r="H61" t="str">
            <v>GA</v>
          </cell>
          <cell r="I61" t="str">
            <v>PCS</v>
          </cell>
          <cell r="J61">
            <v>5</v>
          </cell>
          <cell r="K61">
            <v>3</v>
          </cell>
          <cell r="L61">
            <v>3</v>
          </cell>
          <cell r="M61">
            <v>14</v>
          </cell>
          <cell r="N61">
            <v>25</v>
          </cell>
          <cell r="O61">
            <v>50</v>
          </cell>
          <cell r="P61">
            <v>2</v>
          </cell>
          <cell r="Q61">
            <v>0</v>
          </cell>
          <cell r="R61">
            <v>498</v>
          </cell>
          <cell r="S61">
            <v>0</v>
          </cell>
          <cell r="T61">
            <v>498</v>
          </cell>
          <cell r="U61">
            <v>0</v>
          </cell>
          <cell r="V61">
            <v>272.76583363757271</v>
          </cell>
          <cell r="W61">
            <v>1.6666666666666667</v>
          </cell>
          <cell r="X61">
            <v>50</v>
          </cell>
          <cell r="Y61">
            <v>333</v>
          </cell>
          <cell r="Z61">
            <v>1092.631448795792</v>
          </cell>
          <cell r="AA61">
            <v>1424.631448795792</v>
          </cell>
          <cell r="AB61">
            <v>1425.631448795792</v>
          </cell>
        </row>
        <row r="62">
          <cell r="C62" t="str">
            <v>PLASTIK PCG035 PLASTIK POLYBAG 20X20</v>
          </cell>
          <cell r="D62">
            <v>41</v>
          </cell>
          <cell r="E62">
            <v>12</v>
          </cell>
          <cell r="F62">
            <v>29</v>
          </cell>
          <cell r="H62" t="str">
            <v>GA</v>
          </cell>
          <cell r="I62" t="str">
            <v>PCS</v>
          </cell>
          <cell r="J62">
            <v>5</v>
          </cell>
          <cell r="K62">
            <v>3</v>
          </cell>
          <cell r="L62">
            <v>3</v>
          </cell>
          <cell r="M62">
            <v>14</v>
          </cell>
          <cell r="N62">
            <v>25</v>
          </cell>
          <cell r="O62">
            <v>50</v>
          </cell>
          <cell r="P62">
            <v>2</v>
          </cell>
          <cell r="Q62">
            <v>0</v>
          </cell>
          <cell r="R62">
            <v>30</v>
          </cell>
          <cell r="S62">
            <v>0</v>
          </cell>
          <cell r="T62">
            <v>0</v>
          </cell>
          <cell r="U62">
            <v>30</v>
          </cell>
          <cell r="V62">
            <v>16.431676725154983</v>
          </cell>
          <cell r="W62">
            <v>1.6666666666666667</v>
          </cell>
          <cell r="X62">
            <v>50</v>
          </cell>
          <cell r="Y62">
            <v>21</v>
          </cell>
          <cell r="Z62">
            <v>66.760930650348911</v>
          </cell>
          <cell r="AA62">
            <v>86.760930650348911</v>
          </cell>
          <cell r="AB62">
            <v>87.760930650348911</v>
          </cell>
        </row>
        <row r="63">
          <cell r="C63" t="str">
            <v>PLASTIK PCG042 PLASTIK POLYBAG UK 30X55</v>
          </cell>
          <cell r="D63">
            <v>8</v>
          </cell>
          <cell r="E63">
            <v>0</v>
          </cell>
          <cell r="F63">
            <v>8</v>
          </cell>
          <cell r="H63" t="str">
            <v>GA</v>
          </cell>
          <cell r="I63" t="str">
            <v>PCS</v>
          </cell>
          <cell r="J63">
            <v>5</v>
          </cell>
          <cell r="K63">
            <v>3</v>
          </cell>
          <cell r="L63">
            <v>3</v>
          </cell>
          <cell r="M63">
            <v>14</v>
          </cell>
          <cell r="N63">
            <v>25</v>
          </cell>
          <cell r="O63">
            <v>50</v>
          </cell>
          <cell r="P63">
            <v>2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1.6666666666666667</v>
          </cell>
          <cell r="X63">
            <v>50</v>
          </cell>
          <cell r="Y63">
            <v>1</v>
          </cell>
          <cell r="Z63">
            <v>1</v>
          </cell>
          <cell r="AA63">
            <v>1</v>
          </cell>
          <cell r="AB63">
            <v>2</v>
          </cell>
        </row>
        <row r="64">
          <cell r="C64" t="str">
            <v>POCKET TOP ATK092 POCKET TOP 2036 ( PORTRAIT )</v>
          </cell>
          <cell r="D64">
            <v>3</v>
          </cell>
          <cell r="E64">
            <v>1</v>
          </cell>
          <cell r="F64">
            <v>2</v>
          </cell>
          <cell r="H64" t="str">
            <v>GA</v>
          </cell>
          <cell r="I64" t="str">
            <v>PCS</v>
          </cell>
          <cell r="J64">
            <v>5</v>
          </cell>
          <cell r="K64">
            <v>3</v>
          </cell>
          <cell r="L64">
            <v>3</v>
          </cell>
          <cell r="M64">
            <v>14</v>
          </cell>
          <cell r="N64">
            <v>25</v>
          </cell>
          <cell r="O64">
            <v>50</v>
          </cell>
          <cell r="P64">
            <v>2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1.6666666666666667</v>
          </cell>
          <cell r="X64">
            <v>50</v>
          </cell>
          <cell r="Y64">
            <v>1</v>
          </cell>
          <cell r="Z64">
            <v>1</v>
          </cell>
          <cell r="AA64">
            <v>1</v>
          </cell>
          <cell r="AB64">
            <v>2</v>
          </cell>
        </row>
        <row r="65">
          <cell r="C65" t="str">
            <v>POCKET TOP ATK093 POCKET TOP A4 VTEC</v>
          </cell>
          <cell r="D65">
            <v>3</v>
          </cell>
          <cell r="E65">
            <v>0</v>
          </cell>
          <cell r="F65">
            <v>0</v>
          </cell>
          <cell r="H65" t="str">
            <v>GA</v>
          </cell>
          <cell r="I65" t="str">
            <v>PCS</v>
          </cell>
          <cell r="J65">
            <v>5</v>
          </cell>
          <cell r="K65">
            <v>3</v>
          </cell>
          <cell r="L65">
            <v>3</v>
          </cell>
          <cell r="M65">
            <v>14</v>
          </cell>
          <cell r="N65">
            <v>25</v>
          </cell>
          <cell r="O65">
            <v>50</v>
          </cell>
          <cell r="P65">
            <v>2</v>
          </cell>
          <cell r="Q65">
            <v>0</v>
          </cell>
          <cell r="R65">
            <v>0</v>
          </cell>
          <cell r="S65">
            <v>0</v>
          </cell>
          <cell r="T65">
            <v>634</v>
          </cell>
          <cell r="U65">
            <v>0</v>
          </cell>
          <cell r="V65">
            <v>283.53341954697333</v>
          </cell>
          <cell r="W65">
            <v>1.6666666666666667</v>
          </cell>
          <cell r="X65">
            <v>50</v>
          </cell>
          <cell r="Y65">
            <v>212.33333333333334</v>
          </cell>
          <cell r="Z65">
            <v>1135.7242190652905</v>
          </cell>
          <cell r="AA65">
            <v>1347.0575523986238</v>
          </cell>
          <cell r="AB65">
            <v>1348.0575523986238</v>
          </cell>
        </row>
        <row r="66">
          <cell r="C66" t="str">
            <v>POST IT ATK094 POST IT POST IT 653</v>
          </cell>
          <cell r="D66">
            <v>6</v>
          </cell>
          <cell r="E66">
            <v>2</v>
          </cell>
          <cell r="F66">
            <v>4</v>
          </cell>
          <cell r="H66" t="str">
            <v>GA</v>
          </cell>
          <cell r="I66" t="str">
            <v>PCS</v>
          </cell>
          <cell r="J66">
            <v>5</v>
          </cell>
          <cell r="K66">
            <v>3</v>
          </cell>
          <cell r="L66">
            <v>3</v>
          </cell>
          <cell r="M66">
            <v>14</v>
          </cell>
          <cell r="N66">
            <v>25</v>
          </cell>
          <cell r="O66">
            <v>50</v>
          </cell>
          <cell r="P66">
            <v>2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1.6666666666666667</v>
          </cell>
          <cell r="X66">
            <v>50</v>
          </cell>
          <cell r="Y66">
            <v>1</v>
          </cell>
          <cell r="Z66">
            <v>1</v>
          </cell>
          <cell r="AA66">
            <v>1</v>
          </cell>
          <cell r="AB66">
            <v>2</v>
          </cell>
        </row>
        <row r="67">
          <cell r="C67" t="str">
            <v>REPAIR CELEMEK ARN023 REPAIR CELEMEK ROMBAK PLASTIK</v>
          </cell>
          <cell r="D67">
            <v>2</v>
          </cell>
          <cell r="E67">
            <v>1</v>
          </cell>
          <cell r="F67">
            <v>1</v>
          </cell>
          <cell r="H67" t="str">
            <v>GA</v>
          </cell>
          <cell r="I67" t="str">
            <v>PCS</v>
          </cell>
          <cell r="J67">
            <v>5</v>
          </cell>
          <cell r="K67">
            <v>3</v>
          </cell>
          <cell r="L67">
            <v>3</v>
          </cell>
          <cell r="M67">
            <v>14</v>
          </cell>
          <cell r="N67">
            <v>25</v>
          </cell>
          <cell r="O67">
            <v>25</v>
          </cell>
          <cell r="P67">
            <v>1</v>
          </cell>
          <cell r="Q67">
            <v>31</v>
          </cell>
          <cell r="R67">
            <v>31</v>
          </cell>
          <cell r="S67">
            <v>93</v>
          </cell>
          <cell r="T67">
            <v>31</v>
          </cell>
          <cell r="U67">
            <v>31</v>
          </cell>
          <cell r="V67">
            <v>27.727242920997394</v>
          </cell>
          <cell r="W67">
            <v>0.83333333333333337</v>
          </cell>
          <cell r="X67">
            <v>25</v>
          </cell>
          <cell r="Y67">
            <v>37.166666666666664</v>
          </cell>
          <cell r="Z67">
            <v>79.465321427154478</v>
          </cell>
          <cell r="AA67">
            <v>115.63198809382115</v>
          </cell>
          <cell r="AB67">
            <v>116.63198809382115</v>
          </cell>
        </row>
        <row r="68">
          <cell r="C68" t="str">
            <v>RUBBER 4BB004559 RUBBER CLIP FOR RUBBER RC-90YM 1LOT 4000PCS</v>
          </cell>
          <cell r="D68">
            <v>304</v>
          </cell>
          <cell r="E68">
            <v>222</v>
          </cell>
          <cell r="F68">
            <v>82</v>
          </cell>
          <cell r="H68" t="str">
            <v>MTP</v>
          </cell>
          <cell r="I68" t="str">
            <v>LOT</v>
          </cell>
          <cell r="J68">
            <v>5</v>
          </cell>
          <cell r="K68">
            <v>3</v>
          </cell>
          <cell r="L68">
            <v>3</v>
          </cell>
          <cell r="M68">
            <v>21</v>
          </cell>
          <cell r="N68">
            <v>32</v>
          </cell>
          <cell r="O68">
            <v>32</v>
          </cell>
          <cell r="P68">
            <v>1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1.0666666666666667</v>
          </cell>
          <cell r="X68">
            <v>32</v>
          </cell>
          <cell r="Y68">
            <v>1</v>
          </cell>
          <cell r="Z68">
            <v>1</v>
          </cell>
          <cell r="AA68">
            <v>1</v>
          </cell>
          <cell r="AB68">
            <v>2</v>
          </cell>
        </row>
        <row r="69">
          <cell r="C69" t="str">
            <v>KUNCI KUNCI07 KUNCI L6 PANJANG TEKIRO HK-LO1170</v>
          </cell>
          <cell r="D69">
            <v>6</v>
          </cell>
          <cell r="E69">
            <v>0</v>
          </cell>
          <cell r="F69">
            <v>6</v>
          </cell>
          <cell r="H69" t="str">
            <v>MTP</v>
          </cell>
          <cell r="I69" t="str">
            <v>PCE</v>
          </cell>
          <cell r="J69">
            <v>5</v>
          </cell>
          <cell r="K69">
            <v>3</v>
          </cell>
          <cell r="L69">
            <v>3</v>
          </cell>
          <cell r="M69">
            <v>21</v>
          </cell>
          <cell r="N69">
            <v>32</v>
          </cell>
          <cell r="O69">
            <v>64</v>
          </cell>
          <cell r="P69">
            <v>2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2.1333333333333333</v>
          </cell>
          <cell r="X69">
            <v>64</v>
          </cell>
          <cell r="Y69">
            <v>1</v>
          </cell>
          <cell r="Z69">
            <v>1</v>
          </cell>
          <cell r="AA69">
            <v>1</v>
          </cell>
          <cell r="AB69">
            <v>2</v>
          </cell>
        </row>
        <row r="70">
          <cell r="C70" t="str">
            <v>SCRAPPER SCRAP001 SCRAPPER SCRAPPER 2 INCH</v>
          </cell>
          <cell r="D70">
            <v>4</v>
          </cell>
          <cell r="E70">
            <v>0</v>
          </cell>
          <cell r="F70">
            <v>4</v>
          </cell>
          <cell r="H70" t="str">
            <v>MTP</v>
          </cell>
          <cell r="I70" t="str">
            <v>PCE</v>
          </cell>
          <cell r="J70">
            <v>5</v>
          </cell>
          <cell r="K70">
            <v>3</v>
          </cell>
          <cell r="L70">
            <v>3</v>
          </cell>
          <cell r="M70">
            <v>21</v>
          </cell>
          <cell r="N70">
            <v>32</v>
          </cell>
          <cell r="O70">
            <v>96</v>
          </cell>
          <cell r="P70">
            <v>3</v>
          </cell>
          <cell r="Q70">
            <v>0</v>
          </cell>
          <cell r="R70">
            <v>0</v>
          </cell>
          <cell r="S70">
            <v>0</v>
          </cell>
          <cell r="T70">
            <v>1</v>
          </cell>
          <cell r="U70">
            <v>0</v>
          </cell>
          <cell r="V70">
            <v>0.44721359549995793</v>
          </cell>
          <cell r="W70">
            <v>3.2</v>
          </cell>
          <cell r="X70">
            <v>96</v>
          </cell>
          <cell r="Y70">
            <v>1.6400000000000001</v>
          </cell>
          <cell r="Z70">
            <v>3.48</v>
          </cell>
          <cell r="AA70">
            <v>4.12</v>
          </cell>
          <cell r="AB70">
            <v>5.12</v>
          </cell>
        </row>
        <row r="71">
          <cell r="C71" t="str">
            <v>SIKAT SIKAT001 SIKAT GIGI ORAL B</v>
          </cell>
          <cell r="D71">
            <v>49</v>
          </cell>
          <cell r="E71">
            <v>21</v>
          </cell>
          <cell r="F71">
            <v>28</v>
          </cell>
          <cell r="H71" t="str">
            <v>MTP</v>
          </cell>
          <cell r="I71" t="str">
            <v>SET</v>
          </cell>
          <cell r="J71">
            <v>5</v>
          </cell>
          <cell r="K71">
            <v>3</v>
          </cell>
          <cell r="L71">
            <v>3</v>
          </cell>
          <cell r="M71">
            <v>21</v>
          </cell>
          <cell r="N71">
            <v>32</v>
          </cell>
          <cell r="O71">
            <v>64</v>
          </cell>
          <cell r="P71">
            <v>2</v>
          </cell>
          <cell r="Q71">
            <v>15</v>
          </cell>
          <cell r="R71">
            <v>0</v>
          </cell>
          <cell r="S71">
            <v>15</v>
          </cell>
          <cell r="T71">
            <v>0</v>
          </cell>
          <cell r="U71">
            <v>15</v>
          </cell>
          <cell r="V71">
            <v>8.2158383625774913</v>
          </cell>
          <cell r="W71">
            <v>2.1333333333333333</v>
          </cell>
          <cell r="X71">
            <v>64</v>
          </cell>
          <cell r="Y71">
            <v>20.2</v>
          </cell>
          <cell r="Z71">
            <v>38.199999999999996</v>
          </cell>
          <cell r="AA71">
            <v>57.399999999999991</v>
          </cell>
          <cell r="AB71">
            <v>58.399999999999991</v>
          </cell>
        </row>
        <row r="72">
          <cell r="C72" t="str">
            <v>SPIDOL ATK106 SPIDOL SILVER</v>
          </cell>
          <cell r="D72">
            <v>13</v>
          </cell>
          <cell r="E72">
            <v>1</v>
          </cell>
          <cell r="F72">
            <v>12</v>
          </cell>
          <cell r="H72" t="str">
            <v>GA</v>
          </cell>
          <cell r="I72" t="str">
            <v>PCS</v>
          </cell>
          <cell r="J72">
            <v>5</v>
          </cell>
          <cell r="K72">
            <v>3</v>
          </cell>
          <cell r="L72">
            <v>3</v>
          </cell>
          <cell r="M72">
            <v>14</v>
          </cell>
          <cell r="N72">
            <v>25</v>
          </cell>
          <cell r="O72">
            <v>50</v>
          </cell>
          <cell r="P72">
            <v>2</v>
          </cell>
          <cell r="Q72">
            <v>0</v>
          </cell>
          <cell r="R72">
            <v>0</v>
          </cell>
          <cell r="S72">
            <v>6</v>
          </cell>
          <cell r="T72">
            <v>0</v>
          </cell>
          <cell r="U72">
            <v>0</v>
          </cell>
          <cell r="V72">
            <v>2.6832815729997477</v>
          </cell>
          <cell r="W72">
            <v>1.6666666666666667</v>
          </cell>
          <cell r="X72">
            <v>50</v>
          </cell>
          <cell r="Y72">
            <v>3</v>
          </cell>
          <cell r="Z72">
            <v>11.738715006927039</v>
          </cell>
          <cell r="AA72">
            <v>13.738715006927039</v>
          </cell>
          <cell r="AB72">
            <v>14.738715006927039</v>
          </cell>
        </row>
        <row r="73">
          <cell r="C73" t="str">
            <v>SPIDOL ATK140 ARTLINE 853 OVERHEAD PROJECTION MARKER</v>
          </cell>
          <cell r="D73">
            <v>8</v>
          </cell>
          <cell r="E73">
            <v>4</v>
          </cell>
          <cell r="F73">
            <v>4</v>
          </cell>
          <cell r="H73" t="str">
            <v>GA</v>
          </cell>
          <cell r="I73" t="str">
            <v>PCS</v>
          </cell>
          <cell r="J73">
            <v>5</v>
          </cell>
          <cell r="K73">
            <v>3</v>
          </cell>
          <cell r="L73">
            <v>3</v>
          </cell>
          <cell r="M73">
            <v>14</v>
          </cell>
          <cell r="N73">
            <v>25</v>
          </cell>
          <cell r="O73">
            <v>50</v>
          </cell>
          <cell r="P73">
            <v>2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1.6666666666666667</v>
          </cell>
          <cell r="X73">
            <v>50</v>
          </cell>
          <cell r="Y73">
            <v>1</v>
          </cell>
          <cell r="Z73">
            <v>1</v>
          </cell>
          <cell r="AA73">
            <v>1</v>
          </cell>
          <cell r="AB73">
            <v>2</v>
          </cell>
        </row>
        <row r="74">
          <cell r="C74" t="str">
            <v>MAP ATK109 MAP SPRING FILE</v>
          </cell>
          <cell r="D74">
            <v>13</v>
          </cell>
          <cell r="E74">
            <v>0</v>
          </cell>
          <cell r="F74">
            <v>0</v>
          </cell>
          <cell r="H74" t="str">
            <v>GA</v>
          </cell>
          <cell r="I74" t="str">
            <v>PCS</v>
          </cell>
          <cell r="J74">
            <v>5</v>
          </cell>
          <cell r="K74">
            <v>3</v>
          </cell>
          <cell r="L74">
            <v>3</v>
          </cell>
          <cell r="M74">
            <v>14</v>
          </cell>
          <cell r="N74">
            <v>25</v>
          </cell>
          <cell r="O74">
            <v>50</v>
          </cell>
          <cell r="P74">
            <v>2</v>
          </cell>
          <cell r="Q74">
            <v>4</v>
          </cell>
          <cell r="R74">
            <v>0</v>
          </cell>
          <cell r="S74">
            <v>4</v>
          </cell>
          <cell r="T74">
            <v>0</v>
          </cell>
          <cell r="U74">
            <v>4</v>
          </cell>
          <cell r="V74">
            <v>2.1908902300206643</v>
          </cell>
          <cell r="W74">
            <v>1.6666666666666667</v>
          </cell>
          <cell r="X74">
            <v>50</v>
          </cell>
          <cell r="Y74">
            <v>5</v>
          </cell>
          <cell r="Z74">
            <v>9.768124086713188</v>
          </cell>
          <cell r="AA74">
            <v>13.768124086713188</v>
          </cell>
          <cell r="AB74">
            <v>14.768124086713188</v>
          </cell>
        </row>
        <row r="75">
          <cell r="C75" t="str">
            <v>STABILO ATK111 STABILO BOSS</v>
          </cell>
          <cell r="D75">
            <v>1</v>
          </cell>
          <cell r="E75">
            <v>0</v>
          </cell>
          <cell r="F75">
            <v>0</v>
          </cell>
          <cell r="H75" t="str">
            <v>GA</v>
          </cell>
          <cell r="I75" t="str">
            <v>PCS</v>
          </cell>
          <cell r="J75">
            <v>5</v>
          </cell>
          <cell r="K75">
            <v>3</v>
          </cell>
          <cell r="L75">
            <v>3</v>
          </cell>
          <cell r="M75">
            <v>14</v>
          </cell>
          <cell r="N75">
            <v>25</v>
          </cell>
          <cell r="O75">
            <v>50</v>
          </cell>
          <cell r="P75">
            <v>2</v>
          </cell>
          <cell r="Q75">
            <v>0</v>
          </cell>
          <cell r="R75">
            <v>4</v>
          </cell>
          <cell r="S75">
            <v>0</v>
          </cell>
          <cell r="T75">
            <v>6</v>
          </cell>
          <cell r="U75">
            <v>0</v>
          </cell>
          <cell r="V75">
            <v>2.8284271247461903</v>
          </cell>
          <cell r="W75">
            <v>1.6666666666666667</v>
          </cell>
          <cell r="X75">
            <v>50</v>
          </cell>
          <cell r="Y75">
            <v>4.3333333333333339</v>
          </cell>
          <cell r="Z75">
            <v>12.319599521773434</v>
          </cell>
          <cell r="AA75">
            <v>15.652932855106767</v>
          </cell>
          <cell r="AB75">
            <v>16.652932855106769</v>
          </cell>
        </row>
        <row r="76">
          <cell r="C76" t="str">
            <v>STICKER PTK181 STICKER NO 112 MERK GOLDEN COCK</v>
          </cell>
          <cell r="D76">
            <v>1</v>
          </cell>
          <cell r="E76">
            <v>0</v>
          </cell>
          <cell r="F76">
            <v>0</v>
          </cell>
          <cell r="H76" t="str">
            <v>GA</v>
          </cell>
          <cell r="I76" t="str">
            <v>PAK</v>
          </cell>
          <cell r="J76">
            <v>5</v>
          </cell>
          <cell r="K76">
            <v>3</v>
          </cell>
          <cell r="L76">
            <v>3</v>
          </cell>
          <cell r="M76">
            <v>14</v>
          </cell>
          <cell r="N76">
            <v>25</v>
          </cell>
          <cell r="O76">
            <v>50</v>
          </cell>
          <cell r="P76">
            <v>2</v>
          </cell>
          <cell r="Q76">
            <v>0</v>
          </cell>
          <cell r="R76">
            <v>2</v>
          </cell>
          <cell r="S76">
            <v>0</v>
          </cell>
          <cell r="T76">
            <v>0</v>
          </cell>
          <cell r="U76">
            <v>4</v>
          </cell>
          <cell r="V76">
            <v>1.7888543819998317</v>
          </cell>
          <cell r="W76">
            <v>1.6666666666666667</v>
          </cell>
          <cell r="X76">
            <v>50</v>
          </cell>
          <cell r="Y76">
            <v>3</v>
          </cell>
          <cell r="Z76">
            <v>8.1591433379513596</v>
          </cell>
          <cell r="AA76">
            <v>10.15914333795136</v>
          </cell>
          <cell r="AB76">
            <v>11.15914333795136</v>
          </cell>
        </row>
        <row r="77">
          <cell r="C77" t="str">
            <v>STICKER PTK174 STICKER STO PRODUKSI</v>
          </cell>
          <cell r="D77">
            <v>6</v>
          </cell>
          <cell r="E77">
            <v>1</v>
          </cell>
          <cell r="F77">
            <v>5</v>
          </cell>
          <cell r="H77" t="str">
            <v>GA</v>
          </cell>
          <cell r="I77" t="str">
            <v>PCS</v>
          </cell>
          <cell r="J77">
            <v>5</v>
          </cell>
          <cell r="K77">
            <v>3</v>
          </cell>
          <cell r="L77">
            <v>3</v>
          </cell>
          <cell r="M77">
            <v>14</v>
          </cell>
          <cell r="N77">
            <v>25</v>
          </cell>
          <cell r="O77">
            <v>50</v>
          </cell>
          <cell r="P77">
            <v>2</v>
          </cell>
          <cell r="Q77">
            <v>63568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28428.473838741327</v>
          </cell>
          <cell r="W77">
            <v>1.6666666666666667</v>
          </cell>
          <cell r="X77">
            <v>50</v>
          </cell>
          <cell r="Y77">
            <v>21190.333333333336</v>
          </cell>
          <cell r="Z77">
            <v>113774.10592672302</v>
          </cell>
          <cell r="AA77">
            <v>134963.43926005636</v>
          </cell>
          <cell r="AB77">
            <v>134964.43926005636</v>
          </cell>
        </row>
        <row r="78">
          <cell r="C78" t="str">
            <v>STRECTH FILM PCG048 STRECTH FILM SIZE 17MIC X 150M X 500MM</v>
          </cell>
          <cell r="D78">
            <v>8</v>
          </cell>
          <cell r="E78">
            <v>1</v>
          </cell>
          <cell r="F78">
            <v>7</v>
          </cell>
          <cell r="H78" t="str">
            <v>GA</v>
          </cell>
          <cell r="I78" t="str">
            <v>ROL</v>
          </cell>
          <cell r="J78">
            <v>5</v>
          </cell>
          <cell r="K78">
            <v>3</v>
          </cell>
          <cell r="L78">
            <v>3</v>
          </cell>
          <cell r="M78">
            <v>14</v>
          </cell>
          <cell r="N78">
            <v>25</v>
          </cell>
          <cell r="O78">
            <v>50</v>
          </cell>
          <cell r="P78">
            <v>2</v>
          </cell>
          <cell r="Q78">
            <v>30</v>
          </cell>
          <cell r="R78">
            <v>30</v>
          </cell>
          <cell r="S78">
            <v>0</v>
          </cell>
          <cell r="T78">
            <v>0</v>
          </cell>
          <cell r="U78">
            <v>0</v>
          </cell>
          <cell r="V78">
            <v>16.431676725154983</v>
          </cell>
          <cell r="W78">
            <v>1.6666666666666667</v>
          </cell>
          <cell r="X78">
            <v>50</v>
          </cell>
          <cell r="Y78">
            <v>21</v>
          </cell>
          <cell r="Z78">
            <v>66.760930650348911</v>
          </cell>
          <cell r="AA78">
            <v>86.760930650348911</v>
          </cell>
          <cell r="AB78">
            <v>87.760930650348911</v>
          </cell>
        </row>
        <row r="79">
          <cell r="C79" t="str">
            <v>TANG TANG002 TANG KOMBINASI MP-115</v>
          </cell>
          <cell r="D79">
            <v>5</v>
          </cell>
          <cell r="E79">
            <v>1</v>
          </cell>
          <cell r="F79">
            <v>4</v>
          </cell>
          <cell r="H79" t="str">
            <v>MTP</v>
          </cell>
          <cell r="I79" t="str">
            <v>PCE</v>
          </cell>
          <cell r="J79">
            <v>5</v>
          </cell>
          <cell r="K79">
            <v>3</v>
          </cell>
          <cell r="L79">
            <v>3</v>
          </cell>
          <cell r="M79">
            <v>21</v>
          </cell>
          <cell r="N79">
            <v>32</v>
          </cell>
          <cell r="O79">
            <v>64</v>
          </cell>
          <cell r="P79">
            <v>2</v>
          </cell>
          <cell r="Q79">
            <v>0</v>
          </cell>
          <cell r="R79">
            <v>1</v>
          </cell>
          <cell r="S79">
            <v>0</v>
          </cell>
          <cell r="T79">
            <v>0</v>
          </cell>
          <cell r="U79">
            <v>0</v>
          </cell>
          <cell r="V79">
            <v>0.44721359549995793</v>
          </cell>
          <cell r="W79">
            <v>2.1333333333333333</v>
          </cell>
          <cell r="X79">
            <v>64</v>
          </cell>
          <cell r="Y79">
            <v>1.4266666666666667</v>
          </cell>
          <cell r="Z79">
            <v>3.0249115207007606</v>
          </cell>
          <cell r="AA79">
            <v>3.4515781873674274</v>
          </cell>
          <cell r="AB79">
            <v>4.4515781873674278</v>
          </cell>
        </row>
        <row r="80">
          <cell r="C80" t="str">
            <v>TANG TANG003 TANG POTONG 6 INCH SELLERY 88-566</v>
          </cell>
          <cell r="D80">
            <v>4</v>
          </cell>
          <cell r="E80">
            <v>0</v>
          </cell>
          <cell r="F80">
            <v>0</v>
          </cell>
          <cell r="H80" t="str">
            <v>MTP</v>
          </cell>
          <cell r="I80" t="str">
            <v>PCE</v>
          </cell>
          <cell r="J80">
            <v>5</v>
          </cell>
          <cell r="K80">
            <v>3</v>
          </cell>
          <cell r="L80">
            <v>3</v>
          </cell>
          <cell r="M80">
            <v>21</v>
          </cell>
          <cell r="N80">
            <v>32</v>
          </cell>
          <cell r="O80">
            <v>64</v>
          </cell>
          <cell r="P80">
            <v>2</v>
          </cell>
          <cell r="Q80">
            <v>0</v>
          </cell>
          <cell r="R80">
            <v>0</v>
          </cell>
          <cell r="S80">
            <v>10</v>
          </cell>
          <cell r="T80">
            <v>0</v>
          </cell>
          <cell r="U80">
            <v>10</v>
          </cell>
          <cell r="V80">
            <v>5.4772255750516612</v>
          </cell>
          <cell r="W80">
            <v>2.1333333333333333</v>
          </cell>
          <cell r="X80">
            <v>64</v>
          </cell>
          <cell r="Y80">
            <v>9.5333333333333332</v>
          </cell>
          <cell r="Z80">
            <v>25.8</v>
          </cell>
          <cell r="AA80">
            <v>34.333333333333336</v>
          </cell>
          <cell r="AB80">
            <v>35.333333333333336</v>
          </cell>
        </row>
        <row r="81">
          <cell r="C81" t="str">
            <v>TANG TANG006 TANG TARIK SELLERY 88-304</v>
          </cell>
          <cell r="D81">
            <v>42</v>
          </cell>
          <cell r="E81">
            <v>6</v>
          </cell>
          <cell r="F81">
            <v>36</v>
          </cell>
          <cell r="H81" t="str">
            <v>MTP</v>
          </cell>
          <cell r="I81" t="str">
            <v>PCE</v>
          </cell>
          <cell r="J81">
            <v>5</v>
          </cell>
          <cell r="K81">
            <v>3</v>
          </cell>
          <cell r="L81">
            <v>3</v>
          </cell>
          <cell r="M81">
            <v>21</v>
          </cell>
          <cell r="N81">
            <v>32</v>
          </cell>
          <cell r="O81">
            <v>64</v>
          </cell>
          <cell r="P81">
            <v>2</v>
          </cell>
          <cell r="Q81">
            <v>2</v>
          </cell>
          <cell r="R81">
            <v>0</v>
          </cell>
          <cell r="S81">
            <v>0</v>
          </cell>
          <cell r="T81">
            <v>2</v>
          </cell>
          <cell r="U81">
            <v>0</v>
          </cell>
          <cell r="V81">
            <v>1.0954451150103321</v>
          </cell>
          <cell r="W81">
            <v>2.1333333333333333</v>
          </cell>
          <cell r="X81">
            <v>64</v>
          </cell>
          <cell r="Y81">
            <v>2.706666666666667</v>
          </cell>
          <cell r="Z81">
            <v>5.9599999999999991</v>
          </cell>
          <cell r="AA81">
            <v>7.6666666666666661</v>
          </cell>
          <cell r="AB81">
            <v>8.6666666666666661</v>
          </cell>
        </row>
        <row r="82">
          <cell r="C82" t="str">
            <v>TOPLES TOPLES002 TOPLES 102 PRAXIS KEEPER</v>
          </cell>
          <cell r="D82">
            <v>0</v>
          </cell>
          <cell r="E82">
            <v>0</v>
          </cell>
          <cell r="F82">
            <v>0</v>
          </cell>
          <cell r="H82" t="str">
            <v>MTP</v>
          </cell>
          <cell r="I82" t="str">
            <v>PCE</v>
          </cell>
          <cell r="J82">
            <v>5</v>
          </cell>
          <cell r="K82">
            <v>3</v>
          </cell>
          <cell r="L82">
            <v>3</v>
          </cell>
          <cell r="M82">
            <v>21</v>
          </cell>
          <cell r="N82">
            <v>32</v>
          </cell>
          <cell r="O82">
            <v>64</v>
          </cell>
          <cell r="P82">
            <v>2</v>
          </cell>
          <cell r="Q82">
            <v>0</v>
          </cell>
          <cell r="R82">
            <v>0</v>
          </cell>
          <cell r="S82">
            <v>2</v>
          </cell>
          <cell r="T82">
            <v>0</v>
          </cell>
          <cell r="U82">
            <v>0</v>
          </cell>
          <cell r="V82">
            <v>0.89442719099991586</v>
          </cell>
          <cell r="W82">
            <v>2.1333333333333333</v>
          </cell>
          <cell r="X82">
            <v>64</v>
          </cell>
          <cell r="Y82">
            <v>1.8533333333333335</v>
          </cell>
          <cell r="Z82">
            <v>5.0498230414015213</v>
          </cell>
          <cell r="AA82">
            <v>5.9031563747348548</v>
          </cell>
          <cell r="AB82">
            <v>6.9031563747348548</v>
          </cell>
        </row>
        <row r="83">
          <cell r="C83" t="str">
            <v>TOPLES TOPLES003 TOPLES NAGATA 991</v>
          </cell>
          <cell r="D83">
            <v>24</v>
          </cell>
          <cell r="E83">
            <v>0</v>
          </cell>
          <cell r="F83">
            <v>0</v>
          </cell>
          <cell r="H83" t="str">
            <v>MTP</v>
          </cell>
          <cell r="I83" t="str">
            <v>PCE</v>
          </cell>
          <cell r="J83">
            <v>5</v>
          </cell>
          <cell r="K83">
            <v>3</v>
          </cell>
          <cell r="L83">
            <v>3</v>
          </cell>
          <cell r="M83">
            <v>21</v>
          </cell>
          <cell r="N83">
            <v>32</v>
          </cell>
          <cell r="O83">
            <v>64</v>
          </cell>
          <cell r="P83">
            <v>2</v>
          </cell>
          <cell r="Q83">
            <v>0</v>
          </cell>
          <cell r="R83">
            <v>0</v>
          </cell>
          <cell r="S83">
            <v>2</v>
          </cell>
          <cell r="T83">
            <v>0</v>
          </cell>
          <cell r="U83">
            <v>0</v>
          </cell>
          <cell r="V83">
            <v>0.89442719099991586</v>
          </cell>
          <cell r="W83">
            <v>2.1333333333333333</v>
          </cell>
          <cell r="X83">
            <v>64</v>
          </cell>
          <cell r="Y83">
            <v>1.8533333333333335</v>
          </cell>
          <cell r="Z83">
            <v>5.0498230414015213</v>
          </cell>
          <cell r="AA83">
            <v>5.9031563747348548</v>
          </cell>
          <cell r="AB83">
            <v>6.9031563747348548</v>
          </cell>
        </row>
        <row r="84">
          <cell r="C84" t="str">
            <v>TOPLES TOPLES004 TOPLES PUTIH LIONSTAR 14.5X10X5CM</v>
          </cell>
          <cell r="D84">
            <v>94</v>
          </cell>
          <cell r="E84">
            <v>0</v>
          </cell>
          <cell r="F84">
            <v>0</v>
          </cell>
          <cell r="H84" t="str">
            <v>MTP</v>
          </cell>
          <cell r="I84" t="str">
            <v>PCE</v>
          </cell>
          <cell r="J84">
            <v>5</v>
          </cell>
          <cell r="K84">
            <v>3</v>
          </cell>
          <cell r="L84">
            <v>3</v>
          </cell>
          <cell r="M84">
            <v>21</v>
          </cell>
          <cell r="N84">
            <v>32</v>
          </cell>
          <cell r="O84">
            <v>64</v>
          </cell>
          <cell r="P84">
            <v>2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2.1333333333333333</v>
          </cell>
          <cell r="X84">
            <v>64</v>
          </cell>
          <cell r="Y84">
            <v>1</v>
          </cell>
          <cell r="Z84">
            <v>1</v>
          </cell>
          <cell r="AA84">
            <v>1</v>
          </cell>
          <cell r="AB84">
            <v>2</v>
          </cell>
        </row>
        <row r="85">
          <cell r="C85" t="str">
            <v>MASKER CSB038 MASKER 3303K - 100 ORG/VAPOR CARTRIDGE 60 EA</v>
          </cell>
          <cell r="D85">
            <v>20</v>
          </cell>
          <cell r="E85">
            <v>0</v>
          </cell>
          <cell r="F85">
            <v>0</v>
          </cell>
          <cell r="H85" t="str">
            <v>GA</v>
          </cell>
          <cell r="I85" t="str">
            <v>PCS</v>
          </cell>
          <cell r="J85">
            <v>5</v>
          </cell>
          <cell r="K85">
            <v>3</v>
          </cell>
          <cell r="L85">
            <v>3</v>
          </cell>
          <cell r="M85">
            <v>14</v>
          </cell>
          <cell r="N85">
            <v>25</v>
          </cell>
          <cell r="O85">
            <v>50</v>
          </cell>
          <cell r="P85">
            <v>2</v>
          </cell>
          <cell r="Q85">
            <v>0</v>
          </cell>
          <cell r="R85">
            <v>0</v>
          </cell>
          <cell r="S85">
            <v>4</v>
          </cell>
          <cell r="T85">
            <v>0</v>
          </cell>
          <cell r="U85">
            <v>0</v>
          </cell>
          <cell r="V85">
            <v>1.7888543819998317</v>
          </cell>
          <cell r="W85">
            <v>1.6666666666666667</v>
          </cell>
          <cell r="X85">
            <v>50</v>
          </cell>
          <cell r="Y85">
            <v>2.3333333333333335</v>
          </cell>
          <cell r="Z85">
            <v>8.1591433379513596</v>
          </cell>
          <cell r="AA85">
            <v>9.4924766712846935</v>
          </cell>
          <cell r="AB85">
            <v>10.492476671284694</v>
          </cell>
        </row>
        <row r="86">
          <cell r="C86" t="str">
            <v>TSUKANDA WSZ00225 TSUKANDA 1SET=100PC</v>
          </cell>
          <cell r="D86">
            <v>1</v>
          </cell>
          <cell r="E86">
            <v>0</v>
          </cell>
          <cell r="F86">
            <v>1</v>
          </cell>
          <cell r="H86" t="str">
            <v>MTP</v>
          </cell>
          <cell r="I86" t="str">
            <v>SET</v>
          </cell>
          <cell r="J86">
            <v>5</v>
          </cell>
          <cell r="K86">
            <v>3</v>
          </cell>
          <cell r="L86">
            <v>3</v>
          </cell>
          <cell r="M86">
            <v>21</v>
          </cell>
          <cell r="N86">
            <v>32</v>
          </cell>
          <cell r="O86">
            <v>96</v>
          </cell>
          <cell r="P86">
            <v>3</v>
          </cell>
          <cell r="Q86">
            <v>0</v>
          </cell>
          <cell r="R86">
            <v>0</v>
          </cell>
          <cell r="S86">
            <v>0</v>
          </cell>
          <cell r="T86">
            <v>10</v>
          </cell>
          <cell r="U86">
            <v>0</v>
          </cell>
          <cell r="V86">
            <v>4.4721359549995796</v>
          </cell>
          <cell r="W86">
            <v>3.2</v>
          </cell>
          <cell r="X86">
            <v>96</v>
          </cell>
          <cell r="Y86">
            <v>7.4</v>
          </cell>
          <cell r="Z86">
            <v>25.8</v>
          </cell>
          <cell r="AA86">
            <v>32.200000000000003</v>
          </cell>
          <cell r="AB86">
            <v>33.200000000000003</v>
          </cell>
        </row>
        <row r="87">
          <cell r="C87" t="str">
            <v>KOTAK ENGSEL TOPLES005 KOTAK ENGSEL HAWAII 8050</v>
          </cell>
          <cell r="D87">
            <v>6</v>
          </cell>
          <cell r="E87">
            <v>3</v>
          </cell>
          <cell r="F87">
            <v>3</v>
          </cell>
          <cell r="H87" t="str">
            <v>MTP</v>
          </cell>
          <cell r="I87" t="str">
            <v>PCE</v>
          </cell>
          <cell r="J87">
            <v>5</v>
          </cell>
          <cell r="K87">
            <v>3</v>
          </cell>
          <cell r="L87">
            <v>3</v>
          </cell>
          <cell r="M87">
            <v>21</v>
          </cell>
          <cell r="N87">
            <v>32</v>
          </cell>
          <cell r="O87">
            <v>64</v>
          </cell>
          <cell r="P87">
            <v>2</v>
          </cell>
          <cell r="Q87">
            <v>0</v>
          </cell>
          <cell r="R87">
            <v>0</v>
          </cell>
          <cell r="S87">
            <v>0</v>
          </cell>
          <cell r="T87">
            <v>4</v>
          </cell>
          <cell r="U87">
            <v>0</v>
          </cell>
          <cell r="V87">
            <v>1.7888543819998317</v>
          </cell>
          <cell r="W87">
            <v>2.1333333333333333</v>
          </cell>
          <cell r="X87">
            <v>64</v>
          </cell>
          <cell r="Y87">
            <v>2.706666666666667</v>
          </cell>
          <cell r="Z87">
            <v>9.0996460828030425</v>
          </cell>
          <cell r="AA87">
            <v>10.80631274946971</v>
          </cell>
          <cell r="AB87">
            <v>11.80631274946971</v>
          </cell>
        </row>
        <row r="88">
          <cell r="C88" t="str">
            <v>WIRE STRIPPER STRIPPER001 WIRE STRIPPER SELLERY 88-990</v>
          </cell>
          <cell r="D88">
            <v>1</v>
          </cell>
          <cell r="E88">
            <v>0</v>
          </cell>
          <cell r="F88">
            <v>1</v>
          </cell>
          <cell r="H88" t="str">
            <v>MTP</v>
          </cell>
          <cell r="I88" t="str">
            <v>PCE</v>
          </cell>
          <cell r="J88">
            <v>5</v>
          </cell>
          <cell r="K88">
            <v>3</v>
          </cell>
          <cell r="L88">
            <v>3</v>
          </cell>
          <cell r="M88">
            <v>21</v>
          </cell>
          <cell r="N88">
            <v>32</v>
          </cell>
          <cell r="O88">
            <v>64</v>
          </cell>
          <cell r="P88">
            <v>2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2.1333333333333333</v>
          </cell>
          <cell r="X88">
            <v>64</v>
          </cell>
          <cell r="Y88">
            <v>1</v>
          </cell>
          <cell r="Z88">
            <v>1</v>
          </cell>
          <cell r="AA88">
            <v>1</v>
          </cell>
          <cell r="AB88">
            <v>2</v>
          </cell>
        </row>
        <row r="89">
          <cell r="C89" t="str">
            <v>WIRE CUTTER DIT00079 WIRE CUTTER SX10</v>
          </cell>
          <cell r="D89">
            <v>9</v>
          </cell>
          <cell r="E89">
            <v>2</v>
          </cell>
          <cell r="F89">
            <v>-2</v>
          </cell>
          <cell r="H89" t="str">
            <v>MTP</v>
          </cell>
          <cell r="I89" t="str">
            <v>PCE</v>
          </cell>
          <cell r="J89">
            <v>5</v>
          </cell>
          <cell r="K89">
            <v>3</v>
          </cell>
          <cell r="L89">
            <v>3</v>
          </cell>
          <cell r="M89">
            <v>21</v>
          </cell>
          <cell r="N89">
            <v>32</v>
          </cell>
          <cell r="O89">
            <v>96</v>
          </cell>
          <cell r="P89">
            <v>3</v>
          </cell>
          <cell r="Q89">
            <v>0</v>
          </cell>
          <cell r="R89">
            <v>1</v>
          </cell>
          <cell r="S89">
            <v>0</v>
          </cell>
          <cell r="T89">
            <v>0</v>
          </cell>
          <cell r="U89">
            <v>0</v>
          </cell>
          <cell r="V89">
            <v>0.44721359549995793</v>
          </cell>
          <cell r="W89">
            <v>3.2</v>
          </cell>
          <cell r="X89">
            <v>96</v>
          </cell>
          <cell r="Y89">
            <v>1.6400000000000001</v>
          </cell>
          <cell r="Z89">
            <v>3.48</v>
          </cell>
          <cell r="AA89">
            <v>4.12</v>
          </cell>
          <cell r="AB89">
            <v>5.12</v>
          </cell>
        </row>
        <row r="90">
          <cell r="C90" t="str">
            <v>CUP CUP001 CUP OVAL SILICON MOQ : 10PCS</v>
          </cell>
          <cell r="D90">
            <v>48</v>
          </cell>
          <cell r="E90">
            <v>0</v>
          </cell>
          <cell r="F90">
            <v>0</v>
          </cell>
          <cell r="H90" t="str">
            <v>MTP</v>
          </cell>
          <cell r="I90" t="str">
            <v>SET</v>
          </cell>
          <cell r="J90">
            <v>5</v>
          </cell>
          <cell r="K90">
            <v>3</v>
          </cell>
          <cell r="L90">
            <v>3</v>
          </cell>
          <cell r="M90">
            <v>21</v>
          </cell>
          <cell r="N90">
            <v>32</v>
          </cell>
          <cell r="O90">
            <v>96</v>
          </cell>
          <cell r="P90">
            <v>3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3.2</v>
          </cell>
          <cell r="X90">
            <v>96</v>
          </cell>
          <cell r="Y90">
            <v>1</v>
          </cell>
          <cell r="Z90">
            <v>1</v>
          </cell>
          <cell r="AA90">
            <v>1</v>
          </cell>
          <cell r="AB90">
            <v>2</v>
          </cell>
        </row>
        <row r="91">
          <cell r="C91" t="str">
            <v>SEPATU SFT053 KING TYPE KWD807X</v>
          </cell>
          <cell r="D91">
            <v>10</v>
          </cell>
          <cell r="E91">
            <v>0</v>
          </cell>
          <cell r="F91">
            <v>0</v>
          </cell>
          <cell r="H91" t="str">
            <v>GA</v>
          </cell>
          <cell r="I91" t="str">
            <v>PASANG</v>
          </cell>
          <cell r="J91">
            <v>5</v>
          </cell>
          <cell r="K91">
            <v>3</v>
          </cell>
          <cell r="L91">
            <v>3</v>
          </cell>
          <cell r="M91">
            <v>14</v>
          </cell>
          <cell r="N91">
            <v>25</v>
          </cell>
          <cell r="O91">
            <v>300</v>
          </cell>
          <cell r="P91">
            <v>12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10</v>
          </cell>
          <cell r="X91">
            <v>300</v>
          </cell>
          <cell r="Y91">
            <v>1</v>
          </cell>
          <cell r="Z91">
            <v>1</v>
          </cell>
          <cell r="AA91">
            <v>1</v>
          </cell>
          <cell r="AB91">
            <v>2</v>
          </cell>
        </row>
        <row r="92">
          <cell r="C92" t="str">
            <v>SPON SPN08 SPON SEPEDA</v>
          </cell>
          <cell r="D92">
            <v>161</v>
          </cell>
          <cell r="E92">
            <v>128</v>
          </cell>
          <cell r="F92">
            <v>33</v>
          </cell>
          <cell r="H92" t="str">
            <v>MTP</v>
          </cell>
          <cell r="I92" t="str">
            <v>SET</v>
          </cell>
          <cell r="J92">
            <v>5</v>
          </cell>
          <cell r="K92">
            <v>3</v>
          </cell>
          <cell r="L92">
            <v>3</v>
          </cell>
          <cell r="M92">
            <v>21</v>
          </cell>
          <cell r="N92">
            <v>32</v>
          </cell>
          <cell r="O92">
            <v>64</v>
          </cell>
          <cell r="P92">
            <v>2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10</v>
          </cell>
          <cell r="V92">
            <v>4.4721359549995796</v>
          </cell>
          <cell r="W92">
            <v>2.1333333333333333</v>
          </cell>
          <cell r="X92">
            <v>64</v>
          </cell>
          <cell r="Y92">
            <v>5.2666666666666666</v>
          </cell>
          <cell r="Z92">
            <v>21.249115207007605</v>
          </cell>
          <cell r="AA92">
            <v>25.515781873674271</v>
          </cell>
          <cell r="AB92">
            <v>26.515781873674271</v>
          </cell>
        </row>
        <row r="93">
          <cell r="C93" t="str">
            <v>BATERAI ATK026 BATERAI BATERE CR 2032</v>
          </cell>
          <cell r="D93">
            <v>64</v>
          </cell>
          <cell r="E93">
            <v>28</v>
          </cell>
          <cell r="F93">
            <v>36</v>
          </cell>
          <cell r="H93" t="str">
            <v>GA</v>
          </cell>
          <cell r="I93" t="str">
            <v>PCS</v>
          </cell>
          <cell r="J93">
            <v>5</v>
          </cell>
          <cell r="K93">
            <v>3</v>
          </cell>
          <cell r="L93">
            <v>3</v>
          </cell>
          <cell r="M93">
            <v>14</v>
          </cell>
          <cell r="N93">
            <v>25</v>
          </cell>
          <cell r="O93">
            <v>50</v>
          </cell>
          <cell r="P93">
            <v>2</v>
          </cell>
          <cell r="Q93">
            <v>8</v>
          </cell>
          <cell r="R93">
            <v>0</v>
          </cell>
          <cell r="S93">
            <v>8</v>
          </cell>
          <cell r="T93">
            <v>0</v>
          </cell>
          <cell r="U93">
            <v>8</v>
          </cell>
          <cell r="V93">
            <v>4.3817804600413286</v>
          </cell>
          <cell r="W93">
            <v>1.6666666666666667</v>
          </cell>
          <cell r="X93">
            <v>50</v>
          </cell>
          <cell r="Y93">
            <v>9</v>
          </cell>
          <cell r="Z93">
            <v>18.536248173426376</v>
          </cell>
          <cell r="AA93">
            <v>26.536248173426376</v>
          </cell>
          <cell r="AB93">
            <v>27.536248173426376</v>
          </cell>
        </row>
        <row r="94">
          <cell r="C94" t="str">
            <v>MIKA LAMINATING ATK079 MIKA LAMINATING A3</v>
          </cell>
          <cell r="D94">
            <v>301</v>
          </cell>
          <cell r="E94">
            <v>207</v>
          </cell>
          <cell r="F94">
            <v>94</v>
          </cell>
          <cell r="H94" t="str">
            <v>GA</v>
          </cell>
          <cell r="I94" t="str">
            <v>PAK</v>
          </cell>
          <cell r="J94">
            <v>5</v>
          </cell>
          <cell r="K94">
            <v>3</v>
          </cell>
          <cell r="L94">
            <v>3</v>
          </cell>
          <cell r="M94">
            <v>14</v>
          </cell>
          <cell r="N94">
            <v>25</v>
          </cell>
          <cell r="O94">
            <v>50</v>
          </cell>
          <cell r="P94">
            <v>2</v>
          </cell>
          <cell r="Q94">
            <v>1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0.44721359549995793</v>
          </cell>
          <cell r="W94">
            <v>1.6666666666666667</v>
          </cell>
          <cell r="X94">
            <v>50</v>
          </cell>
          <cell r="Y94">
            <v>1.3333333333333335</v>
          </cell>
          <cell r="Z94">
            <v>2.7897858344878399</v>
          </cell>
          <cell r="AA94">
            <v>3.1231191678211734</v>
          </cell>
          <cell r="AB94">
            <v>4.1231191678211729</v>
          </cell>
        </row>
        <row r="95">
          <cell r="C95" t="str">
            <v>LEM LEM002 LEM AICA AIBON</v>
          </cell>
          <cell r="D95">
            <v>78</v>
          </cell>
          <cell r="E95">
            <v>37</v>
          </cell>
          <cell r="F95">
            <v>41</v>
          </cell>
          <cell r="H95" t="str">
            <v>MTP</v>
          </cell>
          <cell r="I95" t="str">
            <v>PCE</v>
          </cell>
          <cell r="J95">
            <v>5</v>
          </cell>
          <cell r="K95">
            <v>3</v>
          </cell>
          <cell r="L95">
            <v>3</v>
          </cell>
          <cell r="M95">
            <v>21</v>
          </cell>
          <cell r="N95">
            <v>32</v>
          </cell>
          <cell r="O95">
            <v>64</v>
          </cell>
          <cell r="P95">
            <v>2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2.1333333333333333</v>
          </cell>
          <cell r="X95">
            <v>64</v>
          </cell>
          <cell r="Y95">
            <v>1</v>
          </cell>
          <cell r="Z95">
            <v>1</v>
          </cell>
          <cell r="AA95">
            <v>1</v>
          </cell>
          <cell r="AB95">
            <v>2</v>
          </cell>
        </row>
        <row r="96">
          <cell r="C96" t="str">
            <v>LEM LEM001 LEM FULLOC</v>
          </cell>
          <cell r="D96">
            <v>53</v>
          </cell>
          <cell r="E96">
            <v>17</v>
          </cell>
          <cell r="F96">
            <v>36</v>
          </cell>
          <cell r="H96" t="str">
            <v>MTP</v>
          </cell>
          <cell r="I96" t="str">
            <v>PCE</v>
          </cell>
          <cell r="J96">
            <v>5</v>
          </cell>
          <cell r="K96">
            <v>3</v>
          </cell>
          <cell r="L96">
            <v>3</v>
          </cell>
          <cell r="M96">
            <v>21</v>
          </cell>
          <cell r="N96">
            <v>32</v>
          </cell>
          <cell r="O96">
            <v>32</v>
          </cell>
          <cell r="P96">
            <v>1</v>
          </cell>
          <cell r="Q96">
            <v>5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2.2360679774997898</v>
          </cell>
          <cell r="W96">
            <v>1.0666666666666667</v>
          </cell>
          <cell r="X96">
            <v>32</v>
          </cell>
          <cell r="Y96">
            <v>2.0666666666666664</v>
          </cell>
          <cell r="Z96">
            <v>8.1591433379513596</v>
          </cell>
          <cell r="AA96">
            <v>9.225810004618026</v>
          </cell>
          <cell r="AB96">
            <v>10.225810004618026</v>
          </cell>
        </row>
        <row r="97">
          <cell r="C97" t="str">
            <v>BOTOL BOTOL002 BOTOL KECAP 400ML</v>
          </cell>
          <cell r="D97">
            <v>4</v>
          </cell>
          <cell r="E97">
            <v>1</v>
          </cell>
          <cell r="F97">
            <v>3</v>
          </cell>
          <cell r="H97" t="str">
            <v>MTP</v>
          </cell>
          <cell r="I97" t="str">
            <v>PCE</v>
          </cell>
          <cell r="J97">
            <v>5</v>
          </cell>
          <cell r="K97">
            <v>3</v>
          </cell>
          <cell r="L97">
            <v>3</v>
          </cell>
          <cell r="M97">
            <v>21</v>
          </cell>
          <cell r="N97">
            <v>32</v>
          </cell>
          <cell r="O97">
            <v>96</v>
          </cell>
          <cell r="P97">
            <v>3</v>
          </cell>
          <cell r="Q97">
            <v>0</v>
          </cell>
          <cell r="R97">
            <v>0</v>
          </cell>
          <cell r="S97">
            <v>0</v>
          </cell>
          <cell r="T97">
            <v>2</v>
          </cell>
          <cell r="U97">
            <v>0</v>
          </cell>
          <cell r="V97">
            <v>0.89442719099991586</v>
          </cell>
          <cell r="W97">
            <v>3.2</v>
          </cell>
          <cell r="X97">
            <v>96</v>
          </cell>
          <cell r="Y97">
            <v>2.2800000000000002</v>
          </cell>
          <cell r="Z97">
            <v>5.96</v>
          </cell>
          <cell r="AA97">
            <v>7.24</v>
          </cell>
          <cell r="AB97">
            <v>8.24</v>
          </cell>
        </row>
        <row r="98">
          <cell r="C98" t="str">
            <v>LAUNDRY CBH006 LAUNDRY JAS LABORAT</v>
          </cell>
          <cell r="D98">
            <v>8</v>
          </cell>
          <cell r="E98">
            <v>2</v>
          </cell>
          <cell r="F98">
            <v>6</v>
          </cell>
          <cell r="H98" t="str">
            <v>GA</v>
          </cell>
          <cell r="I98" t="str">
            <v>PCS</v>
          </cell>
          <cell r="J98">
            <v>5</v>
          </cell>
          <cell r="K98">
            <v>3</v>
          </cell>
          <cell r="L98">
            <v>3</v>
          </cell>
          <cell r="M98">
            <v>14</v>
          </cell>
          <cell r="N98">
            <v>25</v>
          </cell>
          <cell r="O98">
            <v>25</v>
          </cell>
          <cell r="P98">
            <v>1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0.83333333333333337</v>
          </cell>
          <cell r="X98">
            <v>25</v>
          </cell>
          <cell r="Y98">
            <v>1</v>
          </cell>
          <cell r="Z98">
            <v>1</v>
          </cell>
          <cell r="AA98">
            <v>1</v>
          </cell>
          <cell r="AB98">
            <v>2</v>
          </cell>
        </row>
        <row r="99">
          <cell r="C99" t="str">
            <v>LAUNDRY CBH010 LAUNDRY KAIN MICROFIBER BESAR</v>
          </cell>
          <cell r="D99">
            <v>15</v>
          </cell>
          <cell r="E99">
            <v>0</v>
          </cell>
          <cell r="F99">
            <v>0</v>
          </cell>
          <cell r="H99" t="str">
            <v>GA</v>
          </cell>
          <cell r="I99" t="str">
            <v>PCS</v>
          </cell>
          <cell r="J99">
            <v>5</v>
          </cell>
          <cell r="K99">
            <v>3</v>
          </cell>
          <cell r="L99">
            <v>3</v>
          </cell>
          <cell r="M99">
            <v>14</v>
          </cell>
          <cell r="N99">
            <v>25</v>
          </cell>
          <cell r="O99">
            <v>25</v>
          </cell>
          <cell r="P99">
            <v>1</v>
          </cell>
          <cell r="Q99">
            <v>12</v>
          </cell>
          <cell r="R99">
            <v>0</v>
          </cell>
          <cell r="S99">
            <v>12</v>
          </cell>
          <cell r="T99">
            <v>12</v>
          </cell>
          <cell r="U99">
            <v>0</v>
          </cell>
          <cell r="V99">
            <v>6.5726706900619938</v>
          </cell>
          <cell r="W99">
            <v>0.83333333333333337</v>
          </cell>
          <cell r="X99">
            <v>25</v>
          </cell>
          <cell r="Y99">
            <v>7</v>
          </cell>
          <cell r="Z99">
            <v>19.600000000000001</v>
          </cell>
          <cell r="AA99">
            <v>25.6</v>
          </cell>
          <cell r="AB99">
            <v>26.6</v>
          </cell>
        </row>
        <row r="100">
          <cell r="C100" t="str">
            <v>LAUNDRY CBH015 LAUNDRY TOPI</v>
          </cell>
          <cell r="D100">
            <v>4</v>
          </cell>
          <cell r="E100">
            <v>0</v>
          </cell>
          <cell r="F100">
            <v>0</v>
          </cell>
          <cell r="H100" t="str">
            <v>GA</v>
          </cell>
          <cell r="I100" t="str">
            <v>PCS</v>
          </cell>
          <cell r="J100">
            <v>5</v>
          </cell>
          <cell r="K100">
            <v>3</v>
          </cell>
          <cell r="L100">
            <v>3</v>
          </cell>
          <cell r="M100">
            <v>14</v>
          </cell>
          <cell r="N100">
            <v>25</v>
          </cell>
          <cell r="O100">
            <v>25</v>
          </cell>
          <cell r="P100">
            <v>1</v>
          </cell>
          <cell r="Q100">
            <v>5</v>
          </cell>
          <cell r="R100">
            <v>0</v>
          </cell>
          <cell r="S100">
            <v>5</v>
          </cell>
          <cell r="T100">
            <v>5</v>
          </cell>
          <cell r="U100">
            <v>0</v>
          </cell>
          <cell r="V100">
            <v>2.7386127875258306</v>
          </cell>
          <cell r="W100">
            <v>0.83333333333333337</v>
          </cell>
          <cell r="X100">
            <v>25</v>
          </cell>
          <cell r="Y100">
            <v>3.5</v>
          </cell>
          <cell r="Z100">
            <v>8.75</v>
          </cell>
          <cell r="AA100">
            <v>11.25</v>
          </cell>
          <cell r="AB100">
            <v>12.25</v>
          </cell>
        </row>
        <row r="101">
          <cell r="C101" t="str">
            <v>BATERAI CSB045 BATERAI A2 ABC ALKALINE (1 SET= 6 PCS)</v>
          </cell>
          <cell r="D101">
            <v>16</v>
          </cell>
          <cell r="E101">
            <v>0</v>
          </cell>
          <cell r="F101">
            <v>0</v>
          </cell>
          <cell r="H101" t="str">
            <v>GA</v>
          </cell>
          <cell r="I101" t="str">
            <v>PAK</v>
          </cell>
          <cell r="J101">
            <v>5</v>
          </cell>
          <cell r="K101">
            <v>3</v>
          </cell>
          <cell r="L101">
            <v>3</v>
          </cell>
          <cell r="M101">
            <v>14</v>
          </cell>
          <cell r="N101">
            <v>25</v>
          </cell>
          <cell r="O101">
            <v>150</v>
          </cell>
          <cell r="P101">
            <v>6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5</v>
          </cell>
          <cell r="X101">
            <v>150</v>
          </cell>
          <cell r="Y101">
            <v>1</v>
          </cell>
          <cell r="Z101">
            <v>1</v>
          </cell>
          <cell r="AA101">
            <v>1</v>
          </cell>
          <cell r="AB101">
            <v>2</v>
          </cell>
        </row>
        <row r="102">
          <cell r="C102" t="str">
            <v>MATA SCREW MATASCREW01 MATA SCREW (PLUS) 2 X 110 PH1</v>
          </cell>
          <cell r="D102">
            <v>16</v>
          </cell>
          <cell r="E102">
            <v>0</v>
          </cell>
          <cell r="F102">
            <v>0</v>
          </cell>
          <cell r="H102" t="str">
            <v>MTP</v>
          </cell>
          <cell r="I102" t="str">
            <v>PCE</v>
          </cell>
          <cell r="J102">
            <v>5</v>
          </cell>
          <cell r="K102">
            <v>3</v>
          </cell>
          <cell r="L102">
            <v>3</v>
          </cell>
          <cell r="M102">
            <v>21</v>
          </cell>
          <cell r="N102">
            <v>32</v>
          </cell>
          <cell r="O102">
            <v>96</v>
          </cell>
          <cell r="P102">
            <v>3</v>
          </cell>
          <cell r="Q102">
            <v>0</v>
          </cell>
          <cell r="R102">
            <v>0</v>
          </cell>
          <cell r="S102">
            <v>0</v>
          </cell>
          <cell r="T102">
            <v>3</v>
          </cell>
          <cell r="U102">
            <v>0</v>
          </cell>
          <cell r="V102">
            <v>1.3416407864998738</v>
          </cell>
          <cell r="W102">
            <v>3.2</v>
          </cell>
          <cell r="X102">
            <v>96</v>
          </cell>
          <cell r="Y102">
            <v>2.92</v>
          </cell>
          <cell r="Z102">
            <v>8.4400000000000013</v>
          </cell>
          <cell r="AA102">
            <v>10.360000000000001</v>
          </cell>
          <cell r="AB102">
            <v>11.360000000000001</v>
          </cell>
        </row>
        <row r="103">
          <cell r="C103" t="str">
            <v>MATA SCREW MATASCREW02 MATA SCREW (PLUS) 2 X 110 PH2</v>
          </cell>
          <cell r="D103">
            <v>2</v>
          </cell>
          <cell r="E103">
            <v>1</v>
          </cell>
          <cell r="F103">
            <v>1</v>
          </cell>
          <cell r="H103" t="str">
            <v>MTP</v>
          </cell>
          <cell r="I103" t="str">
            <v>PCE</v>
          </cell>
          <cell r="J103">
            <v>5</v>
          </cell>
          <cell r="K103">
            <v>3</v>
          </cell>
          <cell r="L103">
            <v>3</v>
          </cell>
          <cell r="M103">
            <v>21</v>
          </cell>
          <cell r="N103">
            <v>32</v>
          </cell>
          <cell r="O103">
            <v>96</v>
          </cell>
          <cell r="P103">
            <v>3</v>
          </cell>
          <cell r="Q103">
            <v>0</v>
          </cell>
          <cell r="R103">
            <v>0</v>
          </cell>
          <cell r="S103">
            <v>0</v>
          </cell>
          <cell r="T103">
            <v>3</v>
          </cell>
          <cell r="U103">
            <v>0</v>
          </cell>
          <cell r="V103">
            <v>1.3416407864998738</v>
          </cell>
          <cell r="W103">
            <v>3.2</v>
          </cell>
          <cell r="X103">
            <v>96</v>
          </cell>
          <cell r="Y103">
            <v>2.92</v>
          </cell>
          <cell r="Z103">
            <v>8.4400000000000013</v>
          </cell>
          <cell r="AA103">
            <v>10.360000000000001</v>
          </cell>
          <cell r="AB103">
            <v>11.360000000000001</v>
          </cell>
        </row>
        <row r="104">
          <cell r="C104" t="str">
            <v>MATA BOR MATABOR005 MATA BOR BESI NACHI 1.8MM</v>
          </cell>
          <cell r="D104">
            <v>1</v>
          </cell>
          <cell r="E104">
            <v>1</v>
          </cell>
          <cell r="F104">
            <v>0</v>
          </cell>
          <cell r="H104" t="str">
            <v>MTP</v>
          </cell>
          <cell r="I104" t="str">
            <v>PCE</v>
          </cell>
          <cell r="J104">
            <v>5</v>
          </cell>
          <cell r="K104">
            <v>3</v>
          </cell>
          <cell r="L104">
            <v>3</v>
          </cell>
          <cell r="M104">
            <v>21</v>
          </cell>
          <cell r="N104">
            <v>32</v>
          </cell>
          <cell r="O104">
            <v>96</v>
          </cell>
          <cell r="P104">
            <v>3</v>
          </cell>
          <cell r="Q104">
            <v>0</v>
          </cell>
          <cell r="R104">
            <v>2</v>
          </cell>
          <cell r="S104">
            <v>0</v>
          </cell>
          <cell r="T104">
            <v>0</v>
          </cell>
          <cell r="U104">
            <v>0</v>
          </cell>
          <cell r="V104">
            <v>0.89442719099991586</v>
          </cell>
          <cell r="W104">
            <v>3.2</v>
          </cell>
          <cell r="X104">
            <v>96</v>
          </cell>
          <cell r="Y104">
            <v>2.2800000000000002</v>
          </cell>
          <cell r="Z104">
            <v>5.96</v>
          </cell>
          <cell r="AA104">
            <v>7.24</v>
          </cell>
          <cell r="AB104">
            <v>8.24</v>
          </cell>
        </row>
        <row r="105">
          <cell r="C105" t="str">
            <v>AMPLAS AMPLAS06 TATAKAN AMPLAS FALCRO</v>
          </cell>
          <cell r="D105">
            <v>1</v>
          </cell>
          <cell r="E105">
            <v>1</v>
          </cell>
          <cell r="F105">
            <v>0</v>
          </cell>
          <cell r="H105" t="str">
            <v>MTP</v>
          </cell>
          <cell r="I105" t="str">
            <v>PCE</v>
          </cell>
          <cell r="J105">
            <v>5</v>
          </cell>
          <cell r="K105">
            <v>3</v>
          </cell>
          <cell r="L105">
            <v>3</v>
          </cell>
          <cell r="M105">
            <v>21</v>
          </cell>
          <cell r="N105">
            <v>32</v>
          </cell>
          <cell r="O105">
            <v>96</v>
          </cell>
          <cell r="P105">
            <v>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3.2</v>
          </cell>
          <cell r="X105">
            <v>96</v>
          </cell>
          <cell r="Y105">
            <v>1</v>
          </cell>
          <cell r="Z105">
            <v>1</v>
          </cell>
          <cell r="AA105">
            <v>1</v>
          </cell>
          <cell r="AB105">
            <v>2</v>
          </cell>
        </row>
        <row r="106">
          <cell r="C106" t="str">
            <v>AMPLAS AMPLAS03 AMPLAS T-1000 (100 LEMBAR)</v>
          </cell>
          <cell r="D106">
            <v>1</v>
          </cell>
          <cell r="E106">
            <v>0</v>
          </cell>
          <cell r="F106">
            <v>0</v>
          </cell>
          <cell r="H106" t="str">
            <v>MTP</v>
          </cell>
          <cell r="I106" t="str">
            <v>PK</v>
          </cell>
          <cell r="J106">
            <v>5</v>
          </cell>
          <cell r="K106">
            <v>3</v>
          </cell>
          <cell r="L106">
            <v>3</v>
          </cell>
          <cell r="M106">
            <v>21</v>
          </cell>
          <cell r="N106">
            <v>32</v>
          </cell>
          <cell r="O106">
            <v>96</v>
          </cell>
          <cell r="P106">
            <v>3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3.2</v>
          </cell>
          <cell r="X106">
            <v>96</v>
          </cell>
          <cell r="Y106">
            <v>1</v>
          </cell>
          <cell r="Z106">
            <v>1</v>
          </cell>
          <cell r="AA106">
            <v>1</v>
          </cell>
          <cell r="AB106">
            <v>2</v>
          </cell>
        </row>
        <row r="107">
          <cell r="C107" t="str">
            <v>AMPLAS AMPLAS01 AMPLAS C-5000 (100 LEMBAR)</v>
          </cell>
          <cell r="D107">
            <v>3</v>
          </cell>
          <cell r="E107">
            <v>0</v>
          </cell>
          <cell r="F107">
            <v>0</v>
          </cell>
          <cell r="H107" t="str">
            <v>MTP</v>
          </cell>
          <cell r="I107" t="str">
            <v>PK</v>
          </cell>
          <cell r="J107">
            <v>5</v>
          </cell>
          <cell r="K107">
            <v>3</v>
          </cell>
          <cell r="L107">
            <v>3</v>
          </cell>
          <cell r="M107">
            <v>21</v>
          </cell>
          <cell r="N107">
            <v>32</v>
          </cell>
          <cell r="O107">
            <v>96</v>
          </cell>
          <cell r="P107">
            <v>3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3.2</v>
          </cell>
          <cell r="X107">
            <v>96</v>
          </cell>
          <cell r="Y107">
            <v>1</v>
          </cell>
          <cell r="Z107">
            <v>1</v>
          </cell>
          <cell r="AA107">
            <v>1</v>
          </cell>
          <cell r="AB107">
            <v>2</v>
          </cell>
        </row>
        <row r="108">
          <cell r="C108" t="str">
            <v>BRUSH BRUSH003 WIRE BRUSH MINI SET (3PCS) 10203862</v>
          </cell>
          <cell r="D108">
            <v>1</v>
          </cell>
          <cell r="E108">
            <v>0</v>
          </cell>
          <cell r="F108">
            <v>0</v>
          </cell>
          <cell r="H108" t="str">
            <v>MTP</v>
          </cell>
          <cell r="I108" t="str">
            <v>PCE</v>
          </cell>
          <cell r="J108">
            <v>5</v>
          </cell>
          <cell r="K108">
            <v>3</v>
          </cell>
          <cell r="L108">
            <v>3</v>
          </cell>
          <cell r="M108">
            <v>21</v>
          </cell>
          <cell r="N108">
            <v>32</v>
          </cell>
          <cell r="O108">
            <v>64</v>
          </cell>
          <cell r="P108">
            <v>2</v>
          </cell>
          <cell r="Q108">
            <v>3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1.3416407864998738</v>
          </cell>
          <cell r="W108">
            <v>2.1333333333333333</v>
          </cell>
          <cell r="X108">
            <v>64</v>
          </cell>
          <cell r="Y108">
            <v>2.2800000000000002</v>
          </cell>
          <cell r="Z108">
            <v>7.0747345621022824</v>
          </cell>
          <cell r="AA108">
            <v>8.3547345621022817</v>
          </cell>
          <cell r="AB108">
            <v>9.3547345621022835</v>
          </cell>
        </row>
        <row r="109">
          <cell r="C109" t="str">
            <v>SEPATU SFT180 SEPATU SOLENOID</v>
          </cell>
          <cell r="D109">
            <v>1</v>
          </cell>
          <cell r="E109">
            <v>0</v>
          </cell>
          <cell r="F109">
            <v>0</v>
          </cell>
          <cell r="H109" t="str">
            <v>GA</v>
          </cell>
          <cell r="I109" t="str">
            <v>PASANG</v>
          </cell>
          <cell r="J109">
            <v>5</v>
          </cell>
          <cell r="K109">
            <v>3</v>
          </cell>
          <cell r="L109">
            <v>3</v>
          </cell>
          <cell r="M109">
            <v>14</v>
          </cell>
          <cell r="N109">
            <v>25</v>
          </cell>
          <cell r="O109">
            <v>25</v>
          </cell>
          <cell r="P109">
            <v>1</v>
          </cell>
          <cell r="Q109">
            <v>3</v>
          </cell>
          <cell r="R109">
            <v>3</v>
          </cell>
          <cell r="S109">
            <v>3</v>
          </cell>
          <cell r="T109">
            <v>0</v>
          </cell>
          <cell r="U109">
            <v>0</v>
          </cell>
          <cell r="V109">
            <v>1.6431676725154984</v>
          </cell>
          <cell r="W109">
            <v>0.83333333333333337</v>
          </cell>
          <cell r="X109">
            <v>25</v>
          </cell>
          <cell r="Y109">
            <v>2.5</v>
          </cell>
          <cell r="Z109">
            <v>5.65</v>
          </cell>
          <cell r="AA109">
            <v>7.15</v>
          </cell>
          <cell r="AB109">
            <v>8.15</v>
          </cell>
        </row>
        <row r="110">
          <cell r="C110" t="str">
            <v>AMPLAS AMPLAS04 AMPLAS FALCRO P100 (100 LEMBAR)</v>
          </cell>
          <cell r="D110">
            <v>157</v>
          </cell>
          <cell r="E110">
            <v>0</v>
          </cell>
          <cell r="F110">
            <v>0</v>
          </cell>
          <cell r="H110" t="str">
            <v>MTP</v>
          </cell>
          <cell r="I110" t="str">
            <v>PK</v>
          </cell>
          <cell r="J110">
            <v>5</v>
          </cell>
          <cell r="K110">
            <v>3</v>
          </cell>
          <cell r="L110">
            <v>3</v>
          </cell>
          <cell r="M110">
            <v>21</v>
          </cell>
          <cell r="N110">
            <v>32</v>
          </cell>
          <cell r="O110">
            <v>64</v>
          </cell>
          <cell r="P110">
            <v>2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2.1333333333333333</v>
          </cell>
          <cell r="X110">
            <v>64</v>
          </cell>
          <cell r="Y110">
            <v>1</v>
          </cell>
          <cell r="Z110">
            <v>1</v>
          </cell>
          <cell r="AA110">
            <v>1</v>
          </cell>
          <cell r="AB110">
            <v>2</v>
          </cell>
        </row>
        <row r="111">
          <cell r="C111" t="str">
            <v>STOPWATCH ELC290 STOPWATCH STOPWATCH 100MM</v>
          </cell>
          <cell r="D111">
            <v>803</v>
          </cell>
          <cell r="E111">
            <v>0</v>
          </cell>
          <cell r="F111">
            <v>0</v>
          </cell>
          <cell r="H111" t="str">
            <v>GA</v>
          </cell>
          <cell r="I111" t="str">
            <v>PCS</v>
          </cell>
          <cell r="J111">
            <v>5</v>
          </cell>
          <cell r="K111">
            <v>3</v>
          </cell>
          <cell r="L111">
            <v>3</v>
          </cell>
          <cell r="M111">
            <v>14</v>
          </cell>
          <cell r="N111">
            <v>25</v>
          </cell>
          <cell r="O111">
            <v>100</v>
          </cell>
          <cell r="P111">
            <v>4</v>
          </cell>
          <cell r="Q111">
            <v>0</v>
          </cell>
          <cell r="R111">
            <v>2</v>
          </cell>
          <cell r="S111">
            <v>0</v>
          </cell>
          <cell r="T111">
            <v>2</v>
          </cell>
          <cell r="U111">
            <v>0</v>
          </cell>
          <cell r="V111">
            <v>1.0954451150103321</v>
          </cell>
          <cell r="W111">
            <v>3.3333333333333335</v>
          </cell>
          <cell r="X111">
            <v>100</v>
          </cell>
          <cell r="Y111">
            <v>3.666666666666667</v>
          </cell>
          <cell r="Z111">
            <v>7.2</v>
          </cell>
          <cell r="AA111">
            <v>9.8666666666666671</v>
          </cell>
          <cell r="AB111">
            <v>10.866666666666667</v>
          </cell>
        </row>
        <row r="112">
          <cell r="C112" t="str">
            <v>MATA BOR MATABOR043 MATA BOR BESI NACHI 1.3MM (1SET 5PCS)</v>
          </cell>
          <cell r="D112">
            <v>8</v>
          </cell>
          <cell r="E112">
            <v>1</v>
          </cell>
          <cell r="F112">
            <v>7</v>
          </cell>
          <cell r="H112" t="str">
            <v>MTP</v>
          </cell>
          <cell r="I112" t="str">
            <v>SET</v>
          </cell>
          <cell r="J112">
            <v>5</v>
          </cell>
          <cell r="K112">
            <v>3</v>
          </cell>
          <cell r="L112">
            <v>3</v>
          </cell>
          <cell r="M112">
            <v>21</v>
          </cell>
          <cell r="N112">
            <v>32</v>
          </cell>
          <cell r="O112">
            <v>96</v>
          </cell>
          <cell r="P112">
            <v>3</v>
          </cell>
          <cell r="Q112">
            <v>0</v>
          </cell>
          <cell r="R112">
            <v>2</v>
          </cell>
          <cell r="S112">
            <v>0</v>
          </cell>
          <cell r="T112">
            <v>0</v>
          </cell>
          <cell r="U112">
            <v>0</v>
          </cell>
          <cell r="V112">
            <v>0.89442719099991586</v>
          </cell>
          <cell r="W112">
            <v>3.2</v>
          </cell>
          <cell r="X112">
            <v>96</v>
          </cell>
          <cell r="Y112">
            <v>2.2800000000000002</v>
          </cell>
          <cell r="Z112">
            <v>5.96</v>
          </cell>
          <cell r="AA112">
            <v>7.24</v>
          </cell>
          <cell r="AB112">
            <v>8.24</v>
          </cell>
        </row>
        <row r="113">
          <cell r="C113" t="str">
            <v>OBENG OBENG001 OBENG PLUS MINUS AMERIKA</v>
          </cell>
          <cell r="D113">
            <v>4</v>
          </cell>
          <cell r="E113">
            <v>0</v>
          </cell>
          <cell r="F113">
            <v>4</v>
          </cell>
          <cell r="H113" t="str">
            <v>MTP</v>
          </cell>
          <cell r="I113" t="str">
            <v>PCE</v>
          </cell>
          <cell r="J113">
            <v>5</v>
          </cell>
          <cell r="K113">
            <v>3</v>
          </cell>
          <cell r="L113">
            <v>3</v>
          </cell>
          <cell r="M113">
            <v>21</v>
          </cell>
          <cell r="N113">
            <v>32</v>
          </cell>
          <cell r="O113">
            <v>96</v>
          </cell>
          <cell r="P113">
            <v>3</v>
          </cell>
          <cell r="Q113">
            <v>1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0.44721359549995793</v>
          </cell>
          <cell r="W113">
            <v>3.2</v>
          </cell>
          <cell r="X113">
            <v>96</v>
          </cell>
          <cell r="Y113">
            <v>1.6400000000000001</v>
          </cell>
          <cell r="Z113">
            <v>3.48</v>
          </cell>
          <cell r="AA113">
            <v>4.12</v>
          </cell>
          <cell r="AB113">
            <v>5.12</v>
          </cell>
        </row>
        <row r="114">
          <cell r="C114" t="str">
            <v>COVER COVER08 COVER CONNECTOR TYPE 1</v>
          </cell>
          <cell r="D114">
            <v>8</v>
          </cell>
          <cell r="E114">
            <v>3</v>
          </cell>
          <cell r="F114">
            <v>5</v>
          </cell>
          <cell r="H114" t="str">
            <v>MTP</v>
          </cell>
          <cell r="I114" t="str">
            <v>PCE</v>
          </cell>
          <cell r="J114">
            <v>5</v>
          </cell>
          <cell r="K114">
            <v>3</v>
          </cell>
          <cell r="L114">
            <v>3</v>
          </cell>
          <cell r="M114">
            <v>21</v>
          </cell>
          <cell r="N114">
            <v>32</v>
          </cell>
          <cell r="O114">
            <v>32</v>
          </cell>
          <cell r="P114">
            <v>1</v>
          </cell>
          <cell r="Q114">
            <v>100</v>
          </cell>
          <cell r="R114">
            <v>100</v>
          </cell>
          <cell r="S114">
            <v>100</v>
          </cell>
          <cell r="T114">
            <v>100</v>
          </cell>
          <cell r="U114">
            <v>100</v>
          </cell>
          <cell r="V114">
            <v>0</v>
          </cell>
          <cell r="W114">
            <v>1.0666666666666667</v>
          </cell>
          <cell r="X114">
            <v>32</v>
          </cell>
          <cell r="Y114">
            <v>107.66666666666667</v>
          </cell>
          <cell r="Z114">
            <v>1</v>
          </cell>
          <cell r="AA114">
            <v>107.66666666666667</v>
          </cell>
          <cell r="AB114">
            <v>108.66666666666667</v>
          </cell>
        </row>
        <row r="115">
          <cell r="C115" t="str">
            <v>JET SPRAYER CSB012 JET SPRAYER 400 ML</v>
          </cell>
          <cell r="D115">
            <v>80</v>
          </cell>
          <cell r="E115">
            <v>39</v>
          </cell>
          <cell r="F115">
            <v>41</v>
          </cell>
          <cell r="H115" t="str">
            <v>GA</v>
          </cell>
          <cell r="I115" t="str">
            <v>PCS</v>
          </cell>
          <cell r="J115">
            <v>5</v>
          </cell>
          <cell r="K115">
            <v>3</v>
          </cell>
          <cell r="L115">
            <v>3</v>
          </cell>
          <cell r="M115">
            <v>14</v>
          </cell>
          <cell r="N115">
            <v>25</v>
          </cell>
          <cell r="O115">
            <v>75</v>
          </cell>
          <cell r="P115">
            <v>3</v>
          </cell>
          <cell r="Q115">
            <v>0</v>
          </cell>
          <cell r="R115">
            <v>1</v>
          </cell>
          <cell r="S115">
            <v>0</v>
          </cell>
          <cell r="T115">
            <v>1</v>
          </cell>
          <cell r="U115">
            <v>0</v>
          </cell>
          <cell r="V115">
            <v>0.54772255750516607</v>
          </cell>
          <cell r="W115">
            <v>2.5</v>
          </cell>
          <cell r="X115">
            <v>75</v>
          </cell>
          <cell r="Y115">
            <v>2</v>
          </cell>
          <cell r="Z115">
            <v>3.6846787517317598</v>
          </cell>
          <cell r="AA115">
            <v>4.6846787517317594</v>
          </cell>
          <cell r="AB115">
            <v>5.6846787517317594</v>
          </cell>
        </row>
        <row r="116">
          <cell r="C116" t="str">
            <v>STICK 48PF70A002 NYLON STICK</v>
          </cell>
          <cell r="D116">
            <v>6</v>
          </cell>
          <cell r="E116">
            <v>4</v>
          </cell>
          <cell r="F116">
            <v>2</v>
          </cell>
          <cell r="H116" t="str">
            <v>MTP</v>
          </cell>
          <cell r="I116" t="str">
            <v>PCE</v>
          </cell>
          <cell r="J116">
            <v>5</v>
          </cell>
          <cell r="K116">
            <v>3</v>
          </cell>
          <cell r="L116">
            <v>3</v>
          </cell>
          <cell r="M116">
            <v>21</v>
          </cell>
          <cell r="N116">
            <v>32</v>
          </cell>
          <cell r="O116">
            <v>384</v>
          </cell>
          <cell r="P116">
            <v>12</v>
          </cell>
          <cell r="Q116">
            <v>0</v>
          </cell>
          <cell r="R116">
            <v>3960</v>
          </cell>
          <cell r="S116">
            <v>0</v>
          </cell>
          <cell r="T116">
            <v>0</v>
          </cell>
          <cell r="U116">
            <v>0</v>
          </cell>
          <cell r="V116">
            <v>1770.9658381798333</v>
          </cell>
          <cell r="W116">
            <v>12.8</v>
          </cell>
          <cell r="X116">
            <v>384</v>
          </cell>
          <cell r="Y116">
            <v>10138.6</v>
          </cell>
          <cell r="Z116">
            <v>19642.599999999999</v>
          </cell>
          <cell r="AA116">
            <v>29780.199999999997</v>
          </cell>
          <cell r="AB116">
            <v>29781.199999999997</v>
          </cell>
        </row>
        <row r="117">
          <cell r="C117" t="str">
            <v>RUBBER RUBBER005 RUBBER YELLOW</v>
          </cell>
          <cell r="D117">
            <v>21</v>
          </cell>
          <cell r="E117">
            <v>10</v>
          </cell>
          <cell r="F117">
            <v>11</v>
          </cell>
          <cell r="H117" t="str">
            <v>MTP</v>
          </cell>
          <cell r="I117" t="str">
            <v>PCE</v>
          </cell>
          <cell r="J117">
            <v>5</v>
          </cell>
          <cell r="K117">
            <v>3</v>
          </cell>
          <cell r="L117">
            <v>3</v>
          </cell>
          <cell r="M117">
            <v>21</v>
          </cell>
          <cell r="N117">
            <v>32</v>
          </cell>
          <cell r="O117">
            <v>32</v>
          </cell>
          <cell r="P117">
            <v>1</v>
          </cell>
          <cell r="Q117">
            <v>24000</v>
          </cell>
          <cell r="R117">
            <v>24000</v>
          </cell>
          <cell r="S117">
            <v>0</v>
          </cell>
          <cell r="T117">
            <v>16000</v>
          </cell>
          <cell r="U117">
            <v>24000</v>
          </cell>
          <cell r="V117">
            <v>10430.723848324238</v>
          </cell>
          <cell r="W117">
            <v>1.0666666666666667</v>
          </cell>
          <cell r="X117">
            <v>32</v>
          </cell>
          <cell r="Y117">
            <v>18774.333333333332</v>
          </cell>
          <cell r="Z117">
            <v>33396.696329517268</v>
          </cell>
          <cell r="AA117">
            <v>52170.029662850604</v>
          </cell>
          <cell r="AB117">
            <v>52171.029662850604</v>
          </cell>
        </row>
        <row r="118">
          <cell r="C118" t="str">
            <v>FITTING WSZ03256 Metal Fitting</v>
          </cell>
          <cell r="D118">
            <v>62</v>
          </cell>
          <cell r="E118">
            <v>40</v>
          </cell>
          <cell r="F118">
            <v>22</v>
          </cell>
          <cell r="H118" t="str">
            <v>MTP</v>
          </cell>
          <cell r="I118" t="str">
            <v>SET</v>
          </cell>
          <cell r="J118">
            <v>5</v>
          </cell>
          <cell r="K118">
            <v>3</v>
          </cell>
          <cell r="L118">
            <v>3</v>
          </cell>
          <cell r="M118">
            <v>21</v>
          </cell>
          <cell r="N118">
            <v>32</v>
          </cell>
          <cell r="O118">
            <v>384</v>
          </cell>
          <cell r="P118">
            <v>12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12.8</v>
          </cell>
          <cell r="X118">
            <v>384</v>
          </cell>
          <cell r="Y118">
            <v>1</v>
          </cell>
          <cell r="Z118">
            <v>1</v>
          </cell>
          <cell r="AA118">
            <v>1</v>
          </cell>
          <cell r="AB118">
            <v>2</v>
          </cell>
        </row>
        <row r="119">
          <cell r="C119" t="str">
            <v>BATERAI CSB046 BATERAI A3 ABC ALKALINE (1 SET= 6 PCS)</v>
          </cell>
          <cell r="D119">
            <v>35</v>
          </cell>
          <cell r="E119">
            <v>20</v>
          </cell>
          <cell r="F119">
            <v>15</v>
          </cell>
          <cell r="H119" t="str">
            <v>GA</v>
          </cell>
          <cell r="I119" t="str">
            <v>PAK</v>
          </cell>
          <cell r="J119">
            <v>5</v>
          </cell>
          <cell r="K119">
            <v>3</v>
          </cell>
          <cell r="L119">
            <v>3</v>
          </cell>
          <cell r="M119">
            <v>14</v>
          </cell>
          <cell r="N119">
            <v>25</v>
          </cell>
          <cell r="O119">
            <v>100</v>
          </cell>
          <cell r="P119">
            <v>4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3.3333333333333335</v>
          </cell>
          <cell r="X119">
            <v>100</v>
          </cell>
          <cell r="Y119">
            <v>1</v>
          </cell>
          <cell r="Z119">
            <v>1</v>
          </cell>
          <cell r="AA119">
            <v>1</v>
          </cell>
          <cell r="AB119">
            <v>2</v>
          </cell>
        </row>
        <row r="120">
          <cell r="C120" t="str">
            <v>TINTA STAMP PTK179 TINTA STAMP TINTA ISTIMEWA HITAM</v>
          </cell>
          <cell r="D120">
            <v>216</v>
          </cell>
          <cell r="E120">
            <v>2</v>
          </cell>
          <cell r="F120">
            <v>214</v>
          </cell>
          <cell r="H120" t="str">
            <v>GA</v>
          </cell>
          <cell r="I120" t="str">
            <v>PCS</v>
          </cell>
          <cell r="J120">
            <v>5</v>
          </cell>
          <cell r="K120">
            <v>3</v>
          </cell>
          <cell r="L120">
            <v>3</v>
          </cell>
          <cell r="M120">
            <v>14</v>
          </cell>
          <cell r="N120">
            <v>25</v>
          </cell>
          <cell r="O120">
            <v>100</v>
          </cell>
          <cell r="P120">
            <v>4</v>
          </cell>
          <cell r="Q120">
            <v>1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0.44721359549995793</v>
          </cell>
          <cell r="W120">
            <v>3.3333333333333335</v>
          </cell>
          <cell r="X120">
            <v>100</v>
          </cell>
          <cell r="Y120">
            <v>1.6666666666666667</v>
          </cell>
          <cell r="Z120">
            <v>3.5311394008759507</v>
          </cell>
          <cell r="AA120">
            <v>4.1978060675426176</v>
          </cell>
          <cell r="AB120">
            <v>5.1978060675426176</v>
          </cell>
        </row>
        <row r="121">
          <cell r="C121" t="str">
            <v>PLASTIK PCG056 PLASTIK POLYBAG 60 X55</v>
          </cell>
          <cell r="D121">
            <v>251</v>
          </cell>
          <cell r="E121">
            <v>119</v>
          </cell>
          <cell r="F121">
            <v>132</v>
          </cell>
          <cell r="H121" t="str">
            <v>GA</v>
          </cell>
          <cell r="I121" t="str">
            <v>PCS</v>
          </cell>
          <cell r="J121">
            <v>5</v>
          </cell>
          <cell r="K121">
            <v>3</v>
          </cell>
          <cell r="L121">
            <v>3</v>
          </cell>
          <cell r="M121">
            <v>14</v>
          </cell>
          <cell r="N121">
            <v>25</v>
          </cell>
          <cell r="O121">
            <v>50</v>
          </cell>
          <cell r="P121">
            <v>2</v>
          </cell>
          <cell r="Q121">
            <v>0</v>
          </cell>
          <cell r="R121">
            <v>0</v>
          </cell>
          <cell r="S121">
            <v>6</v>
          </cell>
          <cell r="T121">
            <v>0</v>
          </cell>
          <cell r="U121">
            <v>0</v>
          </cell>
          <cell r="V121">
            <v>2.6832815729997477</v>
          </cell>
          <cell r="W121">
            <v>1.6666666666666667</v>
          </cell>
          <cell r="X121">
            <v>50</v>
          </cell>
          <cell r="Y121">
            <v>3</v>
          </cell>
          <cell r="Z121">
            <v>11.738715006927039</v>
          </cell>
          <cell r="AA121">
            <v>13.738715006927039</v>
          </cell>
          <cell r="AB121">
            <v>14.738715006927039</v>
          </cell>
        </row>
        <row r="122">
          <cell r="C122" t="str">
            <v>ENTERTAINT ENT029 SNACK MEETING</v>
          </cell>
          <cell r="D122">
            <v>7</v>
          </cell>
          <cell r="E122">
            <v>2</v>
          </cell>
          <cell r="F122">
            <v>5</v>
          </cell>
          <cell r="H122" t="str">
            <v>GA</v>
          </cell>
          <cell r="I122" t="str">
            <v>DUS</v>
          </cell>
          <cell r="J122">
            <v>5</v>
          </cell>
          <cell r="K122">
            <v>3</v>
          </cell>
          <cell r="L122">
            <v>3</v>
          </cell>
          <cell r="M122">
            <v>14</v>
          </cell>
          <cell r="N122">
            <v>25</v>
          </cell>
          <cell r="O122">
            <v>25</v>
          </cell>
          <cell r="P122">
            <v>1</v>
          </cell>
          <cell r="Q122">
            <v>48</v>
          </cell>
          <cell r="R122">
            <v>48</v>
          </cell>
          <cell r="S122">
            <v>48</v>
          </cell>
          <cell r="T122">
            <v>48</v>
          </cell>
          <cell r="U122">
            <v>48</v>
          </cell>
          <cell r="V122">
            <v>0</v>
          </cell>
          <cell r="W122">
            <v>0.83333333333333337</v>
          </cell>
          <cell r="X122">
            <v>25</v>
          </cell>
          <cell r="Y122">
            <v>41</v>
          </cell>
          <cell r="Z122">
            <v>1</v>
          </cell>
          <cell r="AA122">
            <v>41</v>
          </cell>
          <cell r="AB122">
            <v>42</v>
          </cell>
        </row>
        <row r="123">
          <cell r="C123" t="str">
            <v>MAP ATK077 MAP BUFFALO BIOLA</v>
          </cell>
          <cell r="D123">
            <v>2</v>
          </cell>
          <cell r="E123">
            <v>1</v>
          </cell>
          <cell r="F123">
            <v>1</v>
          </cell>
          <cell r="H123" t="str">
            <v>GA</v>
          </cell>
          <cell r="I123" t="str">
            <v>PCS</v>
          </cell>
          <cell r="J123">
            <v>5</v>
          </cell>
          <cell r="K123">
            <v>3</v>
          </cell>
          <cell r="L123">
            <v>3</v>
          </cell>
          <cell r="M123">
            <v>14</v>
          </cell>
          <cell r="N123">
            <v>25</v>
          </cell>
          <cell r="O123">
            <v>50</v>
          </cell>
          <cell r="P123">
            <v>2</v>
          </cell>
          <cell r="Q123">
            <v>0</v>
          </cell>
          <cell r="R123">
            <v>3</v>
          </cell>
          <cell r="S123">
            <v>0</v>
          </cell>
          <cell r="T123">
            <v>0</v>
          </cell>
          <cell r="U123">
            <v>3</v>
          </cell>
          <cell r="V123">
            <v>1.6431676725154984</v>
          </cell>
          <cell r="W123">
            <v>1.6666666666666667</v>
          </cell>
          <cell r="X123">
            <v>50</v>
          </cell>
          <cell r="Y123">
            <v>3</v>
          </cell>
          <cell r="Z123">
            <v>7.5760930650348923</v>
          </cell>
          <cell r="AA123">
            <v>9.5760930650348932</v>
          </cell>
          <cell r="AB123">
            <v>10.576093065034893</v>
          </cell>
        </row>
        <row r="124">
          <cell r="C124" t="str">
            <v>KUNCI KUNCI006 KUNCI PAS 14-15MM WR-OE0162</v>
          </cell>
          <cell r="D124">
            <v>0</v>
          </cell>
          <cell r="E124">
            <v>0</v>
          </cell>
          <cell r="F124">
            <v>0</v>
          </cell>
          <cell r="H124" t="str">
            <v>MTP</v>
          </cell>
          <cell r="I124" t="str">
            <v>PCE</v>
          </cell>
          <cell r="J124">
            <v>5</v>
          </cell>
          <cell r="K124">
            <v>3</v>
          </cell>
          <cell r="L124">
            <v>3</v>
          </cell>
          <cell r="M124">
            <v>21</v>
          </cell>
          <cell r="N124">
            <v>32</v>
          </cell>
          <cell r="O124">
            <v>128</v>
          </cell>
          <cell r="P124">
            <v>4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4.2666666666666666</v>
          </cell>
          <cell r="X124">
            <v>128</v>
          </cell>
          <cell r="Y124">
            <v>1</v>
          </cell>
          <cell r="Z124">
            <v>1</v>
          </cell>
          <cell r="AA124">
            <v>1</v>
          </cell>
          <cell r="AB124">
            <v>2</v>
          </cell>
        </row>
        <row r="125">
          <cell r="C125" t="str">
            <v>INSULOCK INSULOCK005 INSULOCK KSS CV-310</v>
          </cell>
          <cell r="D125">
            <v>0</v>
          </cell>
          <cell r="E125">
            <v>0</v>
          </cell>
          <cell r="F125">
            <v>0</v>
          </cell>
          <cell r="H125" t="str">
            <v>MTP</v>
          </cell>
          <cell r="I125" t="str">
            <v>PK</v>
          </cell>
          <cell r="J125">
            <v>5</v>
          </cell>
          <cell r="K125">
            <v>3</v>
          </cell>
          <cell r="L125">
            <v>3</v>
          </cell>
          <cell r="M125">
            <v>21</v>
          </cell>
          <cell r="N125">
            <v>32</v>
          </cell>
          <cell r="O125">
            <v>384</v>
          </cell>
          <cell r="P125">
            <v>12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12.8</v>
          </cell>
          <cell r="X125">
            <v>384</v>
          </cell>
          <cell r="Y125">
            <v>1</v>
          </cell>
          <cell r="Z125">
            <v>1</v>
          </cell>
          <cell r="AA125">
            <v>1</v>
          </cell>
          <cell r="AB125">
            <v>2</v>
          </cell>
        </row>
        <row r="126">
          <cell r="C126" t="str">
            <v>FLASHDISK ELC135 FLASHDISK 32 GB</v>
          </cell>
          <cell r="D126">
            <v>8000</v>
          </cell>
          <cell r="E126">
            <v>3000</v>
          </cell>
          <cell r="F126">
            <v>5000</v>
          </cell>
          <cell r="H126" t="str">
            <v>GA</v>
          </cell>
          <cell r="I126" t="str">
            <v>PCS</v>
          </cell>
          <cell r="J126">
            <v>5</v>
          </cell>
          <cell r="K126">
            <v>3</v>
          </cell>
          <cell r="L126">
            <v>3</v>
          </cell>
          <cell r="M126">
            <v>14</v>
          </cell>
          <cell r="N126">
            <v>25</v>
          </cell>
          <cell r="O126">
            <v>100</v>
          </cell>
          <cell r="P126">
            <v>4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3.3333333333333335</v>
          </cell>
          <cell r="X126">
            <v>100</v>
          </cell>
          <cell r="Y126">
            <v>1</v>
          </cell>
          <cell r="Z126">
            <v>1</v>
          </cell>
          <cell r="AA126">
            <v>1</v>
          </cell>
          <cell r="AB126">
            <v>2</v>
          </cell>
        </row>
        <row r="127">
          <cell r="C127" t="str">
            <v>FLASHDISK ELC487 FLASHDISK 64 GB</v>
          </cell>
          <cell r="D127">
            <v>527</v>
          </cell>
          <cell r="E127">
            <v>527</v>
          </cell>
          <cell r="F127">
            <v>0</v>
          </cell>
          <cell r="H127" t="str">
            <v>GA</v>
          </cell>
          <cell r="I127" t="str">
            <v>PCS</v>
          </cell>
          <cell r="J127">
            <v>5</v>
          </cell>
          <cell r="K127">
            <v>3</v>
          </cell>
          <cell r="L127">
            <v>3</v>
          </cell>
          <cell r="M127">
            <v>14</v>
          </cell>
          <cell r="N127">
            <v>25</v>
          </cell>
          <cell r="O127">
            <v>100</v>
          </cell>
          <cell r="P127">
            <v>4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1</v>
          </cell>
          <cell r="V127">
            <v>0.44721359549995793</v>
          </cell>
          <cell r="W127">
            <v>3.3333333333333335</v>
          </cell>
          <cell r="X127">
            <v>100</v>
          </cell>
          <cell r="Y127">
            <v>1.6666666666666667</v>
          </cell>
          <cell r="Z127">
            <v>3.5311394008759507</v>
          </cell>
          <cell r="AA127">
            <v>4.1978060675426176</v>
          </cell>
          <cell r="AB127">
            <v>5.1978060675426176</v>
          </cell>
        </row>
        <row r="128">
          <cell r="C128" t="str">
            <v>TAS SLEMPANG CSB133 TAS SLEMPANG KECIL</v>
          </cell>
          <cell r="D128">
            <v>5</v>
          </cell>
          <cell r="E128">
            <v>1</v>
          </cell>
          <cell r="F128">
            <v>4</v>
          </cell>
          <cell r="H128" t="str">
            <v>GA</v>
          </cell>
          <cell r="I128" t="str">
            <v>PCS</v>
          </cell>
          <cell r="J128">
            <v>5</v>
          </cell>
          <cell r="K128">
            <v>3</v>
          </cell>
          <cell r="L128">
            <v>3</v>
          </cell>
          <cell r="M128">
            <v>14</v>
          </cell>
          <cell r="N128">
            <v>25</v>
          </cell>
          <cell r="O128">
            <v>25</v>
          </cell>
          <cell r="P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1</v>
          </cell>
          <cell r="V128">
            <v>0.44721359549995793</v>
          </cell>
          <cell r="W128">
            <v>0.83333333333333337</v>
          </cell>
          <cell r="X128">
            <v>25</v>
          </cell>
          <cell r="Y128">
            <v>1.1666666666666667</v>
          </cell>
          <cell r="Z128">
            <v>2.2655697004379753</v>
          </cell>
          <cell r="AA128">
            <v>2.4322363671046419</v>
          </cell>
          <cell r="AB128">
            <v>3.4322363671046423</v>
          </cell>
        </row>
        <row r="129">
          <cell r="C129" t="str">
            <v>KUNCI KUNCI17 KUNCI PAS 10-11 TEKIRO</v>
          </cell>
          <cell r="D129">
            <v>2</v>
          </cell>
          <cell r="E129">
            <v>0</v>
          </cell>
          <cell r="F129">
            <v>0</v>
          </cell>
          <cell r="H129" t="str">
            <v>MTP</v>
          </cell>
          <cell r="I129" t="str">
            <v>PCE</v>
          </cell>
          <cell r="J129">
            <v>5</v>
          </cell>
          <cell r="K129">
            <v>3</v>
          </cell>
          <cell r="L129">
            <v>3</v>
          </cell>
          <cell r="M129">
            <v>21</v>
          </cell>
          <cell r="N129">
            <v>32</v>
          </cell>
          <cell r="O129">
            <v>128</v>
          </cell>
          <cell r="P129">
            <v>4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4.2666666666666666</v>
          </cell>
          <cell r="X129">
            <v>128</v>
          </cell>
          <cell r="Y129">
            <v>1</v>
          </cell>
          <cell r="Z129">
            <v>1</v>
          </cell>
          <cell r="AA129">
            <v>1</v>
          </cell>
          <cell r="AB129">
            <v>2</v>
          </cell>
        </row>
        <row r="130">
          <cell r="C130" t="str">
            <v>KUNCI KUNCI18 KUNCI PAS 12-13 TEKIRO</v>
          </cell>
          <cell r="D130">
            <v>9</v>
          </cell>
          <cell r="E130">
            <v>0</v>
          </cell>
          <cell r="F130">
            <v>0</v>
          </cell>
          <cell r="H130" t="str">
            <v>MTP</v>
          </cell>
          <cell r="I130" t="str">
            <v>PCE</v>
          </cell>
          <cell r="J130">
            <v>5</v>
          </cell>
          <cell r="K130">
            <v>3</v>
          </cell>
          <cell r="L130">
            <v>3</v>
          </cell>
          <cell r="M130">
            <v>21</v>
          </cell>
          <cell r="N130">
            <v>32</v>
          </cell>
          <cell r="O130">
            <v>128</v>
          </cell>
          <cell r="P130">
            <v>4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4.2666666666666666</v>
          </cell>
          <cell r="X130">
            <v>128</v>
          </cell>
          <cell r="Y130">
            <v>1</v>
          </cell>
          <cell r="Z130">
            <v>1</v>
          </cell>
          <cell r="AA130">
            <v>1</v>
          </cell>
          <cell r="AB130">
            <v>2</v>
          </cell>
        </row>
        <row r="131">
          <cell r="C131" t="str">
            <v>CUP CUP003 CUP TRANSPARAN KECIL (KELIPATAN ORDER 500PCS)</v>
          </cell>
          <cell r="D131">
            <v>4</v>
          </cell>
          <cell r="E131">
            <v>4</v>
          </cell>
          <cell r="F131">
            <v>0</v>
          </cell>
          <cell r="H131" t="str">
            <v>MTP</v>
          </cell>
          <cell r="I131" t="str">
            <v>PCE</v>
          </cell>
          <cell r="J131">
            <v>5</v>
          </cell>
          <cell r="K131">
            <v>3</v>
          </cell>
          <cell r="L131">
            <v>3</v>
          </cell>
          <cell r="M131">
            <v>21</v>
          </cell>
          <cell r="N131">
            <v>32</v>
          </cell>
          <cell r="O131">
            <v>192</v>
          </cell>
          <cell r="P131">
            <v>6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6.4</v>
          </cell>
          <cell r="X131">
            <v>192</v>
          </cell>
          <cell r="Y131">
            <v>1</v>
          </cell>
          <cell r="Z131">
            <v>1</v>
          </cell>
          <cell r="AA131">
            <v>1</v>
          </cell>
          <cell r="AB131">
            <v>2</v>
          </cell>
        </row>
        <row r="132">
          <cell r="C132" t="str">
            <v>WIRE STRIPPER STRIPPER002 WIRE STRIPPER SENATOR AUTOMATIC SEN-516-8240K</v>
          </cell>
          <cell r="D132">
            <v>0</v>
          </cell>
          <cell r="E132">
            <v>0</v>
          </cell>
          <cell r="F132">
            <v>0</v>
          </cell>
          <cell r="H132" t="str">
            <v>MTP</v>
          </cell>
          <cell r="I132" t="str">
            <v>PCE</v>
          </cell>
          <cell r="J132">
            <v>5</v>
          </cell>
          <cell r="K132">
            <v>3</v>
          </cell>
          <cell r="L132">
            <v>3</v>
          </cell>
          <cell r="M132">
            <v>21</v>
          </cell>
          <cell r="N132">
            <v>32</v>
          </cell>
          <cell r="O132">
            <v>128</v>
          </cell>
          <cell r="P132">
            <v>4</v>
          </cell>
          <cell r="Q132">
            <v>2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0.89442719099991586</v>
          </cell>
          <cell r="W132">
            <v>4.2666666666666666</v>
          </cell>
          <cell r="X132">
            <v>128</v>
          </cell>
          <cell r="Y132">
            <v>2.706666666666667</v>
          </cell>
          <cell r="Z132">
            <v>6.7273146703610873</v>
          </cell>
          <cell r="AA132">
            <v>8.4339813370277543</v>
          </cell>
          <cell r="AB132">
            <v>9.4339813370277543</v>
          </cell>
        </row>
        <row r="133">
          <cell r="C133" t="str">
            <v>BATERAI ELC121 BATERAI CAMERA</v>
          </cell>
          <cell r="D133">
            <v>26</v>
          </cell>
          <cell r="E133">
            <v>5</v>
          </cell>
          <cell r="F133">
            <v>21</v>
          </cell>
          <cell r="H133" t="str">
            <v>GA</v>
          </cell>
          <cell r="I133" t="str">
            <v>PCS</v>
          </cell>
          <cell r="J133">
            <v>5</v>
          </cell>
          <cell r="K133">
            <v>3</v>
          </cell>
          <cell r="L133">
            <v>3</v>
          </cell>
          <cell r="M133">
            <v>14</v>
          </cell>
          <cell r="N133">
            <v>25</v>
          </cell>
          <cell r="O133">
            <v>150</v>
          </cell>
          <cell r="P133">
            <v>6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</v>
          </cell>
          <cell r="X133">
            <v>150</v>
          </cell>
          <cell r="Y133">
            <v>1</v>
          </cell>
          <cell r="Z133">
            <v>1</v>
          </cell>
          <cell r="AA133">
            <v>1</v>
          </cell>
          <cell r="AB133">
            <v>2</v>
          </cell>
        </row>
        <row r="134">
          <cell r="C134" t="str">
            <v>MOUSE ELC210 MOUSE USB/BLUETOOTH BESAR</v>
          </cell>
          <cell r="D134">
            <v>7</v>
          </cell>
          <cell r="E134">
            <v>2</v>
          </cell>
          <cell r="F134">
            <v>5</v>
          </cell>
          <cell r="H134" t="str">
            <v>GA</v>
          </cell>
          <cell r="I134" t="str">
            <v>PCS</v>
          </cell>
          <cell r="J134">
            <v>5</v>
          </cell>
          <cell r="K134">
            <v>3</v>
          </cell>
          <cell r="L134">
            <v>3</v>
          </cell>
          <cell r="M134">
            <v>14</v>
          </cell>
          <cell r="N134">
            <v>25</v>
          </cell>
          <cell r="O134">
            <v>300</v>
          </cell>
          <cell r="P134">
            <v>12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10</v>
          </cell>
          <cell r="X134">
            <v>300</v>
          </cell>
          <cell r="Y134">
            <v>1</v>
          </cell>
          <cell r="Z134">
            <v>1</v>
          </cell>
          <cell r="AA134">
            <v>1</v>
          </cell>
          <cell r="AB134">
            <v>2</v>
          </cell>
        </row>
        <row r="135">
          <cell r="C135" t="str">
            <v>TIMBANGAN ALU167 10130864 WATER PROOF WEIGHTING SCALE 15KG W/TERA</v>
          </cell>
          <cell r="D135">
            <v>7</v>
          </cell>
          <cell r="E135">
            <v>4</v>
          </cell>
          <cell r="F135">
            <v>3</v>
          </cell>
          <cell r="H135" t="str">
            <v>GA</v>
          </cell>
          <cell r="I135" t="str">
            <v>PCS</v>
          </cell>
          <cell r="J135">
            <v>5</v>
          </cell>
          <cell r="K135">
            <v>3</v>
          </cell>
          <cell r="L135">
            <v>3</v>
          </cell>
          <cell r="M135">
            <v>14</v>
          </cell>
          <cell r="N135">
            <v>25</v>
          </cell>
          <cell r="O135">
            <v>575</v>
          </cell>
          <cell r="P135">
            <v>23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19.166666666666668</v>
          </cell>
          <cell r="X135">
            <v>575</v>
          </cell>
          <cell r="Y135">
            <v>1</v>
          </cell>
          <cell r="Z135">
            <v>1</v>
          </cell>
          <cell r="AA135">
            <v>1</v>
          </cell>
          <cell r="AB135">
            <v>2</v>
          </cell>
        </row>
        <row r="136">
          <cell r="C136" t="str">
            <v>GEMBOK MB041 GEMBOK 60 MM TEKIRO LEHER PANJANG</v>
          </cell>
          <cell r="D136">
            <v>12</v>
          </cell>
          <cell r="E136">
            <v>4</v>
          </cell>
          <cell r="F136">
            <v>8</v>
          </cell>
          <cell r="H136" t="str">
            <v>GA</v>
          </cell>
          <cell r="I136" t="str">
            <v>PCS</v>
          </cell>
          <cell r="J136">
            <v>5</v>
          </cell>
          <cell r="K136">
            <v>3</v>
          </cell>
          <cell r="L136">
            <v>3</v>
          </cell>
          <cell r="M136">
            <v>14</v>
          </cell>
          <cell r="N136">
            <v>25</v>
          </cell>
          <cell r="O136">
            <v>300</v>
          </cell>
          <cell r="P136">
            <v>12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10</v>
          </cell>
          <cell r="X136">
            <v>300</v>
          </cell>
          <cell r="Y136">
            <v>1</v>
          </cell>
          <cell r="Z136">
            <v>1</v>
          </cell>
          <cell r="AA136">
            <v>1</v>
          </cell>
          <cell r="AB136">
            <v>2</v>
          </cell>
        </row>
        <row r="137">
          <cell r="C137" t="str">
            <v>KERTAS ATK004 KERTAS A4 70 GR WARNA</v>
          </cell>
          <cell r="D137">
            <v>22</v>
          </cell>
          <cell r="E137">
            <v>9</v>
          </cell>
          <cell r="F137">
            <v>13</v>
          </cell>
          <cell r="H137" t="str">
            <v>GA</v>
          </cell>
          <cell r="I137" t="str">
            <v>RIM</v>
          </cell>
          <cell r="J137">
            <v>5</v>
          </cell>
          <cell r="K137">
            <v>3</v>
          </cell>
          <cell r="L137">
            <v>3</v>
          </cell>
          <cell r="M137">
            <v>14</v>
          </cell>
          <cell r="N137">
            <v>25</v>
          </cell>
          <cell r="O137">
            <v>25</v>
          </cell>
          <cell r="P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0.83333333333333337</v>
          </cell>
          <cell r="X137">
            <v>25</v>
          </cell>
          <cell r="Y137">
            <v>1</v>
          </cell>
          <cell r="Z137">
            <v>1</v>
          </cell>
          <cell r="AA137">
            <v>1</v>
          </cell>
          <cell r="AB137">
            <v>2</v>
          </cell>
        </row>
        <row r="138">
          <cell r="C138" t="str">
            <v>RUBBER RUBBER001 RUBBER PINK</v>
          </cell>
          <cell r="D138">
            <v>54</v>
          </cell>
          <cell r="E138">
            <v>8</v>
          </cell>
          <cell r="F138">
            <v>46</v>
          </cell>
          <cell r="H138" t="str">
            <v>MTP</v>
          </cell>
          <cell r="I138" t="str">
            <v>PCE</v>
          </cell>
          <cell r="J138">
            <v>5</v>
          </cell>
          <cell r="K138">
            <v>3</v>
          </cell>
          <cell r="L138">
            <v>3</v>
          </cell>
          <cell r="M138">
            <v>21</v>
          </cell>
          <cell r="N138">
            <v>32</v>
          </cell>
          <cell r="O138">
            <v>32</v>
          </cell>
          <cell r="P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1.0666666666666667</v>
          </cell>
          <cell r="X138">
            <v>32</v>
          </cell>
          <cell r="Y138">
            <v>1</v>
          </cell>
          <cell r="Z138">
            <v>1</v>
          </cell>
          <cell r="AA138">
            <v>1</v>
          </cell>
          <cell r="AB138">
            <v>2</v>
          </cell>
        </row>
        <row r="139">
          <cell r="C139" t="str">
            <v>TAS SFT071 TAS PINGGANG</v>
          </cell>
          <cell r="D139">
            <v>0</v>
          </cell>
          <cell r="E139">
            <v>0</v>
          </cell>
          <cell r="F139">
            <v>0</v>
          </cell>
          <cell r="H139" t="str">
            <v>GA</v>
          </cell>
          <cell r="I139" t="str">
            <v>PCS</v>
          </cell>
          <cell r="J139">
            <v>5</v>
          </cell>
          <cell r="K139">
            <v>3</v>
          </cell>
          <cell r="L139">
            <v>3</v>
          </cell>
          <cell r="M139">
            <v>14</v>
          </cell>
          <cell r="N139">
            <v>25</v>
          </cell>
          <cell r="O139">
            <v>25</v>
          </cell>
          <cell r="P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0.83333333333333337</v>
          </cell>
          <cell r="X139">
            <v>25</v>
          </cell>
          <cell r="Y139">
            <v>1</v>
          </cell>
          <cell r="Z139">
            <v>1</v>
          </cell>
          <cell r="AA139">
            <v>1</v>
          </cell>
          <cell r="AB139">
            <v>2</v>
          </cell>
        </row>
        <row r="140">
          <cell r="C140" t="str">
            <v>LAMPU MAGNIFIER ALU066 LAMPU MAGNIFIER LED DESK MAGNIFIER LAMP 3 DIOPTER</v>
          </cell>
          <cell r="D140">
            <v>0</v>
          </cell>
          <cell r="E140">
            <v>0</v>
          </cell>
          <cell r="F140">
            <v>0</v>
          </cell>
          <cell r="H140" t="str">
            <v>GA</v>
          </cell>
          <cell r="I140" t="str">
            <v>UNIT</v>
          </cell>
          <cell r="J140">
            <v>5</v>
          </cell>
          <cell r="K140">
            <v>3</v>
          </cell>
          <cell r="L140">
            <v>3</v>
          </cell>
          <cell r="M140">
            <v>14</v>
          </cell>
          <cell r="N140">
            <v>25</v>
          </cell>
          <cell r="O140">
            <v>25</v>
          </cell>
          <cell r="P140">
            <v>1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0.83333333333333337</v>
          </cell>
          <cell r="X140">
            <v>25</v>
          </cell>
          <cell r="Y140">
            <v>1</v>
          </cell>
          <cell r="Z140">
            <v>1</v>
          </cell>
          <cell r="AA140">
            <v>1</v>
          </cell>
          <cell r="AB140">
            <v>2</v>
          </cell>
        </row>
        <row r="141">
          <cell r="C141" t="str">
            <v>MOUSE PAD ELC212 MOUSE PAD MOUSE PAD</v>
          </cell>
          <cell r="D141">
            <v>1</v>
          </cell>
          <cell r="E141">
            <v>0</v>
          </cell>
          <cell r="F141">
            <v>0</v>
          </cell>
          <cell r="H141" t="str">
            <v>GA</v>
          </cell>
          <cell r="I141" t="str">
            <v>PCS</v>
          </cell>
          <cell r="J141">
            <v>5</v>
          </cell>
          <cell r="K141">
            <v>3</v>
          </cell>
          <cell r="L141">
            <v>3</v>
          </cell>
          <cell r="M141">
            <v>14</v>
          </cell>
          <cell r="N141">
            <v>25</v>
          </cell>
          <cell r="O141">
            <v>300</v>
          </cell>
          <cell r="P141">
            <v>12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10</v>
          </cell>
          <cell r="X141">
            <v>300</v>
          </cell>
          <cell r="Y141">
            <v>1</v>
          </cell>
          <cell r="Z141">
            <v>1</v>
          </cell>
          <cell r="AA141">
            <v>1</v>
          </cell>
          <cell r="AB141">
            <v>2</v>
          </cell>
        </row>
        <row r="142">
          <cell r="C142" t="str">
            <v>KAMERA ELC129 KAMERA DIGITAL POCKET</v>
          </cell>
          <cell r="D142">
            <v>4</v>
          </cell>
          <cell r="E142">
            <v>1</v>
          </cell>
          <cell r="F142">
            <v>3</v>
          </cell>
          <cell r="H142" t="str">
            <v>GA</v>
          </cell>
          <cell r="I142" t="str">
            <v>PCS</v>
          </cell>
          <cell r="J142">
            <v>5</v>
          </cell>
          <cell r="K142">
            <v>3</v>
          </cell>
          <cell r="L142">
            <v>3</v>
          </cell>
          <cell r="M142">
            <v>14</v>
          </cell>
          <cell r="N142">
            <v>25</v>
          </cell>
          <cell r="O142">
            <v>300</v>
          </cell>
          <cell r="P142">
            <v>12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10</v>
          </cell>
          <cell r="X142">
            <v>300</v>
          </cell>
          <cell r="Y142">
            <v>1</v>
          </cell>
          <cell r="Z142">
            <v>1</v>
          </cell>
          <cell r="AA142">
            <v>1</v>
          </cell>
          <cell r="AB142">
            <v>2</v>
          </cell>
        </row>
        <row r="143">
          <cell r="C143" t="str">
            <v>BUKU ATK156 BUKU QUARTO 100</v>
          </cell>
          <cell r="D143">
            <v>3</v>
          </cell>
          <cell r="E143">
            <v>1</v>
          </cell>
          <cell r="F143">
            <v>2</v>
          </cell>
          <cell r="H143" t="str">
            <v>GA</v>
          </cell>
          <cell r="I143" t="str">
            <v>PCS</v>
          </cell>
          <cell r="J143">
            <v>5</v>
          </cell>
          <cell r="K143">
            <v>3</v>
          </cell>
          <cell r="L143">
            <v>3</v>
          </cell>
          <cell r="M143">
            <v>14</v>
          </cell>
          <cell r="N143">
            <v>25</v>
          </cell>
          <cell r="O143">
            <v>50</v>
          </cell>
          <cell r="P143">
            <v>2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1.6666666666666667</v>
          </cell>
          <cell r="X143">
            <v>50</v>
          </cell>
          <cell r="Y143">
            <v>1</v>
          </cell>
          <cell r="Z143">
            <v>1</v>
          </cell>
          <cell r="AA143">
            <v>1</v>
          </cell>
          <cell r="AB143">
            <v>2</v>
          </cell>
        </row>
        <row r="144">
          <cell r="C144" t="str">
            <v>CONTAINER PLASTIC MTB001 CONTAINER PLASTIC TYPE B-066KP (2066)</v>
          </cell>
          <cell r="D144">
            <v>6</v>
          </cell>
          <cell r="E144">
            <v>1</v>
          </cell>
          <cell r="F144">
            <v>5</v>
          </cell>
          <cell r="H144" t="str">
            <v>GA</v>
          </cell>
          <cell r="I144" t="str">
            <v>PCS</v>
          </cell>
          <cell r="J144">
            <v>5</v>
          </cell>
          <cell r="K144">
            <v>3</v>
          </cell>
          <cell r="L144">
            <v>3</v>
          </cell>
          <cell r="M144">
            <v>14</v>
          </cell>
          <cell r="N144">
            <v>25</v>
          </cell>
          <cell r="O144">
            <v>300</v>
          </cell>
          <cell r="P144">
            <v>12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10</v>
          </cell>
          <cell r="X144">
            <v>300</v>
          </cell>
          <cell r="Y144">
            <v>1</v>
          </cell>
          <cell r="Z144">
            <v>1</v>
          </cell>
          <cell r="AA144">
            <v>1</v>
          </cell>
          <cell r="AB144">
            <v>2</v>
          </cell>
        </row>
        <row r="145">
          <cell r="C145" t="str">
            <v>ADAPTOR ELC531 ADAPTOR 12VOLT 1 A</v>
          </cell>
          <cell r="D145">
            <v>1</v>
          </cell>
          <cell r="E145">
            <v>0</v>
          </cell>
          <cell r="F145">
            <v>0</v>
          </cell>
          <cell r="H145" t="str">
            <v>GA</v>
          </cell>
          <cell r="I145" t="str">
            <v>PCS</v>
          </cell>
          <cell r="J145">
            <v>5</v>
          </cell>
          <cell r="K145">
            <v>3</v>
          </cell>
          <cell r="L145">
            <v>3</v>
          </cell>
          <cell r="M145">
            <v>14</v>
          </cell>
          <cell r="N145">
            <v>25</v>
          </cell>
          <cell r="O145">
            <v>25</v>
          </cell>
          <cell r="P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0.83333333333333337</v>
          </cell>
          <cell r="X145">
            <v>25</v>
          </cell>
          <cell r="Y145">
            <v>1</v>
          </cell>
          <cell r="Z145">
            <v>1</v>
          </cell>
          <cell r="AA145">
            <v>1</v>
          </cell>
          <cell r="AB145">
            <v>2</v>
          </cell>
        </row>
        <row r="146">
          <cell r="C146" t="str">
            <v>LAMPU ELC532 LAMPU LED 3 MATA 1,2A</v>
          </cell>
          <cell r="D146">
            <v>12</v>
          </cell>
          <cell r="E146">
            <v>2</v>
          </cell>
          <cell r="F146">
            <v>10</v>
          </cell>
          <cell r="H146" t="str">
            <v>GA</v>
          </cell>
          <cell r="I146" t="str">
            <v>PCS</v>
          </cell>
          <cell r="J146">
            <v>5</v>
          </cell>
          <cell r="K146">
            <v>3</v>
          </cell>
          <cell r="L146">
            <v>3</v>
          </cell>
          <cell r="M146">
            <v>14</v>
          </cell>
          <cell r="N146">
            <v>25</v>
          </cell>
          <cell r="O146">
            <v>25</v>
          </cell>
          <cell r="P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0.83333333333333337</v>
          </cell>
          <cell r="X146">
            <v>25</v>
          </cell>
          <cell r="Y146">
            <v>1</v>
          </cell>
          <cell r="Z146">
            <v>1</v>
          </cell>
          <cell r="AA146">
            <v>1</v>
          </cell>
          <cell r="AB146">
            <v>2</v>
          </cell>
        </row>
        <row r="147">
          <cell r="C147" t="str">
            <v>SENTER CSB147 SENTER LED ULTRAVIOLET JOYCO FL-90UV</v>
          </cell>
          <cell r="D147">
            <v>0</v>
          </cell>
          <cell r="E147">
            <v>0</v>
          </cell>
          <cell r="F147">
            <v>0</v>
          </cell>
          <cell r="H147" t="str">
            <v>GA</v>
          </cell>
          <cell r="I147" t="str">
            <v>PCS</v>
          </cell>
          <cell r="J147">
            <v>5</v>
          </cell>
          <cell r="K147">
            <v>3</v>
          </cell>
          <cell r="L147">
            <v>3</v>
          </cell>
          <cell r="M147">
            <v>14</v>
          </cell>
          <cell r="N147">
            <v>25</v>
          </cell>
          <cell r="O147">
            <v>100</v>
          </cell>
          <cell r="P147">
            <v>4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3.3333333333333335</v>
          </cell>
          <cell r="X147">
            <v>100</v>
          </cell>
          <cell r="Y147">
            <v>1</v>
          </cell>
          <cell r="Z147">
            <v>1</v>
          </cell>
          <cell r="AA147">
            <v>1</v>
          </cell>
          <cell r="AB147">
            <v>2</v>
          </cell>
        </row>
        <row r="148">
          <cell r="C148" t="str">
            <v>SPIDOL ATK107 SPIDOL WHITE</v>
          </cell>
          <cell r="D148">
            <v>0</v>
          </cell>
          <cell r="E148">
            <v>0</v>
          </cell>
          <cell r="F148">
            <v>0</v>
          </cell>
          <cell r="H148" t="str">
            <v>GA</v>
          </cell>
          <cell r="I148" t="str">
            <v>PCS</v>
          </cell>
          <cell r="J148">
            <v>5</v>
          </cell>
          <cell r="K148">
            <v>3</v>
          </cell>
          <cell r="L148">
            <v>3</v>
          </cell>
          <cell r="M148">
            <v>14</v>
          </cell>
          <cell r="N148">
            <v>25</v>
          </cell>
          <cell r="O148">
            <v>50</v>
          </cell>
          <cell r="P148">
            <v>2</v>
          </cell>
          <cell r="Q148">
            <v>18</v>
          </cell>
          <cell r="R148">
            <v>0</v>
          </cell>
          <cell r="S148">
            <v>0</v>
          </cell>
          <cell r="T148">
            <v>0</v>
          </cell>
          <cell r="U148">
            <v>18</v>
          </cell>
          <cell r="V148">
            <v>9.8590060350929907</v>
          </cell>
          <cell r="W148">
            <v>1.6666666666666667</v>
          </cell>
          <cell r="X148">
            <v>50</v>
          </cell>
          <cell r="Y148">
            <v>13</v>
          </cell>
          <cell r="Z148">
            <v>40.456558390209352</v>
          </cell>
          <cell r="AA148">
            <v>52.456558390209352</v>
          </cell>
          <cell r="AB148">
            <v>53.456558390209352</v>
          </cell>
        </row>
        <row r="149">
          <cell r="C149" t="str">
            <v>PENGHAPUS ATK087 PENGHAPUS KECIL STAEDLER</v>
          </cell>
          <cell r="D149">
            <v>0</v>
          </cell>
          <cell r="E149">
            <v>0</v>
          </cell>
          <cell r="F149">
            <v>0</v>
          </cell>
          <cell r="H149" t="str">
            <v>GA</v>
          </cell>
          <cell r="I149" t="str">
            <v>PCS</v>
          </cell>
          <cell r="J149">
            <v>5</v>
          </cell>
          <cell r="K149">
            <v>3</v>
          </cell>
          <cell r="L149">
            <v>3</v>
          </cell>
          <cell r="M149">
            <v>14</v>
          </cell>
          <cell r="N149">
            <v>25</v>
          </cell>
          <cell r="O149">
            <v>300</v>
          </cell>
          <cell r="P149">
            <v>12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10</v>
          </cell>
          <cell r="X149">
            <v>300</v>
          </cell>
          <cell r="Y149">
            <v>1</v>
          </cell>
          <cell r="Z149">
            <v>1</v>
          </cell>
          <cell r="AA149">
            <v>1</v>
          </cell>
          <cell r="AB149">
            <v>2</v>
          </cell>
        </row>
        <row r="150">
          <cell r="C150" t="str">
            <v>PENSIL ATK089 PENSIL STAEDLER 2B</v>
          </cell>
          <cell r="D150">
            <v>0</v>
          </cell>
          <cell r="E150">
            <v>0</v>
          </cell>
          <cell r="F150">
            <v>0</v>
          </cell>
          <cell r="H150" t="str">
            <v>GA</v>
          </cell>
          <cell r="I150" t="str">
            <v>PCS</v>
          </cell>
          <cell r="J150">
            <v>5</v>
          </cell>
          <cell r="K150">
            <v>3</v>
          </cell>
          <cell r="L150">
            <v>3</v>
          </cell>
          <cell r="M150">
            <v>14</v>
          </cell>
          <cell r="N150">
            <v>25</v>
          </cell>
          <cell r="O150">
            <v>300</v>
          </cell>
          <cell r="P150">
            <v>12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10</v>
          </cell>
          <cell r="X150">
            <v>300</v>
          </cell>
          <cell r="Y150">
            <v>1</v>
          </cell>
          <cell r="Z150">
            <v>1</v>
          </cell>
          <cell r="AA150">
            <v>1</v>
          </cell>
          <cell r="AB150">
            <v>2</v>
          </cell>
        </row>
        <row r="151">
          <cell r="C151" t="str">
            <v>PENGGARIS ATK086 PENGGARIS BESI 30 CM</v>
          </cell>
          <cell r="D151">
            <v>2</v>
          </cell>
          <cell r="E151">
            <v>1</v>
          </cell>
          <cell r="F151">
            <v>1</v>
          </cell>
          <cell r="H151" t="str">
            <v>GA</v>
          </cell>
          <cell r="I151" t="str">
            <v>PCS</v>
          </cell>
          <cell r="J151">
            <v>5</v>
          </cell>
          <cell r="K151">
            <v>3</v>
          </cell>
          <cell r="L151">
            <v>3</v>
          </cell>
          <cell r="M151">
            <v>14</v>
          </cell>
          <cell r="N151">
            <v>25</v>
          </cell>
          <cell r="O151">
            <v>300</v>
          </cell>
          <cell r="P151">
            <v>12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10</v>
          </cell>
          <cell r="X151">
            <v>300</v>
          </cell>
          <cell r="Y151">
            <v>1</v>
          </cell>
          <cell r="Z151">
            <v>1</v>
          </cell>
          <cell r="AA151">
            <v>1</v>
          </cell>
          <cell r="AB151">
            <v>2</v>
          </cell>
        </row>
        <row r="152">
          <cell r="C152" t="str">
            <v>GLUE GUN GUN003 GLUE GUN JOYKO GG-850 20W</v>
          </cell>
          <cell r="D152">
            <v>4</v>
          </cell>
          <cell r="E152">
            <v>2</v>
          </cell>
          <cell r="F152">
            <v>2</v>
          </cell>
          <cell r="H152" t="str">
            <v>MTP</v>
          </cell>
          <cell r="I152" t="str">
            <v>PK</v>
          </cell>
          <cell r="J152">
            <v>5</v>
          </cell>
          <cell r="K152">
            <v>3</v>
          </cell>
          <cell r="L152">
            <v>3</v>
          </cell>
          <cell r="M152">
            <v>21</v>
          </cell>
          <cell r="N152">
            <v>32</v>
          </cell>
          <cell r="O152">
            <v>192</v>
          </cell>
          <cell r="P152">
            <v>6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6.4</v>
          </cell>
          <cell r="X152">
            <v>192</v>
          </cell>
          <cell r="Y152">
            <v>1</v>
          </cell>
          <cell r="Z152">
            <v>1</v>
          </cell>
          <cell r="AA152">
            <v>1</v>
          </cell>
          <cell r="AB152">
            <v>2</v>
          </cell>
        </row>
        <row r="153">
          <cell r="C153" t="str">
            <v>LEM LEM004 HOT MELT GLUE STICK TRANSPARENT</v>
          </cell>
          <cell r="D153">
            <v>7</v>
          </cell>
          <cell r="E153">
            <v>2</v>
          </cell>
          <cell r="F153">
            <v>5</v>
          </cell>
          <cell r="H153" t="str">
            <v>MTP</v>
          </cell>
          <cell r="I153" t="str">
            <v>PCE</v>
          </cell>
          <cell r="J153">
            <v>5</v>
          </cell>
          <cell r="K153">
            <v>3</v>
          </cell>
          <cell r="L153">
            <v>3</v>
          </cell>
          <cell r="M153">
            <v>21</v>
          </cell>
          <cell r="N153">
            <v>32</v>
          </cell>
          <cell r="O153">
            <v>192</v>
          </cell>
          <cell r="P153">
            <v>6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6.4</v>
          </cell>
          <cell r="X153">
            <v>192</v>
          </cell>
          <cell r="Y153">
            <v>1</v>
          </cell>
          <cell r="Z153">
            <v>1</v>
          </cell>
          <cell r="AA153">
            <v>1</v>
          </cell>
          <cell r="AB153">
            <v>2</v>
          </cell>
        </row>
        <row r="154">
          <cell r="C154" t="str">
            <v>LAMPU LED ELC170 LAMPU LED LED 5MM 2.0 VOLT MAGNIFYING LAMP</v>
          </cell>
          <cell r="D154">
            <v>150</v>
          </cell>
          <cell r="E154">
            <v>35</v>
          </cell>
          <cell r="F154">
            <v>115</v>
          </cell>
          <cell r="H154" t="str">
            <v>GA</v>
          </cell>
          <cell r="I154" t="str">
            <v>PCS</v>
          </cell>
          <cell r="J154">
            <v>5</v>
          </cell>
          <cell r="K154">
            <v>3</v>
          </cell>
          <cell r="L154">
            <v>3</v>
          </cell>
          <cell r="M154">
            <v>14</v>
          </cell>
          <cell r="N154">
            <v>25</v>
          </cell>
          <cell r="O154">
            <v>50</v>
          </cell>
          <cell r="P154">
            <v>2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1.6666666666666667</v>
          </cell>
          <cell r="X154">
            <v>50</v>
          </cell>
          <cell r="Y154">
            <v>1</v>
          </cell>
          <cell r="Z154">
            <v>1</v>
          </cell>
          <cell r="AA154">
            <v>1</v>
          </cell>
          <cell r="AB154">
            <v>2</v>
          </cell>
        </row>
        <row r="155">
          <cell r="C155" t="str">
            <v>LAMPU LED ELC587 LAMPU TL RING MAGNIFIYING(T4 12W)</v>
          </cell>
          <cell r="D155">
            <v>0</v>
          </cell>
          <cell r="E155">
            <v>0</v>
          </cell>
          <cell r="F155">
            <v>0</v>
          </cell>
          <cell r="H155" t="str">
            <v>GA</v>
          </cell>
          <cell r="I155" t="str">
            <v>PCS</v>
          </cell>
          <cell r="J155">
            <v>5</v>
          </cell>
          <cell r="K155">
            <v>3</v>
          </cell>
          <cell r="L155">
            <v>3</v>
          </cell>
          <cell r="M155">
            <v>14</v>
          </cell>
          <cell r="N155">
            <v>25</v>
          </cell>
          <cell r="O155">
            <v>50</v>
          </cell>
          <cell r="P155">
            <v>2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1.6666666666666667</v>
          </cell>
          <cell r="X155">
            <v>50</v>
          </cell>
          <cell r="Y155">
            <v>1</v>
          </cell>
          <cell r="Z155">
            <v>1</v>
          </cell>
          <cell r="AA155">
            <v>1</v>
          </cell>
          <cell r="AB155">
            <v>2</v>
          </cell>
        </row>
        <row r="156">
          <cell r="C156" t="str">
            <v>LAMPU LED ELC588 LAMPU LED STRIP(120MM)</v>
          </cell>
          <cell r="D156">
            <v>191</v>
          </cell>
          <cell r="E156">
            <v>40</v>
          </cell>
          <cell r="F156">
            <v>151</v>
          </cell>
          <cell r="H156" t="str">
            <v>GA</v>
          </cell>
          <cell r="I156" t="str">
            <v>PCS</v>
          </cell>
          <cell r="J156">
            <v>5</v>
          </cell>
          <cell r="K156">
            <v>3</v>
          </cell>
          <cell r="L156">
            <v>3</v>
          </cell>
          <cell r="M156">
            <v>14</v>
          </cell>
          <cell r="N156">
            <v>25</v>
          </cell>
          <cell r="O156">
            <v>50</v>
          </cell>
          <cell r="P156">
            <v>2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1.6666666666666667</v>
          </cell>
          <cell r="X156">
            <v>50</v>
          </cell>
          <cell r="Y156">
            <v>1</v>
          </cell>
          <cell r="Z156">
            <v>1</v>
          </cell>
          <cell r="AA156">
            <v>1</v>
          </cell>
          <cell r="AB156">
            <v>2</v>
          </cell>
        </row>
        <row r="157">
          <cell r="C157" t="str">
            <v>BATERAI ELC128 BATERAI TIMBANGAN</v>
          </cell>
          <cell r="D157">
            <v>1800</v>
          </cell>
          <cell r="E157">
            <v>0</v>
          </cell>
          <cell r="F157">
            <v>0</v>
          </cell>
          <cell r="H157" t="str">
            <v>GA</v>
          </cell>
          <cell r="I157" t="str">
            <v>PCS</v>
          </cell>
          <cell r="J157">
            <v>5</v>
          </cell>
          <cell r="K157">
            <v>3</v>
          </cell>
          <cell r="L157">
            <v>3</v>
          </cell>
          <cell r="M157">
            <v>14</v>
          </cell>
          <cell r="N157">
            <v>25</v>
          </cell>
          <cell r="O157">
            <v>300</v>
          </cell>
          <cell r="P157">
            <v>12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10</v>
          </cell>
          <cell r="X157">
            <v>300</v>
          </cell>
          <cell r="Y157">
            <v>1</v>
          </cell>
          <cell r="Z157">
            <v>1</v>
          </cell>
          <cell r="AA157">
            <v>1</v>
          </cell>
          <cell r="AB157">
            <v>2</v>
          </cell>
        </row>
        <row r="158">
          <cell r="C158" t="str">
            <v>BAUT BAUT128 BAUT WAFER HEAD P30 1 PACK=100PCS</v>
          </cell>
          <cell r="D158">
            <v>1</v>
          </cell>
          <cell r="E158">
            <v>0</v>
          </cell>
          <cell r="F158">
            <v>0</v>
          </cell>
          <cell r="H158" t="str">
            <v>MTP</v>
          </cell>
          <cell r="I158" t="str">
            <v>PK</v>
          </cell>
          <cell r="J158">
            <v>5</v>
          </cell>
          <cell r="K158">
            <v>3</v>
          </cell>
          <cell r="L158">
            <v>3</v>
          </cell>
          <cell r="M158">
            <v>21</v>
          </cell>
          <cell r="N158">
            <v>32</v>
          </cell>
          <cell r="O158">
            <v>384</v>
          </cell>
          <cell r="P158">
            <v>12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12.8</v>
          </cell>
          <cell r="X158">
            <v>384</v>
          </cell>
          <cell r="Y158">
            <v>1</v>
          </cell>
          <cell r="Z158">
            <v>1</v>
          </cell>
          <cell r="AA158">
            <v>1</v>
          </cell>
          <cell r="AB158">
            <v>2</v>
          </cell>
        </row>
        <row r="159">
          <cell r="C159" t="str">
            <v>REWARD TRN17 REWARD QUALITY LINE CONTROL ( QLP ) AWARD</v>
          </cell>
          <cell r="D159">
            <v>18000</v>
          </cell>
          <cell r="E159">
            <v>1500</v>
          </cell>
          <cell r="F159">
            <v>16500</v>
          </cell>
          <cell r="H159" t="str">
            <v>GA</v>
          </cell>
          <cell r="I159" t="str">
            <v>LOT</v>
          </cell>
          <cell r="J159">
            <v>5</v>
          </cell>
          <cell r="K159">
            <v>3</v>
          </cell>
          <cell r="L159">
            <v>3</v>
          </cell>
          <cell r="M159">
            <v>14</v>
          </cell>
          <cell r="N159">
            <v>25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1</v>
          </cell>
          <cell r="Z159">
            <v>1</v>
          </cell>
          <cell r="AA159">
            <v>1</v>
          </cell>
          <cell r="AB159">
            <v>2</v>
          </cell>
        </row>
        <row r="160">
          <cell r="C160" t="str">
            <v>DISPENSER TAPE ATK050 TAPE DISPENSER LAKBAN 2" PLASTIK JOYKO</v>
          </cell>
          <cell r="D160">
            <v>24000</v>
          </cell>
          <cell r="E160">
            <v>18000</v>
          </cell>
          <cell r="F160">
            <v>6000</v>
          </cell>
          <cell r="H160" t="str">
            <v>GA</v>
          </cell>
          <cell r="I160" t="str">
            <v>PCS</v>
          </cell>
          <cell r="J160">
            <v>5</v>
          </cell>
          <cell r="K160">
            <v>3</v>
          </cell>
          <cell r="L160">
            <v>3</v>
          </cell>
          <cell r="M160">
            <v>14</v>
          </cell>
          <cell r="N160">
            <v>25</v>
          </cell>
          <cell r="O160">
            <v>300</v>
          </cell>
          <cell r="P160">
            <v>12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10</v>
          </cell>
          <cell r="X160">
            <v>300</v>
          </cell>
          <cell r="Y160">
            <v>1</v>
          </cell>
          <cell r="Z160">
            <v>1</v>
          </cell>
          <cell r="AA160">
            <v>1</v>
          </cell>
          <cell r="AB160">
            <v>2</v>
          </cell>
        </row>
        <row r="161">
          <cell r="C161" t="str">
            <v>KUNCI KUNCI03 KUNCI L SET TEKIRO HK-LS1200</v>
          </cell>
          <cell r="D161">
            <v>24</v>
          </cell>
          <cell r="E161">
            <v>12</v>
          </cell>
          <cell r="F161">
            <v>12</v>
          </cell>
          <cell r="H161" t="str">
            <v>MTP</v>
          </cell>
          <cell r="I161" t="str">
            <v>SET</v>
          </cell>
          <cell r="J161">
            <v>5</v>
          </cell>
          <cell r="K161">
            <v>3</v>
          </cell>
          <cell r="L161">
            <v>3</v>
          </cell>
          <cell r="M161">
            <v>21</v>
          </cell>
          <cell r="N161">
            <v>32</v>
          </cell>
          <cell r="O161">
            <v>128</v>
          </cell>
          <cell r="P161">
            <v>4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4.2666666666666666</v>
          </cell>
          <cell r="X161">
            <v>128</v>
          </cell>
          <cell r="Y161">
            <v>1</v>
          </cell>
          <cell r="Z161">
            <v>1</v>
          </cell>
          <cell r="AA161">
            <v>1</v>
          </cell>
          <cell r="AB161">
            <v>2</v>
          </cell>
        </row>
        <row r="162">
          <cell r="C162" t="str">
            <v>REWARD PRD001 REWARD LOMBA LINE TERBAIK DOWNTIME JAM PERTAMA</v>
          </cell>
          <cell r="D162">
            <v>3</v>
          </cell>
          <cell r="E162">
            <v>0</v>
          </cell>
          <cell r="F162">
            <v>0</v>
          </cell>
          <cell r="H162" t="str">
            <v>GA</v>
          </cell>
          <cell r="I162" t="str">
            <v>LOT</v>
          </cell>
          <cell r="J162">
            <v>5</v>
          </cell>
          <cell r="K162">
            <v>3</v>
          </cell>
          <cell r="L162">
            <v>3</v>
          </cell>
          <cell r="M162">
            <v>14</v>
          </cell>
          <cell r="N162">
            <v>25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1</v>
          </cell>
          <cell r="Z162">
            <v>1</v>
          </cell>
          <cell r="AA162">
            <v>1</v>
          </cell>
          <cell r="AB162">
            <v>2</v>
          </cell>
        </row>
        <row r="163">
          <cell r="C163" t="str">
            <v>REWARD PRD002 REWARD IDE PENURUNAN DOWNTIME JAM PERTAMA</v>
          </cell>
          <cell r="D163">
            <v>43</v>
          </cell>
          <cell r="E163">
            <v>0</v>
          </cell>
          <cell r="F163">
            <v>43</v>
          </cell>
          <cell r="H163" t="str">
            <v>GA</v>
          </cell>
          <cell r="I163" t="str">
            <v>ORANG</v>
          </cell>
          <cell r="J163">
            <v>5</v>
          </cell>
          <cell r="K163">
            <v>3</v>
          </cell>
          <cell r="L163">
            <v>3</v>
          </cell>
          <cell r="M163">
            <v>14</v>
          </cell>
          <cell r="N163">
            <v>25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1</v>
          </cell>
          <cell r="Z163">
            <v>1</v>
          </cell>
          <cell r="AA163">
            <v>1</v>
          </cell>
          <cell r="AB163">
            <v>2</v>
          </cell>
        </row>
        <row r="164">
          <cell r="C164" t="str">
            <v>ROLLMETER WSZ02692 ROLLMETER(10/SET)</v>
          </cell>
          <cell r="H164" t="str">
            <v>MTP</v>
          </cell>
          <cell r="I164" t="str">
            <v>SET</v>
          </cell>
          <cell r="J164">
            <v>5</v>
          </cell>
          <cell r="K164">
            <v>3</v>
          </cell>
          <cell r="L164">
            <v>3</v>
          </cell>
          <cell r="M164">
            <v>21</v>
          </cell>
          <cell r="N164">
            <v>32</v>
          </cell>
          <cell r="O164">
            <v>384</v>
          </cell>
          <cell r="P164">
            <v>12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12.8</v>
          </cell>
          <cell r="X164">
            <v>384</v>
          </cell>
          <cell r="Y164">
            <v>1</v>
          </cell>
          <cell r="Z164">
            <v>1</v>
          </cell>
          <cell r="AA164">
            <v>1</v>
          </cell>
          <cell r="AB164">
            <v>2</v>
          </cell>
        </row>
        <row r="165">
          <cell r="C165" t="str">
            <v>KUNCI KUNCI20 KUNCI RING PASS SET TEKIRO WR-SE0297</v>
          </cell>
          <cell r="H165" t="str">
            <v>MTP</v>
          </cell>
          <cell r="I165" t="str">
            <v>SET</v>
          </cell>
          <cell r="J165">
            <v>5</v>
          </cell>
          <cell r="K165">
            <v>3</v>
          </cell>
          <cell r="L165">
            <v>3</v>
          </cell>
          <cell r="M165">
            <v>21</v>
          </cell>
          <cell r="N165">
            <v>32</v>
          </cell>
          <cell r="O165">
            <v>128</v>
          </cell>
          <cell r="P165">
            <v>4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4.2666666666666666</v>
          </cell>
          <cell r="X165">
            <v>128</v>
          </cell>
          <cell r="Y165">
            <v>1</v>
          </cell>
          <cell r="Z165">
            <v>1</v>
          </cell>
          <cell r="AA165">
            <v>1</v>
          </cell>
          <cell r="AB165">
            <v>2</v>
          </cell>
        </row>
        <row r="166">
          <cell r="C166" t="str">
            <v>EARPLUG SFT050 REUSABLE RPLUG W/PVC CORD 1271</v>
          </cell>
          <cell r="H166" t="str">
            <v>GA</v>
          </cell>
          <cell r="I166" t="str">
            <v>PASANG</v>
          </cell>
          <cell r="J166">
            <v>5</v>
          </cell>
          <cell r="K166">
            <v>3</v>
          </cell>
          <cell r="L166">
            <v>3</v>
          </cell>
          <cell r="M166">
            <v>14</v>
          </cell>
          <cell r="N166">
            <v>25</v>
          </cell>
          <cell r="O166">
            <v>300</v>
          </cell>
          <cell r="P166">
            <v>12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10</v>
          </cell>
          <cell r="X166">
            <v>300</v>
          </cell>
          <cell r="Y166">
            <v>1</v>
          </cell>
          <cell r="Z166">
            <v>1</v>
          </cell>
          <cell r="AA166">
            <v>1</v>
          </cell>
          <cell r="AB166">
            <v>2</v>
          </cell>
        </row>
        <row r="167">
          <cell r="C167" t="str">
            <v>KUNCI KUNCI10 KUNCI INGGRIS 6 INCH WR-AD0280</v>
          </cell>
          <cell r="H167" t="str">
            <v>MTP</v>
          </cell>
          <cell r="I167" t="str">
            <v>PCE</v>
          </cell>
          <cell r="J167">
            <v>5</v>
          </cell>
          <cell r="K167">
            <v>3</v>
          </cell>
          <cell r="L167">
            <v>3</v>
          </cell>
          <cell r="M167">
            <v>21</v>
          </cell>
          <cell r="N167">
            <v>32</v>
          </cell>
          <cell r="O167">
            <v>128</v>
          </cell>
          <cell r="P167">
            <v>4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4.2666666666666666</v>
          </cell>
          <cell r="X167">
            <v>128</v>
          </cell>
          <cell r="Y167">
            <v>1</v>
          </cell>
          <cell r="Z167">
            <v>1</v>
          </cell>
          <cell r="AA167">
            <v>1</v>
          </cell>
          <cell r="AB167">
            <v>2</v>
          </cell>
        </row>
        <row r="168">
          <cell r="C168" t="str">
            <v>KUNCI KUNCI34 KUNCI PAS 1 SET 6 S/D 18-19 WR-SE0306</v>
          </cell>
          <cell r="H168" t="str">
            <v>MTP</v>
          </cell>
          <cell r="I168" t="str">
            <v>SET</v>
          </cell>
          <cell r="J168">
            <v>5</v>
          </cell>
          <cell r="K168">
            <v>3</v>
          </cell>
          <cell r="L168">
            <v>3</v>
          </cell>
          <cell r="M168">
            <v>21</v>
          </cell>
          <cell r="N168">
            <v>32</v>
          </cell>
          <cell r="O168">
            <v>128</v>
          </cell>
          <cell r="P168">
            <v>4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4.2666666666666666</v>
          </cell>
          <cell r="X168">
            <v>128</v>
          </cell>
          <cell r="Y168">
            <v>1</v>
          </cell>
          <cell r="Z168">
            <v>1</v>
          </cell>
          <cell r="AA168">
            <v>1</v>
          </cell>
          <cell r="AB168">
            <v>2</v>
          </cell>
        </row>
        <row r="169">
          <cell r="C169" t="str">
            <v>CORDLESS DRILL DRILL004 CORDLESS DRILL GSR 120 GEN 3 BOSCH</v>
          </cell>
          <cell r="H169" t="str">
            <v>MTP</v>
          </cell>
          <cell r="I169" t="str">
            <v>PCE</v>
          </cell>
          <cell r="J169">
            <v>5</v>
          </cell>
          <cell r="K169">
            <v>3</v>
          </cell>
          <cell r="L169">
            <v>3</v>
          </cell>
          <cell r="M169">
            <v>21</v>
          </cell>
          <cell r="N169">
            <v>32</v>
          </cell>
          <cell r="O169">
            <v>384</v>
          </cell>
          <cell r="P169">
            <v>12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12.8</v>
          </cell>
          <cell r="X169">
            <v>384</v>
          </cell>
          <cell r="Y169">
            <v>1</v>
          </cell>
          <cell r="Z169">
            <v>1</v>
          </cell>
          <cell r="AA169">
            <v>1</v>
          </cell>
          <cell r="AB169">
            <v>2</v>
          </cell>
        </row>
        <row r="170">
          <cell r="C170" t="str">
            <v>PAHAT BUBUT PAHAT008 PAHAT RATA LUAR FERROUS ISCAR MWLNR 2525M-06W WITH ISCAR WNMG 06T304-TF IC907</v>
          </cell>
          <cell r="H170" t="str">
            <v>MTP</v>
          </cell>
          <cell r="I170" t="str">
            <v>SET</v>
          </cell>
          <cell r="J170">
            <v>5</v>
          </cell>
          <cell r="K170">
            <v>3</v>
          </cell>
          <cell r="L170">
            <v>3</v>
          </cell>
          <cell r="M170">
            <v>21</v>
          </cell>
          <cell r="N170">
            <v>32</v>
          </cell>
          <cell r="O170">
            <v>384</v>
          </cell>
          <cell r="P170">
            <v>12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12.8</v>
          </cell>
          <cell r="X170">
            <v>384</v>
          </cell>
          <cell r="Y170">
            <v>1</v>
          </cell>
          <cell r="Z170">
            <v>1</v>
          </cell>
          <cell r="AA170">
            <v>1</v>
          </cell>
          <cell r="AB170">
            <v>2</v>
          </cell>
        </row>
        <row r="171">
          <cell r="C171" t="str">
            <v>HOLE SAW SAW009 HOLE SAW KNK40</v>
          </cell>
          <cell r="H171" t="str">
            <v>MTP</v>
          </cell>
          <cell r="I171" t="str">
            <v>PCE</v>
          </cell>
          <cell r="J171">
            <v>5</v>
          </cell>
          <cell r="K171">
            <v>3</v>
          </cell>
          <cell r="L171">
            <v>3</v>
          </cell>
          <cell r="M171">
            <v>21</v>
          </cell>
          <cell r="N171">
            <v>32</v>
          </cell>
          <cell r="O171">
            <v>384</v>
          </cell>
          <cell r="P171">
            <v>12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12.8</v>
          </cell>
          <cell r="X171">
            <v>384</v>
          </cell>
          <cell r="Y171">
            <v>1</v>
          </cell>
          <cell r="Z171">
            <v>1</v>
          </cell>
          <cell r="AA171">
            <v>1</v>
          </cell>
          <cell r="AB171">
            <v>2</v>
          </cell>
        </row>
        <row r="172">
          <cell r="C172" t="str">
            <v>CLIP 4BB004557 CLIP RC-BASE 1LOT 1000PCS</v>
          </cell>
          <cell r="H172" t="str">
            <v>MTP</v>
          </cell>
          <cell r="I172" t="str">
            <v>LOT</v>
          </cell>
          <cell r="J172">
            <v>5</v>
          </cell>
          <cell r="K172">
            <v>3</v>
          </cell>
          <cell r="L172">
            <v>3</v>
          </cell>
          <cell r="M172">
            <v>21</v>
          </cell>
          <cell r="N172">
            <v>32</v>
          </cell>
          <cell r="O172">
            <v>192</v>
          </cell>
          <cell r="P172">
            <v>6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6.4</v>
          </cell>
          <cell r="X172">
            <v>192</v>
          </cell>
          <cell r="Y172">
            <v>1</v>
          </cell>
          <cell r="Z172">
            <v>1</v>
          </cell>
          <cell r="AA172">
            <v>1</v>
          </cell>
          <cell r="AB172">
            <v>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8"/>
  <sheetViews>
    <sheetView topLeftCell="A13" workbookViewId="0">
      <selection activeCell="R18" sqref="R18"/>
    </sheetView>
  </sheetViews>
  <sheetFormatPr defaultRowHeight="15" x14ac:dyDescent="0.25"/>
  <cols>
    <col min="2" max="2" width="12.140625" bestFit="1" customWidth="1"/>
    <col min="3" max="3" width="14.28515625" bestFit="1" customWidth="1"/>
    <col min="4" max="4" width="48.7109375" bestFit="1" customWidth="1"/>
    <col min="5" max="5" width="16" hidden="1" customWidth="1"/>
    <col min="6" max="6" width="12.85546875" bestFit="1" customWidth="1"/>
    <col min="7" max="7" width="10.5703125" bestFit="1" customWidth="1"/>
    <col min="8" max="8" width="5.7109375" bestFit="1" customWidth="1"/>
    <col min="9" max="9" width="10.28515625" bestFit="1" customWidth="1"/>
    <col min="10" max="10" width="7" bestFit="1" customWidth="1"/>
    <col min="11" max="12" width="6" bestFit="1" customWidth="1"/>
    <col min="13" max="13" width="5" bestFit="1" customWidth="1"/>
    <col min="14" max="14" width="8.140625" customWidth="1"/>
    <col min="16" max="16" width="7.28515625" customWidth="1"/>
    <col min="17" max="17" width="8.5703125" customWidth="1"/>
    <col min="18" max="18" width="8.28515625" customWidth="1"/>
  </cols>
  <sheetData>
    <row r="1" spans="1:20" ht="46.5" x14ac:dyDescent="0.7">
      <c r="A1" s="5" t="s">
        <v>64</v>
      </c>
    </row>
    <row r="2" spans="1:20" ht="33" customHeight="1" x14ac:dyDescent="0.25">
      <c r="A2" s="34" t="s">
        <v>0</v>
      </c>
      <c r="B2" s="34" t="s">
        <v>1</v>
      </c>
      <c r="C2" s="34" t="s">
        <v>2</v>
      </c>
      <c r="D2" s="34" t="s">
        <v>3</v>
      </c>
      <c r="E2" s="7"/>
      <c r="F2" s="34" t="s">
        <v>4</v>
      </c>
      <c r="G2" s="34" t="s">
        <v>5</v>
      </c>
      <c r="H2" s="34" t="s">
        <v>6</v>
      </c>
      <c r="I2" s="34" t="s">
        <v>7</v>
      </c>
      <c r="J2" s="36" t="s">
        <v>8</v>
      </c>
      <c r="K2" s="37"/>
      <c r="L2" s="36" t="s">
        <v>54</v>
      </c>
      <c r="M2" s="37"/>
      <c r="N2" s="38" t="s">
        <v>56</v>
      </c>
      <c r="O2" s="34" t="s">
        <v>57</v>
      </c>
      <c r="P2" s="38" t="s">
        <v>58</v>
      </c>
      <c r="Q2" s="38" t="s">
        <v>59</v>
      </c>
      <c r="R2" s="38" t="s">
        <v>60</v>
      </c>
      <c r="S2" s="34" t="s">
        <v>61</v>
      </c>
      <c r="T2" s="34" t="s">
        <v>62</v>
      </c>
    </row>
    <row r="3" spans="1:20" ht="33" customHeight="1" x14ac:dyDescent="0.25">
      <c r="A3" s="35"/>
      <c r="B3" s="35"/>
      <c r="C3" s="35"/>
      <c r="D3" s="35"/>
      <c r="E3" s="8"/>
      <c r="F3" s="35"/>
      <c r="G3" s="35"/>
      <c r="H3" s="35"/>
      <c r="I3" s="35"/>
      <c r="J3" s="3" t="s">
        <v>55</v>
      </c>
      <c r="K3" s="3" t="s">
        <v>9</v>
      </c>
      <c r="L3" s="3" t="s">
        <v>55</v>
      </c>
      <c r="M3" s="3" t="s">
        <v>9</v>
      </c>
      <c r="N3" s="39"/>
      <c r="O3" s="35"/>
      <c r="P3" s="39"/>
      <c r="Q3" s="39"/>
      <c r="R3" s="39"/>
      <c r="S3" s="35"/>
      <c r="T3" s="35"/>
    </row>
    <row r="4" spans="1:20" ht="25.5" customHeight="1" x14ac:dyDescent="0.25">
      <c r="A4" s="1">
        <v>1</v>
      </c>
      <c r="B4" s="1" t="s">
        <v>10</v>
      </c>
      <c r="C4" s="1" t="s">
        <v>11</v>
      </c>
      <c r="D4" s="1" t="s">
        <v>12</v>
      </c>
      <c r="E4" s="1" t="str">
        <f t="shared" ref="E4:E17" si="0">C4&amp;" "&amp;B4&amp;" "&amp;D4</f>
        <v>CUP CUP002 CUP TRANSPARAN MOQ : 2000PCS</v>
      </c>
      <c r="F4" s="1" t="s">
        <v>13</v>
      </c>
      <c r="G4" s="1" t="s">
        <v>14</v>
      </c>
      <c r="H4" s="1" t="s">
        <v>15</v>
      </c>
      <c r="I4" s="1" t="s">
        <v>16</v>
      </c>
      <c r="J4" s="1">
        <v>11400</v>
      </c>
      <c r="K4" s="1">
        <v>200</v>
      </c>
      <c r="L4" s="2"/>
      <c r="M4" s="2"/>
      <c r="N4" s="1">
        <v>200</v>
      </c>
      <c r="O4" s="1" t="s">
        <v>63</v>
      </c>
      <c r="P4" s="1">
        <v>5220</v>
      </c>
      <c r="Q4" s="6">
        <v>1000</v>
      </c>
      <c r="R4" s="6">
        <v>3000</v>
      </c>
      <c r="S4" s="1"/>
      <c r="T4" s="1"/>
    </row>
    <row r="5" spans="1:20" ht="29.25" customHeight="1" x14ac:dyDescent="0.25">
      <c r="A5" s="1">
        <v>2</v>
      </c>
      <c r="B5" s="1" t="s">
        <v>17</v>
      </c>
      <c r="C5" s="1" t="s">
        <v>18</v>
      </c>
      <c r="D5" s="1" t="s">
        <v>19</v>
      </c>
      <c r="E5" s="1" t="str">
        <f t="shared" si="0"/>
        <v>KUAS KUAS001 KUAS 1 INCH</v>
      </c>
      <c r="F5" s="1" t="s">
        <v>13</v>
      </c>
      <c r="G5" s="1" t="s">
        <v>14</v>
      </c>
      <c r="H5" s="1" t="s">
        <v>15</v>
      </c>
      <c r="I5" s="1" t="s">
        <v>16</v>
      </c>
      <c r="J5" s="1">
        <v>5250</v>
      </c>
      <c r="K5" s="1">
        <v>65</v>
      </c>
      <c r="L5" s="2"/>
      <c r="M5" s="2"/>
      <c r="N5" s="1">
        <v>65</v>
      </c>
      <c r="O5" s="1" t="s">
        <v>63</v>
      </c>
      <c r="P5" s="1">
        <v>16</v>
      </c>
      <c r="Q5" s="6">
        <f>VLOOKUP(E5,[1]Sheet2!$C$7:$Y$174,23,0)</f>
        <v>89.74666666666667</v>
      </c>
      <c r="R5" s="6">
        <f>VLOOKUP(E5,[1]Sheet2!$C$7:$AB$173,26,0)</f>
        <v>264.36438004868307</v>
      </c>
      <c r="S5" s="1"/>
      <c r="T5" s="1"/>
    </row>
    <row r="6" spans="1:20" ht="29.25" customHeight="1" x14ac:dyDescent="0.25">
      <c r="A6" s="1">
        <v>3</v>
      </c>
      <c r="B6" s="1" t="s">
        <v>20</v>
      </c>
      <c r="C6" s="1" t="s">
        <v>18</v>
      </c>
      <c r="D6" s="1" t="s">
        <v>21</v>
      </c>
      <c r="E6" s="1" t="str">
        <f t="shared" si="0"/>
        <v>KUAS KUAS002 KUAS NO 5 1/2 INCH</v>
      </c>
      <c r="F6" s="1" t="s">
        <v>13</v>
      </c>
      <c r="G6" s="1" t="s">
        <v>14</v>
      </c>
      <c r="H6" s="1" t="s">
        <v>15</v>
      </c>
      <c r="I6" s="1" t="s">
        <v>16</v>
      </c>
      <c r="J6" s="1">
        <v>5250</v>
      </c>
      <c r="K6" s="1">
        <v>4</v>
      </c>
      <c r="L6" s="2"/>
      <c r="M6" s="2"/>
      <c r="N6" s="1">
        <v>4</v>
      </c>
      <c r="O6" s="1" t="s">
        <v>63</v>
      </c>
      <c r="P6" s="1">
        <v>81</v>
      </c>
      <c r="Q6" s="6">
        <v>10</v>
      </c>
      <c r="R6" s="6">
        <v>15</v>
      </c>
      <c r="S6" s="1"/>
      <c r="T6" s="1"/>
    </row>
    <row r="7" spans="1:20" ht="29.25" customHeight="1" x14ac:dyDescent="0.25">
      <c r="A7" s="1">
        <v>4</v>
      </c>
      <c r="B7" s="1" t="s">
        <v>22</v>
      </c>
      <c r="C7" s="1" t="s">
        <v>18</v>
      </c>
      <c r="D7" s="1" t="s">
        <v>23</v>
      </c>
      <c r="E7" s="1" t="str">
        <f t="shared" si="0"/>
        <v>KUAS KUAS003 KUAS 2 INCH</v>
      </c>
      <c r="F7" s="1" t="s">
        <v>13</v>
      </c>
      <c r="G7" s="1" t="s">
        <v>14</v>
      </c>
      <c r="H7" s="1" t="s">
        <v>15</v>
      </c>
      <c r="I7" s="1" t="s">
        <v>16</v>
      </c>
      <c r="J7" s="1">
        <v>10500</v>
      </c>
      <c r="K7" s="1">
        <v>9</v>
      </c>
      <c r="L7" s="2"/>
      <c r="M7" s="2"/>
      <c r="N7" s="1">
        <v>9</v>
      </c>
      <c r="O7" s="1" t="s">
        <v>63</v>
      </c>
      <c r="P7" s="1">
        <v>22</v>
      </c>
      <c r="Q7" s="6">
        <f>VLOOKUP(E7,[1]Sheet2!$C$7:$Y$174,23,0)</f>
        <v>8.68</v>
      </c>
      <c r="R7" s="6">
        <f>VLOOKUP(E7,[1]Sheet2!$C$7:$AB$173,26,0)</f>
        <v>32</v>
      </c>
      <c r="S7" s="1"/>
      <c r="T7" s="1"/>
    </row>
    <row r="8" spans="1:20" ht="29.25" customHeight="1" x14ac:dyDescent="0.25">
      <c r="A8" s="1">
        <v>5</v>
      </c>
      <c r="B8" s="1" t="s">
        <v>24</v>
      </c>
      <c r="C8" s="1" t="s">
        <v>25</v>
      </c>
      <c r="D8" s="1" t="s">
        <v>26</v>
      </c>
      <c r="E8" s="1" t="str">
        <f t="shared" si="0"/>
        <v>SIKAT SIKAT001 SIKAT GIGI ORAL B</v>
      </c>
      <c r="F8" s="1" t="s">
        <v>13</v>
      </c>
      <c r="G8" s="1" t="s">
        <v>14</v>
      </c>
      <c r="H8" s="1" t="s">
        <v>27</v>
      </c>
      <c r="I8" s="1" t="s">
        <v>16</v>
      </c>
      <c r="J8" s="1">
        <v>13125</v>
      </c>
      <c r="K8" s="1">
        <v>15</v>
      </c>
      <c r="L8" s="2"/>
      <c r="M8" s="2"/>
      <c r="N8" s="1">
        <v>15</v>
      </c>
      <c r="O8" s="1" t="s">
        <v>63</v>
      </c>
      <c r="P8" s="1">
        <v>-4</v>
      </c>
      <c r="Q8" s="6">
        <f>VLOOKUP(E8,[1]Sheet2!$C$7:$Y$174,23,0)</f>
        <v>20.2</v>
      </c>
      <c r="R8" s="6">
        <f>VLOOKUP(E8,[1]Sheet2!$C$7:$AB$173,26,0)</f>
        <v>58.399999999999991</v>
      </c>
      <c r="S8" s="1"/>
      <c r="T8" s="1"/>
    </row>
    <row r="9" spans="1:20" ht="29.25" customHeight="1" x14ac:dyDescent="0.25">
      <c r="A9" s="1">
        <v>6</v>
      </c>
      <c r="B9" s="1" t="s">
        <v>28</v>
      </c>
      <c r="C9" s="1" t="s">
        <v>29</v>
      </c>
      <c r="D9" s="1" t="s">
        <v>30</v>
      </c>
      <c r="E9" s="1" t="str">
        <f t="shared" si="0"/>
        <v>TANG TANG003 TANG POTONG 6 INCH SELLERY 88-566</v>
      </c>
      <c r="F9" s="1" t="s">
        <v>13</v>
      </c>
      <c r="G9" s="1" t="s">
        <v>14</v>
      </c>
      <c r="H9" s="1" t="s">
        <v>15</v>
      </c>
      <c r="I9" s="1" t="s">
        <v>16</v>
      </c>
      <c r="J9" s="1">
        <v>121000</v>
      </c>
      <c r="K9" s="1">
        <v>10</v>
      </c>
      <c r="L9" s="2"/>
      <c r="M9" s="2"/>
      <c r="N9" s="1">
        <v>10</v>
      </c>
      <c r="O9" s="1" t="s">
        <v>63</v>
      </c>
      <c r="P9" s="1">
        <v>15</v>
      </c>
      <c r="Q9" s="6">
        <f>VLOOKUP(E9,[1]Sheet2!$C$7:$Y$174,23,0)</f>
        <v>9.5333333333333332</v>
      </c>
      <c r="R9" s="6">
        <f>VLOOKUP(E9,[1]Sheet2!$C$7:$AB$173,26,0)</f>
        <v>35.333333333333336</v>
      </c>
      <c r="S9" s="1"/>
      <c r="T9" s="1"/>
    </row>
    <row r="10" spans="1:20" ht="29.25" customHeight="1" x14ac:dyDescent="0.25">
      <c r="A10" s="1">
        <v>7</v>
      </c>
      <c r="B10" s="1" t="s">
        <v>31</v>
      </c>
      <c r="C10" s="1" t="s">
        <v>32</v>
      </c>
      <c r="D10" s="1" t="s">
        <v>33</v>
      </c>
      <c r="E10" s="1" t="str">
        <f t="shared" si="0"/>
        <v>TOPLES TOPLES002 TOPLES 102 PRAXIS KEEPER</v>
      </c>
      <c r="F10" s="1" t="s">
        <v>13</v>
      </c>
      <c r="G10" s="1" t="s">
        <v>14</v>
      </c>
      <c r="H10" s="1" t="s">
        <v>15</v>
      </c>
      <c r="I10" s="1" t="s">
        <v>16</v>
      </c>
      <c r="J10" s="1">
        <v>25000</v>
      </c>
      <c r="K10" s="1">
        <v>2</v>
      </c>
      <c r="L10" s="2"/>
      <c r="M10" s="2"/>
      <c r="N10" s="1">
        <v>2</v>
      </c>
      <c r="O10" s="1" t="s">
        <v>63</v>
      </c>
      <c r="P10" s="1">
        <v>0</v>
      </c>
      <c r="Q10" s="6">
        <f>VLOOKUP(E10,[1]Sheet2!$C$7:$Y$174,23,0)</f>
        <v>1.8533333333333335</v>
      </c>
      <c r="R10" s="6">
        <f>VLOOKUP(E10,[1]Sheet2!$C$7:$AB$173,26,0)</f>
        <v>6.9031563747348548</v>
      </c>
      <c r="S10" s="1"/>
      <c r="T10" s="1"/>
    </row>
    <row r="11" spans="1:20" ht="29.25" customHeight="1" x14ac:dyDescent="0.25">
      <c r="A11" s="1">
        <v>8</v>
      </c>
      <c r="B11" s="1" t="s">
        <v>34</v>
      </c>
      <c r="C11" s="1" t="s">
        <v>32</v>
      </c>
      <c r="D11" s="1" t="s">
        <v>35</v>
      </c>
      <c r="E11" s="1" t="str">
        <f t="shared" si="0"/>
        <v>TOPLES TOPLES003 TOPLES NAGATA 991</v>
      </c>
      <c r="F11" s="1" t="s">
        <v>13</v>
      </c>
      <c r="G11" s="1" t="s">
        <v>14</v>
      </c>
      <c r="H11" s="1" t="s">
        <v>15</v>
      </c>
      <c r="I11" s="1" t="s">
        <v>16</v>
      </c>
      <c r="J11" s="1">
        <v>24000</v>
      </c>
      <c r="K11" s="1">
        <v>2</v>
      </c>
      <c r="L11" s="2"/>
      <c r="M11" s="2"/>
      <c r="N11" s="1">
        <v>2</v>
      </c>
      <c r="O11" s="1" t="s">
        <v>63</v>
      </c>
      <c r="P11" s="1">
        <v>14</v>
      </c>
      <c r="Q11" s="6">
        <f>VLOOKUP(E11,[1]Sheet2!$C$7:$Y$174,23,0)</f>
        <v>1.8533333333333335</v>
      </c>
      <c r="R11" s="6">
        <f>VLOOKUP(E11,[1]Sheet2!$C$7:$AB$173,26,0)</f>
        <v>6.9031563747348548</v>
      </c>
      <c r="S11" s="1"/>
      <c r="T11" s="1"/>
    </row>
    <row r="12" spans="1:20" ht="29.25" customHeight="1" x14ac:dyDescent="0.25">
      <c r="A12" s="1">
        <v>9</v>
      </c>
      <c r="B12" s="1" t="s">
        <v>36</v>
      </c>
      <c r="C12" s="1" t="s">
        <v>37</v>
      </c>
      <c r="D12" s="1" t="s">
        <v>38</v>
      </c>
      <c r="E12" s="1" t="str">
        <f t="shared" si="0"/>
        <v>SPON SPN08 SPON SEPEDA</v>
      </c>
      <c r="F12" s="1" t="s">
        <v>13</v>
      </c>
      <c r="G12" s="1" t="s">
        <v>14</v>
      </c>
      <c r="H12" s="1" t="s">
        <v>27</v>
      </c>
      <c r="I12" s="1" t="s">
        <v>16</v>
      </c>
      <c r="J12" s="1">
        <v>15750</v>
      </c>
      <c r="K12" s="1">
        <v>15</v>
      </c>
      <c r="L12" s="2"/>
      <c r="M12" s="2"/>
      <c r="N12" s="1">
        <v>5</v>
      </c>
      <c r="O12" s="1" t="s">
        <v>63</v>
      </c>
      <c r="P12" s="1">
        <v>47</v>
      </c>
      <c r="Q12" s="6">
        <f>VLOOKUP(E12,[1]Sheet2!$C$7:$Y$174,23,0)</f>
        <v>5.2666666666666666</v>
      </c>
      <c r="R12" s="6">
        <f>VLOOKUP(E12,[1]Sheet2!$C$7:$AB$173,26,0)</f>
        <v>26.515781873674271</v>
      </c>
      <c r="S12" s="1"/>
      <c r="T12" s="1"/>
    </row>
    <row r="13" spans="1:20" ht="29.25" customHeight="1" x14ac:dyDescent="0.25">
      <c r="A13" s="1">
        <v>10</v>
      </c>
      <c r="B13" s="1" t="s">
        <v>39</v>
      </c>
      <c r="C13" s="1" t="s">
        <v>40</v>
      </c>
      <c r="D13" s="1" t="s">
        <v>41</v>
      </c>
      <c r="E13" s="1" t="str">
        <f t="shared" si="0"/>
        <v>LEM LEM001 LEM FULLOC</v>
      </c>
      <c r="F13" s="1" t="s">
        <v>13</v>
      </c>
      <c r="G13" s="1" t="s">
        <v>14</v>
      </c>
      <c r="H13" s="1" t="s">
        <v>15</v>
      </c>
      <c r="I13" s="1" t="s">
        <v>16</v>
      </c>
      <c r="J13" s="1">
        <v>4672</v>
      </c>
      <c r="K13" s="1">
        <v>5</v>
      </c>
      <c r="L13" s="2"/>
      <c r="M13" s="2"/>
      <c r="N13" s="1">
        <v>5</v>
      </c>
      <c r="O13" s="1" t="s">
        <v>63</v>
      </c>
      <c r="P13" s="1">
        <v>38</v>
      </c>
      <c r="Q13" s="6">
        <f>VLOOKUP(E13,[1]Sheet2!$C$7:$Y$174,23,0)</f>
        <v>2.0666666666666664</v>
      </c>
      <c r="R13" s="6">
        <f>VLOOKUP(E13,[1]Sheet2!$C$7:$AB$173,26,0)</f>
        <v>10.225810004618026</v>
      </c>
      <c r="S13" s="1"/>
      <c r="T13" s="1"/>
    </row>
    <row r="14" spans="1:20" ht="29.25" customHeight="1" x14ac:dyDescent="0.25">
      <c r="A14" s="1">
        <v>11</v>
      </c>
      <c r="B14" s="1" t="s">
        <v>42</v>
      </c>
      <c r="C14" s="1" t="s">
        <v>43</v>
      </c>
      <c r="D14" s="1" t="s">
        <v>44</v>
      </c>
      <c r="E14" s="1" t="str">
        <f t="shared" si="0"/>
        <v>BRUSH BRUSH003 WIRE BRUSH MINI SET (3PCS) 10203862</v>
      </c>
      <c r="F14" s="1" t="s">
        <v>13</v>
      </c>
      <c r="G14" s="1" t="s">
        <v>14</v>
      </c>
      <c r="H14" s="1" t="s">
        <v>15</v>
      </c>
      <c r="I14" s="1" t="s">
        <v>16</v>
      </c>
      <c r="J14" s="1">
        <v>138312</v>
      </c>
      <c r="K14" s="1">
        <v>3</v>
      </c>
      <c r="L14" s="2"/>
      <c r="M14" s="2"/>
      <c r="N14" s="1">
        <v>3</v>
      </c>
      <c r="O14" s="1" t="s">
        <v>63</v>
      </c>
      <c r="P14" s="1">
        <v>24</v>
      </c>
      <c r="Q14" s="6">
        <f>VLOOKUP(E14,[1]Sheet2!$C$7:$Y$174,23,0)</f>
        <v>2.2800000000000002</v>
      </c>
      <c r="R14" s="6">
        <f>VLOOKUP(E14,[1]Sheet2!$C$7:$AB$173,26,0)</f>
        <v>9.3547345621022835</v>
      </c>
      <c r="S14" s="1"/>
      <c r="T14" s="1"/>
    </row>
    <row r="15" spans="1:20" ht="29.25" customHeight="1" x14ac:dyDescent="0.25">
      <c r="A15" s="1">
        <v>12</v>
      </c>
      <c r="B15" s="1" t="s">
        <v>45</v>
      </c>
      <c r="C15" s="1" t="s">
        <v>46</v>
      </c>
      <c r="D15" s="1" t="s">
        <v>47</v>
      </c>
      <c r="E15" s="1" t="str">
        <f t="shared" si="0"/>
        <v>COVER COVER08 COVER CONNECTOR TYPE 1</v>
      </c>
      <c r="F15" s="1" t="s">
        <v>13</v>
      </c>
      <c r="G15" s="1" t="s">
        <v>14</v>
      </c>
      <c r="H15" s="1" t="s">
        <v>15</v>
      </c>
      <c r="I15" s="1" t="s">
        <v>16</v>
      </c>
      <c r="J15" s="1">
        <v>11250</v>
      </c>
      <c r="K15" s="1">
        <v>100</v>
      </c>
      <c r="L15" s="2"/>
      <c r="M15" s="2"/>
      <c r="N15" s="1">
        <v>100</v>
      </c>
      <c r="O15" s="1" t="s">
        <v>63</v>
      </c>
      <c r="P15" s="1">
        <v>294</v>
      </c>
      <c r="Q15" s="6">
        <f>VLOOKUP(E15,[1]Sheet2!$C$7:$Y$174,23,0)</f>
        <v>107.66666666666667</v>
      </c>
      <c r="R15" s="6">
        <f>VLOOKUP(E15,[1]Sheet2!$C$7:$AB$173,26,0)</f>
        <v>108.66666666666667</v>
      </c>
      <c r="S15" s="1"/>
      <c r="T15" s="1"/>
    </row>
    <row r="16" spans="1:20" ht="29.25" customHeight="1" x14ac:dyDescent="0.25">
      <c r="A16" s="1">
        <v>13</v>
      </c>
      <c r="B16" s="1" t="s">
        <v>49</v>
      </c>
      <c r="C16" s="1" t="s">
        <v>50</v>
      </c>
      <c r="D16" s="1" t="s">
        <v>51</v>
      </c>
      <c r="E16" s="1" t="str">
        <f t="shared" si="0"/>
        <v>WIRE STRIPPER STRIPPER002 WIRE STRIPPER SENATOR AUTOMATIC SEN-516-8240K</v>
      </c>
      <c r="F16" s="1" t="s">
        <v>13</v>
      </c>
      <c r="G16" s="1" t="s">
        <v>14</v>
      </c>
      <c r="H16" s="1" t="s">
        <v>15</v>
      </c>
      <c r="I16" s="1" t="s">
        <v>16</v>
      </c>
      <c r="J16" s="1">
        <v>243500</v>
      </c>
      <c r="K16" s="1">
        <v>2</v>
      </c>
      <c r="L16" s="2"/>
      <c r="M16" s="2"/>
      <c r="N16" s="1">
        <v>2</v>
      </c>
      <c r="O16" s="1" t="s">
        <v>63</v>
      </c>
      <c r="P16" s="1">
        <v>2</v>
      </c>
      <c r="Q16" s="6">
        <f>VLOOKUP(E16,[1]Sheet2!$C$7:$Y$174,23,0)</f>
        <v>2.706666666666667</v>
      </c>
      <c r="R16" s="6">
        <f>VLOOKUP(E16,[1]Sheet2!$C$7:$AB$173,26,0)</f>
        <v>9.4339813370277543</v>
      </c>
      <c r="S16" s="1"/>
      <c r="T16" s="1"/>
    </row>
    <row r="17" spans="1:20" ht="29.25" customHeight="1" x14ac:dyDescent="0.25">
      <c r="A17" s="1">
        <v>14</v>
      </c>
      <c r="B17" s="1" t="s">
        <v>52</v>
      </c>
      <c r="C17" s="1" t="s">
        <v>48</v>
      </c>
      <c r="D17" s="1" t="s">
        <v>53</v>
      </c>
      <c r="E17" s="1" t="str">
        <f t="shared" si="0"/>
        <v>RUBBER RUBBER001 RUBBER PINK</v>
      </c>
      <c r="F17" s="1" t="s">
        <v>13</v>
      </c>
      <c r="G17" s="1" t="s">
        <v>14</v>
      </c>
      <c r="H17" s="1" t="s">
        <v>15</v>
      </c>
      <c r="I17" s="1" t="s">
        <v>16</v>
      </c>
      <c r="J17" s="2"/>
      <c r="K17" s="2"/>
      <c r="L17" s="1">
        <v>385</v>
      </c>
      <c r="M17" s="1">
        <v>8000</v>
      </c>
      <c r="N17" s="1">
        <v>8000</v>
      </c>
      <c r="O17" s="1" t="s">
        <v>63</v>
      </c>
      <c r="P17" s="1">
        <v>8000</v>
      </c>
      <c r="Q17" s="6">
        <v>4000</v>
      </c>
      <c r="R17" s="6">
        <v>8000</v>
      </c>
      <c r="S17" s="1"/>
      <c r="T17" s="1"/>
    </row>
    <row r="18" spans="1:20" x14ac:dyDescent="0.25">
      <c r="N18" s="4"/>
      <c r="O18" s="4"/>
      <c r="P18" s="4"/>
      <c r="Q18" s="4"/>
      <c r="R18" s="4"/>
      <c r="S18" s="4"/>
      <c r="T18" s="4"/>
    </row>
  </sheetData>
  <mergeCells count="17">
    <mergeCell ref="P2:P3"/>
    <mergeCell ref="Q2:Q3"/>
    <mergeCell ref="R2:R3"/>
    <mergeCell ref="S2:S3"/>
    <mergeCell ref="T2:T3"/>
    <mergeCell ref="O2:O3"/>
    <mergeCell ref="A2:A3"/>
    <mergeCell ref="B2:B3"/>
    <mergeCell ref="C2:C3"/>
    <mergeCell ref="D2:D3"/>
    <mergeCell ref="F2:F3"/>
    <mergeCell ref="G2:G3"/>
    <mergeCell ref="H2:H3"/>
    <mergeCell ref="I2:I3"/>
    <mergeCell ref="J2:K2"/>
    <mergeCell ref="L2:M2"/>
    <mergeCell ref="N2:N3"/>
  </mergeCells>
  <pageMargins left="0" right="0" top="0" bottom="0" header="0" footer="0"/>
  <pageSetup paperSize="9"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AB16"/>
  <sheetViews>
    <sheetView tabSelected="1" topLeftCell="D1" workbookViewId="0">
      <selection activeCell="W3" sqref="W3"/>
    </sheetView>
  </sheetViews>
  <sheetFormatPr defaultRowHeight="15" x14ac:dyDescent="0.25"/>
  <cols>
    <col min="7" max="7" width="10.140625" bestFit="1" customWidth="1"/>
    <col min="8" max="8" width="11.7109375" bestFit="1" customWidth="1"/>
    <col min="9" max="9" width="44.7109375" bestFit="1" customWidth="1"/>
    <col min="10" max="10" width="8.42578125" bestFit="1" customWidth="1"/>
    <col min="11" max="11" width="10.140625" bestFit="1" customWidth="1"/>
    <col min="12" max="12" width="11.7109375" bestFit="1" customWidth="1"/>
    <col min="13" max="13" width="44.7109375" bestFit="1" customWidth="1"/>
    <col min="24" max="24" width="19.7109375" bestFit="1" customWidth="1"/>
    <col min="28" max="28" width="10" bestFit="1" customWidth="1"/>
  </cols>
  <sheetData>
    <row r="3" spans="2:28" ht="48" x14ac:dyDescent="0.25">
      <c r="B3" s="9" t="s">
        <v>78</v>
      </c>
      <c r="C3" s="10" t="s">
        <v>88</v>
      </c>
      <c r="D3" s="11" t="s">
        <v>89</v>
      </c>
      <c r="E3" s="11" t="s">
        <v>90</v>
      </c>
      <c r="F3" s="10" t="s">
        <v>91</v>
      </c>
      <c r="G3" s="10" t="s">
        <v>1</v>
      </c>
      <c r="H3" s="10" t="s">
        <v>2</v>
      </c>
      <c r="I3" s="10" t="s">
        <v>3</v>
      </c>
      <c r="J3" s="10" t="s">
        <v>65</v>
      </c>
      <c r="K3" s="10" t="s">
        <v>66</v>
      </c>
      <c r="L3" s="10" t="s">
        <v>67</v>
      </c>
      <c r="M3" s="10" t="s">
        <v>3</v>
      </c>
      <c r="N3" s="10" t="s">
        <v>68</v>
      </c>
      <c r="O3" s="12" t="s">
        <v>69</v>
      </c>
      <c r="P3" s="10" t="s">
        <v>70</v>
      </c>
      <c r="Q3" s="10" t="s">
        <v>71</v>
      </c>
      <c r="R3" s="10" t="s">
        <v>72</v>
      </c>
      <c r="S3" s="10" t="s">
        <v>73</v>
      </c>
      <c r="T3" s="10" t="s">
        <v>74</v>
      </c>
      <c r="U3" s="10" t="s">
        <v>75</v>
      </c>
      <c r="V3" s="10" t="s">
        <v>76</v>
      </c>
      <c r="W3" s="10" t="s">
        <v>77</v>
      </c>
      <c r="X3" s="9" t="s">
        <v>78</v>
      </c>
      <c r="Y3" s="11" t="s">
        <v>92</v>
      </c>
      <c r="Z3" s="11" t="s">
        <v>93</v>
      </c>
      <c r="AA3" s="12" t="s">
        <v>92</v>
      </c>
      <c r="AB3" s="11" t="s">
        <v>94</v>
      </c>
    </row>
    <row r="4" spans="2:28" s="24" customFormat="1" x14ac:dyDescent="0.25">
      <c r="B4" s="14" t="s">
        <v>95</v>
      </c>
      <c r="C4" s="15"/>
      <c r="D4" s="13" t="s">
        <v>96</v>
      </c>
      <c r="E4" s="13"/>
      <c r="F4" s="13"/>
      <c r="G4" s="13" t="s">
        <v>97</v>
      </c>
      <c r="H4" s="13" t="s">
        <v>48</v>
      </c>
      <c r="I4" s="13" t="s">
        <v>98</v>
      </c>
      <c r="J4" s="13" t="s">
        <v>99</v>
      </c>
      <c r="K4" s="16" t="s">
        <v>97</v>
      </c>
      <c r="L4" s="16" t="s">
        <v>48</v>
      </c>
      <c r="M4" s="16" t="s">
        <v>98</v>
      </c>
      <c r="N4" s="13">
        <v>16917</v>
      </c>
      <c r="O4" s="17">
        <v>350</v>
      </c>
      <c r="P4" s="18"/>
      <c r="Q4" s="19"/>
      <c r="R4" s="13" t="s">
        <v>100</v>
      </c>
      <c r="S4" s="20">
        <v>45205</v>
      </c>
      <c r="T4" s="20">
        <v>45212</v>
      </c>
      <c r="U4" s="21">
        <v>45271</v>
      </c>
      <c r="V4" s="13"/>
      <c r="W4" s="13" t="s">
        <v>83</v>
      </c>
      <c r="X4" s="22" t="s">
        <v>101</v>
      </c>
      <c r="Y4" s="23">
        <v>257.75</v>
      </c>
      <c r="Z4" s="23" t="s">
        <v>85</v>
      </c>
      <c r="AA4" s="23">
        <v>498</v>
      </c>
      <c r="AB4" s="23" t="s">
        <v>86</v>
      </c>
    </row>
    <row r="5" spans="2:28" s="24" customFormat="1" hidden="1" x14ac:dyDescent="0.25">
      <c r="B5" s="25"/>
      <c r="C5" s="26"/>
      <c r="D5" s="26" t="s">
        <v>96</v>
      </c>
      <c r="E5" s="26"/>
      <c r="F5" s="27"/>
      <c r="G5" s="26" t="s">
        <v>102</v>
      </c>
      <c r="H5" s="26" t="s">
        <v>103</v>
      </c>
      <c r="I5" s="26" t="s">
        <v>104</v>
      </c>
      <c r="J5" s="16" t="s">
        <v>105</v>
      </c>
      <c r="K5" s="16" t="s">
        <v>102</v>
      </c>
      <c r="L5" s="16" t="s">
        <v>103</v>
      </c>
      <c r="M5" s="16" t="s">
        <v>104</v>
      </c>
      <c r="N5" s="26">
        <v>1</v>
      </c>
      <c r="O5" s="17">
        <v>28000</v>
      </c>
      <c r="P5" s="22"/>
      <c r="Q5" s="28"/>
      <c r="R5" s="29" t="s">
        <v>100</v>
      </c>
      <c r="S5" s="30">
        <v>45247</v>
      </c>
      <c r="T5" s="30">
        <v>45250</v>
      </c>
      <c r="U5" s="30">
        <v>45281</v>
      </c>
      <c r="V5" s="29"/>
      <c r="W5" s="16" t="s">
        <v>87</v>
      </c>
      <c r="X5" s="22" t="s">
        <v>139</v>
      </c>
      <c r="Y5" s="31">
        <v>70799</v>
      </c>
      <c r="Z5" s="31" t="s">
        <v>140</v>
      </c>
      <c r="AA5" s="31">
        <v>31900</v>
      </c>
      <c r="AB5" s="31" t="s">
        <v>141</v>
      </c>
    </row>
    <row r="6" spans="2:28" s="24" customFormat="1" x14ac:dyDescent="0.25">
      <c r="B6" s="29"/>
      <c r="C6" s="26"/>
      <c r="D6" s="26" t="s">
        <v>96</v>
      </c>
      <c r="E6" s="26"/>
      <c r="F6" s="29"/>
      <c r="G6" s="26" t="s">
        <v>106</v>
      </c>
      <c r="H6" s="26" t="s">
        <v>107</v>
      </c>
      <c r="I6" s="26" t="s">
        <v>108</v>
      </c>
      <c r="J6" s="16" t="s">
        <v>109</v>
      </c>
      <c r="K6" s="16" t="s">
        <v>106</v>
      </c>
      <c r="L6" s="16" t="s">
        <v>107</v>
      </c>
      <c r="M6" s="16" t="s">
        <v>108</v>
      </c>
      <c r="N6" s="26">
        <v>1</v>
      </c>
      <c r="O6" s="17">
        <v>13000</v>
      </c>
      <c r="P6" s="22"/>
      <c r="Q6" s="28"/>
      <c r="R6" s="29"/>
      <c r="S6" s="29"/>
      <c r="T6" s="29"/>
      <c r="U6" s="30">
        <v>45281</v>
      </c>
      <c r="V6" s="29"/>
      <c r="W6" s="16" t="s">
        <v>83</v>
      </c>
      <c r="X6" s="22"/>
      <c r="Y6" s="31">
        <v>15000</v>
      </c>
      <c r="Z6" s="31" t="s">
        <v>142</v>
      </c>
      <c r="AA6" s="31">
        <v>18000</v>
      </c>
      <c r="AB6" s="31" t="s">
        <v>84</v>
      </c>
    </row>
    <row r="7" spans="2:28" s="24" customFormat="1" hidden="1" x14ac:dyDescent="0.25">
      <c r="B7" s="29"/>
      <c r="C7" s="26"/>
      <c r="D7" s="26" t="s">
        <v>96</v>
      </c>
      <c r="E7" s="26"/>
      <c r="F7" s="27"/>
      <c r="G7" s="26" t="s">
        <v>110</v>
      </c>
      <c r="H7" s="26" t="s">
        <v>103</v>
      </c>
      <c r="I7" s="26" t="s">
        <v>111</v>
      </c>
      <c r="J7" s="16" t="s">
        <v>112</v>
      </c>
      <c r="K7" s="16" t="s">
        <v>110</v>
      </c>
      <c r="L7" s="16" t="s">
        <v>103</v>
      </c>
      <c r="M7" s="16" t="s">
        <v>111</v>
      </c>
      <c r="N7" s="26">
        <v>3</v>
      </c>
      <c r="O7" s="17">
        <v>46500</v>
      </c>
      <c r="P7" s="22"/>
      <c r="Q7" s="28"/>
      <c r="R7" s="29" t="s">
        <v>100</v>
      </c>
      <c r="S7" s="30">
        <v>45247</v>
      </c>
      <c r="T7" s="30">
        <v>45250</v>
      </c>
      <c r="U7" s="30">
        <v>45281</v>
      </c>
      <c r="V7" s="29"/>
      <c r="W7" s="16" t="s">
        <v>87</v>
      </c>
      <c r="X7" s="22" t="s">
        <v>139</v>
      </c>
      <c r="Y7" s="31">
        <v>83875</v>
      </c>
      <c r="Z7" s="31" t="s">
        <v>140</v>
      </c>
      <c r="AA7" s="31">
        <v>62500</v>
      </c>
      <c r="AB7" s="31" t="s">
        <v>142</v>
      </c>
    </row>
    <row r="8" spans="2:28" s="24" customFormat="1" x14ac:dyDescent="0.25">
      <c r="B8" s="29"/>
      <c r="C8" s="26"/>
      <c r="D8" s="26" t="s">
        <v>96</v>
      </c>
      <c r="E8" s="26"/>
      <c r="F8" s="27"/>
      <c r="G8" s="26" t="s">
        <v>113</v>
      </c>
      <c r="H8" s="26" t="s">
        <v>114</v>
      </c>
      <c r="I8" s="26" t="s">
        <v>115</v>
      </c>
      <c r="J8" s="16" t="s">
        <v>116</v>
      </c>
      <c r="K8" s="16" t="s">
        <v>113</v>
      </c>
      <c r="L8" s="16" t="s">
        <v>114</v>
      </c>
      <c r="M8" s="16" t="s">
        <v>115</v>
      </c>
      <c r="N8" s="26">
        <v>2</v>
      </c>
      <c r="O8" s="17">
        <v>6000</v>
      </c>
      <c r="P8" s="22"/>
      <c r="Q8" s="28"/>
      <c r="R8" s="29"/>
      <c r="S8" s="30"/>
      <c r="T8" s="30"/>
      <c r="U8" s="30">
        <v>45281</v>
      </c>
      <c r="V8" s="29"/>
      <c r="W8" s="16" t="s">
        <v>83</v>
      </c>
      <c r="X8" s="22"/>
      <c r="Y8" s="31">
        <v>7500</v>
      </c>
      <c r="Z8" s="31" t="s">
        <v>84</v>
      </c>
      <c r="AA8" s="31">
        <v>9000</v>
      </c>
      <c r="AB8" s="31" t="s">
        <v>81</v>
      </c>
    </row>
    <row r="9" spans="2:28" s="24" customFormat="1" hidden="1" x14ac:dyDescent="0.25">
      <c r="B9" s="29"/>
      <c r="C9" s="26"/>
      <c r="D9" s="26" t="s">
        <v>96</v>
      </c>
      <c r="E9" s="26"/>
      <c r="F9" s="27"/>
      <c r="G9" s="26" t="s">
        <v>117</v>
      </c>
      <c r="H9" s="26" t="s">
        <v>32</v>
      </c>
      <c r="I9" s="26" t="s">
        <v>118</v>
      </c>
      <c r="J9" s="16" t="s">
        <v>119</v>
      </c>
      <c r="K9" s="16" t="s">
        <v>117</v>
      </c>
      <c r="L9" s="16" t="s">
        <v>32</v>
      </c>
      <c r="M9" s="16" t="s">
        <v>118</v>
      </c>
      <c r="N9" s="26">
        <v>2</v>
      </c>
      <c r="O9" s="17">
        <v>11000</v>
      </c>
      <c r="P9" s="22"/>
      <c r="Q9" s="28"/>
      <c r="R9" s="29" t="s">
        <v>100</v>
      </c>
      <c r="S9" s="30">
        <v>45247</v>
      </c>
      <c r="T9" s="30">
        <v>45250</v>
      </c>
      <c r="U9" s="30">
        <v>45281</v>
      </c>
      <c r="V9" s="29"/>
      <c r="W9" s="16" t="s">
        <v>143</v>
      </c>
      <c r="X9" s="22" t="s">
        <v>139</v>
      </c>
      <c r="Y9" s="31">
        <v>13200</v>
      </c>
      <c r="Z9" s="31" t="s">
        <v>84</v>
      </c>
      <c r="AA9" s="31">
        <v>13200</v>
      </c>
      <c r="AB9" s="31" t="s">
        <v>83</v>
      </c>
    </row>
    <row r="10" spans="2:28" s="24" customFormat="1" hidden="1" x14ac:dyDescent="0.25">
      <c r="B10" s="29"/>
      <c r="C10" s="26"/>
      <c r="D10" s="26" t="s">
        <v>96</v>
      </c>
      <c r="E10" s="26"/>
      <c r="F10" s="27"/>
      <c r="G10" s="26" t="s">
        <v>120</v>
      </c>
      <c r="H10" s="26" t="s">
        <v>121</v>
      </c>
      <c r="I10" s="26" t="s">
        <v>122</v>
      </c>
      <c r="J10" s="16" t="s">
        <v>123</v>
      </c>
      <c r="K10" s="16" t="s">
        <v>120</v>
      </c>
      <c r="L10" s="16" t="s">
        <v>121</v>
      </c>
      <c r="M10" s="16" t="s">
        <v>122</v>
      </c>
      <c r="N10" s="26">
        <v>3</v>
      </c>
      <c r="O10" s="17">
        <v>5500</v>
      </c>
      <c r="P10" s="22"/>
      <c r="Q10" s="28"/>
      <c r="R10" s="32" t="s">
        <v>100</v>
      </c>
      <c r="S10" s="30">
        <v>45247</v>
      </c>
      <c r="T10" s="30">
        <v>45250</v>
      </c>
      <c r="U10" s="30">
        <v>45281</v>
      </c>
      <c r="V10" s="29"/>
      <c r="W10" s="16" t="s">
        <v>143</v>
      </c>
      <c r="X10" s="22" t="s">
        <v>139</v>
      </c>
      <c r="Y10" s="31">
        <v>6000</v>
      </c>
      <c r="Z10" s="31" t="s">
        <v>84</v>
      </c>
      <c r="AA10" s="31">
        <v>6000</v>
      </c>
      <c r="AB10" s="31" t="s">
        <v>83</v>
      </c>
    </row>
    <row r="11" spans="2:28" s="24" customFormat="1" x14ac:dyDescent="0.25">
      <c r="B11" s="29"/>
      <c r="C11" s="26"/>
      <c r="D11" s="26" t="s">
        <v>96</v>
      </c>
      <c r="E11" s="26"/>
      <c r="F11" s="27"/>
      <c r="G11" s="26" t="s">
        <v>39</v>
      </c>
      <c r="H11" s="26" t="s">
        <v>40</v>
      </c>
      <c r="I11" s="26" t="s">
        <v>41</v>
      </c>
      <c r="J11" s="16" t="s">
        <v>79</v>
      </c>
      <c r="K11" s="16" t="s">
        <v>39</v>
      </c>
      <c r="L11" s="16" t="s">
        <v>40</v>
      </c>
      <c r="M11" s="16" t="s">
        <v>41</v>
      </c>
      <c r="N11" s="26">
        <v>5</v>
      </c>
      <c r="O11" s="17">
        <v>4450</v>
      </c>
      <c r="P11" s="22"/>
      <c r="Q11" s="28"/>
      <c r="R11" s="32"/>
      <c r="S11" s="33"/>
      <c r="T11" s="33"/>
      <c r="U11" s="30">
        <v>45281</v>
      </c>
      <c r="V11" s="29"/>
      <c r="W11" s="16" t="s">
        <v>83</v>
      </c>
      <c r="X11" s="22"/>
      <c r="Y11" s="31">
        <v>4500</v>
      </c>
      <c r="Z11" s="31" t="s">
        <v>82</v>
      </c>
      <c r="AA11" s="31">
        <v>5000</v>
      </c>
      <c r="AB11" s="31" t="s">
        <v>84</v>
      </c>
    </row>
    <row r="12" spans="2:28" s="24" customFormat="1" hidden="1" x14ac:dyDescent="0.25">
      <c r="B12" s="29"/>
      <c r="C12" s="26"/>
      <c r="D12" s="26" t="s">
        <v>96</v>
      </c>
      <c r="E12" s="26"/>
      <c r="F12" s="27"/>
      <c r="G12" s="26" t="s">
        <v>124</v>
      </c>
      <c r="H12" s="26" t="s">
        <v>125</v>
      </c>
      <c r="I12" s="26" t="s">
        <v>126</v>
      </c>
      <c r="J12" s="16" t="s">
        <v>127</v>
      </c>
      <c r="K12" s="16" t="s">
        <v>124</v>
      </c>
      <c r="L12" s="16" t="s">
        <v>125</v>
      </c>
      <c r="M12" s="16" t="s">
        <v>126</v>
      </c>
      <c r="N12" s="26">
        <v>2</v>
      </c>
      <c r="O12" s="17">
        <v>4500</v>
      </c>
      <c r="P12" s="22"/>
      <c r="Q12" s="28"/>
      <c r="R12" s="32" t="s">
        <v>144</v>
      </c>
      <c r="S12" s="30">
        <v>45247</v>
      </c>
      <c r="T12" s="30">
        <v>45250</v>
      </c>
      <c r="U12" s="30">
        <v>45281</v>
      </c>
      <c r="V12" s="29"/>
      <c r="W12" s="16" t="s">
        <v>143</v>
      </c>
      <c r="X12" s="22" t="s">
        <v>139</v>
      </c>
      <c r="Y12" s="31">
        <v>5000</v>
      </c>
      <c r="Z12" s="31" t="s">
        <v>83</v>
      </c>
      <c r="AA12" s="31">
        <v>7000</v>
      </c>
      <c r="AB12" s="31" t="s">
        <v>84</v>
      </c>
    </row>
    <row r="13" spans="2:28" s="24" customFormat="1" hidden="1" x14ac:dyDescent="0.25">
      <c r="B13" s="29"/>
      <c r="C13" s="26"/>
      <c r="D13" s="26" t="s">
        <v>96</v>
      </c>
      <c r="E13" s="26"/>
      <c r="F13" s="27"/>
      <c r="G13" s="26" t="s">
        <v>45</v>
      </c>
      <c r="H13" s="26" t="s">
        <v>46</v>
      </c>
      <c r="I13" s="26" t="s">
        <v>47</v>
      </c>
      <c r="J13" s="16" t="s">
        <v>80</v>
      </c>
      <c r="K13" s="16" t="s">
        <v>45</v>
      </c>
      <c r="L13" s="16" t="s">
        <v>46</v>
      </c>
      <c r="M13" s="16" t="s">
        <v>47</v>
      </c>
      <c r="N13" s="26">
        <v>80</v>
      </c>
      <c r="O13" s="17">
        <v>9000</v>
      </c>
      <c r="P13" s="22"/>
      <c r="Q13" s="28"/>
      <c r="R13" s="29" t="s">
        <v>100</v>
      </c>
      <c r="S13" s="30">
        <v>45247</v>
      </c>
      <c r="T13" s="30">
        <v>45250</v>
      </c>
      <c r="U13" s="30">
        <v>45281</v>
      </c>
      <c r="V13" s="29"/>
      <c r="W13" s="16" t="s">
        <v>82</v>
      </c>
      <c r="X13" s="22" t="s">
        <v>139</v>
      </c>
      <c r="Y13" s="31">
        <v>9900</v>
      </c>
      <c r="Z13" s="31" t="s">
        <v>84</v>
      </c>
      <c r="AA13" s="31">
        <v>11385</v>
      </c>
      <c r="AB13" s="31" t="s">
        <v>142</v>
      </c>
    </row>
    <row r="14" spans="2:28" s="24" customFormat="1" hidden="1" x14ac:dyDescent="0.25">
      <c r="B14" s="29"/>
      <c r="C14" s="26"/>
      <c r="D14" s="26" t="s">
        <v>96</v>
      </c>
      <c r="E14" s="26"/>
      <c r="F14" s="27"/>
      <c r="G14" s="26" t="s">
        <v>128</v>
      </c>
      <c r="H14" s="26" t="s">
        <v>107</v>
      </c>
      <c r="I14" s="26" t="s">
        <v>129</v>
      </c>
      <c r="J14" s="16" t="s">
        <v>130</v>
      </c>
      <c r="K14" s="16" t="s">
        <v>128</v>
      </c>
      <c r="L14" s="16" t="s">
        <v>107</v>
      </c>
      <c r="M14" s="16" t="s">
        <v>129</v>
      </c>
      <c r="N14" s="26">
        <v>1</v>
      </c>
      <c r="O14" s="17">
        <v>65000</v>
      </c>
      <c r="P14" s="22"/>
      <c r="Q14" s="28"/>
      <c r="R14" s="29" t="s">
        <v>100</v>
      </c>
      <c r="S14" s="30">
        <v>45247</v>
      </c>
      <c r="T14" s="30">
        <v>45250</v>
      </c>
      <c r="U14" s="30">
        <v>45281</v>
      </c>
      <c r="V14" s="29"/>
      <c r="W14" s="16" t="s">
        <v>142</v>
      </c>
      <c r="X14" s="22" t="s">
        <v>139</v>
      </c>
      <c r="Y14" s="31">
        <v>80960</v>
      </c>
      <c r="Z14" s="31" t="s">
        <v>81</v>
      </c>
      <c r="AA14" s="31">
        <v>103230</v>
      </c>
      <c r="AB14" s="31" t="s">
        <v>141</v>
      </c>
    </row>
    <row r="15" spans="2:28" s="24" customFormat="1" x14ac:dyDescent="0.25">
      <c r="B15" s="29"/>
      <c r="C15" s="26"/>
      <c r="D15" s="26" t="s">
        <v>96</v>
      </c>
      <c r="E15" s="26"/>
      <c r="F15" s="27"/>
      <c r="G15" s="26" t="s">
        <v>131</v>
      </c>
      <c r="H15" s="26" t="s">
        <v>132</v>
      </c>
      <c r="I15" s="26" t="s">
        <v>133</v>
      </c>
      <c r="J15" s="16" t="s">
        <v>134</v>
      </c>
      <c r="K15" s="16" t="s">
        <v>131</v>
      </c>
      <c r="L15" s="16" t="s">
        <v>132</v>
      </c>
      <c r="M15" s="16" t="s">
        <v>133</v>
      </c>
      <c r="N15" s="26">
        <v>1</v>
      </c>
      <c r="O15" s="17">
        <v>15000</v>
      </c>
      <c r="P15" s="22"/>
      <c r="Q15" s="28"/>
      <c r="R15" s="29"/>
      <c r="S15" s="30"/>
      <c r="T15" s="30"/>
      <c r="U15" s="30">
        <v>45281</v>
      </c>
      <c r="V15" s="29"/>
      <c r="W15" s="16" t="s">
        <v>83</v>
      </c>
      <c r="X15" s="22"/>
      <c r="Y15" s="31">
        <v>0</v>
      </c>
      <c r="Z15" s="31">
        <v>0</v>
      </c>
      <c r="AA15" s="31">
        <v>0</v>
      </c>
      <c r="AB15" s="31">
        <v>0</v>
      </c>
    </row>
    <row r="16" spans="2:28" s="24" customFormat="1" hidden="1" x14ac:dyDescent="0.25">
      <c r="B16" s="29"/>
      <c r="C16" s="26"/>
      <c r="D16" s="26" t="s">
        <v>96</v>
      </c>
      <c r="E16" s="26"/>
      <c r="F16" s="27"/>
      <c r="G16" s="26" t="s">
        <v>135</v>
      </c>
      <c r="H16" s="26" t="s">
        <v>136</v>
      </c>
      <c r="I16" s="26" t="s">
        <v>137</v>
      </c>
      <c r="J16" s="16" t="s">
        <v>138</v>
      </c>
      <c r="K16" s="16" t="s">
        <v>135</v>
      </c>
      <c r="L16" s="16" t="s">
        <v>136</v>
      </c>
      <c r="M16" s="16" t="s">
        <v>137</v>
      </c>
      <c r="N16" s="26">
        <v>5</v>
      </c>
      <c r="O16" s="17">
        <v>55000</v>
      </c>
      <c r="P16" s="22"/>
      <c r="Q16" s="28"/>
      <c r="R16" s="29"/>
      <c r="S16" s="30"/>
      <c r="T16" s="30"/>
      <c r="U16" s="30">
        <v>45281</v>
      </c>
      <c r="V16" s="29"/>
      <c r="W16" s="16" t="s">
        <v>84</v>
      </c>
      <c r="X16" s="22"/>
      <c r="Y16" s="31">
        <v>60000</v>
      </c>
      <c r="Z16" s="31" t="s">
        <v>83</v>
      </c>
      <c r="AA16" s="31">
        <v>75000</v>
      </c>
      <c r="AB16" s="31" t="s">
        <v>142</v>
      </c>
    </row>
  </sheetData>
  <autoFilter ref="B3:AB16" xr:uid="{00000000-0001-0000-0100-000000000000}">
    <filterColumn colId="21">
      <filters>
        <filter val="AJS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 (2)</vt:lpstr>
      <vt:lpstr>Sheet2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prd-10</dc:creator>
  <cp:lastModifiedBy>prd-10</cp:lastModifiedBy>
  <cp:lastPrinted>2022-09-23T09:24:59Z</cp:lastPrinted>
  <dcterms:created xsi:type="dcterms:W3CDTF">2022-09-14T02:13:16Z</dcterms:created>
  <dcterms:modified xsi:type="dcterms:W3CDTF">2023-11-08T08:36:29Z</dcterms:modified>
</cp:coreProperties>
</file>