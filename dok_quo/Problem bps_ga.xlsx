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02\Desktop\"/>
    </mc:Choice>
  </mc:AlternateContent>
  <xr:revisionPtr revIDLastSave="0" documentId="8_{F4D62FFE-1798-4791-B86E-565101DC463B}" xr6:coauthVersionLast="47" xr6:coauthVersionMax="47" xr10:uidLastSave="{00000000-0000-0000-0000-000000000000}"/>
  <bookViews>
    <workbookView xWindow="-108" yWindow="-108" windowWidth="23256" windowHeight="12456" activeTab="4" xr2:uid="{3764BB91-E9F2-42BB-B8BD-B5784756D1A7}"/>
  </bookViews>
  <sheets>
    <sheet name="Sheet1" sheetId="1" r:id="rId1"/>
    <sheet name="kd" sheetId="2" r:id="rId2"/>
    <sheet name="vp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R6" i="1"/>
</calcChain>
</file>

<file path=xl/sharedStrings.xml><?xml version="1.0" encoding="utf-8"?>
<sst xmlns="http://schemas.openxmlformats.org/spreadsheetml/2006/main" count="212" uniqueCount="79">
  <si>
    <t>part_no</t>
  </si>
  <si>
    <t>part_nm</t>
  </si>
  <si>
    <t>part_dtl</t>
  </si>
  <si>
    <t>part_desc</t>
  </si>
  <si>
    <t>qty</t>
  </si>
  <si>
    <t>pr_no</t>
  </si>
  <si>
    <t>po_no</t>
  </si>
  <si>
    <t>no_quo</t>
  </si>
  <si>
    <t>inv_no</t>
  </si>
  <si>
    <t>kode_supp</t>
  </si>
  <si>
    <t>inv_tgl</t>
  </si>
  <si>
    <t>sect_to</t>
  </si>
  <si>
    <t>bud_no</t>
  </si>
  <si>
    <t>pic_updt</t>
  </si>
  <si>
    <t>tgl_updt</t>
  </si>
  <si>
    <t>lp</t>
  </si>
  <si>
    <t>qty_dtg</t>
  </si>
  <si>
    <t>price</t>
  </si>
  <si>
    <t>curr</t>
  </si>
  <si>
    <t>pph</t>
  </si>
  <si>
    <t>account</t>
  </si>
  <si>
    <t>cccode</t>
  </si>
  <si>
    <t>ppn</t>
  </si>
  <si>
    <t>uom</t>
  </si>
  <si>
    <t>rcv_inv_date</t>
  </si>
  <si>
    <t>no_bc</t>
  </si>
  <si>
    <t>tgl_bc</t>
  </si>
  <si>
    <t>jns_bc</t>
  </si>
  <si>
    <t>no_ctrl</t>
  </si>
  <si>
    <t>faktur_pajak</t>
  </si>
  <si>
    <t>id</t>
  </si>
  <si>
    <t>UPD004</t>
  </si>
  <si>
    <t>UPD</t>
  </si>
  <si>
    <t>UPD DALAM NEGERI GOL IV</t>
  </si>
  <si>
    <t>PE-MTP-2311-134</t>
  </si>
  <si>
    <t>upd/lokal/2312-004</t>
  </si>
  <si>
    <t>KAR</t>
  </si>
  <si>
    <t>PE-MTP</t>
  </si>
  <si>
    <t>NULL</t>
  </si>
  <si>
    <t>Reni Rafika Hapsari</t>
  </si>
  <si>
    <t>GA</t>
  </si>
  <si>
    <t>IDR</t>
  </si>
  <si>
    <t>ALL</t>
  </si>
  <si>
    <t>ORANG</t>
  </si>
  <si>
    <t>83-MTP-12-0374</t>
  </si>
  <si>
    <t>TO003</t>
  </si>
  <si>
    <t>TIKET PERJALANAN DINAS</t>
  </si>
  <si>
    <t>TIKET PERJALANAN DINAS MEETING/BENCHMARK GOL IV(DALAM NEGERI)</t>
  </si>
  <si>
    <t>KAR-202311-0020</t>
  </si>
  <si>
    <t>H0105.INV-1223-25825</t>
  </si>
  <si>
    <t>83-MTP-12-0375</t>
  </si>
  <si>
    <t>TRANS001</t>
  </si>
  <si>
    <t>LOCAL TRANSPORT PD</t>
  </si>
  <si>
    <t>LOKAL TRANSPORT PERJALANAN DINAS DALAM NEGERI</t>
  </si>
  <si>
    <t>HIST</t>
  </si>
  <si>
    <t>83-MTP-12-ADD-041</t>
  </si>
  <si>
    <t>TO012</t>
  </si>
  <si>
    <t>TIKET PERJALANAN DINAS MEETING/BENCMARK LUAR NEGERI EKONOMI(ASIA KECUALI JEPANG ) GOL V</t>
  </si>
  <si>
    <t>PGA-GA-2311-126</t>
  </si>
  <si>
    <t>HIST-202311-0001</t>
  </si>
  <si>
    <t>H0105.INV-1123-25606</t>
  </si>
  <si>
    <t>PGA-GA</t>
  </si>
  <si>
    <t>Siti Mukaromah</t>
  </si>
  <si>
    <t>83-GA-12-0281</t>
  </si>
  <si>
    <t>qty_tot</t>
  </si>
  <si>
    <t>tot_bayar</t>
  </si>
  <si>
    <t>vp_no</t>
  </si>
  <si>
    <t>reason</t>
  </si>
  <si>
    <t>paid_date</t>
  </si>
  <si>
    <t>paid_thru</t>
  </si>
  <si>
    <t>sect</t>
  </si>
  <si>
    <t>materai</t>
  </si>
  <si>
    <t>discount</t>
  </si>
  <si>
    <t>amt_adj</t>
  </si>
  <si>
    <t>VP-GA-2312-041</t>
  </si>
  <si>
    <t>TIKET MR. KAWASAKI NOZOMI KE THAILAND 11-15 DES 2023</t>
  </si>
  <si>
    <t>transfer</t>
  </si>
  <si>
    <t>VP-GA-2312-018</t>
  </si>
  <si>
    <t>UPD NZA &amp; ASA KE JAKARTA EXPO TGL 8 DESEMBER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</si>
</sst>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7D36-760B-4F2C-8E38-FC9117C2CB01}">
  <dimension ref="A1:AE6"/>
  <sheetViews>
    <sheetView topLeftCell="F1" workbookViewId="0">
      <selection activeCell="S11" sqref="S1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E2">
        <v>2</v>
      </c>
      <c r="F2" t="s">
        <v>34</v>
      </c>
      <c r="G2" t="s">
        <v>34</v>
      </c>
      <c r="I2" t="s">
        <v>35</v>
      </c>
      <c r="J2" t="s">
        <v>36</v>
      </c>
      <c r="K2" s="1">
        <v>45258</v>
      </c>
      <c r="L2" t="s">
        <v>37</v>
      </c>
      <c r="M2" t="s">
        <v>38</v>
      </c>
      <c r="N2" t="s">
        <v>39</v>
      </c>
      <c r="O2" s="2">
        <v>45265.524565046297</v>
      </c>
      <c r="P2" t="s">
        <v>40</v>
      </c>
      <c r="Q2">
        <v>2</v>
      </c>
      <c r="R2">
        <v>107500</v>
      </c>
      <c r="S2" t="s">
        <v>41</v>
      </c>
      <c r="T2">
        <v>0</v>
      </c>
      <c r="U2">
        <v>6255203</v>
      </c>
      <c r="V2" t="s">
        <v>42</v>
      </c>
      <c r="W2">
        <v>0</v>
      </c>
      <c r="X2" t="s">
        <v>43</v>
      </c>
      <c r="Y2" s="1">
        <v>45261</v>
      </c>
      <c r="AA2" s="1">
        <v>1</v>
      </c>
      <c r="AC2" t="s">
        <v>44</v>
      </c>
      <c r="AE2">
        <v>148831</v>
      </c>
    </row>
    <row r="3" spans="1:31" x14ac:dyDescent="0.3">
      <c r="A3" t="s">
        <v>45</v>
      </c>
      <c r="B3" t="s">
        <v>46</v>
      </c>
      <c r="C3" t="s">
        <v>47</v>
      </c>
      <c r="E3">
        <v>2</v>
      </c>
      <c r="F3" t="s">
        <v>34</v>
      </c>
      <c r="G3" t="s">
        <v>34</v>
      </c>
      <c r="H3" t="s">
        <v>48</v>
      </c>
      <c r="I3" t="s">
        <v>49</v>
      </c>
      <c r="J3" t="s">
        <v>36</v>
      </c>
      <c r="K3" s="1">
        <v>45264</v>
      </c>
      <c r="L3" t="s">
        <v>37</v>
      </c>
      <c r="M3" t="s">
        <v>38</v>
      </c>
      <c r="N3" t="s">
        <v>39</v>
      </c>
      <c r="O3" s="2">
        <v>45273.499263425925</v>
      </c>
      <c r="P3" t="s">
        <v>40</v>
      </c>
      <c r="Q3">
        <v>2</v>
      </c>
      <c r="R3">
        <v>2188210</v>
      </c>
      <c r="S3" t="s">
        <v>41</v>
      </c>
      <c r="T3">
        <v>0</v>
      </c>
      <c r="U3">
        <v>6255205</v>
      </c>
      <c r="V3" t="s">
        <v>42</v>
      </c>
      <c r="W3">
        <v>0</v>
      </c>
      <c r="X3" t="s">
        <v>43</v>
      </c>
      <c r="Y3" s="1">
        <v>45268</v>
      </c>
      <c r="AA3" s="1">
        <v>1</v>
      </c>
      <c r="AC3" t="s">
        <v>50</v>
      </c>
      <c r="AE3">
        <v>149762</v>
      </c>
    </row>
    <row r="4" spans="1:31" x14ac:dyDescent="0.3">
      <c r="A4" t="s">
        <v>51</v>
      </c>
      <c r="B4" t="s">
        <v>52</v>
      </c>
      <c r="C4" t="s">
        <v>53</v>
      </c>
      <c r="E4">
        <v>2</v>
      </c>
      <c r="F4" t="s">
        <v>34</v>
      </c>
      <c r="G4" t="s">
        <v>34</v>
      </c>
      <c r="I4" t="s">
        <v>49</v>
      </c>
      <c r="J4" t="s">
        <v>54</v>
      </c>
      <c r="K4" s="1">
        <v>45264</v>
      </c>
      <c r="L4" t="s">
        <v>37</v>
      </c>
      <c r="M4" t="s">
        <v>38</v>
      </c>
      <c r="N4" t="s">
        <v>39</v>
      </c>
      <c r="O4" s="2">
        <v>45273.499261574078</v>
      </c>
      <c r="P4" t="s">
        <v>40</v>
      </c>
      <c r="Q4">
        <v>2</v>
      </c>
      <c r="R4">
        <v>200000</v>
      </c>
      <c r="S4" t="s">
        <v>41</v>
      </c>
      <c r="T4">
        <v>0</v>
      </c>
      <c r="U4">
        <v>6255203</v>
      </c>
      <c r="V4" t="s">
        <v>42</v>
      </c>
      <c r="W4">
        <v>0</v>
      </c>
      <c r="X4" t="s">
        <v>43</v>
      </c>
      <c r="Y4" s="1">
        <v>45268</v>
      </c>
      <c r="AA4" s="1">
        <v>1</v>
      </c>
      <c r="AC4" t="s">
        <v>55</v>
      </c>
      <c r="AE4">
        <v>149761</v>
      </c>
    </row>
    <row r="6" spans="1:31" x14ac:dyDescent="0.3">
      <c r="R6">
        <f>SUM(R2:R4)</f>
        <v>2495710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0AC3-72A8-42AC-9737-CF317389DF15}">
  <dimension ref="A1:AE3"/>
  <sheetViews>
    <sheetView workbookViewId="0">
      <selection activeCell="A3" sqref="A3:AE3"/>
    </sheetView>
  </sheetViews>
  <sheetFormatPr defaultRowHeight="14.4" x14ac:dyDescent="0.3"/>
  <cols>
    <col min="1" max="1" width="7.44140625" bestFit="1" customWidth="1"/>
    <col min="2" max="2" width="22.5546875" bestFit="1" customWidth="1"/>
    <col min="3" max="3" width="87.88671875" bestFit="1" customWidth="1"/>
    <col min="4" max="4" width="9" bestFit="1" customWidth="1"/>
    <col min="5" max="5" width="3.5546875" bestFit="1" customWidth="1"/>
    <col min="6" max="7" width="15.77734375" bestFit="1" customWidth="1"/>
    <col min="8" max="8" width="16.109375" bestFit="1" customWidth="1"/>
    <col min="9" max="9" width="20.33203125" bestFit="1" customWidth="1"/>
    <col min="10" max="10" width="9.77734375" bestFit="1" customWidth="1"/>
    <col min="11" max="11" width="9.5546875" bestFit="1" customWidth="1"/>
    <col min="12" max="12" width="7.33203125" bestFit="1" customWidth="1"/>
    <col min="13" max="13" width="7.109375" bestFit="1" customWidth="1"/>
    <col min="14" max="14" width="13.88671875" bestFit="1" customWidth="1"/>
    <col min="15" max="15" width="7.6640625" bestFit="1" customWidth="1"/>
    <col min="16" max="16" width="3.33203125" bestFit="1" customWidth="1"/>
    <col min="17" max="17" width="7.109375" bestFit="1" customWidth="1"/>
    <col min="18" max="18" width="8" bestFit="1" customWidth="1"/>
    <col min="19" max="19" width="4.21875" bestFit="1" customWidth="1"/>
    <col min="20" max="20" width="4" bestFit="1" customWidth="1"/>
    <col min="21" max="21" width="8" bestFit="1" customWidth="1"/>
    <col min="22" max="22" width="6.77734375" bestFit="1" customWidth="1"/>
    <col min="23" max="23" width="4" bestFit="1" customWidth="1"/>
    <col min="24" max="24" width="7.109375" bestFit="1" customWidth="1"/>
    <col min="25" max="25" width="11.44140625" bestFit="1" customWidth="1"/>
    <col min="26" max="26" width="6" bestFit="1" customWidth="1"/>
    <col min="27" max="27" width="8.5546875" bestFit="1" customWidth="1"/>
    <col min="28" max="28" width="6.109375" bestFit="1" customWidth="1"/>
    <col min="29" max="29" width="13.44140625" bestFit="1" customWidth="1"/>
    <col min="30" max="30" width="11.21875" bestFit="1" customWidth="1"/>
    <col min="31" max="31" width="7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56</v>
      </c>
      <c r="B2" t="s">
        <v>46</v>
      </c>
      <c r="C2" t="s">
        <v>57</v>
      </c>
      <c r="E2">
        <v>2</v>
      </c>
      <c r="F2" t="s">
        <v>58</v>
      </c>
      <c r="G2" t="s">
        <v>58</v>
      </c>
      <c r="H2" t="s">
        <v>59</v>
      </c>
      <c r="I2" t="s">
        <v>60</v>
      </c>
      <c r="J2" t="s">
        <v>54</v>
      </c>
      <c r="K2" s="1">
        <v>45265</v>
      </c>
      <c r="L2" t="s">
        <v>61</v>
      </c>
      <c r="M2" t="s">
        <v>38</v>
      </c>
      <c r="N2" t="s">
        <v>62</v>
      </c>
      <c r="O2" s="2">
        <v>45267.711055011576</v>
      </c>
      <c r="P2" t="s">
        <v>40</v>
      </c>
      <c r="Q2">
        <v>1</v>
      </c>
      <c r="R2">
        <v>8109100</v>
      </c>
      <c r="S2" t="s">
        <v>41</v>
      </c>
      <c r="T2">
        <v>0</v>
      </c>
      <c r="U2">
        <v>7255105</v>
      </c>
      <c r="V2" t="s">
        <v>42</v>
      </c>
      <c r="W2">
        <v>0</v>
      </c>
      <c r="X2" t="s">
        <v>43</v>
      </c>
      <c r="Y2" s="1">
        <v>45265</v>
      </c>
      <c r="AA2" s="1">
        <v>1</v>
      </c>
      <c r="AC2" t="s">
        <v>63</v>
      </c>
      <c r="AE2">
        <v>148918</v>
      </c>
    </row>
    <row r="3" spans="1:31" x14ac:dyDescent="0.3">
      <c r="A3" t="s">
        <v>56</v>
      </c>
      <c r="B3" t="s">
        <v>46</v>
      </c>
      <c r="C3" t="s">
        <v>57</v>
      </c>
      <c r="E3">
        <v>2</v>
      </c>
      <c r="F3" t="s">
        <v>58</v>
      </c>
      <c r="G3" t="s">
        <v>58</v>
      </c>
      <c r="H3" t="s">
        <v>59</v>
      </c>
      <c r="I3" t="s">
        <v>60</v>
      </c>
      <c r="J3" t="s">
        <v>54</v>
      </c>
      <c r="K3" s="1">
        <v>45265</v>
      </c>
      <c r="L3" t="s">
        <v>61</v>
      </c>
      <c r="M3" t="s">
        <v>38</v>
      </c>
      <c r="N3" t="s">
        <v>62</v>
      </c>
      <c r="O3" s="2">
        <v>45274.068757210647</v>
      </c>
      <c r="P3" t="s">
        <v>40</v>
      </c>
      <c r="Q3">
        <v>2</v>
      </c>
      <c r="R3">
        <v>8109100</v>
      </c>
      <c r="S3" t="s">
        <v>41</v>
      </c>
      <c r="T3">
        <v>0</v>
      </c>
      <c r="U3">
        <v>7255105</v>
      </c>
      <c r="V3" t="s">
        <v>42</v>
      </c>
      <c r="W3">
        <v>0</v>
      </c>
      <c r="X3" t="s">
        <v>43</v>
      </c>
      <c r="Y3" s="1">
        <v>45265</v>
      </c>
      <c r="AA3" s="1">
        <v>1</v>
      </c>
      <c r="AC3" t="s">
        <v>63</v>
      </c>
      <c r="AE3">
        <v>150022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BEEB-FE7C-4697-9337-FCC3EEB0ABF0}">
  <dimension ref="A1:W2"/>
  <sheetViews>
    <sheetView topLeftCell="D1" workbookViewId="0">
      <selection activeCell="K19" sqref="K19"/>
    </sheetView>
  </sheetViews>
  <sheetFormatPr defaultRowHeight="14.4" x14ac:dyDescent="0.3"/>
  <cols>
    <col min="1" max="1" width="20.33203125" bestFit="1" customWidth="1"/>
    <col min="2" max="2" width="15.77734375" bestFit="1" customWidth="1"/>
    <col min="3" max="3" width="3.33203125" bestFit="1" customWidth="1"/>
    <col min="4" max="4" width="9.77734375" bestFit="1" customWidth="1"/>
    <col min="5" max="5" width="7" bestFit="1" customWidth="1"/>
    <col min="6" max="6" width="9" bestFit="1" customWidth="1"/>
    <col min="7" max="7" width="4.21875" bestFit="1" customWidth="1"/>
    <col min="8" max="8" width="6" bestFit="1" customWidth="1"/>
    <col min="9" max="9" width="8.5546875" bestFit="1" customWidth="1"/>
    <col min="10" max="10" width="6.109375" bestFit="1" customWidth="1"/>
    <col min="11" max="11" width="14.5546875" bestFit="1" customWidth="1"/>
    <col min="12" max="12" width="13.88671875" bestFit="1" customWidth="1"/>
    <col min="13" max="13" width="7.6640625" bestFit="1" customWidth="1"/>
    <col min="14" max="14" width="51.44140625" bestFit="1" customWidth="1"/>
    <col min="15" max="15" width="9.109375" bestFit="1" customWidth="1"/>
    <col min="16" max="17" width="4" bestFit="1" customWidth="1"/>
    <col min="18" max="18" width="8.77734375" bestFit="1" customWidth="1"/>
    <col min="19" max="19" width="7.33203125" bestFit="1" customWidth="1"/>
    <col min="20" max="20" width="11.44140625" bestFit="1" customWidth="1"/>
    <col min="21" max="21" width="7.33203125" bestFit="1" customWidth="1"/>
    <col min="22" max="22" width="7.88671875" bestFit="1" customWidth="1"/>
    <col min="23" max="23" width="7.6640625" bestFit="1" customWidth="1"/>
  </cols>
  <sheetData>
    <row r="1" spans="1:23" x14ac:dyDescent="0.3">
      <c r="A1" t="s">
        <v>8</v>
      </c>
      <c r="B1" t="s">
        <v>6</v>
      </c>
      <c r="C1" t="s">
        <v>15</v>
      </c>
      <c r="D1" t="s">
        <v>9</v>
      </c>
      <c r="E1" t="s">
        <v>64</v>
      </c>
      <c r="F1" t="s">
        <v>65</v>
      </c>
      <c r="G1" t="s">
        <v>18</v>
      </c>
      <c r="H1" t="s">
        <v>25</v>
      </c>
      <c r="I1" t="s">
        <v>26</v>
      </c>
      <c r="J1" t="s">
        <v>27</v>
      </c>
      <c r="K1" t="s">
        <v>66</v>
      </c>
      <c r="L1" t="s">
        <v>13</v>
      </c>
      <c r="M1" t="s">
        <v>14</v>
      </c>
      <c r="N1" t="s">
        <v>67</v>
      </c>
      <c r="O1" t="s">
        <v>68</v>
      </c>
      <c r="P1" t="s">
        <v>19</v>
      </c>
      <c r="Q1" t="s">
        <v>22</v>
      </c>
      <c r="R1" t="s">
        <v>69</v>
      </c>
      <c r="S1" t="s">
        <v>70</v>
      </c>
      <c r="T1" t="s">
        <v>24</v>
      </c>
      <c r="U1" t="s">
        <v>71</v>
      </c>
      <c r="V1" t="s">
        <v>72</v>
      </c>
      <c r="W1" t="s">
        <v>73</v>
      </c>
    </row>
    <row r="2" spans="1:23" x14ac:dyDescent="0.3">
      <c r="A2" t="s">
        <v>60</v>
      </c>
      <c r="B2" t="s">
        <v>58</v>
      </c>
      <c r="C2" t="s">
        <v>40</v>
      </c>
      <c r="D2" t="s">
        <v>54</v>
      </c>
      <c r="E2">
        <v>1</v>
      </c>
      <c r="F2">
        <v>8109100</v>
      </c>
      <c r="G2" t="s">
        <v>41</v>
      </c>
      <c r="I2" s="1">
        <v>1</v>
      </c>
      <c r="K2" t="s">
        <v>74</v>
      </c>
      <c r="L2" t="s">
        <v>62</v>
      </c>
      <c r="M2" s="2">
        <v>45267.712244988426</v>
      </c>
      <c r="N2" t="s">
        <v>75</v>
      </c>
      <c r="O2" t="s">
        <v>38</v>
      </c>
      <c r="P2">
        <v>0</v>
      </c>
      <c r="Q2">
        <v>0</v>
      </c>
      <c r="R2" t="s">
        <v>76</v>
      </c>
      <c r="S2" t="s">
        <v>61</v>
      </c>
      <c r="T2" s="1">
        <v>45265</v>
      </c>
      <c r="U2" t="s">
        <v>38</v>
      </c>
      <c r="V2">
        <v>0</v>
      </c>
      <c r="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8F7A-80D3-405C-8B27-9AF794099265}">
  <dimension ref="A1:C4"/>
  <sheetViews>
    <sheetView workbookViewId="0">
      <selection activeCell="E8" sqref="E8"/>
    </sheetView>
  </sheetViews>
  <sheetFormatPr defaultRowHeight="14.4" x14ac:dyDescent="0.3"/>
  <sheetData>
    <row r="1" spans="1:3" x14ac:dyDescent="0.3">
      <c r="A1" t="s">
        <v>16</v>
      </c>
      <c r="B1" t="s">
        <v>17</v>
      </c>
    </row>
    <row r="2" spans="1:3" x14ac:dyDescent="0.3">
      <c r="A2">
        <v>2</v>
      </c>
      <c r="B2">
        <v>200000</v>
      </c>
      <c r="C2">
        <f>B2*A2</f>
        <v>400000</v>
      </c>
    </row>
    <row r="3" spans="1:3" x14ac:dyDescent="0.3">
      <c r="A3">
        <v>2</v>
      </c>
      <c r="B3">
        <v>125090</v>
      </c>
      <c r="C3">
        <f>B3*A3</f>
        <v>250180</v>
      </c>
    </row>
    <row r="4" spans="1:3" x14ac:dyDescent="0.3">
      <c r="A4">
        <v>2</v>
      </c>
      <c r="B4">
        <v>2188210</v>
      </c>
      <c r="C4">
        <f>B4*A4</f>
        <v>4376420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F28-0536-40AA-AF1C-B5B33D5EE80E}">
  <dimension ref="A1:W2"/>
  <sheetViews>
    <sheetView tabSelected="1" workbookViewId="0">
      <selection activeCell="F9" sqref="F9"/>
    </sheetView>
  </sheetViews>
  <sheetFormatPr defaultRowHeight="14.4" x14ac:dyDescent="0.3"/>
  <cols>
    <col min="1" max="1" width="17.33203125" bestFit="1" customWidth="1"/>
    <col min="2" max="2" width="15.77734375" bestFit="1" customWidth="1"/>
    <col min="3" max="3" width="3.33203125" bestFit="1" customWidth="1"/>
    <col min="4" max="4" width="9.77734375" bestFit="1" customWidth="1"/>
    <col min="5" max="5" width="7" bestFit="1" customWidth="1"/>
    <col min="6" max="6" width="9" bestFit="1" customWidth="1"/>
    <col min="7" max="7" width="4.21875" bestFit="1" customWidth="1"/>
    <col min="8" max="8" width="6" bestFit="1" customWidth="1"/>
    <col min="9" max="9" width="8.5546875" bestFit="1" customWidth="1"/>
    <col min="10" max="10" width="6.109375" bestFit="1" customWidth="1"/>
    <col min="11" max="11" width="14.5546875" bestFit="1" customWidth="1"/>
    <col min="12" max="12" width="16.77734375" bestFit="1" customWidth="1"/>
    <col min="13" max="13" width="7.6640625" bestFit="1" customWidth="1"/>
    <col min="14" max="14" width="48.33203125" bestFit="1" customWidth="1"/>
    <col min="15" max="15" width="9.109375" bestFit="1" customWidth="1"/>
    <col min="16" max="17" width="4" bestFit="1" customWidth="1"/>
    <col min="18" max="18" width="8.77734375" bestFit="1" customWidth="1"/>
    <col min="19" max="19" width="7.33203125" bestFit="1" customWidth="1"/>
    <col min="20" max="20" width="11.44140625" bestFit="1" customWidth="1"/>
    <col min="21" max="21" width="7.33203125" bestFit="1" customWidth="1"/>
    <col min="22" max="22" width="7.88671875" bestFit="1" customWidth="1"/>
    <col min="23" max="23" width="7.6640625" bestFit="1" customWidth="1"/>
  </cols>
  <sheetData>
    <row r="1" spans="1:23" x14ac:dyDescent="0.3">
      <c r="A1" t="s">
        <v>8</v>
      </c>
      <c r="B1" t="s">
        <v>6</v>
      </c>
      <c r="C1" t="s">
        <v>15</v>
      </c>
      <c r="D1" t="s">
        <v>9</v>
      </c>
      <c r="E1" t="s">
        <v>64</v>
      </c>
      <c r="F1" t="s">
        <v>65</v>
      </c>
      <c r="G1" t="s">
        <v>18</v>
      </c>
      <c r="H1" t="s">
        <v>25</v>
      </c>
      <c r="I1" t="s">
        <v>26</v>
      </c>
      <c r="J1" t="s">
        <v>27</v>
      </c>
      <c r="K1" t="s">
        <v>66</v>
      </c>
      <c r="L1" t="s">
        <v>13</v>
      </c>
      <c r="M1" t="s">
        <v>14</v>
      </c>
      <c r="N1" t="s">
        <v>67</v>
      </c>
      <c r="O1" t="s">
        <v>68</v>
      </c>
      <c r="P1" t="s">
        <v>19</v>
      </c>
      <c r="Q1" t="s">
        <v>22</v>
      </c>
      <c r="R1" t="s">
        <v>69</v>
      </c>
      <c r="S1" t="s">
        <v>70</v>
      </c>
      <c r="T1" t="s">
        <v>24</v>
      </c>
      <c r="U1" t="s">
        <v>71</v>
      </c>
      <c r="V1" t="s">
        <v>72</v>
      </c>
      <c r="W1" t="s">
        <v>73</v>
      </c>
    </row>
    <row r="2" spans="1:23" x14ac:dyDescent="0.3">
      <c r="A2" t="s">
        <v>35</v>
      </c>
      <c r="B2" t="s">
        <v>34</v>
      </c>
      <c r="C2" t="s">
        <v>40</v>
      </c>
      <c r="D2" t="s">
        <v>36</v>
      </c>
      <c r="E2">
        <v>2</v>
      </c>
      <c r="F2">
        <v>215000</v>
      </c>
      <c r="G2" t="s">
        <v>41</v>
      </c>
      <c r="I2" s="1">
        <v>1</v>
      </c>
      <c r="K2" t="s">
        <v>77</v>
      </c>
      <c r="L2" t="s">
        <v>39</v>
      </c>
      <c r="M2" s="2">
        <v>45265.525229363426</v>
      </c>
      <c r="N2" t="s">
        <v>78</v>
      </c>
      <c r="O2" t="s">
        <v>38</v>
      </c>
      <c r="P2">
        <v>0</v>
      </c>
      <c r="Q2">
        <v>0</v>
      </c>
      <c r="R2" t="s">
        <v>76</v>
      </c>
      <c r="S2" t="s">
        <v>61</v>
      </c>
      <c r="T2" s="1">
        <v>45261</v>
      </c>
      <c r="U2" t="s">
        <v>38</v>
      </c>
      <c r="V2">
        <v>0</v>
      </c>
      <c r="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kd</vt:lpstr>
      <vt:lpstr>vp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Labbaika Aliful</dc:creator>
  <cp:lastModifiedBy>Labbaika Aliful</cp:lastModifiedBy>
  <dcterms:created xsi:type="dcterms:W3CDTF">2023-12-13T17:09:53Z</dcterms:created>
  <dcterms:modified xsi:type="dcterms:W3CDTF">2023-12-14T15:01:39Z</dcterms:modified>
</cp:coreProperties>
</file>