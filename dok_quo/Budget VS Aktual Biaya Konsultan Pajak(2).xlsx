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DATA KERJA ST-OFC-053\SHARE DATA ST-OFC-053\Tax Control\"/>
    </mc:Choice>
  </mc:AlternateContent>
  <xr:revisionPtr revIDLastSave="0" documentId="13_ncr:1_{AF7F9758-D62E-4543-BE33-F394B4481B3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udget VS Aktual" sheetId="14" r:id="rId1"/>
    <sheet name="05-06" sheetId="7" state="hidden" r:id="rId2"/>
  </sheets>
  <definedNames>
    <definedName name="_xlnm._FilterDatabase" localSheetId="0" hidden="1">'Budget VS Aktual'!$A$6:$AG$29</definedName>
    <definedName name="_xlnm.Print_Area" localSheetId="0">'Budget VS Aktual'!$B$3:$W$27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7" i="14" l="1"/>
  <c r="W24" i="14"/>
  <c r="W22" i="14"/>
  <c r="W20" i="14"/>
  <c r="W18" i="14"/>
  <c r="W16" i="14"/>
  <c r="W14" i="14"/>
  <c r="W10" i="14"/>
  <c r="V30" i="14"/>
  <c r="V22" i="14"/>
  <c r="V20" i="14"/>
  <c r="V24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O29" i="14"/>
  <c r="O28" i="14"/>
  <c r="N28" i="14"/>
  <c r="A27" i="14"/>
  <c r="L23" i="14" l="1"/>
  <c r="L29" i="14"/>
  <c r="L28" i="14"/>
  <c r="F22" i="14" l="1"/>
  <c r="G26" i="14" l="1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29" i="14" l="1"/>
  <c r="G28" i="14"/>
  <c r="I3" i="14"/>
  <c r="F29" i="14"/>
  <c r="F28" i="14"/>
  <c r="K3" i="14" l="1"/>
  <c r="N3" i="14" l="1"/>
  <c r="Q3" i="14" l="1"/>
  <c r="I15" i="7"/>
  <c r="H15" i="7" s="1"/>
  <c r="I4" i="7"/>
  <c r="H4" i="7" s="1"/>
  <c r="K4" i="7" l="1"/>
  <c r="J4" i="7" s="1"/>
  <c r="M15" i="7"/>
  <c r="L15" i="7" s="1"/>
  <c r="S3" i="14"/>
  <c r="X3" i="14" l="1"/>
  <c r="Z3" i="14" l="1"/>
  <c r="X29" i="14" l="1"/>
  <c r="AB3" i="14"/>
  <c r="Z29" i="14" l="1"/>
  <c r="AD3" i="14"/>
  <c r="AF3" i="14" l="1"/>
  <c r="AD29" i="14" l="1"/>
  <c r="AF28" i="14" l="1"/>
  <c r="AF29" i="14"/>
  <c r="AD28" i="14"/>
  <c r="X28" i="14"/>
  <c r="AB28" i="14"/>
  <c r="Z28" i="14"/>
  <c r="E28" i="14"/>
  <c r="U28" i="14" l="1"/>
  <c r="AB29" i="14"/>
  <c r="I50" i="7"/>
  <c r="I46" i="7"/>
  <c r="I34" i="7"/>
  <c r="I23" i="7"/>
  <c r="I19" i="7"/>
  <c r="Q28" i="14" l="1"/>
  <c r="Q29" i="14"/>
  <c r="K29" i="14"/>
  <c r="K28" i="14"/>
  <c r="S29" i="14"/>
  <c r="S28" i="14"/>
  <c r="I28" i="14"/>
  <c r="I29" i="14"/>
  <c r="E29" i="14" l="1"/>
  <c r="C28" i="14" l="1"/>
  <c r="N29" i="14"/>
  <c r="U29" i="14"/>
  <c r="C29" i="14" l="1"/>
</calcChain>
</file>

<file path=xl/sharedStrings.xml><?xml version="1.0" encoding="utf-8"?>
<sst xmlns="http://schemas.openxmlformats.org/spreadsheetml/2006/main" count="192" uniqueCount="88">
  <si>
    <t>No</t>
  </si>
  <si>
    <t>Tax Audit</t>
  </si>
  <si>
    <t>CIT Review FY 2020</t>
  </si>
  <si>
    <t>IDR</t>
  </si>
  <si>
    <r>
      <rPr>
        <sz val="10"/>
        <rFont val="Calibri Light"/>
        <family val="2"/>
      </rPr>
      <t>No</t>
    </r>
  </si>
  <si>
    <r>
      <rPr>
        <sz val="10"/>
        <rFont val="Calibri Light"/>
        <family val="2"/>
      </rPr>
      <t>Task Category</t>
    </r>
  </si>
  <si>
    <r>
      <rPr>
        <sz val="10"/>
        <rFont val="Calibri Light"/>
        <family val="2"/>
      </rPr>
      <t>Who</t>
    </r>
  </si>
  <si>
    <r>
      <rPr>
        <sz val="10"/>
        <rFont val="Calibri Light"/>
        <family val="2"/>
      </rPr>
      <t>Rate</t>
    </r>
  </si>
  <si>
    <r>
      <rPr>
        <sz val="10"/>
        <rFont val="Calibri Light"/>
        <family val="2"/>
      </rPr>
      <t xml:space="preserve">Hour
</t>
    </r>
    <r>
      <rPr>
        <sz val="10"/>
        <rFont val="Calibri Light"/>
        <family val="2"/>
      </rPr>
      <t>Spent</t>
    </r>
  </si>
  <si>
    <r>
      <rPr>
        <sz val="10"/>
        <rFont val="Calibri Light"/>
        <family val="2"/>
      </rPr>
      <t xml:space="preserve">Cost
</t>
    </r>
    <r>
      <rPr>
        <sz val="10"/>
        <rFont val="Calibri Light"/>
        <family val="2"/>
      </rPr>
      <t>(USD)</t>
    </r>
  </si>
  <si>
    <r>
      <rPr>
        <sz val="10"/>
        <rFont val="Calibri Light"/>
        <family val="2"/>
      </rPr>
      <t>Cost (IDR)</t>
    </r>
  </si>
  <si>
    <r>
      <rPr>
        <sz val="10"/>
        <rFont val="Calibri Light"/>
        <family val="2"/>
      </rPr>
      <t>Prepare deliverable &amp; data requested by Tax Auditor</t>
    </r>
  </si>
  <si>
    <r>
      <rPr>
        <sz val="10"/>
        <rFont val="Calibri Light"/>
        <family val="2"/>
      </rPr>
      <t>Partner A</t>
    </r>
  </si>
  <si>
    <r>
      <rPr>
        <sz val="10"/>
        <rFont val="Calibri Light"/>
        <family val="2"/>
      </rPr>
      <t>Manager A</t>
    </r>
  </si>
  <si>
    <r>
      <rPr>
        <sz val="10"/>
        <rFont val="Calibri Light"/>
        <family val="2"/>
      </rPr>
      <t>Manager B</t>
    </r>
  </si>
  <si>
    <r>
      <rPr>
        <sz val="10"/>
        <rFont val="Calibri Light"/>
        <family val="2"/>
      </rPr>
      <t>Supervisor A</t>
    </r>
  </si>
  <si>
    <r>
      <rPr>
        <sz val="10"/>
        <rFont val="Calibri Light"/>
        <family val="2"/>
      </rPr>
      <t>Supervisor B</t>
    </r>
  </si>
  <si>
    <r>
      <rPr>
        <sz val="10"/>
        <rFont val="Calibri Light"/>
        <family val="2"/>
      </rPr>
      <t>Senior Associate A</t>
    </r>
  </si>
  <si>
    <r>
      <rPr>
        <sz val="10"/>
        <rFont val="Calibri Light"/>
        <family val="2"/>
      </rPr>
      <t>Associate A</t>
    </r>
  </si>
  <si>
    <r>
      <rPr>
        <sz val="10"/>
        <rFont val="Calibri Light"/>
        <family val="2"/>
      </rPr>
      <t>Associate B</t>
    </r>
  </si>
  <si>
    <r>
      <rPr>
        <sz val="10"/>
        <rFont val="Calibri Light"/>
        <family val="2"/>
      </rPr>
      <t>Associate C</t>
    </r>
  </si>
  <si>
    <r>
      <rPr>
        <sz val="10"/>
        <rFont val="Calibri Light"/>
        <family val="2"/>
      </rPr>
      <t>Junior Associate A</t>
    </r>
  </si>
  <si>
    <r>
      <rPr>
        <sz val="10"/>
        <rFont val="Calibri Light"/>
        <family val="2"/>
      </rPr>
      <t>Subtotal</t>
    </r>
  </si>
  <si>
    <r>
      <rPr>
        <sz val="10"/>
        <rFont val="Calibri Light"/>
        <family val="2"/>
      </rPr>
      <t>Discussion with Tax Auditor</t>
    </r>
  </si>
  <si>
    <r>
      <rPr>
        <sz val="10"/>
        <rFont val="Calibri Light"/>
        <family val="2"/>
      </rPr>
      <t>Partner B</t>
    </r>
  </si>
  <si>
    <r>
      <rPr>
        <sz val="10"/>
        <rFont val="Calibri Light"/>
        <family val="2"/>
      </rPr>
      <t>Discussion with Tax Auditor on Pre-Notification of Tax Audit Result</t>
    </r>
  </si>
  <si>
    <r>
      <rPr>
        <i/>
        <sz val="10"/>
        <color rgb="FF9BC2E6"/>
        <rFont val="Calibri Light"/>
        <family val="2"/>
      </rPr>
      <t>(Diskusi untuk membahas Pre-SPHP)</t>
    </r>
  </si>
  <si>
    <r>
      <rPr>
        <i/>
        <sz val="10"/>
        <color rgb="FF9BC2E6"/>
        <rFont val="Calibri Light"/>
        <family val="2"/>
      </rPr>
      <t>(Data untuk Pre-SPHP)</t>
    </r>
  </si>
  <si>
    <r>
      <rPr>
        <sz val="10"/>
        <rFont val="Calibri Light"/>
        <family val="2"/>
      </rPr>
      <t>Preparation of Response Letter for Notification of Tax Audit Result</t>
    </r>
  </si>
  <si>
    <r>
      <rPr>
        <i/>
        <sz val="10"/>
        <color rgb="FF9BC2E6"/>
        <rFont val="Calibri Light"/>
        <family val="2"/>
      </rPr>
      <t>(Tanggapan SPHP)</t>
    </r>
  </si>
  <si>
    <r>
      <rPr>
        <sz val="10"/>
        <rFont val="Calibri Light"/>
        <family val="2"/>
      </rPr>
      <t>Director A</t>
    </r>
  </si>
  <si>
    <r>
      <rPr>
        <sz val="10"/>
        <rFont val="Calibri Light"/>
        <family val="2"/>
      </rPr>
      <t>Tax Audit closing discussion</t>
    </r>
  </si>
  <si>
    <r>
      <rPr>
        <i/>
        <sz val="10"/>
        <color rgb="FF9BC2E6"/>
        <rFont val="Calibri Light"/>
        <family val="2"/>
      </rPr>
      <t>(Closing Pemeriksaan)</t>
    </r>
  </si>
  <si>
    <r>
      <rPr>
        <sz val="10"/>
        <rFont val="Calibri Light"/>
        <family val="2"/>
      </rPr>
      <t>Tax Assessment Letter &amp; Completion Report</t>
    </r>
  </si>
  <si>
    <r>
      <rPr>
        <i/>
        <sz val="10"/>
        <color rgb="FF9BC2E6"/>
        <rFont val="Calibri Light"/>
        <family val="2"/>
      </rPr>
      <t>(Reporting to client)</t>
    </r>
  </si>
  <si>
    <r>
      <rPr>
        <sz val="10"/>
        <rFont val="Calibri Light"/>
        <family val="2"/>
      </rPr>
      <t>Senior A</t>
    </r>
  </si>
  <si>
    <r>
      <rPr>
        <sz val="10"/>
        <rFont val="Calibri Light"/>
        <family val="2"/>
      </rPr>
      <t>Grand Total</t>
    </r>
  </si>
  <si>
    <t>Okt - Des (Jan 22)</t>
  </si>
  <si>
    <t>Jan - Mar (Apr 22)</t>
  </si>
  <si>
    <t>Juli (Oct 22)</t>
  </si>
  <si>
    <t>Juli-Sep (Oct 21)</t>
  </si>
  <si>
    <t>Total</t>
  </si>
  <si>
    <t>Pemeriksaan Pajak Badan Tahun 2019</t>
  </si>
  <si>
    <t>JPY</t>
  </si>
  <si>
    <t>April - Juni (Juli 22)</t>
  </si>
  <si>
    <t>Description</t>
  </si>
  <si>
    <t>Price</t>
  </si>
  <si>
    <t>Currency</t>
  </si>
  <si>
    <t>Jul</t>
  </si>
  <si>
    <t>Agu</t>
  </si>
  <si>
    <t>Sep</t>
  </si>
  <si>
    <t>Okt</t>
  </si>
  <si>
    <t>Nov</t>
  </si>
  <si>
    <t>Des</t>
  </si>
  <si>
    <t>Jan</t>
  </si>
  <si>
    <t>Feb</t>
  </si>
  <si>
    <t>Mar</t>
  </si>
  <si>
    <t>Apr</t>
  </si>
  <si>
    <t>Mei</t>
  </si>
  <si>
    <t>Jun</t>
  </si>
  <si>
    <t>Ex. Rate</t>
  </si>
  <si>
    <t>Pemeriksaan Pajak Badan Tahun 2020</t>
  </si>
  <si>
    <t>Keberatan Pajak Badan Tahun 2015</t>
  </si>
  <si>
    <t>Keberatan Pajak Badan Tahun 2019</t>
  </si>
  <si>
    <t>Banding Pajak PPN Tahun 2019</t>
  </si>
  <si>
    <t>Banding Pajak Badan Tahun 2014</t>
  </si>
  <si>
    <t>Banding Pajak PPN Tahun 2018</t>
  </si>
  <si>
    <t>USD</t>
  </si>
  <si>
    <t>Original</t>
  </si>
  <si>
    <t>TP Doc FY 2020 25%</t>
  </si>
  <si>
    <t>TP Doc FY 2021 75%</t>
  </si>
  <si>
    <t>Aktual</t>
  </si>
  <si>
    <t>Pendampingan Permohonan APA</t>
  </si>
  <si>
    <t>Pendampingan Peninjauan Kembali PPN Tahun 2017</t>
  </si>
  <si>
    <t>Pendampingan Peninjauan Kembali PPN Tahun 2018</t>
  </si>
  <si>
    <t>Budget</t>
  </si>
  <si>
    <t>Selisih</t>
  </si>
  <si>
    <t>Penjelasan</t>
  </si>
  <si>
    <t>Aktivitas dalam pembahasan APA sedikit karena adanya PPKM</t>
  </si>
  <si>
    <t>Sidang ditunda sehingga tidak ada ativitas, dikarenakan PPKM darurat</t>
  </si>
  <si>
    <t>Budget kurang, estimasi yang dibuat tidak sama dengna aktual</t>
  </si>
  <si>
    <t>Budget kurang, karena ada tambahan biaya Out of Pocket</t>
  </si>
  <si>
    <t>Belum menagihkan</t>
  </si>
  <si>
    <t>Pembahasan SPHP plan pada saat pembuatan budget di juni, aktual SPHP terbit dan closing di bulan Juli, sehingga tagihan akan bergeser di bulan oktober 2021</t>
  </si>
  <si>
    <t>Plan pembuatan budget SKP keberatan terbit di bulan juli 2021 sehingga tagihan akan ada dibulan oktober 2021, aktual SKP terbit Mei 2021</t>
  </si>
  <si>
    <t>Add</t>
  </si>
  <si>
    <t>Pembatalan STP PPN Periode Mei dan Agustus 2015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</si>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</sst>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0"/>
      <name val="Times New Roman"/>
      <family val="1"/>
    </font>
    <font>
      <i/>
      <sz val="12"/>
      <name val="Calibri Light"/>
      <family val="2"/>
    </font>
    <font>
      <i/>
      <sz val="12"/>
      <color rgb="FFFF0000"/>
      <name val="Calibri Light"/>
      <family val="2"/>
    </font>
    <font>
      <sz val="10"/>
      <name val="Calibri Light"/>
      <family val="2"/>
    </font>
    <font>
      <sz val="10"/>
      <color rgb="FF000000"/>
      <name val="Calibri Light"/>
      <family val="2"/>
    </font>
    <font>
      <sz val="11"/>
      <color rgb="FF000000"/>
      <name val="Calibri Light"/>
      <family val="2"/>
    </font>
    <font>
      <i/>
      <sz val="10"/>
      <name val="Calibri Light"/>
      <family val="2"/>
    </font>
    <font>
      <i/>
      <sz val="10"/>
      <color rgb="FF9BC2E6"/>
      <name val="Calibri Light"/>
      <family val="2"/>
    </font>
    <font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5DFB4"/>
      </patternFill>
    </fill>
    <fill>
      <patternFill patternType="solid">
        <fgColor rgb="FFE1EED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9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DAAAA"/>
      </bottom>
      <diagonal/>
    </border>
    <border>
      <left style="thin">
        <color rgb="FF000000"/>
      </left>
      <right style="thin">
        <color rgb="FF000000"/>
      </right>
      <top style="thin">
        <color rgb="FFADAAAA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DAAAA"/>
      </bottom>
      <diagonal/>
    </border>
    <border>
      <left/>
      <right style="thin">
        <color rgb="FF000000"/>
      </right>
      <top style="thin">
        <color rgb="FF000000"/>
      </top>
      <bottom style="thin">
        <color rgb="FFADAAAA"/>
      </bottom>
      <diagonal/>
    </border>
    <border>
      <left style="thin">
        <color rgb="FF000000"/>
      </left>
      <right/>
      <top style="thin">
        <color rgb="FFADAAAA"/>
      </top>
      <bottom/>
      <diagonal/>
    </border>
    <border>
      <left/>
      <right/>
      <top style="thin">
        <color rgb="FFADAAA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8" fillId="3" borderId="1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 indent="2"/>
    </xf>
    <xf numFmtId="0" fontId="0" fillId="3" borderId="1" xfId="0" applyFill="1" applyBorder="1" applyAlignment="1">
      <alignment horizontal="left" vertical="top" wrapText="1" indent="1"/>
    </xf>
    <xf numFmtId="0" fontId="8" fillId="3" borderId="1" xfId="0" applyFont="1" applyFill="1" applyBorder="1" applyAlignment="1">
      <alignment horizontal="left" vertical="center" wrapText="1" indent="3"/>
    </xf>
    <xf numFmtId="1" fontId="9" fillId="0" borderId="1" xfId="0" applyNumberFormat="1" applyFont="1" applyFill="1" applyBorder="1" applyAlignment="1">
      <alignment horizontal="right" vertical="center" indent="1" shrinkToFit="1"/>
    </xf>
    <xf numFmtId="0" fontId="8" fillId="0" borderId="1" xfId="0" applyFont="1" applyFill="1" applyBorder="1" applyAlignment="1">
      <alignment horizontal="left" vertical="center" wrapText="1"/>
    </xf>
    <xf numFmtId="1" fontId="9" fillId="0" borderId="1" xfId="0" applyNumberFormat="1" applyFont="1" applyFill="1" applyBorder="1" applyAlignment="1">
      <alignment horizontal="right" vertical="center" shrinkToFit="1"/>
    </xf>
    <xf numFmtId="1" fontId="10" fillId="0" borderId="1" xfId="0" applyNumberFormat="1" applyFont="1" applyFill="1" applyBorder="1" applyAlignment="1">
      <alignment horizontal="right" vertical="center" shrinkToFit="1"/>
    </xf>
    <xf numFmtId="3" fontId="10" fillId="0" borderId="1" xfId="0" applyNumberFormat="1" applyFont="1" applyFill="1" applyBorder="1" applyAlignment="1">
      <alignment horizontal="right" vertical="center" shrinkToFit="1"/>
    </xf>
    <xf numFmtId="0" fontId="0" fillId="0" borderId="1" xfId="0" applyFill="1" applyBorder="1" applyAlignment="1">
      <alignment horizontal="left" wrapText="1"/>
    </xf>
    <xf numFmtId="0" fontId="8" fillId="0" borderId="1" xfId="0" applyFont="1" applyFill="1" applyBorder="1" applyAlignment="1">
      <alignment horizontal="left" vertical="top" wrapText="1"/>
    </xf>
    <xf numFmtId="1" fontId="9" fillId="0" borderId="1" xfId="0" applyNumberFormat="1" applyFont="1" applyFill="1" applyBorder="1" applyAlignment="1">
      <alignment horizontal="right" vertical="top" shrinkToFit="1"/>
    </xf>
    <xf numFmtId="1" fontId="10" fillId="0" borderId="1" xfId="0" applyNumberFormat="1" applyFont="1" applyFill="1" applyBorder="1" applyAlignment="1">
      <alignment horizontal="right" vertical="top" shrinkToFit="1"/>
    </xf>
    <xf numFmtId="3" fontId="10" fillId="0" borderId="1" xfId="0" applyNumberFormat="1" applyFont="1" applyFill="1" applyBorder="1" applyAlignment="1">
      <alignment horizontal="right" vertical="top" shrinkToFit="1"/>
    </xf>
    <xf numFmtId="0" fontId="0" fillId="4" borderId="2" xfId="0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top" wrapText="1"/>
    </xf>
    <xf numFmtId="3" fontId="9" fillId="4" borderId="2" xfId="0" applyNumberFormat="1" applyFont="1" applyFill="1" applyBorder="1" applyAlignment="1">
      <alignment horizontal="right" vertical="top" shrinkToFit="1"/>
    </xf>
    <xf numFmtId="1" fontId="9" fillId="0" borderId="3" xfId="0" applyNumberFormat="1" applyFont="1" applyFill="1" applyBorder="1" applyAlignment="1">
      <alignment horizontal="right" vertical="top" indent="1" shrinkToFit="1"/>
    </xf>
    <xf numFmtId="0" fontId="8" fillId="0" borderId="3" xfId="0" applyFont="1" applyFill="1" applyBorder="1" applyAlignment="1">
      <alignment horizontal="left" vertical="top" wrapText="1"/>
    </xf>
    <xf numFmtId="1" fontId="9" fillId="0" borderId="3" xfId="0" applyNumberFormat="1" applyFont="1" applyFill="1" applyBorder="1" applyAlignment="1">
      <alignment horizontal="right" vertical="top" shrinkToFit="1"/>
    </xf>
    <xf numFmtId="1" fontId="10" fillId="0" borderId="3" xfId="0" applyNumberFormat="1" applyFont="1" applyFill="1" applyBorder="1" applyAlignment="1">
      <alignment horizontal="right" vertical="top" shrinkToFit="1"/>
    </xf>
    <xf numFmtId="3" fontId="10" fillId="0" borderId="3" xfId="0" applyNumberFormat="1" applyFont="1" applyFill="1" applyBorder="1" applyAlignment="1">
      <alignment horizontal="right" vertical="top" shrinkToFit="1"/>
    </xf>
    <xf numFmtId="0" fontId="11" fillId="0" borderId="1" xfId="0" applyFont="1" applyFill="1" applyBorder="1" applyAlignment="1">
      <alignment horizontal="left" vertical="top" wrapText="1"/>
    </xf>
    <xf numFmtId="1" fontId="9" fillId="0" borderId="3" xfId="0" applyNumberFormat="1" applyFont="1" applyFill="1" applyBorder="1" applyAlignment="1">
      <alignment horizontal="center" vertical="top" shrinkToFit="1"/>
    </xf>
    <xf numFmtId="0" fontId="0" fillId="3" borderId="3" xfId="0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top" wrapText="1"/>
    </xf>
    <xf numFmtId="3" fontId="9" fillId="3" borderId="3" xfId="0" applyNumberFormat="1" applyFont="1" applyFill="1" applyBorder="1" applyAlignment="1">
      <alignment horizontal="right" vertical="top" shrinkToFit="1"/>
    </xf>
    <xf numFmtId="164" fontId="0" fillId="0" borderId="0" xfId="1" applyFont="1" applyFill="1" applyBorder="1" applyAlignment="1">
      <alignment horizontal="left" vertical="top"/>
    </xf>
    <xf numFmtId="0" fontId="2" fillId="0" borderId="0" xfId="0" applyFont="1" applyAlignment="1">
      <alignment vertical="center" wrapText="1"/>
    </xf>
    <xf numFmtId="164" fontId="2" fillId="0" borderId="0" xfId="1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165" fontId="3" fillId="0" borderId="13" xfId="1" applyNumberFormat="1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2" fillId="0" borderId="0" xfId="1" applyNumberFormat="1" applyFont="1" applyAlignment="1">
      <alignment vertical="center" wrapText="1"/>
    </xf>
    <xf numFmtId="165" fontId="2" fillId="0" borderId="0" xfId="0" applyNumberFormat="1" applyFont="1" applyAlignment="1">
      <alignment vertical="center"/>
    </xf>
    <xf numFmtId="165" fontId="2" fillId="7" borderId="0" xfId="1" applyNumberFormat="1" applyFont="1" applyFill="1" applyAlignment="1">
      <alignment vertical="center"/>
    </xf>
    <xf numFmtId="165" fontId="13" fillId="0" borderId="0" xfId="1" applyNumberFormat="1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3" fillId="0" borderId="14" xfId="1" applyNumberFormat="1" applyFont="1" applyBorder="1" applyAlignment="1">
      <alignment vertical="center"/>
    </xf>
    <xf numFmtId="165" fontId="3" fillId="0" borderId="15" xfId="1" applyNumberFormat="1" applyFont="1" applyBorder="1" applyAlignment="1">
      <alignment vertical="center"/>
    </xf>
    <xf numFmtId="165" fontId="3" fillId="0" borderId="16" xfId="1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5" fillId="6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165" fontId="2" fillId="0" borderId="13" xfId="1" applyNumberFormat="1" applyFont="1" applyBorder="1" applyAlignment="1">
      <alignment vertical="center"/>
    </xf>
    <xf numFmtId="165" fontId="2" fillId="8" borderId="13" xfId="1" applyNumberFormat="1" applyFont="1" applyFill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165" fontId="2" fillId="0" borderId="17" xfId="1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165" fontId="2" fillId="0" borderId="18" xfId="1" applyNumberFormat="1" applyFont="1" applyBorder="1" applyAlignment="1">
      <alignment vertical="center"/>
    </xf>
    <xf numFmtId="165" fontId="2" fillId="0" borderId="16" xfId="1" applyNumberFormat="1" applyFont="1" applyBorder="1" applyAlignment="1">
      <alignment vertical="center"/>
    </xf>
    <xf numFmtId="165" fontId="2" fillId="8" borderId="16" xfId="1" applyNumberFormat="1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3" fontId="9" fillId="4" borderId="9" xfId="0" applyNumberFormat="1" applyFont="1" applyFill="1" applyBorder="1" applyAlignment="1">
      <alignment horizontal="center" vertical="top" shrinkToFit="1"/>
    </xf>
    <xf numFmtId="3" fontId="9" fillId="4" borderId="10" xfId="0" applyNumberFormat="1" applyFont="1" applyFill="1" applyBorder="1" applyAlignment="1">
      <alignment horizontal="center" vertical="top" shrinkToFit="1"/>
    </xf>
    <xf numFmtId="9" fontId="0" fillId="0" borderId="11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65" fontId="0" fillId="0" borderId="12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165" fontId="0" fillId="0" borderId="6" xfId="1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9" fontId="0" fillId="0" borderId="4" xfId="0" applyNumberFormat="1" applyFill="1" applyBorder="1" applyAlignment="1">
      <alignment horizontal="center" vertical="center"/>
    </xf>
    <xf numFmtId="9" fontId="0" fillId="0" borderId="6" xfId="4" applyFont="1" applyFill="1" applyBorder="1" applyAlignment="1">
      <alignment horizontal="center" vertical="top"/>
    </xf>
    <xf numFmtId="9" fontId="0" fillId="0" borderId="0" xfId="4" applyFont="1" applyFill="1" applyBorder="1" applyAlignment="1">
      <alignment horizontal="center" vertical="top"/>
    </xf>
    <xf numFmtId="165" fontId="0" fillId="0" borderId="6" xfId="0" applyNumberFormat="1" applyFill="1" applyBorder="1" applyAlignment="1">
      <alignment horizontal="center" vertical="top"/>
    </xf>
    <xf numFmtId="165" fontId="0" fillId="0" borderId="0" xfId="0" applyNumberFormat="1" applyFill="1" applyBorder="1" applyAlignment="1">
      <alignment horizontal="center" vertical="top"/>
    </xf>
    <xf numFmtId="0" fontId="7" fillId="0" borderId="0" xfId="0" applyFont="1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left" vertical="top" wrapText="1" indent="1"/>
    </xf>
    <xf numFmtId="0" fontId="8" fillId="3" borderId="0" xfId="0" applyFont="1" applyFill="1" applyBorder="1" applyAlignment="1">
      <alignment horizontal="left" vertical="top" wrapText="1"/>
    </xf>
  </cellXfs>
  <cellStyles count="5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tabSelected="1" topLeftCell="C1" zoomScaleNormal="100" workbookViewId="0">
      <pane ySplit="5" topLeftCell="A9" activePane="bottomLeft" state="frozen"/>
      <selection pane="bottomLeft" activeCell="AA14" sqref="AA14"/>
    </sheetView>
  </sheetViews>
  <sheetFormatPr defaultRowHeight="20.100000000000001" customHeight="1" x14ac:dyDescent="0.25"/>
  <cols>
    <col min="1" max="1" width="9.140625" style="2" customWidth="1"/>
    <col min="2" max="2" width="47" style="1" bestFit="1" customWidth="1"/>
    <col min="3" max="3" width="16.140625" style="35" customWidth="1"/>
    <col min="4" max="4" width="9.140625" style="1" customWidth="1"/>
    <col min="5" max="7" width="15.7109375" style="1" hidden="1" customWidth="1"/>
    <col min="8" max="8" width="58.28515625" style="1" hidden="1" customWidth="1"/>
    <col min="9" max="10" width="12.7109375" style="1" hidden="1" customWidth="1"/>
    <col min="11" max="11" width="9.140625" style="1" hidden="1" customWidth="1"/>
    <col min="12" max="12" width="9.85546875" style="1" hidden="1" customWidth="1"/>
    <col min="13" max="13" width="15.85546875" style="1" hidden="1" customWidth="1"/>
    <col min="14" max="16" width="14" style="1" hidden="1" customWidth="1"/>
    <col min="17" max="18" width="9.140625" style="1" hidden="1" customWidth="1"/>
    <col min="19" max="20" width="12.7109375" style="1" hidden="1" customWidth="1"/>
    <col min="21" max="22" width="15.7109375" style="1" customWidth="1"/>
    <col min="23" max="23" width="15.7109375" style="34" customWidth="1"/>
    <col min="24" max="25" width="9.140625" style="1" customWidth="1"/>
    <col min="26" max="27" width="12.7109375" style="1" customWidth="1"/>
    <col min="28" max="29" width="14" style="1" customWidth="1"/>
    <col min="30" max="33" width="12.7109375" style="1" customWidth="1"/>
    <col min="34" max="16384" width="9.140625" style="1"/>
  </cols>
  <sheetData>
    <row r="1" spans="1:33" ht="20.100000000000001" customHeight="1" x14ac:dyDescent="0.25">
      <c r="C1" s="1"/>
      <c r="D1" s="1" t="s">
        <v>60</v>
      </c>
      <c r="E1" s="1" t="s">
        <v>67</v>
      </c>
      <c r="I1" s="34">
        <v>14541.975</v>
      </c>
      <c r="J1" s="34"/>
      <c r="K1" s="1" t="s">
        <v>43</v>
      </c>
      <c r="N1" s="1">
        <v>105</v>
      </c>
      <c r="W1" s="1"/>
    </row>
    <row r="2" spans="1:33" ht="20.100000000000001" customHeight="1" x14ac:dyDescent="0.25">
      <c r="C2" s="1"/>
      <c r="E2" s="69" t="s">
        <v>68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 s="2" customFormat="1" ht="20.100000000000001" customHeight="1" x14ac:dyDescent="0.25">
      <c r="A3" s="71" t="s">
        <v>0</v>
      </c>
      <c r="B3" s="72" t="s">
        <v>45</v>
      </c>
      <c r="C3" s="72" t="s">
        <v>46</v>
      </c>
      <c r="D3" s="72" t="s">
        <v>47</v>
      </c>
      <c r="E3" s="70">
        <v>7</v>
      </c>
      <c r="F3" s="70"/>
      <c r="G3" s="70"/>
      <c r="H3" s="70"/>
      <c r="I3" s="70">
        <f>+E3+1</f>
        <v>8</v>
      </c>
      <c r="J3" s="70"/>
      <c r="K3" s="70">
        <f>+I3+1</f>
        <v>9</v>
      </c>
      <c r="L3" s="70"/>
      <c r="M3" s="46"/>
      <c r="N3" s="73">
        <f>+K3+1</f>
        <v>10</v>
      </c>
      <c r="O3" s="73"/>
      <c r="P3" s="53"/>
      <c r="Q3" s="70">
        <f>+N3+1</f>
        <v>11</v>
      </c>
      <c r="R3" s="70"/>
      <c r="S3" s="70">
        <f>+Q3+1</f>
        <v>12</v>
      </c>
      <c r="T3" s="70"/>
      <c r="U3" s="73">
        <v>1</v>
      </c>
      <c r="V3" s="73"/>
      <c r="W3" s="73" t="s">
        <v>76</v>
      </c>
      <c r="X3" s="70">
        <f>+U3+1</f>
        <v>2</v>
      </c>
      <c r="Y3" s="70"/>
      <c r="Z3" s="70">
        <f>+X3+1</f>
        <v>3</v>
      </c>
      <c r="AA3" s="70"/>
      <c r="AB3" s="70">
        <f>+Z3+1</f>
        <v>4</v>
      </c>
      <c r="AC3" s="70"/>
      <c r="AD3" s="70">
        <f>+AB3+1</f>
        <v>5</v>
      </c>
      <c r="AE3" s="70"/>
      <c r="AF3" s="70">
        <f t="shared" ref="AF3" si="0">+AD3+1</f>
        <v>6</v>
      </c>
      <c r="AG3" s="70"/>
    </row>
    <row r="4" spans="1:33" ht="20.100000000000001" customHeight="1" x14ac:dyDescent="0.25">
      <c r="A4" s="71"/>
      <c r="B4" s="72"/>
      <c r="C4" s="72"/>
      <c r="D4" s="72"/>
      <c r="E4" s="70" t="s">
        <v>48</v>
      </c>
      <c r="F4" s="70"/>
      <c r="G4" s="70"/>
      <c r="H4" s="70"/>
      <c r="I4" s="70" t="s">
        <v>49</v>
      </c>
      <c r="J4" s="70"/>
      <c r="K4" s="70" t="s">
        <v>50</v>
      </c>
      <c r="L4" s="70"/>
      <c r="M4" s="46"/>
      <c r="N4" s="73" t="s">
        <v>51</v>
      </c>
      <c r="O4" s="73"/>
      <c r="P4" s="53"/>
      <c r="Q4" s="70" t="s">
        <v>52</v>
      </c>
      <c r="R4" s="70"/>
      <c r="S4" s="70" t="s">
        <v>53</v>
      </c>
      <c r="T4" s="70"/>
      <c r="U4" s="73" t="s">
        <v>54</v>
      </c>
      <c r="V4" s="73"/>
      <c r="W4" s="73"/>
      <c r="X4" s="70" t="s">
        <v>55</v>
      </c>
      <c r="Y4" s="70"/>
      <c r="Z4" s="70" t="s">
        <v>56</v>
      </c>
      <c r="AA4" s="70"/>
      <c r="AB4" s="70" t="s">
        <v>57</v>
      </c>
      <c r="AC4" s="70"/>
      <c r="AD4" s="70" t="s">
        <v>58</v>
      </c>
      <c r="AE4" s="70"/>
      <c r="AF4" s="70" t="s">
        <v>59</v>
      </c>
      <c r="AG4" s="70"/>
    </row>
    <row r="5" spans="1:33" ht="20.100000000000001" customHeight="1" x14ac:dyDescent="0.25">
      <c r="A5" s="71"/>
      <c r="B5" s="72"/>
      <c r="C5" s="72"/>
      <c r="D5" s="72"/>
      <c r="E5" s="36" t="s">
        <v>75</v>
      </c>
      <c r="F5" s="36" t="s">
        <v>71</v>
      </c>
      <c r="G5" s="41" t="s">
        <v>76</v>
      </c>
      <c r="H5" s="41" t="s">
        <v>77</v>
      </c>
      <c r="I5" s="41" t="s">
        <v>75</v>
      </c>
      <c r="J5" s="41" t="s">
        <v>71</v>
      </c>
      <c r="K5" s="41" t="s">
        <v>75</v>
      </c>
      <c r="L5" s="41" t="s">
        <v>71</v>
      </c>
      <c r="M5" s="46" t="s">
        <v>85</v>
      </c>
      <c r="N5" s="53" t="s">
        <v>75</v>
      </c>
      <c r="O5" s="53" t="s">
        <v>71</v>
      </c>
      <c r="P5" s="53" t="s">
        <v>87</v>
      </c>
      <c r="Q5" s="41" t="s">
        <v>75</v>
      </c>
      <c r="R5" s="41" t="s">
        <v>71</v>
      </c>
      <c r="S5" s="41" t="s">
        <v>75</v>
      </c>
      <c r="T5" s="41" t="s">
        <v>71</v>
      </c>
      <c r="U5" s="64" t="s">
        <v>75</v>
      </c>
      <c r="V5" s="64" t="s">
        <v>71</v>
      </c>
      <c r="W5" s="73"/>
      <c r="X5" s="41" t="s">
        <v>75</v>
      </c>
      <c r="Y5" s="41" t="s">
        <v>71</v>
      </c>
      <c r="Z5" s="41" t="s">
        <v>75</v>
      </c>
      <c r="AA5" s="41" t="s">
        <v>71</v>
      </c>
      <c r="AB5" s="41" t="s">
        <v>75</v>
      </c>
      <c r="AC5" s="41" t="s">
        <v>71</v>
      </c>
      <c r="AD5" s="41" t="s">
        <v>75</v>
      </c>
      <c r="AE5" s="41" t="s">
        <v>71</v>
      </c>
      <c r="AF5" s="41" t="s">
        <v>75</v>
      </c>
      <c r="AG5" s="41" t="s">
        <v>71</v>
      </c>
    </row>
    <row r="6" spans="1:33" ht="20.100000000000001" customHeight="1" x14ac:dyDescent="0.25">
      <c r="A6" s="48"/>
      <c r="B6" s="63"/>
      <c r="C6" s="63"/>
      <c r="D6" s="63"/>
      <c r="E6" s="47"/>
      <c r="F6" s="47"/>
      <c r="G6" s="47"/>
      <c r="H6" s="47"/>
      <c r="I6" s="47"/>
      <c r="J6" s="47"/>
      <c r="K6" s="47"/>
      <c r="L6" s="47"/>
      <c r="M6" s="47"/>
      <c r="N6" s="53"/>
      <c r="O6" s="53"/>
      <c r="P6" s="53"/>
      <c r="Q6" s="47"/>
      <c r="R6" s="47"/>
      <c r="S6" s="47"/>
      <c r="T6" s="47"/>
      <c r="U6" s="64"/>
      <c r="V6" s="64"/>
      <c r="W6" s="64"/>
      <c r="X6" s="47"/>
      <c r="Y6" s="47"/>
      <c r="Z6" s="47"/>
      <c r="AA6" s="47"/>
      <c r="AB6" s="47"/>
      <c r="AC6" s="47"/>
      <c r="AD6" s="47"/>
      <c r="AE6" s="47"/>
      <c r="AF6" s="47"/>
      <c r="AG6" s="47"/>
    </row>
    <row r="7" spans="1:33" ht="20.100000000000001" customHeight="1" x14ac:dyDescent="0.25">
      <c r="A7" s="2">
        <v>1</v>
      </c>
      <c r="B7" s="1" t="s">
        <v>2</v>
      </c>
      <c r="C7" s="35">
        <v>50000000</v>
      </c>
      <c r="D7" s="1" t="s">
        <v>3</v>
      </c>
      <c r="E7" s="35">
        <v>0</v>
      </c>
      <c r="F7" s="35"/>
      <c r="G7" s="35">
        <f>E7-F7</f>
        <v>0</v>
      </c>
      <c r="H7" s="35"/>
      <c r="I7" s="35">
        <v>50000000</v>
      </c>
      <c r="J7" s="35"/>
      <c r="K7" s="35">
        <v>0</v>
      </c>
      <c r="L7" s="35"/>
      <c r="M7" s="35"/>
      <c r="N7" s="35">
        <v>0</v>
      </c>
      <c r="O7" s="35"/>
      <c r="P7" s="35">
        <f t="shared" ref="P7:P27" si="1">+N7-O7</f>
        <v>0</v>
      </c>
      <c r="Q7" s="35">
        <v>0</v>
      </c>
      <c r="R7" s="35"/>
      <c r="S7" s="35">
        <v>0</v>
      </c>
      <c r="T7" s="35"/>
      <c r="U7" s="35">
        <v>0</v>
      </c>
      <c r="V7" s="35"/>
      <c r="W7" s="35"/>
      <c r="X7" s="35">
        <v>0</v>
      </c>
      <c r="Y7" s="35"/>
      <c r="Z7" s="35">
        <v>0</v>
      </c>
      <c r="AA7" s="35"/>
      <c r="AB7" s="35">
        <v>0</v>
      </c>
      <c r="AC7" s="35"/>
      <c r="AD7" s="35">
        <v>0</v>
      </c>
      <c r="AE7" s="35"/>
      <c r="AF7" s="35">
        <v>0</v>
      </c>
      <c r="AG7" s="35"/>
    </row>
    <row r="8" spans="1:33" ht="20.100000000000001" customHeight="1" x14ac:dyDescent="0.25">
      <c r="A8" s="2">
        <v>2</v>
      </c>
      <c r="B8" s="1" t="s">
        <v>69</v>
      </c>
      <c r="C8" s="35">
        <v>30000000</v>
      </c>
      <c r="D8" s="1" t="s">
        <v>3</v>
      </c>
      <c r="E8" s="35">
        <v>0</v>
      </c>
      <c r="F8" s="35"/>
      <c r="G8" s="35">
        <f t="shared" ref="G8:G26" si="2">E8-F8</f>
        <v>0</v>
      </c>
      <c r="H8" s="35"/>
      <c r="I8" s="35">
        <v>30000000</v>
      </c>
      <c r="J8" s="35"/>
      <c r="K8" s="35">
        <v>0</v>
      </c>
      <c r="L8" s="35"/>
      <c r="M8" s="35"/>
      <c r="N8" s="35">
        <v>0</v>
      </c>
      <c r="O8" s="35"/>
      <c r="P8" s="35">
        <f t="shared" si="1"/>
        <v>0</v>
      </c>
      <c r="Q8" s="35">
        <v>0</v>
      </c>
      <c r="R8" s="35"/>
      <c r="S8" s="35">
        <v>0</v>
      </c>
      <c r="T8" s="35"/>
      <c r="U8" s="35">
        <v>0</v>
      </c>
      <c r="V8" s="35"/>
      <c r="W8" s="35"/>
      <c r="X8" s="35">
        <v>0</v>
      </c>
      <c r="Y8" s="35"/>
      <c r="Z8" s="35">
        <v>0</v>
      </c>
      <c r="AA8" s="35"/>
      <c r="AB8" s="35">
        <v>0</v>
      </c>
      <c r="AC8" s="35"/>
      <c r="AD8" s="35">
        <v>0</v>
      </c>
      <c r="AE8" s="35"/>
      <c r="AF8" s="35">
        <v>0</v>
      </c>
      <c r="AG8" s="35"/>
    </row>
    <row r="9" spans="1:33" ht="20.100000000000001" customHeight="1" x14ac:dyDescent="0.25">
      <c r="A9" s="2">
        <v>3</v>
      </c>
      <c r="B9" s="1" t="s">
        <v>70</v>
      </c>
      <c r="C9" s="35">
        <v>90000000</v>
      </c>
      <c r="D9" s="1" t="s">
        <v>3</v>
      </c>
      <c r="E9" s="35">
        <v>0</v>
      </c>
      <c r="F9" s="35"/>
      <c r="G9" s="35">
        <f t="shared" si="2"/>
        <v>0</v>
      </c>
      <c r="H9" s="35"/>
      <c r="I9" s="35">
        <v>0</v>
      </c>
      <c r="J9" s="35"/>
      <c r="K9" s="35">
        <v>0</v>
      </c>
      <c r="L9" s="35"/>
      <c r="M9" s="35"/>
      <c r="N9" s="35">
        <v>0</v>
      </c>
      <c r="O9" s="35"/>
      <c r="P9" s="35">
        <f t="shared" si="1"/>
        <v>0</v>
      </c>
      <c r="Q9" s="35">
        <v>0</v>
      </c>
      <c r="R9" s="35"/>
      <c r="S9" s="35">
        <v>0</v>
      </c>
      <c r="T9" s="35"/>
      <c r="U9" s="35">
        <v>0</v>
      </c>
      <c r="V9" s="35"/>
      <c r="W9" s="35"/>
      <c r="X9" s="35">
        <v>0</v>
      </c>
      <c r="Y9" s="35"/>
      <c r="Z9" s="35">
        <v>60000000</v>
      </c>
      <c r="AA9" s="35"/>
      <c r="AB9" s="35">
        <v>0</v>
      </c>
      <c r="AC9" s="35"/>
      <c r="AD9" s="35">
        <v>0</v>
      </c>
      <c r="AE9" s="35"/>
      <c r="AF9" s="35">
        <v>30000000</v>
      </c>
      <c r="AG9" s="35"/>
    </row>
    <row r="10" spans="1:33" ht="20.100000000000001" customHeight="1" x14ac:dyDescent="0.25">
      <c r="A10" s="2">
        <v>4</v>
      </c>
      <c r="B10" s="54" t="s">
        <v>61</v>
      </c>
      <c r="C10" s="55">
        <v>479294813.58924997</v>
      </c>
      <c r="D10" s="54" t="s">
        <v>3</v>
      </c>
      <c r="E10" s="35">
        <v>0</v>
      </c>
      <c r="F10" s="35"/>
      <c r="G10" s="35">
        <f t="shared" si="2"/>
        <v>0</v>
      </c>
      <c r="H10" s="35"/>
      <c r="I10" s="35">
        <v>0</v>
      </c>
      <c r="J10" s="35"/>
      <c r="K10" s="35">
        <v>0</v>
      </c>
      <c r="L10" s="35"/>
      <c r="M10" s="35"/>
      <c r="N10" s="35">
        <v>0</v>
      </c>
      <c r="O10" s="35"/>
      <c r="P10" s="35">
        <f t="shared" si="1"/>
        <v>0</v>
      </c>
      <c r="Q10" s="35">
        <v>0</v>
      </c>
      <c r="R10" s="35"/>
      <c r="S10" s="35">
        <v>0</v>
      </c>
      <c r="T10" s="35"/>
      <c r="U10" s="55">
        <v>349624997.67825001</v>
      </c>
      <c r="V10" s="55">
        <v>3345221</v>
      </c>
      <c r="W10" s="55">
        <f>+U10-V10</f>
        <v>346279776.67825001</v>
      </c>
      <c r="X10" s="35">
        <v>0</v>
      </c>
      <c r="Y10" s="35"/>
      <c r="Z10" s="35">
        <v>0</v>
      </c>
      <c r="AA10" s="35"/>
      <c r="AB10" s="35">
        <v>129669815.91099998</v>
      </c>
      <c r="AC10" s="35"/>
      <c r="AD10" s="35">
        <v>0</v>
      </c>
      <c r="AE10" s="35"/>
      <c r="AF10" s="35">
        <v>0</v>
      </c>
      <c r="AG10" s="35"/>
    </row>
    <row r="11" spans="1:33" ht="20.100000000000001" customHeight="1" x14ac:dyDescent="0.25">
      <c r="A11" s="2">
        <v>4</v>
      </c>
      <c r="B11" s="1" t="s">
        <v>61</v>
      </c>
      <c r="C11" s="35">
        <v>223125</v>
      </c>
      <c r="D11" s="1" t="s">
        <v>43</v>
      </c>
      <c r="E11" s="35">
        <v>0</v>
      </c>
      <c r="F11" s="35"/>
      <c r="G11" s="35">
        <f t="shared" si="2"/>
        <v>0</v>
      </c>
      <c r="H11" s="35"/>
      <c r="I11" s="35">
        <v>0</v>
      </c>
      <c r="J11" s="35"/>
      <c r="K11" s="35">
        <v>0</v>
      </c>
      <c r="L11" s="35"/>
      <c r="M11" s="35"/>
      <c r="N11" s="35">
        <v>0</v>
      </c>
      <c r="O11" s="35"/>
      <c r="P11" s="35">
        <f t="shared" si="1"/>
        <v>0</v>
      </c>
      <c r="Q11" s="35">
        <v>0</v>
      </c>
      <c r="R11" s="35"/>
      <c r="S11" s="35">
        <v>0</v>
      </c>
      <c r="T11" s="35"/>
      <c r="U11" s="35">
        <v>202725</v>
      </c>
      <c r="V11" s="35"/>
      <c r="W11" s="35"/>
      <c r="X11" s="35">
        <v>0</v>
      </c>
      <c r="Y11" s="35"/>
      <c r="Z11" s="35">
        <v>0</v>
      </c>
      <c r="AA11" s="35"/>
      <c r="AB11" s="35">
        <v>20400</v>
      </c>
      <c r="AC11" s="35"/>
      <c r="AD11" s="35">
        <v>0</v>
      </c>
      <c r="AE11" s="35"/>
      <c r="AF11" s="35">
        <v>0</v>
      </c>
      <c r="AG11" s="35"/>
    </row>
    <row r="12" spans="1:33" ht="45" x14ac:dyDescent="0.25">
      <c r="A12" s="2">
        <v>5</v>
      </c>
      <c r="B12" s="54" t="s">
        <v>42</v>
      </c>
      <c r="C12" s="55">
        <v>663883876.41075003</v>
      </c>
      <c r="D12" s="54" t="s">
        <v>3</v>
      </c>
      <c r="E12" s="35">
        <v>606604726.41075003</v>
      </c>
      <c r="F12" s="44">
        <v>40623205</v>
      </c>
      <c r="G12" s="35">
        <f t="shared" si="2"/>
        <v>565981521.41075003</v>
      </c>
      <c r="H12" s="42" t="s">
        <v>83</v>
      </c>
      <c r="I12" s="35">
        <v>0</v>
      </c>
      <c r="J12" s="35"/>
      <c r="K12" s="35">
        <v>0</v>
      </c>
      <c r="L12" s="35"/>
      <c r="M12" s="35"/>
      <c r="N12" s="55">
        <v>57279150</v>
      </c>
      <c r="O12" s="55">
        <v>97280390</v>
      </c>
      <c r="P12" s="56">
        <f t="shared" si="1"/>
        <v>-40001240</v>
      </c>
      <c r="Q12" s="35">
        <v>0</v>
      </c>
      <c r="R12" s="35"/>
      <c r="S12" s="35">
        <v>0</v>
      </c>
      <c r="T12" s="35"/>
      <c r="U12" s="35">
        <v>0</v>
      </c>
      <c r="V12" s="35"/>
      <c r="W12" s="35"/>
      <c r="X12" s="35">
        <v>0</v>
      </c>
      <c r="Y12" s="35"/>
      <c r="Z12" s="35">
        <v>0</v>
      </c>
      <c r="AA12" s="35"/>
      <c r="AB12" s="35">
        <v>0</v>
      </c>
      <c r="AC12" s="35"/>
      <c r="AD12" s="35">
        <v>0</v>
      </c>
      <c r="AE12" s="35"/>
      <c r="AF12" s="35">
        <v>0</v>
      </c>
      <c r="AG12" s="35"/>
    </row>
    <row r="13" spans="1:33" ht="20.100000000000001" customHeight="1" x14ac:dyDescent="0.25">
      <c r="A13" s="2">
        <v>5</v>
      </c>
      <c r="B13" s="1" t="s">
        <v>42</v>
      </c>
      <c r="C13" s="35">
        <v>123250</v>
      </c>
      <c r="D13" s="1" t="s">
        <v>43</v>
      </c>
      <c r="E13" s="35">
        <v>123250</v>
      </c>
      <c r="F13" s="35"/>
      <c r="G13" s="35">
        <f t="shared" si="2"/>
        <v>123250</v>
      </c>
      <c r="H13" s="35" t="s">
        <v>82</v>
      </c>
      <c r="I13" s="35">
        <v>0</v>
      </c>
      <c r="J13" s="35"/>
      <c r="K13" s="35">
        <v>0</v>
      </c>
      <c r="L13" s="35">
        <v>157250</v>
      </c>
      <c r="M13" s="35"/>
      <c r="N13" s="35">
        <v>0</v>
      </c>
      <c r="O13" s="35"/>
      <c r="P13" s="35">
        <f t="shared" si="1"/>
        <v>0</v>
      </c>
      <c r="Q13" s="35">
        <v>0</v>
      </c>
      <c r="R13" s="35"/>
      <c r="S13" s="35">
        <v>0</v>
      </c>
      <c r="T13" s="35"/>
      <c r="U13" s="35">
        <v>0</v>
      </c>
      <c r="V13" s="35"/>
      <c r="W13" s="35"/>
      <c r="X13" s="35">
        <v>0</v>
      </c>
      <c r="Y13" s="35"/>
      <c r="Z13" s="35">
        <v>0</v>
      </c>
      <c r="AA13" s="35"/>
      <c r="AB13" s="35">
        <v>0</v>
      </c>
      <c r="AC13" s="35"/>
      <c r="AD13" s="35">
        <v>0</v>
      </c>
      <c r="AE13" s="35"/>
      <c r="AF13" s="35">
        <v>0</v>
      </c>
      <c r="AG13" s="35"/>
    </row>
    <row r="14" spans="1:33" ht="20.100000000000001" customHeight="1" x14ac:dyDescent="0.25">
      <c r="A14" s="2">
        <v>6</v>
      </c>
      <c r="B14" s="54" t="s">
        <v>62</v>
      </c>
      <c r="C14" s="55">
        <v>117038178</v>
      </c>
      <c r="D14" s="54" t="s">
        <v>3</v>
      </c>
      <c r="E14" s="35">
        <v>10375118</v>
      </c>
      <c r="F14" s="45">
        <v>116751734</v>
      </c>
      <c r="G14" s="35">
        <f t="shared" si="2"/>
        <v>-106376616</v>
      </c>
      <c r="H14" s="35" t="s">
        <v>80</v>
      </c>
      <c r="I14" s="35">
        <v>0</v>
      </c>
      <c r="J14" s="35"/>
      <c r="K14" s="35">
        <v>0</v>
      </c>
      <c r="L14" s="35"/>
      <c r="M14" s="35"/>
      <c r="N14" s="55">
        <v>5556925</v>
      </c>
      <c r="O14" s="55">
        <v>13798427</v>
      </c>
      <c r="P14" s="56">
        <f t="shared" si="1"/>
        <v>-8241502</v>
      </c>
      <c r="Q14" s="35">
        <v>0</v>
      </c>
      <c r="R14" s="35"/>
      <c r="S14" s="35">
        <v>0</v>
      </c>
      <c r="T14" s="35"/>
      <c r="U14" s="55">
        <v>0</v>
      </c>
      <c r="V14" s="55">
        <v>7128000</v>
      </c>
      <c r="W14" s="55">
        <f>+U14-V14</f>
        <v>-7128000</v>
      </c>
      <c r="X14" s="35">
        <v>0</v>
      </c>
      <c r="Y14" s="35"/>
      <c r="Z14" s="35">
        <v>0</v>
      </c>
      <c r="AA14" s="35"/>
      <c r="AB14" s="35">
        <v>101106135</v>
      </c>
      <c r="AC14" s="35"/>
      <c r="AD14" s="35">
        <v>0</v>
      </c>
      <c r="AE14" s="35"/>
      <c r="AF14" s="35">
        <v>0</v>
      </c>
      <c r="AG14" s="35"/>
    </row>
    <row r="15" spans="1:33" ht="20.100000000000001" customHeight="1" x14ac:dyDescent="0.25">
      <c r="A15" s="2">
        <v>6</v>
      </c>
      <c r="B15" s="1" t="s">
        <v>62</v>
      </c>
      <c r="C15" s="35">
        <v>224825</v>
      </c>
      <c r="D15" s="1" t="s">
        <v>43</v>
      </c>
      <c r="E15" s="35">
        <v>32300</v>
      </c>
      <c r="F15" s="35"/>
      <c r="G15" s="35">
        <f t="shared" si="2"/>
        <v>32300</v>
      </c>
      <c r="H15" s="35" t="s">
        <v>82</v>
      </c>
      <c r="I15" s="35">
        <v>0</v>
      </c>
      <c r="J15" s="35"/>
      <c r="K15" s="35">
        <v>0</v>
      </c>
      <c r="L15" s="35"/>
      <c r="M15" s="35"/>
      <c r="N15" s="35">
        <v>54400</v>
      </c>
      <c r="O15" s="35"/>
      <c r="P15" s="35">
        <f t="shared" si="1"/>
        <v>54400</v>
      </c>
      <c r="Q15" s="35">
        <v>0</v>
      </c>
      <c r="R15" s="35"/>
      <c r="S15" s="35">
        <v>0</v>
      </c>
      <c r="T15" s="35"/>
      <c r="U15" s="35">
        <v>0</v>
      </c>
      <c r="V15" s="35"/>
      <c r="W15" s="35"/>
      <c r="X15" s="35">
        <v>0</v>
      </c>
      <c r="Y15" s="35"/>
      <c r="Z15" s="35">
        <v>0</v>
      </c>
      <c r="AA15" s="35"/>
      <c r="AB15" s="35">
        <v>138125</v>
      </c>
      <c r="AC15" s="35"/>
      <c r="AD15" s="35">
        <v>0</v>
      </c>
      <c r="AE15" s="35"/>
      <c r="AF15" s="35">
        <v>0</v>
      </c>
      <c r="AG15" s="35"/>
    </row>
    <row r="16" spans="1:33" ht="20.100000000000001" customHeight="1" x14ac:dyDescent="0.25">
      <c r="A16" s="2">
        <v>7</v>
      </c>
      <c r="B16" s="54" t="s">
        <v>63</v>
      </c>
      <c r="C16" s="55">
        <v>110229044</v>
      </c>
      <c r="D16" s="54" t="s">
        <v>3</v>
      </c>
      <c r="E16" s="35">
        <v>0</v>
      </c>
      <c r="F16" s="35"/>
      <c r="G16" s="35">
        <f t="shared" si="2"/>
        <v>0</v>
      </c>
      <c r="H16" s="35"/>
      <c r="I16" s="35">
        <v>0</v>
      </c>
      <c r="J16" s="35"/>
      <c r="K16" s="35">
        <v>0</v>
      </c>
      <c r="L16" s="35"/>
      <c r="M16" s="35"/>
      <c r="N16" s="55">
        <v>94297001</v>
      </c>
      <c r="O16" s="55">
        <v>44187471</v>
      </c>
      <c r="P16" s="55">
        <f t="shared" si="1"/>
        <v>50109530</v>
      </c>
      <c r="Q16" s="35">
        <v>0</v>
      </c>
      <c r="R16" s="35"/>
      <c r="S16" s="35">
        <v>0</v>
      </c>
      <c r="T16" s="35"/>
      <c r="U16" s="55">
        <v>10375118</v>
      </c>
      <c r="V16" s="55">
        <v>55261931</v>
      </c>
      <c r="W16" s="55">
        <f>+U16-V16</f>
        <v>-44886813</v>
      </c>
      <c r="X16" s="35">
        <v>0</v>
      </c>
      <c r="Y16" s="35"/>
      <c r="Z16" s="35">
        <v>0</v>
      </c>
      <c r="AA16" s="35"/>
      <c r="AB16" s="35">
        <v>5556925</v>
      </c>
      <c r="AC16" s="35"/>
      <c r="AD16" s="35">
        <v>0</v>
      </c>
      <c r="AE16" s="35"/>
      <c r="AF16" s="35">
        <v>0</v>
      </c>
      <c r="AG16" s="35"/>
    </row>
    <row r="17" spans="1:33" ht="20.100000000000001" customHeight="1" x14ac:dyDescent="0.25">
      <c r="A17" s="2">
        <v>7</v>
      </c>
      <c r="B17" s="1" t="s">
        <v>63</v>
      </c>
      <c r="C17" s="35">
        <v>224825</v>
      </c>
      <c r="D17" s="1" t="s">
        <v>43</v>
      </c>
      <c r="E17" s="35">
        <v>0</v>
      </c>
      <c r="F17" s="35"/>
      <c r="G17" s="35">
        <f t="shared" si="2"/>
        <v>0</v>
      </c>
      <c r="H17" s="35"/>
      <c r="I17" s="35">
        <v>0</v>
      </c>
      <c r="J17" s="35"/>
      <c r="K17" s="35">
        <v>0</v>
      </c>
      <c r="L17" s="35"/>
      <c r="M17" s="35"/>
      <c r="N17" s="35">
        <v>32300</v>
      </c>
      <c r="O17" s="35"/>
      <c r="P17" s="35">
        <f t="shared" si="1"/>
        <v>32300</v>
      </c>
      <c r="Q17" s="35">
        <v>0</v>
      </c>
      <c r="R17" s="35"/>
      <c r="S17" s="35">
        <v>0</v>
      </c>
      <c r="T17" s="35"/>
      <c r="U17" s="35">
        <v>54400</v>
      </c>
      <c r="V17" s="35"/>
      <c r="W17" s="35"/>
      <c r="X17" s="35">
        <v>0</v>
      </c>
      <c r="Y17" s="35"/>
      <c r="Z17" s="35">
        <v>0</v>
      </c>
      <c r="AA17" s="35"/>
      <c r="AB17" s="35">
        <v>138125</v>
      </c>
      <c r="AC17" s="35"/>
      <c r="AD17" s="35">
        <v>0</v>
      </c>
      <c r="AE17" s="35"/>
      <c r="AF17" s="35">
        <v>0</v>
      </c>
      <c r="AG17" s="35"/>
    </row>
    <row r="18" spans="1:33" ht="45" x14ac:dyDescent="0.25">
      <c r="A18" s="2">
        <v>8</v>
      </c>
      <c r="B18" s="54" t="s">
        <v>64</v>
      </c>
      <c r="C18" s="55">
        <v>229344690</v>
      </c>
      <c r="D18" s="54" t="s">
        <v>3</v>
      </c>
      <c r="E18" s="35">
        <v>0</v>
      </c>
      <c r="F18" s="35">
        <v>11075708</v>
      </c>
      <c r="G18" s="35">
        <f t="shared" si="2"/>
        <v>-11075708</v>
      </c>
      <c r="H18" s="42" t="s">
        <v>84</v>
      </c>
      <c r="I18" s="35">
        <v>0</v>
      </c>
      <c r="J18" s="35"/>
      <c r="K18" s="35">
        <v>0</v>
      </c>
      <c r="L18" s="35"/>
      <c r="M18" s="35"/>
      <c r="N18" s="55">
        <v>42710072</v>
      </c>
      <c r="O18" s="55">
        <v>33762142</v>
      </c>
      <c r="P18" s="55">
        <f t="shared" si="1"/>
        <v>8947930</v>
      </c>
      <c r="Q18" s="35">
        <v>0</v>
      </c>
      <c r="R18" s="35"/>
      <c r="S18" s="35">
        <v>0</v>
      </c>
      <c r="T18" s="35"/>
      <c r="U18" s="55">
        <v>58348657</v>
      </c>
      <c r="V18" s="55">
        <v>11715328</v>
      </c>
      <c r="W18" s="55">
        <f>+U18-V18</f>
        <v>46633329</v>
      </c>
      <c r="X18" s="35">
        <v>0</v>
      </c>
      <c r="Y18" s="35"/>
      <c r="Z18" s="35">
        <v>0</v>
      </c>
      <c r="AA18" s="35"/>
      <c r="AB18" s="35">
        <v>128285961</v>
      </c>
      <c r="AC18" s="35"/>
      <c r="AD18" s="35">
        <v>0</v>
      </c>
      <c r="AE18" s="35"/>
      <c r="AF18" s="35">
        <v>0</v>
      </c>
      <c r="AG18" s="35"/>
    </row>
    <row r="19" spans="1:33" ht="20.100000000000001" customHeight="1" x14ac:dyDescent="0.25">
      <c r="A19" s="2">
        <v>8</v>
      </c>
      <c r="B19" s="1" t="s">
        <v>64</v>
      </c>
      <c r="C19" s="35">
        <v>1166625</v>
      </c>
      <c r="D19" s="1" t="s">
        <v>43</v>
      </c>
      <c r="E19" s="35">
        <v>0</v>
      </c>
      <c r="F19" s="35"/>
      <c r="G19" s="35">
        <f t="shared" si="2"/>
        <v>0</v>
      </c>
      <c r="H19" s="35"/>
      <c r="I19" s="35">
        <v>0</v>
      </c>
      <c r="J19" s="35"/>
      <c r="K19" s="35">
        <v>0</v>
      </c>
      <c r="L19" s="35">
        <v>64600</v>
      </c>
      <c r="M19" s="35"/>
      <c r="N19" s="35">
        <v>161925</v>
      </c>
      <c r="O19" s="35"/>
      <c r="P19" s="35">
        <f t="shared" si="1"/>
        <v>161925</v>
      </c>
      <c r="Q19" s="35">
        <v>0</v>
      </c>
      <c r="R19" s="35"/>
      <c r="S19" s="35">
        <v>0</v>
      </c>
      <c r="T19" s="35"/>
      <c r="U19" s="35">
        <v>502350</v>
      </c>
      <c r="V19" s="35"/>
      <c r="W19" s="35"/>
      <c r="X19" s="35">
        <v>0</v>
      </c>
      <c r="Y19" s="35"/>
      <c r="Z19" s="35">
        <v>0</v>
      </c>
      <c r="AA19" s="35"/>
      <c r="AB19" s="35">
        <v>502350</v>
      </c>
      <c r="AC19" s="35"/>
      <c r="AD19" s="35">
        <v>0</v>
      </c>
      <c r="AE19" s="35"/>
      <c r="AF19" s="35">
        <v>0</v>
      </c>
      <c r="AG19" s="35"/>
    </row>
    <row r="20" spans="1:33" ht="20.100000000000001" customHeight="1" x14ac:dyDescent="0.25">
      <c r="A20" s="2">
        <v>9</v>
      </c>
      <c r="B20" s="57" t="s">
        <v>65</v>
      </c>
      <c r="C20" s="55">
        <v>438859654</v>
      </c>
      <c r="D20" s="54" t="s">
        <v>3</v>
      </c>
      <c r="E20" s="35">
        <v>128285961</v>
      </c>
      <c r="F20" s="44">
        <v>39859936</v>
      </c>
      <c r="G20" s="35">
        <f t="shared" si="2"/>
        <v>88426025</v>
      </c>
      <c r="H20" s="35" t="s">
        <v>79</v>
      </c>
      <c r="I20" s="35">
        <v>0</v>
      </c>
      <c r="J20" s="35"/>
      <c r="K20" s="35">
        <v>0</v>
      </c>
      <c r="L20" s="35"/>
      <c r="M20" s="35"/>
      <c r="N20" s="55">
        <v>128285961</v>
      </c>
      <c r="O20" s="55">
        <v>100555860</v>
      </c>
      <c r="P20" s="55">
        <f t="shared" si="1"/>
        <v>27730101</v>
      </c>
      <c r="Q20" s="35">
        <v>0</v>
      </c>
      <c r="R20" s="35"/>
      <c r="S20" s="35">
        <v>0</v>
      </c>
      <c r="T20" s="35"/>
      <c r="U20" s="55">
        <v>128285961</v>
      </c>
      <c r="V20" s="55">
        <f>545000+7194000+6538073+183432770</f>
        <v>197709843</v>
      </c>
      <c r="W20" s="55">
        <f>+U20-V20</f>
        <v>-69423882</v>
      </c>
      <c r="X20" s="35">
        <v>0</v>
      </c>
      <c r="Y20" s="35"/>
      <c r="Z20" s="35">
        <v>0</v>
      </c>
      <c r="AA20" s="35"/>
      <c r="AB20" s="35">
        <v>54001771</v>
      </c>
      <c r="AC20" s="35"/>
      <c r="AD20" s="35">
        <v>0</v>
      </c>
      <c r="AE20" s="35"/>
      <c r="AF20" s="35">
        <v>0</v>
      </c>
      <c r="AG20" s="35"/>
    </row>
    <row r="21" spans="1:33" ht="20.100000000000001" customHeight="1" x14ac:dyDescent="0.25">
      <c r="A21" s="2">
        <v>9</v>
      </c>
      <c r="B21" s="33" t="s">
        <v>65</v>
      </c>
      <c r="C21" s="35">
        <v>2009400</v>
      </c>
      <c r="D21" s="1" t="s">
        <v>43</v>
      </c>
      <c r="E21" s="35">
        <v>502350</v>
      </c>
      <c r="F21" s="35"/>
      <c r="G21" s="35">
        <f t="shared" si="2"/>
        <v>502350</v>
      </c>
      <c r="H21" s="35" t="s">
        <v>82</v>
      </c>
      <c r="I21" s="35">
        <v>0</v>
      </c>
      <c r="J21" s="35"/>
      <c r="K21" s="35">
        <v>0</v>
      </c>
      <c r="L21" s="35">
        <v>119000</v>
      </c>
      <c r="M21" s="35"/>
      <c r="N21" s="35">
        <v>502350</v>
      </c>
      <c r="O21" s="35"/>
      <c r="P21" s="35">
        <f t="shared" si="1"/>
        <v>502350</v>
      </c>
      <c r="Q21" s="35">
        <v>0</v>
      </c>
      <c r="R21" s="35"/>
      <c r="S21" s="35">
        <v>0</v>
      </c>
      <c r="T21" s="35"/>
      <c r="U21" s="35">
        <v>502350</v>
      </c>
      <c r="V21" s="35"/>
      <c r="W21" s="35"/>
      <c r="X21" s="35">
        <v>0</v>
      </c>
      <c r="Y21" s="35"/>
      <c r="Z21" s="35">
        <v>0</v>
      </c>
      <c r="AA21" s="35"/>
      <c r="AB21" s="35">
        <v>502350</v>
      </c>
      <c r="AC21" s="35"/>
      <c r="AD21" s="35">
        <v>0</v>
      </c>
      <c r="AE21" s="35"/>
      <c r="AF21" s="35">
        <v>0</v>
      </c>
      <c r="AG21" s="35"/>
    </row>
    <row r="22" spans="1:33" ht="20.100000000000001" customHeight="1" x14ac:dyDescent="0.25">
      <c r="A22" s="2">
        <v>10</v>
      </c>
      <c r="B22" s="54" t="s">
        <v>66</v>
      </c>
      <c r="C22" s="55">
        <v>470032994</v>
      </c>
      <c r="D22" s="54" t="s">
        <v>3</v>
      </c>
      <c r="E22" s="35">
        <v>127937098</v>
      </c>
      <c r="F22" s="45">
        <f>126416449+2252000</f>
        <v>128668449</v>
      </c>
      <c r="G22" s="35">
        <f t="shared" si="2"/>
        <v>-731351</v>
      </c>
      <c r="H22" s="35" t="s">
        <v>81</v>
      </c>
      <c r="I22" s="35">
        <v>0</v>
      </c>
      <c r="J22" s="35"/>
      <c r="K22" s="35">
        <v>0</v>
      </c>
      <c r="L22" s="35"/>
      <c r="M22" s="35"/>
      <c r="N22" s="55">
        <v>85523974</v>
      </c>
      <c r="O22" s="55">
        <v>63144031</v>
      </c>
      <c r="P22" s="55">
        <f t="shared" si="1"/>
        <v>22379943</v>
      </c>
      <c r="Q22" s="35">
        <v>0</v>
      </c>
      <c r="R22" s="35"/>
      <c r="S22" s="35">
        <v>0</v>
      </c>
      <c r="T22" s="35"/>
      <c r="U22" s="55">
        <v>128285961</v>
      </c>
      <c r="V22" s="55">
        <f>3150900+48000+47576063</f>
        <v>50774963</v>
      </c>
      <c r="W22" s="55">
        <f>+U22-V22</f>
        <v>77510998</v>
      </c>
      <c r="X22" s="35">
        <v>0</v>
      </c>
      <c r="Y22" s="35"/>
      <c r="Z22" s="35">
        <v>0</v>
      </c>
      <c r="AA22" s="35"/>
      <c r="AB22" s="35">
        <v>128285961</v>
      </c>
      <c r="AC22" s="35"/>
      <c r="AD22" s="35">
        <v>0</v>
      </c>
      <c r="AE22" s="35"/>
      <c r="AF22" s="35">
        <v>0</v>
      </c>
      <c r="AG22" s="35"/>
    </row>
    <row r="23" spans="1:33" ht="20.100000000000001" customHeight="1" x14ac:dyDescent="0.25">
      <c r="A23" s="2">
        <v>10</v>
      </c>
      <c r="B23" s="1" t="s">
        <v>66</v>
      </c>
      <c r="C23" s="35">
        <v>2009400</v>
      </c>
      <c r="D23" s="1" t="s">
        <v>43</v>
      </c>
      <c r="E23" s="35">
        <v>502350</v>
      </c>
      <c r="F23" s="35"/>
      <c r="G23" s="35">
        <f t="shared" si="2"/>
        <v>502350</v>
      </c>
      <c r="H23" s="35" t="s">
        <v>82</v>
      </c>
      <c r="I23" s="35">
        <v>0</v>
      </c>
      <c r="J23" s="35"/>
      <c r="K23" s="35">
        <v>0</v>
      </c>
      <c r="L23" s="35">
        <f>119000+64600+119000</f>
        <v>302600</v>
      </c>
      <c r="M23" s="35"/>
      <c r="N23" s="35">
        <v>502350</v>
      </c>
      <c r="O23" s="35"/>
      <c r="P23" s="35">
        <f t="shared" si="1"/>
        <v>502350</v>
      </c>
      <c r="Q23" s="35">
        <v>0</v>
      </c>
      <c r="R23" s="35"/>
      <c r="S23" s="35">
        <v>0</v>
      </c>
      <c r="T23" s="35"/>
      <c r="U23" s="35">
        <v>502350</v>
      </c>
      <c r="V23" s="35"/>
      <c r="W23" s="35"/>
      <c r="X23" s="35">
        <v>0</v>
      </c>
      <c r="Y23" s="35"/>
      <c r="Z23" s="35">
        <v>0</v>
      </c>
      <c r="AA23" s="35"/>
      <c r="AB23" s="35">
        <v>502350</v>
      </c>
      <c r="AC23" s="35"/>
      <c r="AD23" s="35">
        <v>0</v>
      </c>
      <c r="AE23" s="35"/>
      <c r="AF23" s="35">
        <v>0</v>
      </c>
      <c r="AG23" s="35"/>
    </row>
    <row r="24" spans="1:33" ht="20.100000000000001" customHeight="1" x14ac:dyDescent="0.25">
      <c r="A24" s="39">
        <v>11</v>
      </c>
      <c r="B24" s="54" t="s">
        <v>72</v>
      </c>
      <c r="C24" s="55">
        <v>854922713</v>
      </c>
      <c r="D24" s="54" t="s">
        <v>3</v>
      </c>
      <c r="E24" s="35">
        <v>124964039</v>
      </c>
      <c r="F24" s="44">
        <v>1551179</v>
      </c>
      <c r="G24" s="35">
        <f t="shared" si="2"/>
        <v>123412860</v>
      </c>
      <c r="H24" s="35" t="s">
        <v>78</v>
      </c>
      <c r="I24" s="35">
        <v>0</v>
      </c>
      <c r="J24" s="35"/>
      <c r="K24" s="35">
        <v>0</v>
      </c>
      <c r="L24" s="35"/>
      <c r="M24" s="35"/>
      <c r="N24" s="58">
        <v>211391844</v>
      </c>
      <c r="O24" s="58">
        <v>33902938</v>
      </c>
      <c r="P24" s="58">
        <f t="shared" si="1"/>
        <v>177488906</v>
      </c>
      <c r="Q24" s="35">
        <v>0</v>
      </c>
      <c r="R24" s="35"/>
      <c r="S24" s="35">
        <v>0</v>
      </c>
      <c r="T24" s="35"/>
      <c r="U24" s="55">
        <v>259283415</v>
      </c>
      <c r="V24" s="55">
        <f>147562771+12848888</f>
        <v>160411659</v>
      </c>
      <c r="W24" s="55">
        <f>+U24-V24</f>
        <v>98871756</v>
      </c>
      <c r="X24" s="35">
        <v>0</v>
      </c>
      <c r="Y24" s="35"/>
      <c r="Z24" s="35">
        <v>0</v>
      </c>
      <c r="AA24" s="35"/>
      <c r="AB24" s="35">
        <v>259283415</v>
      </c>
      <c r="AC24" s="35"/>
      <c r="AD24" s="35">
        <v>0</v>
      </c>
      <c r="AE24" s="35"/>
      <c r="AF24" s="35">
        <v>0</v>
      </c>
      <c r="AG24" s="35"/>
    </row>
    <row r="25" spans="1:33" ht="20.100000000000001" customHeight="1" x14ac:dyDescent="0.25">
      <c r="A25" s="40">
        <v>12</v>
      </c>
      <c r="B25" s="59" t="s">
        <v>73</v>
      </c>
      <c r="C25" s="60">
        <v>125000000</v>
      </c>
      <c r="D25" s="59" t="s">
        <v>3</v>
      </c>
      <c r="E25" s="35">
        <v>0</v>
      </c>
      <c r="F25" s="35"/>
      <c r="G25" s="35">
        <f t="shared" si="2"/>
        <v>0</v>
      </c>
      <c r="H25" s="35"/>
      <c r="I25" s="35">
        <v>0</v>
      </c>
      <c r="J25" s="35"/>
      <c r="K25" s="35">
        <v>0</v>
      </c>
      <c r="L25" s="35"/>
      <c r="M25" s="35"/>
      <c r="N25" s="60">
        <v>125000000</v>
      </c>
      <c r="O25" s="60"/>
      <c r="P25" s="60">
        <f t="shared" si="1"/>
        <v>125000000</v>
      </c>
      <c r="Q25" s="35">
        <v>0</v>
      </c>
      <c r="R25" s="35"/>
      <c r="S25" s="35">
        <v>0</v>
      </c>
      <c r="T25" s="35"/>
      <c r="U25" s="35">
        <v>0</v>
      </c>
      <c r="V25" s="35"/>
      <c r="W25" s="35"/>
      <c r="X25" s="35">
        <v>0</v>
      </c>
      <c r="Y25" s="35"/>
      <c r="Z25" s="35">
        <v>0</v>
      </c>
      <c r="AA25" s="35"/>
      <c r="AB25" s="35">
        <v>0</v>
      </c>
      <c r="AC25" s="35"/>
      <c r="AD25" s="35">
        <v>0</v>
      </c>
      <c r="AE25" s="35"/>
      <c r="AF25" s="35">
        <v>0</v>
      </c>
      <c r="AG25" s="35"/>
    </row>
    <row r="26" spans="1:33" ht="20.100000000000001" customHeight="1" x14ac:dyDescent="0.25">
      <c r="A26" s="39">
        <v>13</v>
      </c>
      <c r="B26" s="59" t="s">
        <v>74</v>
      </c>
      <c r="C26" s="60">
        <v>137500000</v>
      </c>
      <c r="D26" s="59" t="s">
        <v>3</v>
      </c>
      <c r="E26" s="35">
        <v>0</v>
      </c>
      <c r="F26" s="35"/>
      <c r="G26" s="35">
        <f t="shared" si="2"/>
        <v>0</v>
      </c>
      <c r="H26" s="35"/>
      <c r="I26" s="35">
        <v>0</v>
      </c>
      <c r="J26" s="35"/>
      <c r="K26" s="35">
        <v>0</v>
      </c>
      <c r="L26" s="35"/>
      <c r="M26" s="35"/>
      <c r="N26" s="60">
        <v>75000000</v>
      </c>
      <c r="O26" s="60"/>
      <c r="P26" s="60">
        <f t="shared" si="1"/>
        <v>75000000</v>
      </c>
      <c r="Q26" s="35">
        <v>0</v>
      </c>
      <c r="R26" s="35"/>
      <c r="S26" s="35">
        <v>25000000</v>
      </c>
      <c r="T26" s="35"/>
      <c r="U26" s="35">
        <v>12500000</v>
      </c>
      <c r="V26" s="35"/>
      <c r="W26" s="35"/>
      <c r="X26" s="35">
        <v>0</v>
      </c>
      <c r="Y26" s="35"/>
      <c r="Z26" s="35">
        <v>0</v>
      </c>
      <c r="AA26" s="35"/>
      <c r="AB26" s="35">
        <v>0</v>
      </c>
      <c r="AC26" s="35"/>
      <c r="AD26" s="35">
        <v>25000000</v>
      </c>
      <c r="AE26" s="35"/>
      <c r="AF26" s="35">
        <v>0</v>
      </c>
      <c r="AG26" s="35"/>
    </row>
    <row r="27" spans="1:33" ht="20.100000000000001" customHeight="1" x14ac:dyDescent="0.25">
      <c r="A27" s="40">
        <f>+A26+1</f>
        <v>14</v>
      </c>
      <c r="B27" s="54" t="s">
        <v>86</v>
      </c>
      <c r="C27" s="55"/>
      <c r="D27" s="54" t="s">
        <v>3</v>
      </c>
      <c r="E27" s="35"/>
      <c r="F27" s="35"/>
      <c r="G27" s="35"/>
      <c r="H27" s="35"/>
      <c r="I27" s="35"/>
      <c r="J27" s="35"/>
      <c r="K27" s="35"/>
      <c r="L27" s="35"/>
      <c r="M27" s="35"/>
      <c r="N27" s="61"/>
      <c r="O27" s="61">
        <v>23430296</v>
      </c>
      <c r="P27" s="62">
        <f t="shared" si="1"/>
        <v>-23430296</v>
      </c>
      <c r="Q27" s="35"/>
      <c r="R27" s="35"/>
      <c r="S27" s="35"/>
      <c r="T27" s="35"/>
      <c r="U27" s="55"/>
      <c r="V27" s="55">
        <v>148064262</v>
      </c>
      <c r="W27" s="55">
        <f>+U27-V27</f>
        <v>-148064262</v>
      </c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spans="1:33" ht="20.100000000000001" customHeight="1" x14ac:dyDescent="0.25">
      <c r="A28" s="66" t="s">
        <v>41</v>
      </c>
      <c r="B28" s="67"/>
      <c r="C28" s="37">
        <f>+SUMIF($D$7:$D$26,$D$28,C7:C26)</f>
        <v>3796105963</v>
      </c>
      <c r="D28" s="38" t="s">
        <v>3</v>
      </c>
      <c r="E28" s="50">
        <f>+SUMIF($D$7:$D$26,$D$28,E7:E26)</f>
        <v>998166942.41075003</v>
      </c>
      <c r="F28" s="37">
        <f>+SUMIF($D$7:$D$26,$D$28,F7:F26)</f>
        <v>338530211</v>
      </c>
      <c r="G28" s="37">
        <f>+SUMIF($D$7:$D$26,$D$28,G7:G26)</f>
        <v>659636731.41075003</v>
      </c>
      <c r="H28" s="37"/>
      <c r="I28" s="37">
        <f>+SUMIF($D$7:$D$26,$D$28,I7:I26)</f>
        <v>80000000</v>
      </c>
      <c r="J28" s="37"/>
      <c r="K28" s="37">
        <f>+SUMIF($D$7:$D$26,$D$28,K7:K26)</f>
        <v>0</v>
      </c>
      <c r="L28" s="37">
        <f>+SUMIF($D$7:$D$26,$D$28,L7:L26)</f>
        <v>0</v>
      </c>
      <c r="M28" s="49"/>
      <c r="N28" s="37">
        <f>+SUMIF($D$7:$D$27,$D$28,N7:N27)</f>
        <v>825044927</v>
      </c>
      <c r="O28" s="37">
        <f>+SUMIF($D$7:$D$27,$D$28,O7:O27)</f>
        <v>410061555</v>
      </c>
      <c r="P28" s="37"/>
      <c r="Q28" s="50">
        <f>+SUMIF($D$7:$D$26,$D$28,Q7:Q26)</f>
        <v>0</v>
      </c>
      <c r="R28" s="37"/>
      <c r="S28" s="37">
        <f>+SUMIF($D$7:$D$26,$D$28,S7:S26)</f>
        <v>25000000</v>
      </c>
      <c r="T28" s="37"/>
      <c r="U28" s="37">
        <f>+SUMIF($D$7:$D$26,$D$28,U7:U26)</f>
        <v>946704109.67825007</v>
      </c>
      <c r="V28" s="37"/>
      <c r="W28" s="37"/>
      <c r="X28" s="37">
        <f>+SUMIF($D$7:$D$26,$D$28,X7:X26)</f>
        <v>0</v>
      </c>
      <c r="Y28" s="37"/>
      <c r="Z28" s="37">
        <f>+SUMIF($D$7:$D$26,$D$28,Z7:Z26)</f>
        <v>60000000</v>
      </c>
      <c r="AA28" s="37"/>
      <c r="AB28" s="37">
        <f>+SUMIF($D$7:$D$26,$D$28,AB7:AB26)</f>
        <v>806189983.91100001</v>
      </c>
      <c r="AC28" s="37"/>
      <c r="AD28" s="37">
        <f>+SUMIF($D$7:$D$26,$D$28,AD7:AD26)</f>
        <v>25000000</v>
      </c>
      <c r="AE28" s="37"/>
      <c r="AF28" s="37">
        <f>+SUMIF($D$7:$D$26,$D$28,AF7:AF26)</f>
        <v>30000000</v>
      </c>
      <c r="AG28" s="37"/>
    </row>
    <row r="29" spans="1:33" ht="20.100000000000001" customHeight="1" x14ac:dyDescent="0.25">
      <c r="A29" s="67"/>
      <c r="B29" s="68"/>
      <c r="C29" s="51">
        <f>+SUMIF($D$7:$D$23,$D$29,C7:C23)</f>
        <v>5981450</v>
      </c>
      <c r="D29" s="52" t="s">
        <v>43</v>
      </c>
      <c r="E29" s="37">
        <f>+SUMIF($D$7:$D$26,$D$29,E7:E26)</f>
        <v>1160250</v>
      </c>
      <c r="F29" s="37">
        <f>+SUMIF($D$7:$D$26,$D$29,F7:F26)</f>
        <v>0</v>
      </c>
      <c r="G29" s="37">
        <f>+SUMIF($D$7:$D$26,$D$29,G7:G26)</f>
        <v>1160250</v>
      </c>
      <c r="H29" s="37"/>
      <c r="I29" s="37">
        <f>+SUMIF($D$7:$D$26,$D$29,I7:I26)</f>
        <v>0</v>
      </c>
      <c r="J29" s="37"/>
      <c r="K29" s="37">
        <f>+SUMIF($D$7:$D$26,$D$29,K7:K26)</f>
        <v>0</v>
      </c>
      <c r="L29" s="37">
        <f>+SUMIF($D$7:$D$26,$D$29,L7:L26)</f>
        <v>643450</v>
      </c>
      <c r="M29" s="37"/>
      <c r="N29" s="51">
        <f>+SUMIF($D$7:$D$26,$D$29,N7:N26)</f>
        <v>1253325</v>
      </c>
      <c r="O29" s="51">
        <f>+SUMIF($D$7:$D$27,$D$29,O7:O27)</f>
        <v>0</v>
      </c>
      <c r="P29" s="51"/>
      <c r="Q29" s="37">
        <f>+SUMIF($D$7:$D$26,$D$29,Q7:Q26)</f>
        <v>0</v>
      </c>
      <c r="R29" s="37"/>
      <c r="S29" s="37">
        <f>+SUMIF($D$7:$D$26,$D$29,S7:S26)</f>
        <v>0</v>
      </c>
      <c r="T29" s="37"/>
      <c r="U29" s="37">
        <f>+SUMIF($D$7:$D$26,$D$29,U7:U26)</f>
        <v>1764175</v>
      </c>
      <c r="V29" s="37"/>
      <c r="W29" s="37"/>
      <c r="X29" s="37">
        <f>+SUMIF($D$7:$D$26,$D$29,X7:X26)</f>
        <v>0</v>
      </c>
      <c r="Y29" s="37"/>
      <c r="Z29" s="37">
        <f>+SUMIF($D$7:$D$26,$D$29,Z7:Z26)</f>
        <v>0</v>
      </c>
      <c r="AA29" s="37"/>
      <c r="AB29" s="37">
        <f>+SUMIF($D$7:$D$26,$D$29,AB7:AB26)</f>
        <v>1803700</v>
      </c>
      <c r="AC29" s="37"/>
      <c r="AD29" s="37">
        <f>+SUMIF($D$7:$D$26,$D$29,AD7:AD26)</f>
        <v>0</v>
      </c>
      <c r="AE29" s="37"/>
      <c r="AF29" s="37">
        <f>+SUMIF($D$7:$D$26,$D$29,AF7:AF26)</f>
        <v>0</v>
      </c>
      <c r="AG29" s="37"/>
    </row>
    <row r="30" spans="1:33" ht="20.100000000000001" customHeight="1" x14ac:dyDescent="0.25">
      <c r="U30" s="65"/>
      <c r="V30" s="65">
        <f>+SUM(V10:V27)</f>
        <v>634411207</v>
      </c>
      <c r="W30" s="1"/>
    </row>
    <row r="31" spans="1:33" ht="20.100000000000001" customHeight="1" x14ac:dyDescent="0.25">
      <c r="W31" s="1"/>
    </row>
    <row r="35" spans="6:6" ht="20.100000000000001" customHeight="1" x14ac:dyDescent="0.25">
      <c r="F35" s="35"/>
    </row>
    <row r="36" spans="6:6" ht="20.100000000000001" customHeight="1" x14ac:dyDescent="0.25">
      <c r="F36" s="35"/>
    </row>
    <row r="37" spans="6:6" ht="20.100000000000001" customHeight="1" x14ac:dyDescent="0.25">
      <c r="F37" s="35"/>
    </row>
    <row r="38" spans="6:6" ht="20.100000000000001" customHeight="1" x14ac:dyDescent="0.25">
      <c r="F38" s="43"/>
    </row>
  </sheetData>
  <autoFilter ref="A6:AG29" xr:uid="{00000000-0009-0000-0000-000000000000}"/>
  <mergeCells count="31">
    <mergeCell ref="AF3:AG3"/>
    <mergeCell ref="AF4:AG4"/>
    <mergeCell ref="X3:Y3"/>
    <mergeCell ref="X4:Y4"/>
    <mergeCell ref="Z3:AA3"/>
    <mergeCell ref="Z4:AA4"/>
    <mergeCell ref="AB3:AC3"/>
    <mergeCell ref="AB4:AC4"/>
    <mergeCell ref="S3:T3"/>
    <mergeCell ref="S4:T4"/>
    <mergeCell ref="U3:V3"/>
    <mergeCell ref="U4:V4"/>
    <mergeCell ref="AD3:AE3"/>
    <mergeCell ref="AD4:AE4"/>
    <mergeCell ref="W3:W5"/>
    <mergeCell ref="A28:B29"/>
    <mergeCell ref="E2:AG2"/>
    <mergeCell ref="E3:H3"/>
    <mergeCell ref="E4:H4"/>
    <mergeCell ref="A3:A5"/>
    <mergeCell ref="B3:B5"/>
    <mergeCell ref="C3:C5"/>
    <mergeCell ref="D3:D5"/>
    <mergeCell ref="I3:J3"/>
    <mergeCell ref="K3:L3"/>
    <mergeCell ref="I4:J4"/>
    <mergeCell ref="K4:L4"/>
    <mergeCell ref="N4:O4"/>
    <mergeCell ref="N3:O3"/>
    <mergeCell ref="Q3:R3"/>
    <mergeCell ref="Q4:R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"/>
  <sheetViews>
    <sheetView topLeftCell="A34" workbookViewId="0">
      <selection activeCell="H59" sqref="H59"/>
    </sheetView>
  </sheetViews>
  <sheetFormatPr defaultRowHeight="15" x14ac:dyDescent="0.25"/>
  <cols>
    <col min="1" max="1" width="4.140625" style="3" customWidth="1"/>
    <col min="2" max="2" width="61.140625" style="3" customWidth="1"/>
    <col min="3" max="3" width="20" style="3" customWidth="1"/>
    <col min="4" max="4" width="9.7109375" style="3" customWidth="1"/>
    <col min="5" max="5" width="8.140625" style="3" customWidth="1"/>
    <col min="6" max="6" width="9.28515625" style="3" customWidth="1"/>
    <col min="7" max="7" width="18.42578125" style="3" customWidth="1"/>
    <col min="8" max="8" width="5.5703125" style="3" bestFit="1" customWidth="1"/>
    <col min="9" max="9" width="15.28515625" style="3" customWidth="1"/>
    <col min="10" max="10" width="4.5703125" style="3" bestFit="1" customWidth="1"/>
    <col min="11" max="11" width="15.28515625" style="3" bestFit="1" customWidth="1"/>
    <col min="12" max="12" width="9.140625" style="3"/>
    <col min="13" max="13" width="12.5703125" style="3" bestFit="1" customWidth="1"/>
    <col min="14" max="16384" width="9.140625" style="3"/>
  </cols>
  <sheetData>
    <row r="1" spans="1:13" ht="18" customHeight="1" x14ac:dyDescent="0.25">
      <c r="A1" s="92" t="s">
        <v>1</v>
      </c>
      <c r="B1" s="93"/>
      <c r="C1" s="93"/>
      <c r="D1" s="93"/>
      <c r="E1" s="93"/>
      <c r="F1" s="93"/>
      <c r="G1" s="93"/>
      <c r="H1" s="93"/>
    </row>
    <row r="2" spans="1:13" ht="15" customHeight="1" x14ac:dyDescent="0.25">
      <c r="A2" s="94"/>
      <c r="B2" s="94"/>
      <c r="C2" s="32">
        <v>14541.975</v>
      </c>
    </row>
    <row r="3" spans="1:13" ht="30" customHeight="1" x14ac:dyDescent="0.25">
      <c r="A3" s="4" t="s">
        <v>4</v>
      </c>
      <c r="B3" s="5" t="s">
        <v>5</v>
      </c>
      <c r="C3" s="5" t="s">
        <v>6</v>
      </c>
      <c r="D3" s="6" t="s">
        <v>7</v>
      </c>
      <c r="E3" s="7" t="s">
        <v>8</v>
      </c>
      <c r="F3" s="7" t="s">
        <v>9</v>
      </c>
      <c r="G3" s="8" t="s">
        <v>10</v>
      </c>
      <c r="H3" s="85" t="s">
        <v>40</v>
      </c>
      <c r="I3" s="86"/>
      <c r="J3" s="85" t="s">
        <v>37</v>
      </c>
      <c r="K3" s="86"/>
      <c r="L3" s="85" t="s">
        <v>38</v>
      </c>
      <c r="M3" s="86"/>
    </row>
    <row r="4" spans="1:13" ht="32.25" customHeight="1" x14ac:dyDescent="0.25">
      <c r="A4" s="9">
        <v>1</v>
      </c>
      <c r="B4" s="10" t="s">
        <v>11</v>
      </c>
      <c r="C4" s="10" t="s">
        <v>12</v>
      </c>
      <c r="D4" s="11">
        <v>550</v>
      </c>
      <c r="E4" s="12">
        <v>6</v>
      </c>
      <c r="F4" s="13">
        <v>3300</v>
      </c>
      <c r="G4" s="13">
        <v>46671900</v>
      </c>
      <c r="H4" s="87">
        <f>+I4/G14</f>
        <v>0.74415140661218515</v>
      </c>
      <c r="I4" s="84">
        <f>24042.47*C2</f>
        <v>349624997.67825001</v>
      </c>
      <c r="J4" s="87">
        <f>+K4/G14</f>
        <v>0.25584859338781479</v>
      </c>
      <c r="K4" s="84">
        <f>+G14-I4</f>
        <v>120205462.32174999</v>
      </c>
      <c r="L4" s="87"/>
      <c r="M4" s="84"/>
    </row>
    <row r="5" spans="1:13" ht="16.5" customHeight="1" x14ac:dyDescent="0.25">
      <c r="A5" s="14"/>
      <c r="B5" s="14"/>
      <c r="C5" s="15" t="s">
        <v>13</v>
      </c>
      <c r="D5" s="16">
        <v>350</v>
      </c>
      <c r="E5" s="17">
        <v>8</v>
      </c>
      <c r="F5" s="18">
        <v>2800</v>
      </c>
      <c r="G5" s="18">
        <v>39600400</v>
      </c>
      <c r="H5" s="80"/>
      <c r="I5" s="79"/>
      <c r="J5" s="80"/>
      <c r="K5" s="79"/>
      <c r="L5" s="80"/>
      <c r="M5" s="79"/>
    </row>
    <row r="6" spans="1:13" ht="16.5" customHeight="1" x14ac:dyDescent="0.25">
      <c r="A6" s="14"/>
      <c r="B6" s="14"/>
      <c r="C6" s="15" t="s">
        <v>14</v>
      </c>
      <c r="D6" s="16">
        <v>350</v>
      </c>
      <c r="E6" s="17">
        <v>8</v>
      </c>
      <c r="F6" s="18">
        <v>2800</v>
      </c>
      <c r="G6" s="18">
        <v>39600400</v>
      </c>
      <c r="H6" s="80"/>
      <c r="I6" s="79"/>
      <c r="J6" s="80"/>
      <c r="K6" s="79"/>
      <c r="L6" s="80"/>
      <c r="M6" s="79"/>
    </row>
    <row r="7" spans="1:13" ht="16.5" customHeight="1" x14ac:dyDescent="0.25">
      <c r="A7" s="14"/>
      <c r="B7" s="14"/>
      <c r="C7" s="15" t="s">
        <v>15</v>
      </c>
      <c r="D7" s="16">
        <v>250</v>
      </c>
      <c r="E7" s="17">
        <v>16</v>
      </c>
      <c r="F7" s="18">
        <v>4000</v>
      </c>
      <c r="G7" s="18">
        <v>56572000</v>
      </c>
      <c r="H7" s="80"/>
      <c r="I7" s="79"/>
      <c r="J7" s="80"/>
      <c r="K7" s="79"/>
      <c r="L7" s="80"/>
      <c r="M7" s="79"/>
    </row>
    <row r="8" spans="1:13" ht="16.5" customHeight="1" x14ac:dyDescent="0.25">
      <c r="A8" s="14"/>
      <c r="B8" s="14"/>
      <c r="C8" s="15" t="s">
        <v>16</v>
      </c>
      <c r="D8" s="16">
        <v>250</v>
      </c>
      <c r="E8" s="17">
        <v>16</v>
      </c>
      <c r="F8" s="18">
        <v>4000</v>
      </c>
      <c r="G8" s="18">
        <v>56572000</v>
      </c>
      <c r="H8" s="80"/>
      <c r="I8" s="79"/>
      <c r="J8" s="80"/>
      <c r="K8" s="79"/>
      <c r="L8" s="80"/>
      <c r="M8" s="79"/>
    </row>
    <row r="9" spans="1:13" ht="16.5" customHeight="1" x14ac:dyDescent="0.25">
      <c r="A9" s="14"/>
      <c r="B9" s="14"/>
      <c r="C9" s="15" t="s">
        <v>17</v>
      </c>
      <c r="D9" s="16">
        <v>160</v>
      </c>
      <c r="E9" s="17">
        <v>24</v>
      </c>
      <c r="F9" s="18">
        <v>3840</v>
      </c>
      <c r="G9" s="18">
        <v>54309120</v>
      </c>
      <c r="H9" s="80"/>
      <c r="I9" s="79"/>
      <c r="J9" s="80"/>
      <c r="K9" s="79"/>
      <c r="L9" s="80"/>
      <c r="M9" s="79"/>
    </row>
    <row r="10" spans="1:13" ht="16.5" customHeight="1" x14ac:dyDescent="0.25">
      <c r="A10" s="14"/>
      <c r="B10" s="14"/>
      <c r="C10" s="15" t="s">
        <v>18</v>
      </c>
      <c r="D10" s="16">
        <v>110</v>
      </c>
      <c r="E10" s="17">
        <v>32</v>
      </c>
      <c r="F10" s="18">
        <v>3520</v>
      </c>
      <c r="G10" s="18">
        <v>49783360</v>
      </c>
      <c r="H10" s="80"/>
      <c r="I10" s="79"/>
      <c r="J10" s="80"/>
      <c r="K10" s="79"/>
      <c r="L10" s="80"/>
      <c r="M10" s="79"/>
    </row>
    <row r="11" spans="1:13" ht="16.5" customHeight="1" x14ac:dyDescent="0.25">
      <c r="A11" s="14"/>
      <c r="B11" s="14"/>
      <c r="C11" s="15" t="s">
        <v>19</v>
      </c>
      <c r="D11" s="16">
        <v>110</v>
      </c>
      <c r="E11" s="17">
        <v>32</v>
      </c>
      <c r="F11" s="18">
        <v>3520</v>
      </c>
      <c r="G11" s="18">
        <v>49783360</v>
      </c>
      <c r="H11" s="80"/>
      <c r="I11" s="79"/>
      <c r="J11" s="80"/>
      <c r="K11" s="79"/>
      <c r="L11" s="80"/>
      <c r="M11" s="79"/>
    </row>
    <row r="12" spans="1:13" ht="16.5" customHeight="1" x14ac:dyDescent="0.25">
      <c r="A12" s="14"/>
      <c r="B12" s="14"/>
      <c r="C12" s="15" t="s">
        <v>20</v>
      </c>
      <c r="D12" s="16">
        <v>110</v>
      </c>
      <c r="E12" s="17">
        <v>32</v>
      </c>
      <c r="F12" s="18">
        <v>3520</v>
      </c>
      <c r="G12" s="18">
        <v>49783360</v>
      </c>
      <c r="H12" s="80"/>
      <c r="I12" s="79"/>
      <c r="J12" s="80"/>
      <c r="K12" s="79"/>
      <c r="L12" s="80"/>
      <c r="M12" s="79"/>
    </row>
    <row r="13" spans="1:13" ht="16.5" customHeight="1" x14ac:dyDescent="0.25">
      <c r="A13" s="14"/>
      <c r="B13" s="14"/>
      <c r="C13" s="15" t="s">
        <v>21</v>
      </c>
      <c r="D13" s="16">
        <v>60</v>
      </c>
      <c r="E13" s="17">
        <v>32</v>
      </c>
      <c r="F13" s="18">
        <v>1920</v>
      </c>
      <c r="G13" s="18">
        <v>27154560</v>
      </c>
      <c r="H13" s="80"/>
      <c r="I13" s="79"/>
      <c r="J13" s="80"/>
      <c r="K13" s="79"/>
      <c r="L13" s="80"/>
      <c r="M13" s="79"/>
    </row>
    <row r="14" spans="1:13" ht="15" customHeight="1" x14ac:dyDescent="0.25">
      <c r="A14" s="19"/>
      <c r="B14" s="20" t="s">
        <v>22</v>
      </c>
      <c r="C14" s="19"/>
      <c r="D14" s="19"/>
      <c r="E14" s="19"/>
      <c r="F14" s="21">
        <v>33220</v>
      </c>
      <c r="G14" s="21">
        <v>469830460</v>
      </c>
      <c r="H14" s="74" t="s">
        <v>40</v>
      </c>
      <c r="I14" s="75"/>
      <c r="J14" s="74" t="s">
        <v>37</v>
      </c>
      <c r="K14" s="75"/>
      <c r="L14" s="85" t="s">
        <v>38</v>
      </c>
      <c r="M14" s="86"/>
    </row>
    <row r="15" spans="1:13" ht="16.7" customHeight="1" x14ac:dyDescent="0.25">
      <c r="A15" s="22">
        <v>2</v>
      </c>
      <c r="B15" s="23" t="s">
        <v>23</v>
      </c>
      <c r="C15" s="23" t="s">
        <v>12</v>
      </c>
      <c r="D15" s="24">
        <v>550</v>
      </c>
      <c r="E15" s="25">
        <v>8</v>
      </c>
      <c r="F15" s="26">
        <v>4400</v>
      </c>
      <c r="G15" s="26">
        <v>62229200</v>
      </c>
      <c r="H15" s="80">
        <f>+I15/G18</f>
        <v>5.7688789563558919E-2</v>
      </c>
      <c r="I15" s="81">
        <f>650.83*C2</f>
        <v>9464353.5892500002</v>
      </c>
      <c r="J15" s="80"/>
      <c r="K15" s="81"/>
      <c r="L15" s="88">
        <f>+M15/G18</f>
        <v>0.94231121043644106</v>
      </c>
      <c r="M15" s="90">
        <f>+G18-I15</f>
        <v>154594446.41075</v>
      </c>
    </row>
    <row r="16" spans="1:13" ht="16.5" customHeight="1" x14ac:dyDescent="0.25">
      <c r="A16" s="14"/>
      <c r="B16" s="14"/>
      <c r="C16" s="15" t="s">
        <v>24</v>
      </c>
      <c r="D16" s="16">
        <v>550</v>
      </c>
      <c r="E16" s="17">
        <v>8</v>
      </c>
      <c r="F16" s="18">
        <v>4400</v>
      </c>
      <c r="G16" s="18">
        <v>62229200</v>
      </c>
      <c r="H16" s="77"/>
      <c r="I16" s="82"/>
      <c r="J16" s="77"/>
      <c r="K16" s="82"/>
      <c r="L16" s="89"/>
      <c r="M16" s="91"/>
    </row>
    <row r="17" spans="1:13" ht="16.5" customHeight="1" x14ac:dyDescent="0.25">
      <c r="A17" s="14"/>
      <c r="B17" s="14"/>
      <c r="C17" s="15" t="s">
        <v>13</v>
      </c>
      <c r="D17" s="16">
        <v>350</v>
      </c>
      <c r="E17" s="17">
        <v>8</v>
      </c>
      <c r="F17" s="18">
        <v>2800</v>
      </c>
      <c r="G17" s="18">
        <v>39600400</v>
      </c>
      <c r="H17" s="77"/>
      <c r="I17" s="82"/>
      <c r="J17" s="77"/>
      <c r="K17" s="82"/>
      <c r="L17" s="89"/>
      <c r="M17" s="91"/>
    </row>
    <row r="18" spans="1:13" ht="15" customHeight="1" x14ac:dyDescent="0.25">
      <c r="A18" s="19"/>
      <c r="B18" s="20" t="s">
        <v>22</v>
      </c>
      <c r="C18" s="19"/>
      <c r="D18" s="19"/>
      <c r="E18" s="19"/>
      <c r="F18" s="21">
        <v>11600</v>
      </c>
      <c r="G18" s="21">
        <v>164058800</v>
      </c>
      <c r="H18" s="74" t="s">
        <v>44</v>
      </c>
      <c r="I18" s="75"/>
    </row>
    <row r="19" spans="1:13" ht="18.95" customHeight="1" x14ac:dyDescent="0.25">
      <c r="A19" s="22">
        <v>3</v>
      </c>
      <c r="B19" s="23" t="s">
        <v>25</v>
      </c>
      <c r="C19" s="23" t="s">
        <v>12</v>
      </c>
      <c r="D19" s="24">
        <v>550</v>
      </c>
      <c r="E19" s="25">
        <v>3</v>
      </c>
      <c r="F19" s="26">
        <v>1650</v>
      </c>
      <c r="G19" s="26">
        <v>23335950</v>
      </c>
      <c r="H19" s="80">
        <v>1</v>
      </c>
      <c r="I19" s="81">
        <f>+G22*H19</f>
        <v>61522050</v>
      </c>
    </row>
    <row r="20" spans="1:13" ht="16.5" customHeight="1" x14ac:dyDescent="0.25">
      <c r="A20" s="14"/>
      <c r="B20" s="27" t="s">
        <v>26</v>
      </c>
      <c r="C20" s="15" t="s">
        <v>24</v>
      </c>
      <c r="D20" s="16">
        <v>550</v>
      </c>
      <c r="E20" s="17">
        <v>3</v>
      </c>
      <c r="F20" s="18">
        <v>1650</v>
      </c>
      <c r="G20" s="18">
        <v>23335950</v>
      </c>
      <c r="H20" s="77"/>
      <c r="I20" s="82"/>
    </row>
    <row r="21" spans="1:13" ht="16.5" customHeight="1" x14ac:dyDescent="0.25">
      <c r="A21" s="14"/>
      <c r="B21" s="14"/>
      <c r="C21" s="15" t="s">
        <v>13</v>
      </c>
      <c r="D21" s="16">
        <v>350</v>
      </c>
      <c r="E21" s="17">
        <v>3</v>
      </c>
      <c r="F21" s="18">
        <v>1050</v>
      </c>
      <c r="G21" s="18">
        <v>14850150</v>
      </c>
      <c r="H21" s="77"/>
      <c r="I21" s="82"/>
    </row>
    <row r="22" spans="1:13" ht="15" customHeight="1" x14ac:dyDescent="0.25">
      <c r="A22" s="19"/>
      <c r="B22" s="20" t="s">
        <v>22</v>
      </c>
      <c r="C22" s="19"/>
      <c r="D22" s="19"/>
      <c r="E22" s="19"/>
      <c r="F22" s="21">
        <v>4350</v>
      </c>
      <c r="G22" s="21">
        <v>61522050</v>
      </c>
      <c r="H22" s="74" t="s">
        <v>39</v>
      </c>
      <c r="I22" s="75"/>
    </row>
    <row r="23" spans="1:13" ht="16.7" customHeight="1" x14ac:dyDescent="0.25">
      <c r="A23" s="22">
        <v>4</v>
      </c>
      <c r="B23" s="23" t="s">
        <v>11</v>
      </c>
      <c r="C23" s="23" t="s">
        <v>12</v>
      </c>
      <c r="D23" s="24">
        <v>550</v>
      </c>
      <c r="E23" s="25">
        <v>2</v>
      </c>
      <c r="F23" s="26">
        <v>1100</v>
      </c>
      <c r="G23" s="26">
        <v>15557300</v>
      </c>
      <c r="H23" s="76">
        <v>1</v>
      </c>
      <c r="I23" s="83">
        <f>+G33*H23</f>
        <v>131247040</v>
      </c>
    </row>
    <row r="24" spans="1:13" ht="16.5" customHeight="1" x14ac:dyDescent="0.25">
      <c r="A24" s="14"/>
      <c r="B24" s="27" t="s">
        <v>27</v>
      </c>
      <c r="C24" s="15" t="s">
        <v>13</v>
      </c>
      <c r="D24" s="16">
        <v>350</v>
      </c>
      <c r="E24" s="17">
        <v>3</v>
      </c>
      <c r="F24" s="18">
        <v>1050</v>
      </c>
      <c r="G24" s="18">
        <v>14850150</v>
      </c>
      <c r="H24" s="80"/>
      <c r="I24" s="81"/>
    </row>
    <row r="25" spans="1:13" ht="16.5" customHeight="1" x14ac:dyDescent="0.25">
      <c r="A25" s="14"/>
      <c r="B25" s="14"/>
      <c r="C25" s="15" t="s">
        <v>14</v>
      </c>
      <c r="D25" s="16">
        <v>350</v>
      </c>
      <c r="E25" s="17">
        <v>3</v>
      </c>
      <c r="F25" s="18">
        <v>1050</v>
      </c>
      <c r="G25" s="18">
        <v>14850150</v>
      </c>
      <c r="H25" s="80"/>
      <c r="I25" s="81"/>
    </row>
    <row r="26" spans="1:13" ht="16.5" customHeight="1" x14ac:dyDescent="0.25">
      <c r="A26" s="14"/>
      <c r="B26" s="14"/>
      <c r="C26" s="15" t="s">
        <v>15</v>
      </c>
      <c r="D26" s="16">
        <v>250</v>
      </c>
      <c r="E26" s="17">
        <v>4</v>
      </c>
      <c r="F26" s="18">
        <v>1000</v>
      </c>
      <c r="G26" s="18">
        <v>14143000</v>
      </c>
      <c r="H26" s="80"/>
      <c r="I26" s="81"/>
    </row>
    <row r="27" spans="1:13" ht="16.5" customHeight="1" x14ac:dyDescent="0.25">
      <c r="A27" s="14"/>
      <c r="B27" s="14"/>
      <c r="C27" s="15" t="s">
        <v>16</v>
      </c>
      <c r="D27" s="16">
        <v>250</v>
      </c>
      <c r="E27" s="17">
        <v>4</v>
      </c>
      <c r="F27" s="18">
        <v>1000</v>
      </c>
      <c r="G27" s="18">
        <v>14143000</v>
      </c>
      <c r="H27" s="80"/>
      <c r="I27" s="81"/>
    </row>
    <row r="28" spans="1:13" ht="16.5" customHeight="1" x14ac:dyDescent="0.25">
      <c r="A28" s="14"/>
      <c r="B28" s="14"/>
      <c r="C28" s="15" t="s">
        <v>17</v>
      </c>
      <c r="D28" s="16">
        <v>160</v>
      </c>
      <c r="E28" s="17">
        <v>6</v>
      </c>
      <c r="F28" s="17">
        <v>960</v>
      </c>
      <c r="G28" s="18">
        <v>13577280</v>
      </c>
      <c r="H28" s="80"/>
      <c r="I28" s="81"/>
    </row>
    <row r="29" spans="1:13" ht="16.5" customHeight="1" x14ac:dyDescent="0.25">
      <c r="A29" s="14"/>
      <c r="B29" s="14"/>
      <c r="C29" s="15" t="s">
        <v>18</v>
      </c>
      <c r="D29" s="16">
        <v>110</v>
      </c>
      <c r="E29" s="17">
        <v>8</v>
      </c>
      <c r="F29" s="17">
        <v>880</v>
      </c>
      <c r="G29" s="18">
        <v>12445840</v>
      </c>
      <c r="H29" s="80"/>
      <c r="I29" s="81"/>
    </row>
    <row r="30" spans="1:13" ht="16.5" customHeight="1" x14ac:dyDescent="0.25">
      <c r="A30" s="14"/>
      <c r="B30" s="14"/>
      <c r="C30" s="15" t="s">
        <v>19</v>
      </c>
      <c r="D30" s="16">
        <v>110</v>
      </c>
      <c r="E30" s="17">
        <v>8</v>
      </c>
      <c r="F30" s="17">
        <v>880</v>
      </c>
      <c r="G30" s="18">
        <v>12445840</v>
      </c>
      <c r="H30" s="80"/>
      <c r="I30" s="81"/>
    </row>
    <row r="31" spans="1:13" ht="16.5" customHeight="1" x14ac:dyDescent="0.25">
      <c r="A31" s="14"/>
      <c r="B31" s="14"/>
      <c r="C31" s="15" t="s">
        <v>20</v>
      </c>
      <c r="D31" s="16">
        <v>110</v>
      </c>
      <c r="E31" s="17">
        <v>8</v>
      </c>
      <c r="F31" s="17">
        <v>880</v>
      </c>
      <c r="G31" s="18">
        <v>12445840</v>
      </c>
      <c r="H31" s="80"/>
      <c r="I31" s="81"/>
    </row>
    <row r="32" spans="1:13" ht="16.5" customHeight="1" x14ac:dyDescent="0.25">
      <c r="A32" s="14"/>
      <c r="B32" s="14"/>
      <c r="C32" s="15" t="s">
        <v>21</v>
      </c>
      <c r="D32" s="16">
        <v>60</v>
      </c>
      <c r="E32" s="17">
        <v>8</v>
      </c>
      <c r="F32" s="17">
        <v>480</v>
      </c>
      <c r="G32" s="18">
        <v>6788640</v>
      </c>
      <c r="H32" s="80"/>
      <c r="I32" s="81"/>
    </row>
    <row r="33" spans="1:9" ht="15" customHeight="1" x14ac:dyDescent="0.25">
      <c r="A33" s="19"/>
      <c r="B33" s="20" t="s">
        <v>22</v>
      </c>
      <c r="C33" s="19"/>
      <c r="D33" s="19"/>
      <c r="E33" s="19"/>
      <c r="F33" s="21">
        <v>9280</v>
      </c>
      <c r="G33" s="21">
        <v>131247040</v>
      </c>
      <c r="H33" s="74" t="s">
        <v>39</v>
      </c>
      <c r="I33" s="75"/>
    </row>
    <row r="34" spans="1:9" ht="23.1" customHeight="1" x14ac:dyDescent="0.25">
      <c r="A34" s="28">
        <v>5</v>
      </c>
      <c r="B34" s="23" t="s">
        <v>28</v>
      </c>
      <c r="C34" s="23" t="s">
        <v>12</v>
      </c>
      <c r="D34" s="24">
        <v>550</v>
      </c>
      <c r="E34" s="25">
        <v>3</v>
      </c>
      <c r="F34" s="26">
        <v>1650</v>
      </c>
      <c r="G34" s="26">
        <v>23335950</v>
      </c>
      <c r="H34" s="76">
        <v>1</v>
      </c>
      <c r="I34" s="83">
        <f>+G45*H34</f>
        <v>197719140</v>
      </c>
    </row>
    <row r="35" spans="1:9" ht="16.5" customHeight="1" x14ac:dyDescent="0.25">
      <c r="A35" s="14"/>
      <c r="B35" s="27" t="s">
        <v>29</v>
      </c>
      <c r="C35" s="15" t="s">
        <v>30</v>
      </c>
      <c r="D35" s="16">
        <v>450</v>
      </c>
      <c r="E35" s="17">
        <v>3</v>
      </c>
      <c r="F35" s="18">
        <v>1350</v>
      </c>
      <c r="G35" s="18">
        <v>19093050</v>
      </c>
      <c r="H35" s="80"/>
      <c r="I35" s="81"/>
    </row>
    <row r="36" spans="1:9" ht="16.5" customHeight="1" x14ac:dyDescent="0.25">
      <c r="A36" s="14"/>
      <c r="B36" s="14"/>
      <c r="C36" s="15" t="s">
        <v>13</v>
      </c>
      <c r="D36" s="16">
        <v>350</v>
      </c>
      <c r="E36" s="17">
        <v>4</v>
      </c>
      <c r="F36" s="18">
        <v>1400</v>
      </c>
      <c r="G36" s="18">
        <v>19800200</v>
      </c>
      <c r="H36" s="80"/>
      <c r="I36" s="81"/>
    </row>
    <row r="37" spans="1:9" ht="16.5" customHeight="1" x14ac:dyDescent="0.25">
      <c r="A37" s="14"/>
      <c r="B37" s="14"/>
      <c r="C37" s="15" t="s">
        <v>14</v>
      </c>
      <c r="D37" s="16">
        <v>350</v>
      </c>
      <c r="E37" s="17">
        <v>4</v>
      </c>
      <c r="F37" s="18">
        <v>1400</v>
      </c>
      <c r="G37" s="18">
        <v>19800200</v>
      </c>
      <c r="H37" s="80"/>
      <c r="I37" s="81"/>
    </row>
    <row r="38" spans="1:9" ht="16.5" customHeight="1" x14ac:dyDescent="0.25">
      <c r="A38" s="14"/>
      <c r="B38" s="14"/>
      <c r="C38" s="15" t="s">
        <v>15</v>
      </c>
      <c r="D38" s="16">
        <v>250</v>
      </c>
      <c r="E38" s="17">
        <v>6</v>
      </c>
      <c r="F38" s="18">
        <v>1500</v>
      </c>
      <c r="G38" s="18">
        <v>21214500</v>
      </c>
      <c r="H38" s="80"/>
      <c r="I38" s="81"/>
    </row>
    <row r="39" spans="1:9" ht="16.5" customHeight="1" x14ac:dyDescent="0.25">
      <c r="A39" s="14"/>
      <c r="B39" s="14"/>
      <c r="C39" s="15" t="s">
        <v>16</v>
      </c>
      <c r="D39" s="16">
        <v>250</v>
      </c>
      <c r="E39" s="17">
        <v>6</v>
      </c>
      <c r="F39" s="18">
        <v>1500</v>
      </c>
      <c r="G39" s="18">
        <v>21214500</v>
      </c>
      <c r="H39" s="80"/>
      <c r="I39" s="81"/>
    </row>
    <row r="40" spans="1:9" ht="16.5" customHeight="1" x14ac:dyDescent="0.25">
      <c r="A40" s="14"/>
      <c r="B40" s="14"/>
      <c r="C40" s="15" t="s">
        <v>17</v>
      </c>
      <c r="D40" s="16">
        <v>160</v>
      </c>
      <c r="E40" s="17">
        <v>8</v>
      </c>
      <c r="F40" s="18">
        <v>1280</v>
      </c>
      <c r="G40" s="18">
        <v>18103040</v>
      </c>
      <c r="H40" s="80"/>
      <c r="I40" s="81"/>
    </row>
    <row r="41" spans="1:9" ht="16.5" customHeight="1" x14ac:dyDescent="0.25">
      <c r="A41" s="14"/>
      <c r="B41" s="14"/>
      <c r="C41" s="15" t="s">
        <v>18</v>
      </c>
      <c r="D41" s="16">
        <v>110</v>
      </c>
      <c r="E41" s="17">
        <v>10</v>
      </c>
      <c r="F41" s="18">
        <v>1100</v>
      </c>
      <c r="G41" s="18">
        <v>15557300</v>
      </c>
      <c r="H41" s="80"/>
      <c r="I41" s="81"/>
    </row>
    <row r="42" spans="1:9" ht="16.5" customHeight="1" x14ac:dyDescent="0.25">
      <c r="A42" s="14"/>
      <c r="B42" s="14"/>
      <c r="C42" s="15" t="s">
        <v>19</v>
      </c>
      <c r="D42" s="16">
        <v>110</v>
      </c>
      <c r="E42" s="17">
        <v>10</v>
      </c>
      <c r="F42" s="18">
        <v>1100</v>
      </c>
      <c r="G42" s="18">
        <v>15557300</v>
      </c>
      <c r="H42" s="80"/>
      <c r="I42" s="81"/>
    </row>
    <row r="43" spans="1:9" ht="16.5" customHeight="1" x14ac:dyDescent="0.25">
      <c r="A43" s="14"/>
      <c r="B43" s="14"/>
      <c r="C43" s="15" t="s">
        <v>20</v>
      </c>
      <c r="D43" s="16">
        <v>110</v>
      </c>
      <c r="E43" s="17">
        <v>10</v>
      </c>
      <c r="F43" s="18">
        <v>1100</v>
      </c>
      <c r="G43" s="18">
        <v>15557300</v>
      </c>
      <c r="H43" s="80"/>
      <c r="I43" s="81"/>
    </row>
    <row r="44" spans="1:9" ht="16.5" customHeight="1" x14ac:dyDescent="0.25">
      <c r="A44" s="14"/>
      <c r="B44" s="14"/>
      <c r="C44" s="15" t="s">
        <v>21</v>
      </c>
      <c r="D44" s="16">
        <v>60</v>
      </c>
      <c r="E44" s="17">
        <v>10</v>
      </c>
      <c r="F44" s="17">
        <v>600</v>
      </c>
      <c r="G44" s="18">
        <v>8485800</v>
      </c>
      <c r="H44" s="80"/>
      <c r="I44" s="81"/>
    </row>
    <row r="45" spans="1:9" ht="15" customHeight="1" x14ac:dyDescent="0.25">
      <c r="A45" s="19"/>
      <c r="B45" s="20" t="s">
        <v>22</v>
      </c>
      <c r="C45" s="19"/>
      <c r="D45" s="19"/>
      <c r="E45" s="19"/>
      <c r="F45" s="21">
        <v>13980</v>
      </c>
      <c r="G45" s="21">
        <v>197719140</v>
      </c>
      <c r="H45" s="74" t="s">
        <v>39</v>
      </c>
      <c r="I45" s="75"/>
    </row>
    <row r="46" spans="1:9" ht="16.7" customHeight="1" x14ac:dyDescent="0.25">
      <c r="A46" s="28">
        <v>6</v>
      </c>
      <c r="B46" s="23" t="s">
        <v>31</v>
      </c>
      <c r="C46" s="23" t="s">
        <v>12</v>
      </c>
      <c r="D46" s="24">
        <v>550</v>
      </c>
      <c r="E46" s="25">
        <v>3</v>
      </c>
      <c r="F46" s="26">
        <v>1650</v>
      </c>
      <c r="G46" s="26">
        <v>23335950</v>
      </c>
      <c r="H46" s="76">
        <v>1</v>
      </c>
      <c r="I46" s="78">
        <f>+G49*H46</f>
        <v>61522050</v>
      </c>
    </row>
    <row r="47" spans="1:9" ht="16.5" customHeight="1" x14ac:dyDescent="0.25">
      <c r="A47" s="14"/>
      <c r="B47" s="27" t="s">
        <v>32</v>
      </c>
      <c r="C47" s="15" t="s">
        <v>24</v>
      </c>
      <c r="D47" s="16">
        <v>550</v>
      </c>
      <c r="E47" s="17">
        <v>3</v>
      </c>
      <c r="F47" s="18">
        <v>1650</v>
      </c>
      <c r="G47" s="18">
        <v>23335950</v>
      </c>
      <c r="H47" s="77"/>
      <c r="I47" s="79"/>
    </row>
    <row r="48" spans="1:9" ht="16.5" customHeight="1" x14ac:dyDescent="0.25">
      <c r="A48" s="14"/>
      <c r="B48" s="14"/>
      <c r="C48" s="15" t="s">
        <v>14</v>
      </c>
      <c r="D48" s="16">
        <v>350</v>
      </c>
      <c r="E48" s="17">
        <v>3</v>
      </c>
      <c r="F48" s="18">
        <v>1050</v>
      </c>
      <c r="G48" s="18">
        <v>14850150</v>
      </c>
      <c r="H48" s="77"/>
      <c r="I48" s="79"/>
    </row>
    <row r="49" spans="1:9" ht="15" customHeight="1" x14ac:dyDescent="0.25">
      <c r="A49" s="19"/>
      <c r="B49" s="20" t="s">
        <v>22</v>
      </c>
      <c r="C49" s="19"/>
      <c r="D49" s="19"/>
      <c r="E49" s="19"/>
      <c r="F49" s="21">
        <v>4350</v>
      </c>
      <c r="G49" s="21">
        <v>61522050</v>
      </c>
      <c r="H49" s="74" t="s">
        <v>39</v>
      </c>
      <c r="I49" s="75"/>
    </row>
    <row r="50" spans="1:9" ht="16.7" customHeight="1" x14ac:dyDescent="0.25">
      <c r="A50" s="28">
        <v>7</v>
      </c>
      <c r="B50" s="23" t="s">
        <v>33</v>
      </c>
      <c r="C50" s="23" t="s">
        <v>12</v>
      </c>
      <c r="D50" s="24">
        <v>550</v>
      </c>
      <c r="E50" s="25">
        <v>1</v>
      </c>
      <c r="F50" s="25">
        <v>550</v>
      </c>
      <c r="G50" s="26">
        <v>7778650</v>
      </c>
      <c r="H50" s="76">
        <v>1</v>
      </c>
      <c r="I50" s="78">
        <f>+G60*H50</f>
        <v>1011931650</v>
      </c>
    </row>
    <row r="51" spans="1:9" ht="16.5" customHeight="1" x14ac:dyDescent="0.25">
      <c r="A51" s="14"/>
      <c r="B51" s="27" t="s">
        <v>34</v>
      </c>
      <c r="C51" s="15" t="s">
        <v>13</v>
      </c>
      <c r="D51" s="16">
        <v>350</v>
      </c>
      <c r="E51" s="17">
        <v>1</v>
      </c>
      <c r="F51" s="17">
        <v>350</v>
      </c>
      <c r="G51" s="18">
        <v>4950050</v>
      </c>
      <c r="H51" s="77"/>
      <c r="I51" s="79"/>
    </row>
    <row r="52" spans="1:9" ht="16.5" customHeight="1" x14ac:dyDescent="0.25">
      <c r="A52" s="14"/>
      <c r="B52" s="14"/>
      <c r="C52" s="15" t="s">
        <v>14</v>
      </c>
      <c r="D52" s="16">
        <v>350</v>
      </c>
      <c r="E52" s="17">
        <v>1</v>
      </c>
      <c r="F52" s="17">
        <v>350</v>
      </c>
      <c r="G52" s="18">
        <v>4950050</v>
      </c>
      <c r="H52" s="77"/>
      <c r="I52" s="79"/>
    </row>
    <row r="53" spans="1:9" ht="16.5" customHeight="1" x14ac:dyDescent="0.25">
      <c r="A53" s="14"/>
      <c r="B53" s="14"/>
      <c r="C53" s="15" t="s">
        <v>15</v>
      </c>
      <c r="D53" s="16">
        <v>250</v>
      </c>
      <c r="E53" s="17">
        <v>2</v>
      </c>
      <c r="F53" s="17">
        <v>500</v>
      </c>
      <c r="G53" s="18">
        <v>7071500</v>
      </c>
      <c r="H53" s="77"/>
      <c r="I53" s="79"/>
    </row>
    <row r="54" spans="1:9" ht="16.5" customHeight="1" x14ac:dyDescent="0.25">
      <c r="A54" s="14"/>
      <c r="B54" s="14"/>
      <c r="C54" s="15" t="s">
        <v>16</v>
      </c>
      <c r="D54" s="16">
        <v>250</v>
      </c>
      <c r="E54" s="17">
        <v>2</v>
      </c>
      <c r="F54" s="17">
        <v>500</v>
      </c>
      <c r="G54" s="18">
        <v>7071500</v>
      </c>
      <c r="H54" s="77"/>
      <c r="I54" s="79"/>
    </row>
    <row r="55" spans="1:9" ht="16.5" customHeight="1" x14ac:dyDescent="0.25">
      <c r="A55" s="14"/>
      <c r="B55" s="14"/>
      <c r="C55" s="15" t="s">
        <v>35</v>
      </c>
      <c r="D55" s="16">
        <v>160</v>
      </c>
      <c r="E55" s="17">
        <v>3</v>
      </c>
      <c r="F55" s="17">
        <v>480</v>
      </c>
      <c r="G55" s="18">
        <v>6788640</v>
      </c>
      <c r="H55" s="77"/>
      <c r="I55" s="79"/>
    </row>
    <row r="56" spans="1:9" ht="16.5" customHeight="1" x14ac:dyDescent="0.25">
      <c r="A56" s="14"/>
      <c r="B56" s="14"/>
      <c r="C56" s="15" t="s">
        <v>18</v>
      </c>
      <c r="D56" s="16">
        <v>110</v>
      </c>
      <c r="E56" s="17">
        <v>4</v>
      </c>
      <c r="F56" s="17">
        <v>440</v>
      </c>
      <c r="G56" s="18">
        <v>6222920</v>
      </c>
      <c r="H56" s="77"/>
      <c r="I56" s="79"/>
    </row>
    <row r="57" spans="1:9" ht="16.5" customHeight="1" x14ac:dyDescent="0.25">
      <c r="A57" s="14"/>
      <c r="B57" s="14"/>
      <c r="C57" s="15" t="s">
        <v>19</v>
      </c>
      <c r="D57" s="16">
        <v>110</v>
      </c>
      <c r="E57" s="17">
        <v>4</v>
      </c>
      <c r="F57" s="17">
        <v>440</v>
      </c>
      <c r="G57" s="18">
        <v>6222920</v>
      </c>
      <c r="H57" s="77"/>
      <c r="I57" s="79"/>
    </row>
    <row r="58" spans="1:9" ht="16.5" customHeight="1" x14ac:dyDescent="0.25">
      <c r="A58" s="14"/>
      <c r="B58" s="14"/>
      <c r="C58" s="15" t="s">
        <v>20</v>
      </c>
      <c r="D58" s="16">
        <v>110</v>
      </c>
      <c r="E58" s="17">
        <v>4</v>
      </c>
      <c r="F58" s="17">
        <v>440</v>
      </c>
      <c r="G58" s="18">
        <v>6222920</v>
      </c>
      <c r="H58" s="77"/>
      <c r="I58" s="79"/>
    </row>
    <row r="59" spans="1:9" ht="15" customHeight="1" x14ac:dyDescent="0.25">
      <c r="A59" s="19"/>
      <c r="B59" s="20" t="s">
        <v>22</v>
      </c>
      <c r="C59" s="19"/>
      <c r="D59" s="19"/>
      <c r="E59" s="19"/>
      <c r="F59" s="21">
        <v>4050</v>
      </c>
      <c r="G59" s="21">
        <v>57279150</v>
      </c>
    </row>
    <row r="60" spans="1:9" ht="15" customHeight="1" x14ac:dyDescent="0.25">
      <c r="A60" s="29"/>
      <c r="B60" s="30" t="s">
        <v>36</v>
      </c>
      <c r="C60" s="29"/>
      <c r="D60" s="29"/>
      <c r="E60" s="29"/>
      <c r="F60" s="31">
        <v>71550</v>
      </c>
      <c r="G60" s="31">
        <v>1011931650</v>
      </c>
    </row>
  </sheetData>
  <mergeCells count="35">
    <mergeCell ref="A1:H1"/>
    <mergeCell ref="A2:B2"/>
    <mergeCell ref="H3:I3"/>
    <mergeCell ref="J3:K3"/>
    <mergeCell ref="L3:M3"/>
    <mergeCell ref="I23:I32"/>
    <mergeCell ref="M4:M13"/>
    <mergeCell ref="H14:I14"/>
    <mergeCell ref="J14:K14"/>
    <mergeCell ref="L14:M14"/>
    <mergeCell ref="H15:H17"/>
    <mergeCell ref="I15:I17"/>
    <mergeCell ref="H4:H13"/>
    <mergeCell ref="I4:I13"/>
    <mergeCell ref="J4:J13"/>
    <mergeCell ref="K4:K13"/>
    <mergeCell ref="L4:L13"/>
    <mergeCell ref="L15:L17"/>
    <mergeCell ref="M15:M17"/>
    <mergeCell ref="H49:I49"/>
    <mergeCell ref="H50:H58"/>
    <mergeCell ref="I50:I58"/>
    <mergeCell ref="J15:J17"/>
    <mergeCell ref="K15:K17"/>
    <mergeCell ref="H33:I33"/>
    <mergeCell ref="H34:H44"/>
    <mergeCell ref="I34:I44"/>
    <mergeCell ref="H45:I45"/>
    <mergeCell ref="H46:H48"/>
    <mergeCell ref="I46:I48"/>
    <mergeCell ref="H18:I18"/>
    <mergeCell ref="H19:H21"/>
    <mergeCell ref="I19:I21"/>
    <mergeCell ref="H22:I22"/>
    <mergeCell ref="H23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Budget VS Aktual</vt:lpstr>
      <vt:lpstr>05-06</vt:lpstr>
      <vt:lpstr>'Budget VS Aktual'!Print_Area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SPV-FA-03</dc:creator>
  <cp:lastModifiedBy>SPV-FA-03</cp:lastModifiedBy>
  <cp:lastPrinted>2022-01-12T09:15:50Z</cp:lastPrinted>
  <dcterms:created xsi:type="dcterms:W3CDTF">2020-01-31T10:01:09Z</dcterms:created>
  <dcterms:modified xsi:type="dcterms:W3CDTF">2022-01-12T09:54:23Z</dcterms:modified>
</cp:coreProperties>
</file>