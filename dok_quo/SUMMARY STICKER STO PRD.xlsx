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75\share data\PUTRI MEI E\"/>
    </mc:Choice>
  </mc:AlternateContent>
  <xr:revisionPtr revIDLastSave="0" documentId="8_{F9BA4513-9930-40CD-A48F-A1F7D08CBE34}" xr6:coauthVersionLast="47" xr6:coauthVersionMax="47" xr10:uidLastSave="{00000000-0000-0000-0000-000000000000}"/>
  <bookViews>
    <workbookView xWindow="-120" yWindow="-120" windowWidth="29040" windowHeight="15840" xr2:uid="{1E03004C-91C1-45CB-91F6-2613D6E4462E}"/>
  </bookViews>
  <sheets>
    <sheet name="PR ADD" sheetId="1" r:id="rId1"/>
  </sheets>
  <externalReferences>
    <externalReference r:id="rId2"/>
  </externalReferences>
  <definedNames>
    <definedName name="_.Next">"$#REF!.$A$1216"</definedName>
    <definedName name="CPNMB">"1"</definedName>
    <definedName name="cv">#REF!</definedName>
    <definedName name="DVNAM">""</definedName>
    <definedName name="DVTYP">"PRINTER"</definedName>
    <definedName name="error">#REF!</definedName>
    <definedName name="Excel_BuiltIn__FilterDatabase_1">#REF!</definedName>
    <definedName name="Excel_BuiltIn__FilterDatabase_1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1">#REF!</definedName>
    <definedName name="Excel_BuiltIn__FilterDatabase_2_1_1_1_1_1">#REF!</definedName>
    <definedName name="Excel_BuiltIn__FilterDatabase_2_1_1_1_1_1_1">#REF!</definedName>
    <definedName name="Excel_BuiltIn__FilterDatabase_2_1_1_1_1_1_1_1">#REF!</definedName>
    <definedName name="Excel_BuiltIn__FilterDatabase_3">"$#REF!.$A$2:$G$822"</definedName>
    <definedName name="Excel_BuiltIn__FilterDatabase_7_1">#REF!</definedName>
    <definedName name="Excel_BuiltIn_Print_Area_2_1">#REF!</definedName>
    <definedName name="Excel_BuiltIn_Print_Titles_1">#REF!</definedName>
    <definedName name="FMTYP">"*STD"</definedName>
    <definedName name="foto">IF(COUNTIF(#REF!,#REF!)=0,error,INDEX(#REF!,MATCH(#REF!,#REF!,0)))</definedName>
    <definedName name="JBNAM">"VEDC10C"</definedName>
    <definedName name="JBNMB">"046661"</definedName>
    <definedName name="kode">#REF!</definedName>
    <definedName name="MFDWDJEPAJPT4">"$#REF!.$A$7352"</definedName>
    <definedName name="NO">#REF!</definedName>
    <definedName name="OQLIB">"V35ENV2"</definedName>
    <definedName name="OQNAM">"V35OUTQ2"</definedName>
    <definedName name="PCDAT">"5/28/2008"</definedName>
    <definedName name="PCDT2">"20080528"</definedName>
    <definedName name="PCTIM">"11:03:53 AM"</definedName>
    <definedName name="_xlnm.Print_Area">#REF!</definedName>
    <definedName name="PRIOR">" 5"</definedName>
    <definedName name="SPDAT">"5/28/2008"</definedName>
    <definedName name="SPDT2">"20080528"</definedName>
    <definedName name="SPNAM">"VEDP10P"</definedName>
    <definedName name="SPNMB">"1"</definedName>
    <definedName name="SPTIM">"111232"</definedName>
    <definedName name="STATE">"*READY"</definedName>
    <definedName name="TOTPG">"38"</definedName>
    <definedName name="USDAT">"VEDP10"</definedName>
    <definedName name="USNAM">"SMMC004"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C19" i="1"/>
  <c r="B8" i="1"/>
  <c r="B10" i="1" s="1"/>
  <c r="G7" i="1"/>
  <c r="E7" i="1"/>
  <c r="C6" i="1"/>
  <c r="D6" i="1" s="1"/>
  <c r="D8" i="1" l="1"/>
  <c r="D10" i="1" s="1"/>
  <c r="E6" i="1"/>
  <c r="C8" i="1"/>
  <c r="C10" i="1" s="1"/>
  <c r="E8" i="1" l="1"/>
  <c r="E10" i="1" s="1"/>
  <c r="F6" i="1"/>
  <c r="G6" i="1" l="1"/>
  <c r="F8" i="1"/>
  <c r="F10" i="1" s="1"/>
  <c r="H6" i="1" l="1"/>
  <c r="G8" i="1"/>
  <c r="G10" i="1" s="1"/>
  <c r="I6" i="1" l="1"/>
  <c r="H8" i="1"/>
  <c r="H10" i="1" s="1"/>
  <c r="J6" i="1" l="1"/>
  <c r="J8" i="1" s="1"/>
  <c r="J10" i="1" s="1"/>
  <c r="B15" i="1" s="1"/>
  <c r="I8" i="1"/>
  <c r="I10" i="1" s="1"/>
  <c r="B14" i="1" s="1"/>
</calcChain>
</file>

<file path=xl/sharedStrings.xml><?xml version="1.0" encoding="utf-8"?>
<sst xmlns="http://schemas.openxmlformats.org/spreadsheetml/2006/main" count="40" uniqueCount="29">
  <si>
    <t>PERHITUNGAN STICKER STO OKT 23 - JUN 24</t>
  </si>
  <si>
    <t>orange</t>
  </si>
  <si>
    <t>hijau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</si>
  <si>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</si>
  <si>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</si>
  <si>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</si>
  <si>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</si>
  <si>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</si>
  <si>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</si>
  <si>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</si>
  <si>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</si>
  <si>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</si>
  <si>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rutin</t>
  </si>
  <si>
    <t>project</t>
  </si>
  <si>
    <t>total</t>
  </si>
  <si>
    <t>spare</t>
  </si>
  <si>
    <t>GRAND TOTAL</t>
  </si>
  <si>
    <t>SUMMARY PEMBELIAN STICKER</t>
  </si>
  <si>
    <t>QTY</t>
  </si>
  <si>
    <t>STICKER HIJAU</t>
  </si>
  <si>
    <t>ADD OKTOBER</t>
  </si>
  <si>
    <t>STICKER ORANGE</t>
  </si>
  <si>
    <t>PROJECT</t>
  </si>
  <si>
    <t>BULAN</t>
  </si>
  <si>
    <t>AREA</t>
  </si>
  <si>
    <t>CPA YARIS</t>
  </si>
  <si>
    <t>CV YARIS 3</t>
  </si>
  <si>
    <t>33FA</t>
  </si>
  <si>
    <t>CPA 33FA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</si>
</sst>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62.126.75\share%20data\NKO\8.%20Analisa%20kebutuhan%20sticker.xlsx" TargetMode="External"/><Relationship Id="rId1" Type="http://schemas.openxmlformats.org/officeDocument/2006/relationships/externalLinkPath" Target="/NKO/8.%20Analisa%20kebutuhan%20sti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QTY STICKER REV 2"/>
      <sheetName val="PR ADD"/>
      <sheetName val="Sheet2"/>
    </sheetNames>
    <sheetDataSet>
      <sheetData sheetId="0"/>
      <sheetData sheetId="1">
        <row r="72">
          <cell r="E72">
            <v>1822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5B89-4554-436D-B3BA-0978FEF4762C}">
  <sheetPr>
    <tabColor rgb="FF00B0F0"/>
    <pageSetUpPr fitToPage="1"/>
  </sheetPr>
  <dimension ref="A2:J25"/>
  <sheetViews>
    <sheetView tabSelected="1" workbookViewId="0">
      <selection activeCell="P17" sqref="P17"/>
    </sheetView>
  </sheetViews>
  <sheetFormatPr defaultRowHeight="15" x14ac:dyDescent="0.25"/>
  <cols>
    <col min="1" max="1" width="52.5703125" bestFit="1" customWidth="1"/>
    <col min="2" max="2" width="12.5703125" bestFit="1" customWidth="1"/>
    <col min="3" max="3" width="12.28515625" customWidth="1"/>
    <col min="4" max="4" width="10.5703125" customWidth="1"/>
    <col min="5" max="5" width="10.42578125" customWidth="1"/>
    <col min="6" max="6" width="11.28515625" customWidth="1"/>
    <col min="7" max="7" width="11.85546875" customWidth="1"/>
    <col min="8" max="8" width="12" customWidth="1"/>
    <col min="9" max="9" width="11.28515625" customWidth="1"/>
    <col min="10" max="10" width="12.28515625" customWidth="1"/>
  </cols>
  <sheetData>
    <row r="2" spans="1:10" ht="18.75" x14ac:dyDescent="0.3">
      <c r="A2" s="1" t="s">
        <v>0</v>
      </c>
    </row>
    <row r="4" spans="1:10" ht="23.25" customHeight="1" x14ac:dyDescent="0.25">
      <c r="B4" s="2" t="s">
        <v>1</v>
      </c>
      <c r="C4" s="3" t="s">
        <v>2</v>
      </c>
      <c r="D4" s="2" t="s">
        <v>1</v>
      </c>
      <c r="E4" s="3" t="s">
        <v>2</v>
      </c>
      <c r="F4" s="2" t="s">
        <v>1</v>
      </c>
      <c r="G4" s="3" t="s">
        <v>2</v>
      </c>
      <c r="H4" s="2" t="s">
        <v>1</v>
      </c>
      <c r="I4" s="3" t="s">
        <v>2</v>
      </c>
      <c r="J4" s="2" t="s">
        <v>1</v>
      </c>
    </row>
    <row r="5" spans="1:10" s="4" customFormat="1" x14ac:dyDescent="0.25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1:10" x14ac:dyDescent="0.25">
      <c r="A6" s="6" t="s">
        <v>12</v>
      </c>
      <c r="B6" s="6">
        <v>120436</v>
      </c>
      <c r="C6" s="6">
        <f>+B6</f>
        <v>120436</v>
      </c>
      <c r="D6" s="6">
        <f t="shared" ref="D6:J6" si="0">+C6+C7</f>
        <v>120436</v>
      </c>
      <c r="E6" s="6">
        <f t="shared" si="0"/>
        <v>120436</v>
      </c>
      <c r="F6" s="6">
        <f t="shared" si="0"/>
        <v>122914</v>
      </c>
      <c r="G6" s="6">
        <f t="shared" si="0"/>
        <v>122914</v>
      </c>
      <c r="H6" s="6">
        <f t="shared" si="0"/>
        <v>129744</v>
      </c>
      <c r="I6" s="6">
        <f t="shared" si="0"/>
        <v>129744</v>
      </c>
      <c r="J6" s="6">
        <f t="shared" si="0"/>
        <v>129744</v>
      </c>
    </row>
    <row r="7" spans="1:10" x14ac:dyDescent="0.25">
      <c r="A7" s="6" t="s">
        <v>13</v>
      </c>
      <c r="B7" s="6"/>
      <c r="C7" s="6"/>
      <c r="D7" s="6"/>
      <c r="E7" s="6">
        <f>+C19+C20</f>
        <v>2478</v>
      </c>
      <c r="F7" s="6"/>
      <c r="G7" s="6">
        <f>+C21+C22</f>
        <v>6830</v>
      </c>
      <c r="H7" s="6"/>
      <c r="I7" s="6"/>
      <c r="J7" s="6"/>
    </row>
    <row r="8" spans="1:10" x14ac:dyDescent="0.25">
      <c r="A8" s="6" t="s">
        <v>14</v>
      </c>
      <c r="B8" s="6">
        <f>SUM(B6:B7)</f>
        <v>120436</v>
      </c>
      <c r="C8" s="6">
        <f t="shared" ref="C8:J8" si="1">SUM(C6:C7)</f>
        <v>120436</v>
      </c>
      <c r="D8" s="6">
        <f t="shared" si="1"/>
        <v>120436</v>
      </c>
      <c r="E8" s="6">
        <f t="shared" si="1"/>
        <v>122914</v>
      </c>
      <c r="F8" s="6">
        <f t="shared" si="1"/>
        <v>122914</v>
      </c>
      <c r="G8" s="6">
        <f t="shared" si="1"/>
        <v>129744</v>
      </c>
      <c r="H8" s="6">
        <f t="shared" si="1"/>
        <v>129744</v>
      </c>
      <c r="I8" s="6">
        <f t="shared" si="1"/>
        <v>129744</v>
      </c>
      <c r="J8" s="6">
        <f t="shared" si="1"/>
        <v>129744</v>
      </c>
    </row>
    <row r="9" spans="1:10" x14ac:dyDescent="0.25">
      <c r="A9" s="6" t="s">
        <v>15</v>
      </c>
      <c r="B9" s="6">
        <v>200</v>
      </c>
      <c r="C9" s="6">
        <v>200</v>
      </c>
      <c r="D9" s="6">
        <v>200</v>
      </c>
      <c r="E9" s="6">
        <v>200</v>
      </c>
      <c r="F9" s="6">
        <v>200</v>
      </c>
      <c r="G9" s="6">
        <v>200</v>
      </c>
      <c r="H9" s="6">
        <v>200</v>
      </c>
      <c r="I9" s="6">
        <v>200</v>
      </c>
      <c r="J9" s="6">
        <v>200</v>
      </c>
    </row>
    <row r="10" spans="1:10" ht="27" customHeight="1" x14ac:dyDescent="0.25">
      <c r="A10" s="7" t="s">
        <v>16</v>
      </c>
      <c r="B10" s="7">
        <f>+B8+B9</f>
        <v>120636</v>
      </c>
      <c r="C10" s="7">
        <f t="shared" ref="C10:J10" si="2">+C8+C9</f>
        <v>120636</v>
      </c>
      <c r="D10" s="7">
        <f t="shared" si="2"/>
        <v>120636</v>
      </c>
      <c r="E10" s="7">
        <f t="shared" si="2"/>
        <v>123114</v>
      </c>
      <c r="F10" s="7">
        <f t="shared" si="2"/>
        <v>123114</v>
      </c>
      <c r="G10" s="7">
        <f t="shared" si="2"/>
        <v>129944</v>
      </c>
      <c r="H10" s="7">
        <f t="shared" si="2"/>
        <v>129944</v>
      </c>
      <c r="I10" s="7">
        <f t="shared" si="2"/>
        <v>129944</v>
      </c>
      <c r="J10" s="7">
        <f t="shared" si="2"/>
        <v>129944</v>
      </c>
    </row>
    <row r="13" spans="1:10" ht="23.25" x14ac:dyDescent="0.35">
      <c r="A13" s="8" t="s">
        <v>17</v>
      </c>
      <c r="B13" s="9" t="s">
        <v>18</v>
      </c>
    </row>
    <row r="14" spans="1:10" ht="30" customHeight="1" x14ac:dyDescent="0.25">
      <c r="A14" s="10" t="s">
        <v>19</v>
      </c>
      <c r="B14" s="11">
        <f>+C10+E10+G10+I10</f>
        <v>503638</v>
      </c>
      <c r="C14" s="12" t="s">
        <v>20</v>
      </c>
    </row>
    <row r="15" spans="1:10" ht="23.25" x14ac:dyDescent="0.25">
      <c r="A15" s="13" t="s">
        <v>21</v>
      </c>
      <c r="B15" s="14">
        <f>+B10+D10+F10+H10+J10</f>
        <v>624274</v>
      </c>
      <c r="C15" s="12"/>
    </row>
    <row r="17" spans="1:8" x14ac:dyDescent="0.25">
      <c r="A17" s="15" t="s">
        <v>22</v>
      </c>
      <c r="B17" s="15"/>
    </row>
    <row r="18" spans="1:8" x14ac:dyDescent="0.25">
      <c r="A18" s="6" t="s">
        <v>23</v>
      </c>
      <c r="B18" s="6" t="s">
        <v>24</v>
      </c>
      <c r="C18" s="16"/>
    </row>
    <row r="19" spans="1:8" x14ac:dyDescent="0.25">
      <c r="A19" s="6" t="s">
        <v>6</v>
      </c>
      <c r="B19" s="6" t="s">
        <v>25</v>
      </c>
      <c r="C19" s="16">
        <f>+'[1]QTY STICKER REV 2'!E72</f>
        <v>1822</v>
      </c>
    </row>
    <row r="20" spans="1:8" x14ac:dyDescent="0.25">
      <c r="A20" s="6" t="s">
        <v>6</v>
      </c>
      <c r="B20" s="6" t="s">
        <v>26</v>
      </c>
      <c r="C20" s="16">
        <v>656</v>
      </c>
    </row>
    <row r="21" spans="1:8" x14ac:dyDescent="0.25">
      <c r="A21" s="6" t="s">
        <v>8</v>
      </c>
      <c r="B21" s="6" t="s">
        <v>27</v>
      </c>
      <c r="C21" s="16">
        <v>2008</v>
      </c>
    </row>
    <row r="22" spans="1:8" x14ac:dyDescent="0.25">
      <c r="A22" s="6" t="s">
        <v>8</v>
      </c>
      <c r="B22" s="6" t="s">
        <v>28</v>
      </c>
      <c r="C22" s="16">
        <v>4822</v>
      </c>
    </row>
    <row r="25" spans="1:8" x14ac:dyDescent="0.25">
      <c r="H25">
        <f>65+45</f>
        <v>110</v>
      </c>
    </row>
  </sheetData>
  <mergeCells count="2">
    <mergeCell ref="C14:C15"/>
    <mergeCell ref="A17:B17"/>
  </mergeCells>
  <pageMargins left="0" right="0" top="0" bottom="0" header="0" footer="0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prd-10</dc:creator>
  <cp:lastModifiedBy>prd-10</cp:lastModifiedBy>
  <dcterms:created xsi:type="dcterms:W3CDTF">2023-09-26T01:28:43Z</dcterms:created>
  <dcterms:modified xsi:type="dcterms:W3CDTF">2023-09-26T01:29:16Z</dcterms:modified>
</cp:coreProperties>
</file>