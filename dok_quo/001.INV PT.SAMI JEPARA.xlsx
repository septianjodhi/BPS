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80" yWindow="615" windowWidth="16455" windowHeight="11640" activeTab="1"/>
  </bookViews>
  <sheets>
    <sheet name="Invoice" sheetId="1" r:id="rId1"/>
    <sheet name="REVISI " sheetId="2" r:id="rId2"/>
  </sheets>
  <definedNames>
    <definedName name="ColumnTitle1" localSheetId="1">Invoice3[[#Headers],[DESCRIPTION]]</definedName>
    <definedName name="ColumnTitle1">Invoice[[#Headers],[DESCRIPTION]]</definedName>
    <definedName name="Company_Name" localSheetId="1">'REVISI '!$C$2</definedName>
    <definedName name="Company_Name">Invoice!$C$2</definedName>
    <definedName name="_xlnm.Print_Area" localSheetId="0">Invoice!$B$1:$F$32</definedName>
    <definedName name="_xlnm.Print_Area" localSheetId="1">'REVISI '!$B$1:$F$32</definedName>
    <definedName name="_xlnm.Print_Titles" localSheetId="0">Invoice!$10:$10</definedName>
    <definedName name="_xlnm.Print_Titles" localSheetId="1">'REVISI '!$10:$10</definedName>
    <definedName name="RowTitleRegion1..D8" localSheetId="1">'REVISI '!$D$2</definedName>
    <definedName name="RowTitleRegion1..D8">Invoice!$D$2</definedName>
    <definedName name="RowTitleRegion2..D25" localSheetId="1">'REVISI '!$D$21</definedName>
    <definedName name="RowTitleRegion2..D25">Invoice!$D$21</definedName>
  </definedNames>
  <calcPr calcId="144525"/>
</workbook>
</file>

<file path=xl/calcChain.xml><?xml version="1.0" encoding="utf-8"?>
<calcChain xmlns="http://schemas.openxmlformats.org/spreadsheetml/2006/main">
  <c r="E14" i="2" l="1"/>
  <c r="E17" i="2"/>
  <c r="E16" i="2"/>
  <c r="E15" i="1" l="1"/>
  <c r="C20" i="2"/>
  <c r="E15" i="2" l="1"/>
  <c r="E20" i="2"/>
  <c r="E21" i="2" s="1"/>
  <c r="E22" i="2" s="1"/>
  <c r="E16" i="1" l="1"/>
  <c r="E14" i="1" l="1"/>
  <c r="E20" i="1"/>
  <c r="E21" i="1" s="1"/>
  <c r="E17" i="1"/>
  <c r="C20" i="1" l="1"/>
  <c r="E22" i="1" l="1"/>
</calcChain>
</file>

<file path=xl/sharedStrings.xml><?xml version="1.0" encoding="utf-8"?>
<sst xmlns="http://schemas.openxmlformats.org/spreadsheetml/2006/main" count="62" uniqueCount="39">
  <si>
    <t>INVOICE</t>
  </si>
  <si>
    <t>DATE:</t>
  </si>
  <si>
    <t>INVOICE #</t>
  </si>
  <si>
    <t>DESCRIPTION</t>
  </si>
  <si>
    <t>AMOUNT</t>
  </si>
  <si>
    <t>SUBTOTAL</t>
  </si>
  <si>
    <t>TOTAL</t>
  </si>
  <si>
    <t>BILL TO:</t>
  </si>
  <si>
    <t>THANK YOU FOR YOUR BUSINESS!</t>
  </si>
  <si>
    <t>Pt.Rajawali Putra Investama</t>
  </si>
  <si>
    <t>Excellent company support</t>
  </si>
  <si>
    <t>Bank Mandiri, A/n : PT. Rajawali Putra Investama
No. Rek : 136-00-0123399-5</t>
  </si>
  <si>
    <t>Anggraini Shyntia Devi</t>
  </si>
  <si>
    <t>Accounting</t>
  </si>
  <si>
    <t>PELATIHAN BAHASA JEPANG</t>
  </si>
  <si>
    <t>PT. SAMI JEPARA</t>
  </si>
  <si>
    <t>Sawah, Sengonbugel</t>
  </si>
  <si>
    <t>Kec. Mayong, Kabupaten Jepara</t>
  </si>
  <si>
    <t>Jawa Tengah 59465</t>
  </si>
  <si>
    <t>Januari, 19 2024</t>
  </si>
  <si>
    <t>RPI-19/01/2024-001</t>
  </si>
  <si>
    <t>PERIODE AGUSTUS - FEBRUARI 2024</t>
  </si>
  <si>
    <t>Biaya Kursus @Rp 1,500,000</t>
  </si>
  <si>
    <t>Snack @Rp 13,000/hari x 56 hari</t>
  </si>
  <si>
    <t>PAJAK 2%</t>
  </si>
  <si>
    <t>Semarang, 19 Januari 2024</t>
  </si>
  <si>
    <t>Eko Setyo Putro S.Kom,M.M</t>
  </si>
  <si>
    <t>Presiden Direktur</t>
  </si>
  <si>
    <t>PERSON</t>
  </si>
  <si>
    <t>Transportasi Pengajar @Rp 50,000/hari X 56 hari</t>
  </si>
  <si>
    <t>Biaya Buku Paket &amp; Alat Tulis @203,000</t>
  </si>
  <si>
    <t>Biaya Buku Paket &amp; Alat Tulis @175,000</t>
  </si>
  <si>
    <t>PERIODE AGUSTUS 2023- FEBRUARI 2024</t>
  </si>
  <si>
    <t>RPI-05/02/2024-001</t>
  </si>
  <si>
    <t>Februari, 05 2024</t>
  </si>
  <si>
    <t>Transportasi Pengajar @Rp 50,000/hari X 59 hari</t>
  </si>
  <si>
    <t>Snack @Rp 13,000/hari x 59 hari</t>
  </si>
  <si>
    <t>Biaya Kursus @Rp 1,584,375</t>
  </si>
  <si>
    <t>Semarang, 05 Februari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</si>
</sst>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  <numFmt numFmtId="167" formatCode="_-[$Rp-421]* #,##0_-;\-[$Rp-421]* #,##0_-;_-[$Rp-421]* &quot;-&quot;??_-;_-@_-"/>
  </numFmts>
  <fonts count="16">
    <font>
      <sz val="11"/>
      <name val="Arial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27"/>
      <color theme="1" tint="0.499984740745262"/>
      <name val="Arial"/>
      <family val="2"/>
      <scheme val="major"/>
    </font>
    <font>
      <sz val="11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i/>
      <sz val="1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theme="1"/>
      <name val="Arial"/>
      <family val="3"/>
      <charset val="128"/>
      <scheme val="minor"/>
    </font>
    <font>
      <sz val="12"/>
      <color rgb="FF000000"/>
      <name val="Times New Roman"/>
      <family val="1"/>
    </font>
    <font>
      <sz val="12"/>
      <color rgb="FF000000"/>
      <name val="Calibri"/>
      <family val="2"/>
    </font>
    <font>
      <u/>
      <sz val="1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/>
      <top style="thin">
        <color theme="0" tint="-0.249977111117893"/>
      </top>
      <bottom/>
      <diagonal/>
    </border>
  </borders>
  <cellStyleXfs count="21">
    <xf numFmtId="0" fontId="0" fillId="0" borderId="0">
      <alignment wrapText="1"/>
    </xf>
    <xf numFmtId="164" fontId="2" fillId="0" borderId="0" applyFont="0" applyFill="0" applyBorder="0" applyProtection="0">
      <alignment horizontal="right"/>
    </xf>
    <xf numFmtId="164" fontId="8" fillId="0" borderId="0" applyFill="0" applyBorder="0" applyProtection="0">
      <alignment horizontal="right"/>
    </xf>
    <xf numFmtId="10" fontId="2" fillId="0" borderId="0" applyFont="0" applyFill="0" applyBorder="0" applyProtection="0">
      <alignment horizontal="right"/>
    </xf>
    <xf numFmtId="0" fontId="3" fillId="0" borderId="0" applyNumberFormat="0" applyFill="0" applyBorder="0" applyProtection="0">
      <alignment horizontal="right" vertical="center"/>
    </xf>
    <xf numFmtId="0" fontId="5" fillId="0" borderId="0" applyNumberFormat="0" applyFill="0" applyBorder="0" applyProtection="0">
      <alignment horizontal="left"/>
    </xf>
    <xf numFmtId="0" fontId="9" fillId="0" borderId="0" applyNumberFormat="0" applyFill="0" applyBorder="0" applyProtection="0"/>
    <xf numFmtId="0" fontId="4" fillId="0" borderId="0" applyNumberFormat="0" applyFont="0" applyFill="0" applyBorder="0" applyProtection="0">
      <alignment horizontal="center" vertical="center"/>
    </xf>
    <xf numFmtId="0" fontId="9" fillId="0" borderId="0" applyNumberFormat="0" applyFill="0" applyBorder="0" applyProtection="0">
      <alignment horizontal="right" indent="1"/>
    </xf>
    <xf numFmtId="0" fontId="4" fillId="0" borderId="1" applyNumberFormat="0" applyFont="0" applyAlignment="0" applyProtection="0"/>
    <xf numFmtId="0" fontId="4" fillId="2" borderId="1" applyNumberFormat="0" applyAlignment="0" applyProtection="0"/>
    <xf numFmtId="0" fontId="6" fillId="0" borderId="0" applyNumberFormat="0" applyAlignment="0" applyProtection="0"/>
    <xf numFmtId="0" fontId="9" fillId="0" borderId="0" applyNumberFormat="0" applyFill="0" applyBorder="0" applyProtection="0">
      <alignment vertical="top" wrapText="1"/>
    </xf>
    <xf numFmtId="0" fontId="7" fillId="0" borderId="0" applyNumberFormat="0" applyFill="0" applyProtection="0">
      <alignment horizontal="right" indent="1"/>
    </xf>
    <xf numFmtId="165" fontId="4" fillId="0" borderId="0" applyFont="0" applyFill="0" applyBorder="0">
      <alignment horizontal="left"/>
    </xf>
    <xf numFmtId="166" fontId="4" fillId="0" borderId="0" applyFont="0" applyFill="0" applyBorder="0">
      <alignment horizontal="left"/>
    </xf>
    <xf numFmtId="0" fontId="4" fillId="0" borderId="0" applyNumberFormat="0" applyFill="0" applyBorder="0" applyProtection="0">
      <alignment wrapText="1"/>
    </xf>
    <xf numFmtId="0" fontId="4" fillId="0" borderId="0" applyNumberFormat="0" applyFill="0" applyBorder="0" applyProtection="0">
      <alignment wrapText="1"/>
    </xf>
    <xf numFmtId="0" fontId="4" fillId="0" borderId="0" applyNumberFormat="0" applyFont="0" applyFill="0" applyBorder="0">
      <alignment vertical="center" wrapText="1"/>
    </xf>
    <xf numFmtId="0" fontId="12" fillId="0" borderId="0"/>
    <xf numFmtId="0" fontId="12" fillId="0" borderId="0">
      <alignment vertical="center"/>
    </xf>
  </cellStyleXfs>
  <cellXfs count="55">
    <xf numFmtId="0" fontId="0" fillId="0" borderId="0" xfId="0">
      <alignment wrapText="1"/>
    </xf>
    <xf numFmtId="0" fontId="5" fillId="0" borderId="0" xfId="5">
      <alignment horizontal="left"/>
    </xf>
    <xf numFmtId="166" fontId="0" fillId="0" borderId="0" xfId="15" applyFont="1">
      <alignment horizontal="left"/>
    </xf>
    <xf numFmtId="0" fontId="9" fillId="0" borderId="0" xfId="6"/>
    <xf numFmtId="0" fontId="9" fillId="0" borderId="0" xfId="6"/>
    <xf numFmtId="166" fontId="0" fillId="0" borderId="0" xfId="15" applyFont="1">
      <alignment horizontal="left"/>
    </xf>
    <xf numFmtId="0" fontId="0" fillId="0" borderId="0" xfId="0" applyAlignment="1">
      <alignment vertical="center" wrapText="1"/>
    </xf>
    <xf numFmtId="167" fontId="0" fillId="0" borderId="0" xfId="1" applyNumberFormat="1" applyFont="1" applyFill="1" applyBorder="1" applyAlignment="1">
      <alignment horizontal="right" vertical="center"/>
    </xf>
    <xf numFmtId="0" fontId="9" fillId="0" borderId="0" xfId="8" applyBorder="1" applyAlignment="1">
      <alignment horizontal="right" vertical="center"/>
    </xf>
    <xf numFmtId="0" fontId="7" fillId="0" borderId="0" xfId="13" applyAlignment="1">
      <alignment horizontal="right" vertical="center"/>
    </xf>
    <xf numFmtId="0" fontId="10" fillId="0" borderId="0" xfId="0" applyFont="1" applyAlignment="1"/>
    <xf numFmtId="167" fontId="10" fillId="0" borderId="1" xfId="3" applyNumberFormat="1" applyFont="1" applyBorder="1" applyAlignment="1">
      <alignment horizontal="right" vertical="center"/>
    </xf>
    <xf numFmtId="167" fontId="11" fillId="2" borderId="1" xfId="2" applyNumberFormat="1" applyFont="1" applyFill="1" applyBorder="1" applyAlignment="1">
      <alignment horizontal="right" vertical="center"/>
    </xf>
    <xf numFmtId="0" fontId="10" fillId="0" borderId="0" xfId="0" applyFont="1">
      <alignment wrapText="1"/>
    </xf>
    <xf numFmtId="165" fontId="10" fillId="0" borderId="0" xfId="14" applyFont="1" applyFill="1">
      <alignment horizontal="left"/>
    </xf>
    <xf numFmtId="0" fontId="10" fillId="0" borderId="0" xfId="0" applyFont="1" applyFill="1" applyAlignment="1">
      <alignment horizontal="left"/>
    </xf>
    <xf numFmtId="0" fontId="0" fillId="0" borderId="0" xfId="0" applyFill="1" applyBorder="1" applyAlignment="1">
      <alignment vertical="center" wrapText="1"/>
    </xf>
    <xf numFmtId="0" fontId="13" fillId="0" borderId="0" xfId="0" applyFont="1" applyFill="1" applyBorder="1" applyAlignment="1">
      <alignment horizontal="left" vertical="center" wrapText="1"/>
    </xf>
    <xf numFmtId="3" fontId="13" fillId="0" borderId="0" xfId="0" applyNumberFormat="1" applyFont="1" applyFill="1" applyBorder="1" applyAlignment="1">
      <alignment horizontal="right" vertical="center" wrapText="1"/>
    </xf>
    <xf numFmtId="0" fontId="14" fillId="0" borderId="0" xfId="0" applyFont="1" applyFill="1" applyBorder="1" applyAlignment="1">
      <alignment horizontal="left" vertical="center"/>
    </xf>
    <xf numFmtId="3" fontId="14" fillId="0" borderId="0" xfId="0" applyNumberFormat="1" applyFont="1" applyFill="1" applyBorder="1" applyAlignment="1">
      <alignment horizontal="right" vertical="center"/>
    </xf>
    <xf numFmtId="0" fontId="4" fillId="0" borderId="6" xfId="7" applyFill="1" applyBorder="1">
      <alignment horizontal="center" vertical="center"/>
    </xf>
    <xf numFmtId="0" fontId="4" fillId="0" borderId="4" xfId="7" applyFill="1" applyBorder="1">
      <alignment horizontal="center" vertical="center"/>
    </xf>
    <xf numFmtId="0" fontId="0" fillId="0" borderId="2" xfId="7" applyFont="1" applyFill="1" applyBorder="1">
      <alignment horizontal="center" vertical="center"/>
    </xf>
    <xf numFmtId="0" fontId="9" fillId="0" borderId="2" xfId="8" applyBorder="1" applyAlignment="1">
      <alignment horizontal="right" vertical="center"/>
    </xf>
    <xf numFmtId="167" fontId="0" fillId="0" borderId="0" xfId="1" applyNumberFormat="1" applyFont="1" applyAlignment="1">
      <alignment horizontal="right" vertical="center"/>
    </xf>
    <xf numFmtId="0" fontId="6" fillId="0" borderId="0" xfId="0" applyFont="1" applyBorder="1" applyAlignment="1">
      <alignment horizontal="left" vertical="center"/>
    </xf>
    <xf numFmtId="0" fontId="0" fillId="0" borderId="0" xfId="0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Fill="1" applyAlignment="1">
      <alignment vertical="center" wrapText="1"/>
    </xf>
    <xf numFmtId="0" fontId="0" fillId="0" borderId="2" xfId="0" applyFont="1" applyFill="1" applyBorder="1" applyAlignment="1">
      <alignment horizontal="center" vertical="center"/>
    </xf>
    <xf numFmtId="0" fontId="4" fillId="0" borderId="2" xfId="8" applyFont="1" applyBorder="1" applyAlignment="1">
      <alignment horizontal="center" vertical="center"/>
    </xf>
    <xf numFmtId="0" fontId="6" fillId="0" borderId="0" xfId="0" applyFont="1" applyFill="1" applyAlignment="1">
      <alignment vertical="center" wrapText="1"/>
    </xf>
    <xf numFmtId="167" fontId="4" fillId="0" borderId="0" xfId="1" applyNumberFormat="1" applyFont="1" applyAlignment="1">
      <alignment horizontal="right" vertical="center"/>
    </xf>
    <xf numFmtId="0" fontId="11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167" fontId="0" fillId="0" borderId="0" xfId="1" applyNumberFormat="1" applyFont="1" applyFill="1" applyBorder="1" applyAlignment="1">
      <alignment horizontal="right"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2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right" vertical="center"/>
    </xf>
    <xf numFmtId="167" fontId="10" fillId="0" borderId="0" xfId="0" applyNumberFormat="1" applyFont="1" applyFill="1" applyBorder="1" applyAlignment="1">
      <alignment horizontal="right" vertical="center"/>
    </xf>
    <xf numFmtId="0" fontId="10" fillId="0" borderId="0" xfId="0" applyFont="1" applyFill="1">
      <alignment wrapText="1"/>
    </xf>
    <xf numFmtId="0" fontId="10" fillId="0" borderId="0" xfId="0" applyFont="1" applyAlignment="1">
      <alignment vertical="center" wrapText="1"/>
    </xf>
    <xf numFmtId="0" fontId="10" fillId="0" borderId="0" xfId="0" applyFont="1" applyFill="1" applyAlignment="1">
      <alignment vertical="center" wrapText="1"/>
    </xf>
    <xf numFmtId="166" fontId="10" fillId="0" borderId="0" xfId="15" applyFont="1" applyFill="1" applyAlignment="1">
      <alignment horizontal="left" vertical="top"/>
    </xf>
    <xf numFmtId="0" fontId="15" fillId="0" borderId="0" xfId="0" applyFont="1" applyBorder="1">
      <alignment wrapText="1"/>
    </xf>
    <xf numFmtId="0" fontId="0" fillId="0" borderId="0" xfId="0" applyBorder="1" applyAlignment="1">
      <alignment vertical="top" wrapText="1"/>
    </xf>
    <xf numFmtId="0" fontId="0" fillId="0" borderId="0" xfId="0" applyFont="1" applyAlignment="1">
      <alignment vertical="top" wrapText="1"/>
    </xf>
    <xf numFmtId="0" fontId="0" fillId="0" borderId="3" xfId="18" applyFont="1" applyBorder="1">
      <alignment vertical="center" wrapText="1"/>
    </xf>
    <xf numFmtId="0" fontId="0" fillId="0" borderId="7" xfId="18" applyFont="1" applyBorder="1">
      <alignment vertical="center" wrapText="1"/>
    </xf>
    <xf numFmtId="0" fontId="0" fillId="0" borderId="5" xfId="18" applyFont="1" applyBorder="1">
      <alignment vertical="center" wrapText="1"/>
    </xf>
    <xf numFmtId="0" fontId="9" fillId="0" borderId="0" xfId="12">
      <alignment vertical="top" wrapText="1"/>
    </xf>
    <xf numFmtId="0" fontId="3" fillId="0" borderId="0" xfId="4">
      <alignment horizontal="right" vertical="center"/>
    </xf>
    <xf numFmtId="0" fontId="0" fillId="0" borderId="0" xfId="0" applyAlignment="1">
      <alignment horizontal="center" wrapText="1"/>
    </xf>
  </cellXfs>
  <cellStyles count="21">
    <cellStyle name="Currency" xfId="1" builtinId="4" customBuiltin="1"/>
    <cellStyle name="Currency [0]" xfId="2" builtinId="7" customBuiltin="1"/>
    <cellStyle name="Date" xfId="14"/>
    <cellStyle name="Description" xfId="18"/>
    <cellStyle name="Explanatory Text" xfId="12" builtinId="53" customBuiltin="1"/>
    <cellStyle name="Followed Hyperlink" xfId="17" builtinId="9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Hyperlink" xfId="16" builtinId="8" customBuiltin="1"/>
    <cellStyle name="Input" xfId="9" builtinId="20" customBuiltin="1"/>
    <cellStyle name="Normal" xfId="0" builtinId="0" customBuiltin="1"/>
    <cellStyle name="Normal 2" xfId="19"/>
    <cellStyle name="Normal 7" xfId="20"/>
    <cellStyle name="Note" xfId="11" builtinId="10" customBuiltin="1"/>
    <cellStyle name="Output" xfId="10" builtinId="21" customBuiltin="1"/>
    <cellStyle name="Percent" xfId="3" builtinId="5" customBuiltin="1"/>
    <cellStyle name="Phone" xfId="15"/>
    <cellStyle name="Title" xfId="4" builtinId="15" customBuiltin="1"/>
    <cellStyle name="Total" xfId="13" builtinId="25" customBuiltin="1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scheme val="minor"/>
      </font>
      <numFmt numFmtId="167" formatCode="_-[$Rp-421]* #,##0_-;\-[$Rp-421]* #,##0_-;_-[$Rp-421]* &quot;-&quot;??_-;_-@_-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Arial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1" indent="0" justifyLastLine="0" shrinkToFit="0" readingOrder="0"/>
    </dxf>
    <dxf>
      <numFmt numFmtId="167" formatCode="_-[$Rp-421]* #,##0_-;\-[$Rp-421]* #,##0_-;_-[$Rp-421]* &quot;-&quot;??_-;_-@_-"/>
      <alignment vertical="center" textRotation="0" indent="0" justifyLastLine="0" shrinkToFit="0" readingOrder="0"/>
    </dxf>
    <dxf>
      <alignment vertical="center" textRotation="0" indent="0" justifyLastLine="0" shrinkToFit="0" readingOrder="0"/>
      <border diagonalUp="0" diagonalDown="0">
        <left style="thin">
          <color theme="0" tint="-0.249977111117893"/>
        </left>
        <right/>
        <top/>
        <bottom/>
        <vertical/>
        <horizontal/>
      </border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scheme val="minor"/>
      </font>
      <numFmt numFmtId="167" formatCode="_-[$Rp-421]* #,##0_-;\-[$Rp-421]* #,##0_-;_-[$Rp-421]* &quot;-&quot;??_-;_-@_-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_-[$Rp-421]* #,##0_-;\-[$Rp-421]* #,##0_-;_-[$Rp-421]* &quot;-&quot;??_-;_-@_-"/>
      <alignment vertical="center" textRotation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Arial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vertical="center" textRotation="0" indent="0" justifyLastLine="0" shrinkToFit="0" readingOrder="0"/>
      <border diagonalUp="0" diagonalDown="0">
        <left style="thin">
          <color theme="0" tint="-0.249977111117893"/>
        </left>
        <right/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 style="thin">
          <color theme="0" tint="-0.34998626667073579"/>
        </horizontal>
      </border>
    </dxf>
    <dxf>
      <border>
        <left style="thin">
          <color theme="0" tint="-0.34998626667073579"/>
        </left>
      </border>
    </dxf>
    <dxf>
      <font>
        <b val="0"/>
        <i val="0"/>
        <color auto="1"/>
      </font>
      <border diagonalUp="0" diagonalDown="0">
        <left/>
        <right/>
        <top style="thin">
          <color theme="0" tint="-0.34998626667073579"/>
        </top>
        <bottom/>
        <vertical/>
        <horizontal/>
      </border>
    </dxf>
    <dxf>
      <font>
        <b/>
        <i val="0"/>
      </font>
      <fill>
        <patternFill>
          <bgColor theme="0" tint="-0.14996795556505021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 style="thin">
          <color theme="0" tint="-0.34998626667073579"/>
        </horizontal>
      </border>
    </dxf>
  </dxfs>
  <tableStyles count="1" defaultTableStyle="Invoice with tax calculation" defaultPivotStyle="PivotStyleLight16">
    <tableStyle name="Invoice with tax calculation" pivot="0" count="7">
      <tableStyleElement type="wholeTable" dxfId="18"/>
      <tableStyleElement type="headerRow" dxfId="17"/>
      <tableStyleElement type="totalRow" dxfId="16"/>
      <tableStyleElement type="lastColumn" dxfId="15"/>
      <tableStyleElement type="secondColumnStripe" dxfId="14"/>
      <tableStyleElement type="lastHeaderCell" dxfId="13"/>
      <tableStyleElement type="lastTotalCell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194734</xdr:colOff>
      <xdr:row>2</xdr:row>
      <xdr:rowOff>262467</xdr:rowOff>
    </xdr:from>
    <xdr:to>
      <xdr:col>2</xdr:col>
      <xdr:colOff>1165014</xdr:colOff>
      <xdr:row>5</xdr:row>
      <xdr:rowOff>167005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xmlns="" id="{4CE97A7A-7BAE-9A4B-A675-7577AEDC641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267" y="1092200"/>
          <a:ext cx="970280" cy="10274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194734</xdr:colOff>
      <xdr:row>2</xdr:row>
      <xdr:rowOff>262467</xdr:rowOff>
    </xdr:from>
    <xdr:to>
      <xdr:col>2</xdr:col>
      <xdr:colOff>1165014</xdr:colOff>
      <xdr:row>5</xdr:row>
      <xdr:rowOff>167005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4CE97A7A-7BAE-9A4B-A675-7577AEDC641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559" y="1100667"/>
          <a:ext cx="970280" cy="10189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Invoice" displayName="Invoice" ref="C10:E20" totalsRowCount="1" headerRowCellStyle="Heading 3">
  <autoFilter ref="C10:E19">
    <filterColumn colId="0" hiddenButton="1"/>
    <filterColumn colId="1" hiddenButton="1"/>
    <filterColumn colId="2" hiddenButton="1"/>
  </autoFilter>
  <tableColumns count="3">
    <tableColumn id="1" name="DESCRIPTION" totalsRowFunction="custom" dataDxfId="11" totalsRowDxfId="10" dataCellStyle="Normal">
      <totalsRowFormula>"Make all checks payable to "&amp;Company_Name&amp;"."</totalsRowFormula>
    </tableColumn>
    <tableColumn id="2" name="PERSON" totalsRowLabel="SUBTOTAL" dataDxfId="9" totalsRowDxfId="8" dataCellStyle="Heading 4"/>
    <tableColumn id="3" name="AMOUNT" totalsRowFunction="custom" dataDxfId="7" totalsRowDxfId="6" dataCellStyle="Currency">
      <calculatedColumnFormula>600000*1</calculatedColumnFormula>
      <totalsRowFormula>SUBTOTAL(109,E14:Invoice[AMOUNT])</totalsRowFormula>
    </tableColumn>
  </tableColumns>
  <tableStyleInfo name="Invoice with tax calculation" showFirstColumn="0" showLastColumn="1" showRowStripes="1" showColumnStripes="0"/>
  <extLst>
    <ext xmlns:x14="http://schemas.microsoft.com/office/spreadsheetml/2009/9/main" uri="{504A1905-F514-4f6f-8877-14C23A59335A}">
      <x14:table altTextSummary="Enter descriptions and amounts in this table. Subtotal is automatically calculated"/>
    </ext>
  </extLst>
</table>
</file>

<file path=xl/tables/table2.xml><?xml version="1.0" encoding="utf-8"?>
<table xmlns="http://schemas.openxmlformats.org/spreadsheetml/2006/main" id="2" name="Invoice3" displayName="Invoice3" ref="C10:E20" totalsRowCount="1" headerRowCellStyle="Heading 3">
  <autoFilter ref="C10:E19">
    <filterColumn colId="0" hiddenButton="1"/>
    <filterColumn colId="1" hiddenButton="1"/>
    <filterColumn colId="2" hiddenButton="1"/>
  </autoFilter>
  <tableColumns count="3">
    <tableColumn id="1" name="DESCRIPTION" totalsRowFunction="custom" dataDxfId="5" totalsRowDxfId="2" dataCellStyle="Normal">
      <totalsRowFormula>"Make all checks payable to "&amp;Company_Name&amp;"."</totalsRowFormula>
    </tableColumn>
    <tableColumn id="2" name="PERSON" totalsRowLabel="SUBTOTAL" dataDxfId="4" totalsRowDxfId="1" dataCellStyle="Heading 4"/>
    <tableColumn id="3" name="AMOUNT" totalsRowFunction="custom" dataDxfId="3" totalsRowDxfId="0" dataCellStyle="Currency">
      <calculatedColumnFormula>600000*1</calculatedColumnFormula>
      <totalsRowFormula>SUBTOTAL(109,E14:Invoice3[AMOUNT])</totalsRowFormula>
    </tableColumn>
  </tableColumns>
  <tableStyleInfo name="Invoice with tax calculation" showFirstColumn="0" showLastColumn="1" showRowStripes="1" showColumnStripes="0"/>
  <extLst>
    <ext xmlns:x14="http://schemas.microsoft.com/office/spreadsheetml/2009/9/main" uri="{504A1905-F514-4f6f-8877-14C23A59335A}">
      <x14:table altTextSummary="Enter descriptions and amounts in this table. Subtotal is automatically calculated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  <pageSetUpPr fitToPage="1"/>
  </sheetPr>
  <dimension ref="C1:J31"/>
  <sheetViews>
    <sheetView showGridLines="0" view="pageBreakPreview" topLeftCell="A16" zoomScaleSheetLayoutView="100" workbookViewId="0">
      <selection activeCell="E16" sqref="E16"/>
    </sheetView>
  </sheetViews>
  <sheetFormatPr defaultRowHeight="30" customHeight="1"/>
  <cols>
    <col min="2" max="2" width="2.625" customWidth="1"/>
    <col min="3" max="3" width="65.5" customWidth="1"/>
    <col min="4" max="4" width="15.625" customWidth="1"/>
    <col min="5" max="5" width="30" customWidth="1"/>
    <col min="6" max="6" width="2.625" customWidth="1"/>
  </cols>
  <sheetData>
    <row r="1" spans="3:10" ht="35.25" customHeight="1">
      <c r="C1" s="53" t="s">
        <v>0</v>
      </c>
      <c r="D1" s="53"/>
      <c r="E1" s="53"/>
    </row>
    <row r="2" spans="3:10" ht="30.75" customHeight="1">
      <c r="C2" s="1" t="s">
        <v>9</v>
      </c>
      <c r="D2" s="3" t="s">
        <v>1</v>
      </c>
      <c r="E2" s="14" t="s">
        <v>19</v>
      </c>
      <c r="F2" s="10"/>
    </row>
    <row r="3" spans="3:10" ht="30" customHeight="1">
      <c r="C3" s="52" t="s">
        <v>10</v>
      </c>
      <c r="D3" s="3" t="s">
        <v>2</v>
      </c>
      <c r="E3" s="15" t="s">
        <v>20</v>
      </c>
    </row>
    <row r="4" spans="3:10" ht="30" customHeight="1">
      <c r="C4" s="52"/>
      <c r="D4" s="4" t="s">
        <v>7</v>
      </c>
      <c r="E4" s="42" t="s">
        <v>15</v>
      </c>
    </row>
    <row r="5" spans="3:10" ht="27.75" customHeight="1">
      <c r="E5" s="43" t="s">
        <v>16</v>
      </c>
      <c r="F5" s="10"/>
    </row>
    <row r="6" spans="3:10" ht="15" customHeight="1">
      <c r="D6" s="4"/>
      <c r="E6" s="44" t="s">
        <v>17</v>
      </c>
    </row>
    <row r="7" spans="3:10" ht="15" customHeight="1">
      <c r="C7" s="2"/>
      <c r="D7" s="4"/>
      <c r="E7" s="45" t="s">
        <v>18</v>
      </c>
    </row>
    <row r="8" spans="3:10" ht="15" customHeight="1">
      <c r="C8" s="5"/>
      <c r="E8" s="13"/>
    </row>
    <row r="9" spans="3:10" ht="19.5" customHeight="1">
      <c r="C9" s="49" t="s">
        <v>14</v>
      </c>
      <c r="D9" s="50"/>
      <c r="E9" s="51"/>
    </row>
    <row r="10" spans="3:10" ht="22.5" customHeight="1">
      <c r="C10" s="22" t="s">
        <v>3</v>
      </c>
      <c r="D10" s="23" t="s">
        <v>28</v>
      </c>
      <c r="E10" s="21" t="s">
        <v>4</v>
      </c>
    </row>
    <row r="11" spans="3:10" s="6" customFormat="1" ht="18" customHeight="1">
      <c r="C11" s="34" t="s">
        <v>21</v>
      </c>
      <c r="D11" s="24"/>
      <c r="E11" s="25"/>
    </row>
    <row r="12" spans="3:10" s="6" customFormat="1" ht="18" customHeight="1">
      <c r="C12" s="29"/>
      <c r="D12" s="24"/>
      <c r="E12" s="25"/>
      <c r="H12" s="16"/>
      <c r="I12" s="16"/>
      <c r="J12" s="16"/>
    </row>
    <row r="13" spans="3:10" s="6" customFormat="1" ht="18" customHeight="1">
      <c r="C13" s="32"/>
      <c r="D13" s="24"/>
      <c r="E13" s="25"/>
      <c r="H13" s="17"/>
      <c r="I13" s="18"/>
      <c r="J13" s="16"/>
    </row>
    <row r="14" spans="3:10" s="6" customFormat="1" ht="18" customHeight="1">
      <c r="C14" s="38" t="s">
        <v>22</v>
      </c>
      <c r="D14" s="31">
        <v>11</v>
      </c>
      <c r="E14" s="25">
        <f>1500000*11</f>
        <v>16500000</v>
      </c>
      <c r="H14" s="17"/>
      <c r="I14" s="18"/>
      <c r="J14" s="16"/>
    </row>
    <row r="15" spans="3:10" s="6" customFormat="1" ht="18" customHeight="1">
      <c r="C15" s="38" t="s">
        <v>31</v>
      </c>
      <c r="D15" s="31">
        <v>11</v>
      </c>
      <c r="E15" s="33">
        <f>175000*11</f>
        <v>1925000</v>
      </c>
      <c r="H15" s="17"/>
      <c r="I15" s="18"/>
      <c r="J15" s="16"/>
    </row>
    <row r="16" spans="3:10" s="6" customFormat="1" ht="18" customHeight="1">
      <c r="C16" s="38" t="s">
        <v>29</v>
      </c>
      <c r="D16" s="30">
        <v>1</v>
      </c>
      <c r="E16" s="7">
        <f>50000*56*Invoice[[#This Row],[PERSON]]</f>
        <v>2800000</v>
      </c>
      <c r="H16" s="19"/>
      <c r="I16" s="20"/>
      <c r="J16" s="16"/>
    </row>
    <row r="17" spans="3:10" s="6" customFormat="1" ht="18" customHeight="1">
      <c r="C17" s="29" t="s">
        <v>23</v>
      </c>
      <c r="D17" s="30">
        <v>12</v>
      </c>
      <c r="E17" s="7">
        <f>13000*56*Invoice[[#This Row],[PERSON]]</f>
        <v>8736000</v>
      </c>
      <c r="H17" s="16"/>
      <c r="I17" s="16"/>
      <c r="J17" s="16"/>
    </row>
    <row r="18" spans="3:10" s="35" customFormat="1" ht="18" customHeight="1">
      <c r="C18" s="38"/>
      <c r="D18" s="39"/>
      <c r="E18" s="36"/>
      <c r="H18" s="37"/>
      <c r="I18" s="37"/>
      <c r="J18" s="37"/>
    </row>
    <row r="19" spans="3:10" s="6" customFormat="1" ht="18" customHeight="1">
      <c r="C19" s="29"/>
      <c r="D19" s="31"/>
      <c r="E19" s="25"/>
      <c r="H19" s="16"/>
      <c r="I19" s="16"/>
      <c r="J19" s="16"/>
    </row>
    <row r="20" spans="3:10" s="6" customFormat="1" ht="18" customHeight="1">
      <c r="C20" s="35" t="str">
        <f>"Make all checks payable to "&amp;Company_Name&amp;"."</f>
        <v>Make all checks payable to Pt.Rajawali Putra Investama.</v>
      </c>
      <c r="D20" s="40" t="s">
        <v>5</v>
      </c>
      <c r="E20" s="41">
        <f>SUBTOTAL(109,E14:Invoice[AMOUNT])</f>
        <v>29961000</v>
      </c>
    </row>
    <row r="21" spans="3:10" s="6" customFormat="1" ht="30.75" customHeight="1">
      <c r="C21" s="27" t="s">
        <v>11</v>
      </c>
      <c r="D21" s="8" t="s">
        <v>24</v>
      </c>
      <c r="E21" s="11">
        <f>Invoice[[#Totals],[AMOUNT]]*2%</f>
        <v>599220</v>
      </c>
    </row>
    <row r="22" spans="3:10" s="6" customFormat="1" ht="18" customHeight="1">
      <c r="C22" s="26" t="s">
        <v>8</v>
      </c>
      <c r="D22" s="9" t="s">
        <v>6</v>
      </c>
      <c r="E22" s="12">
        <f>Invoice[[#Totals],[AMOUNT]]-E21</f>
        <v>29361780</v>
      </c>
    </row>
    <row r="23" spans="3:10" s="6" customFormat="1" ht="18" customHeight="1">
      <c r="C23"/>
      <c r="D23"/>
      <c r="E23"/>
    </row>
    <row r="24" spans="3:10" s="6" customFormat="1" ht="18" customHeight="1">
      <c r="C24"/>
      <c r="D24"/>
      <c r="E24" s="28" t="s">
        <v>25</v>
      </c>
    </row>
    <row r="25" spans="3:10" s="6" customFormat="1" ht="18" customHeight="1">
      <c r="C25"/>
      <c r="D25"/>
      <c r="E25" s="54"/>
    </row>
    <row r="26" spans="3:10" s="6" customFormat="1" ht="18" customHeight="1">
      <c r="C26"/>
      <c r="D26"/>
      <c r="E26" s="54"/>
    </row>
    <row r="27" spans="3:10" s="6" customFormat="1" ht="18" customHeight="1">
      <c r="C27"/>
      <c r="D27"/>
    </row>
    <row r="28" spans="3:10" s="6" customFormat="1" ht="18" customHeight="1">
      <c r="C28"/>
      <c r="D28"/>
    </row>
    <row r="29" spans="3:10" s="6" customFormat="1" ht="18" customHeight="1">
      <c r="C29"/>
      <c r="D29"/>
    </row>
    <row r="30" spans="3:10" s="6" customFormat="1" ht="18" customHeight="1">
      <c r="C30" s="46" t="s">
        <v>12</v>
      </c>
      <c r="D30"/>
      <c r="E30" s="46" t="s">
        <v>26</v>
      </c>
    </row>
    <row r="31" spans="3:10" s="6" customFormat="1" ht="18" customHeight="1">
      <c r="C31" s="48" t="s">
        <v>13</v>
      </c>
      <c r="D31"/>
      <c r="E31" s="47" t="s">
        <v>27</v>
      </c>
    </row>
  </sheetData>
  <mergeCells count="4">
    <mergeCell ref="C9:E9"/>
    <mergeCell ref="C3:C4"/>
    <mergeCell ref="C1:E1"/>
    <mergeCell ref="E25:E26"/>
  </mergeCells>
  <phoneticPr fontId="1" type="noConversion"/>
  <dataValidations count="24">
    <dataValidation allowBlank="1" showInputMessage="1" showErrorMessage="1" prompt="Enter invoicing Company Name in this cell and slogan in cell below" sqref="C2"/>
    <dataValidation allowBlank="1" showInputMessage="1" showErrorMessage="1" prompt="Title of this worksheet is in this cell. Enter Invoice details in cells C2 through D8" sqref="C1:E1"/>
    <dataValidation allowBlank="1" showInputMessage="1" showErrorMessage="1" prompt="Enter Company Slogan in this cell, company address in cells below, and Project or Service Description in cell B9" sqref="C3:C4"/>
    <dataValidation allowBlank="1" showInputMessage="1" showErrorMessage="1" prompt="Enter invoicing company Street Address in this cell" sqref="C5"/>
    <dataValidation allowBlank="1" showInputMessage="1" showErrorMessage="1" prompt="Enter City, State, and Zip Code in this cell" sqref="C6"/>
    <dataValidation allowBlank="1" showInputMessage="1" showErrorMessage="1" prompt="Enter Fax number in this cell" sqref="C8"/>
    <dataValidation allowBlank="1" showInputMessage="1" showErrorMessage="1" prompt="Enter Phone number in this cell" sqref="C7"/>
    <dataValidation allowBlank="1" showInputMessage="1" showErrorMessage="1" prompt="Enter invoice Date in cell at right" sqref="D2"/>
    <dataValidation allowBlank="1" showInputMessage="1" showErrorMessage="1" prompt="Enter invoice Date in this cell" sqref="E2"/>
    <dataValidation allowBlank="1" showInputMessage="1" showErrorMessage="1" prompt="Enter Invoice Number in cell at right" sqref="D3"/>
    <dataValidation allowBlank="1" showInputMessage="1" showErrorMessage="1" prompt="Enter Invoice Number in this cell" sqref="E3"/>
    <dataValidation allowBlank="1" showInputMessage="1" showErrorMessage="1" prompt="Enter customer Name in this cell" sqref="E4"/>
    <dataValidation allowBlank="1" showInputMessage="1" showErrorMessage="1" prompt="Enter Description in this column under this heading" sqref="C10"/>
    <dataValidation allowBlank="1" showInputMessage="1" showErrorMessage="1" prompt="Enter custom field in this heading and corresponding data in this column under this heading" sqref="D10"/>
    <dataValidation allowBlank="1" showInputMessage="1" showErrorMessage="1" prompt="Enter Amount in this column under this heading for each description in column B. Subtotal is automatically calculated at the end of the table" sqref="E10"/>
    <dataValidation allowBlank="1" showInputMessage="1" showErrorMessage="1" prompt="Enter Tax Rate in cell at right" sqref="D21"/>
    <dataValidation allowBlank="1" showInputMessage="1" showErrorMessage="1" prompt="Enter Tax Rate in this cell" sqref="E21"/>
    <dataValidation allowBlank="1" showInputMessage="1" showErrorMessage="1" prompt="Total due is automatically calculated in this cell" sqref="D22:E22"/>
    <dataValidation allowBlank="1" showInputMessage="1" showErrorMessage="1" prompt="Total due is automatically calculated in cell at right" sqref="D22"/>
    <dataValidation allowBlank="1" showInputMessage="1" showErrorMessage="1" prompt="Create an Invoice with tax calculation in this worksheet. Enter company and customer details, and invoice details in Invoice table. Total due is automatically calculated" sqref="B1"/>
    <dataValidation allowBlank="1" showInputMessage="1" showErrorMessage="1" prompt="Enter Project or Service Description in this cell, invoice details in table below, and Tax Rate &amp; Other in cells below the table. Sales Tax &amp; Total due are automatically calculated" sqref="C9:E9"/>
    <dataValidation allowBlank="1" showInputMessage="1" showErrorMessage="1" prompt="Enter customer Name, Company Name, Street Address, City, State, Zip Code, and Phone number in cells D5 through D10" sqref="D6 D4"/>
    <dataValidation allowBlank="1" showInputMessage="1" showErrorMessage="1" prompt="Enter customer City, State, and Zip Code in this cell" sqref="E6"/>
    <dataValidation allowBlank="1" showInputMessage="1" showErrorMessage="1" prompt="Enter customer Phone number in this cell" sqref="E7"/>
  </dataValidations>
  <printOptions horizontalCentered="1"/>
  <pageMargins left="0.31496062992125984" right="0.31496062992125984" top="0.31496062992125984" bottom="0.11811023622047245" header="0.51181102362204722" footer="0.51181102362204722"/>
  <pageSetup scale="79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  <pageSetUpPr fitToPage="1"/>
  </sheetPr>
  <dimension ref="C1:J31"/>
  <sheetViews>
    <sheetView showGridLines="0" tabSelected="1" view="pageBreakPreview" topLeftCell="A19" zoomScaleSheetLayoutView="100" workbookViewId="0">
      <selection activeCell="C24" sqref="C24"/>
    </sheetView>
  </sheetViews>
  <sheetFormatPr defaultRowHeight="30" customHeight="1"/>
  <cols>
    <col min="2" max="2" width="2.625" customWidth="1"/>
    <col min="3" max="3" width="65.5" customWidth="1"/>
    <col min="4" max="4" width="15.625" customWidth="1"/>
    <col min="5" max="5" width="30" customWidth="1"/>
    <col min="6" max="6" width="2.625" customWidth="1"/>
  </cols>
  <sheetData>
    <row r="1" spans="3:10" ht="35.25" customHeight="1">
      <c r="C1" s="53" t="s">
        <v>0</v>
      </c>
      <c r="D1" s="53"/>
      <c r="E1" s="53"/>
    </row>
    <row r="2" spans="3:10" ht="30.75" customHeight="1">
      <c r="C2" s="1" t="s">
        <v>9</v>
      </c>
      <c r="D2" s="4" t="s">
        <v>1</v>
      </c>
      <c r="E2" s="14" t="s">
        <v>34</v>
      </c>
      <c r="F2" s="10"/>
    </row>
    <row r="3" spans="3:10" ht="30" customHeight="1">
      <c r="C3" s="52" t="s">
        <v>10</v>
      </c>
      <c r="D3" s="4" t="s">
        <v>2</v>
      </c>
      <c r="E3" s="15" t="s">
        <v>33</v>
      </c>
    </row>
    <row r="4" spans="3:10" ht="30" customHeight="1">
      <c r="C4" s="52"/>
      <c r="D4" s="4" t="s">
        <v>7</v>
      </c>
      <c r="E4" s="42" t="s">
        <v>15</v>
      </c>
    </row>
    <row r="5" spans="3:10" ht="27.75" customHeight="1">
      <c r="E5" s="43" t="s">
        <v>16</v>
      </c>
      <c r="F5" s="10"/>
    </row>
    <row r="6" spans="3:10" ht="15" customHeight="1">
      <c r="D6" s="4"/>
      <c r="E6" s="44" t="s">
        <v>17</v>
      </c>
    </row>
    <row r="7" spans="3:10" ht="15" customHeight="1">
      <c r="C7" s="5"/>
      <c r="D7" s="4"/>
      <c r="E7" s="45" t="s">
        <v>18</v>
      </c>
    </row>
    <row r="8" spans="3:10" ht="15" customHeight="1">
      <c r="C8" s="5"/>
      <c r="E8" s="13"/>
    </row>
    <row r="9" spans="3:10" ht="19.5" customHeight="1">
      <c r="C9" s="49" t="s">
        <v>14</v>
      </c>
      <c r="D9" s="50"/>
      <c r="E9" s="51"/>
    </row>
    <row r="10" spans="3:10" ht="22.5" customHeight="1">
      <c r="C10" s="22" t="s">
        <v>3</v>
      </c>
      <c r="D10" s="23" t="s">
        <v>28</v>
      </c>
      <c r="E10" s="21" t="s">
        <v>4</v>
      </c>
    </row>
    <row r="11" spans="3:10" s="35" customFormat="1" ht="18" customHeight="1">
      <c r="C11" s="34" t="s">
        <v>32</v>
      </c>
      <c r="D11" s="24"/>
      <c r="E11" s="25"/>
    </row>
    <row r="12" spans="3:10" s="35" customFormat="1" ht="18" customHeight="1">
      <c r="C12" s="38"/>
      <c r="D12" s="24"/>
      <c r="E12" s="25"/>
      <c r="H12" s="37"/>
      <c r="I12" s="37"/>
      <c r="J12" s="37"/>
    </row>
    <row r="13" spans="3:10" s="35" customFormat="1" ht="18" customHeight="1">
      <c r="C13" s="32"/>
      <c r="D13" s="24"/>
      <c r="E13" s="25"/>
      <c r="H13" s="17"/>
      <c r="I13" s="18"/>
      <c r="J13" s="37"/>
    </row>
    <row r="14" spans="3:10" s="35" customFormat="1" ht="18" customHeight="1">
      <c r="C14" s="38" t="s">
        <v>37</v>
      </c>
      <c r="D14" s="31">
        <v>11</v>
      </c>
      <c r="E14" s="25">
        <f>1584375*11</f>
        <v>17428125</v>
      </c>
      <c r="H14" s="17"/>
      <c r="I14" s="18"/>
      <c r="J14" s="37"/>
    </row>
    <row r="15" spans="3:10" s="35" customFormat="1" ht="18" customHeight="1">
      <c r="C15" s="38" t="s">
        <v>30</v>
      </c>
      <c r="D15" s="31">
        <v>11</v>
      </c>
      <c r="E15" s="33">
        <f>203000*11</f>
        <v>2233000</v>
      </c>
      <c r="H15" s="17"/>
      <c r="I15" s="18"/>
      <c r="J15" s="37"/>
    </row>
    <row r="16" spans="3:10" s="35" customFormat="1" ht="18" customHeight="1">
      <c r="C16" s="38" t="s">
        <v>35</v>
      </c>
      <c r="D16" s="39">
        <v>1</v>
      </c>
      <c r="E16" s="36">
        <f>50000*59*Invoice3[[#This Row],[PERSON]]</f>
        <v>2950000</v>
      </c>
      <c r="H16" s="19"/>
      <c r="I16" s="20"/>
      <c r="J16" s="37"/>
    </row>
    <row r="17" spans="3:10" s="35" customFormat="1" ht="18" customHeight="1">
      <c r="C17" s="38" t="s">
        <v>36</v>
      </c>
      <c r="D17" s="39">
        <v>12</v>
      </c>
      <c r="E17" s="36">
        <f>13000*59*Invoice3[[#This Row],[PERSON]]</f>
        <v>9204000</v>
      </c>
      <c r="H17" s="37"/>
      <c r="I17" s="37"/>
      <c r="J17" s="37"/>
    </row>
    <row r="18" spans="3:10" s="35" customFormat="1" ht="18" customHeight="1">
      <c r="C18" s="38"/>
      <c r="D18" s="39"/>
      <c r="E18" s="36"/>
      <c r="H18" s="37"/>
      <c r="I18" s="37"/>
      <c r="J18" s="37"/>
    </row>
    <row r="19" spans="3:10" s="35" customFormat="1" ht="18" customHeight="1">
      <c r="C19" s="38"/>
      <c r="D19" s="31"/>
      <c r="E19" s="25"/>
      <c r="H19" s="37"/>
      <c r="I19" s="37"/>
      <c r="J19" s="37"/>
    </row>
    <row r="20" spans="3:10" s="35" customFormat="1" ht="18" customHeight="1">
      <c r="C20" s="35" t="str">
        <f>"Make all checks payable to "&amp;Company_Name&amp;"."</f>
        <v>Make all checks payable to Pt.Rajawali Putra Investama.</v>
      </c>
      <c r="D20" s="40" t="s">
        <v>5</v>
      </c>
      <c r="E20" s="41">
        <f>SUBTOTAL(109,E14:Invoice3[AMOUNT])</f>
        <v>31815125</v>
      </c>
    </row>
    <row r="21" spans="3:10" s="35" customFormat="1" ht="30.75" customHeight="1">
      <c r="C21" s="27" t="s">
        <v>11</v>
      </c>
      <c r="D21" s="8" t="s">
        <v>24</v>
      </c>
      <c r="E21" s="11">
        <f>Invoice3[[#Totals],[AMOUNT]]*2%</f>
        <v>636302.5</v>
      </c>
    </row>
    <row r="22" spans="3:10" s="35" customFormat="1" ht="18" customHeight="1">
      <c r="C22" s="26" t="s">
        <v>8</v>
      </c>
      <c r="D22" s="9" t="s">
        <v>6</v>
      </c>
      <c r="E22" s="12">
        <f>Invoice3[[#Totals],[AMOUNT]]-E21</f>
        <v>31178822.5</v>
      </c>
    </row>
    <row r="23" spans="3:10" s="35" customFormat="1" ht="18" customHeight="1">
      <c r="C23"/>
      <c r="D23"/>
      <c r="E23"/>
    </row>
    <row r="24" spans="3:10" s="35" customFormat="1" ht="18" customHeight="1">
      <c r="C24"/>
      <c r="D24"/>
      <c r="E24" s="28" t="s">
        <v>38</v>
      </c>
    </row>
    <row r="25" spans="3:10" s="35" customFormat="1" ht="18" customHeight="1">
      <c r="C25"/>
      <c r="D25"/>
      <c r="E25" s="54"/>
    </row>
    <row r="26" spans="3:10" s="35" customFormat="1" ht="18" customHeight="1">
      <c r="C26"/>
      <c r="D26"/>
      <c r="E26" s="54"/>
    </row>
    <row r="27" spans="3:10" s="35" customFormat="1" ht="18" customHeight="1">
      <c r="C27"/>
      <c r="D27"/>
    </row>
    <row r="28" spans="3:10" s="35" customFormat="1" ht="18" customHeight="1">
      <c r="C28"/>
      <c r="D28"/>
    </row>
    <row r="29" spans="3:10" s="35" customFormat="1" ht="18" customHeight="1">
      <c r="C29"/>
      <c r="D29"/>
    </row>
    <row r="30" spans="3:10" s="35" customFormat="1" ht="18" customHeight="1">
      <c r="C30" s="46" t="s">
        <v>12</v>
      </c>
      <c r="D30"/>
      <c r="E30" s="46" t="s">
        <v>26</v>
      </c>
    </row>
    <row r="31" spans="3:10" s="35" customFormat="1" ht="18" customHeight="1">
      <c r="C31" s="48" t="s">
        <v>13</v>
      </c>
      <c r="D31"/>
      <c r="E31" s="47" t="s">
        <v>27</v>
      </c>
    </row>
  </sheetData>
  <mergeCells count="4">
    <mergeCell ref="C1:E1"/>
    <mergeCell ref="C3:C4"/>
    <mergeCell ref="C9:E9"/>
    <mergeCell ref="E25:E26"/>
  </mergeCells>
  <dataValidations count="24">
    <dataValidation allowBlank="1" showInputMessage="1" showErrorMessage="1" prompt="Enter customer Phone number in this cell" sqref="E7"/>
    <dataValidation allowBlank="1" showInputMessage="1" showErrorMessage="1" prompt="Enter customer City, State, and Zip Code in this cell" sqref="E6"/>
    <dataValidation allowBlank="1" showInputMessage="1" showErrorMessage="1" prompt="Enter customer Name, Company Name, Street Address, City, State, Zip Code, and Phone number in cells D5 through D10" sqref="D6 D4"/>
    <dataValidation allowBlank="1" showInputMessage="1" showErrorMessage="1" prompt="Enter Project or Service Description in this cell, invoice details in table below, and Tax Rate &amp; Other in cells below the table. Sales Tax &amp; Total due are automatically calculated" sqref="C9:E9"/>
    <dataValidation allowBlank="1" showInputMessage="1" showErrorMessage="1" prompt="Create an Invoice with tax calculation in this worksheet. Enter company and customer details, and invoice details in Invoice table. Total due is automatically calculated" sqref="B1"/>
    <dataValidation allowBlank="1" showInputMessage="1" showErrorMessage="1" prompt="Total due is automatically calculated in cell at right" sqref="D22"/>
    <dataValidation allowBlank="1" showInputMessage="1" showErrorMessage="1" prompt="Total due is automatically calculated in this cell" sqref="D22:E22"/>
    <dataValidation allowBlank="1" showInputMessage="1" showErrorMessage="1" prompt="Enter Tax Rate in this cell" sqref="E21"/>
    <dataValidation allowBlank="1" showInputMessage="1" showErrorMessage="1" prompt="Enter Tax Rate in cell at right" sqref="D21"/>
    <dataValidation allowBlank="1" showInputMessage="1" showErrorMessage="1" prompt="Enter Amount in this column under this heading for each description in column B. Subtotal is automatically calculated at the end of the table" sqref="E10"/>
    <dataValidation allowBlank="1" showInputMessage="1" showErrorMessage="1" prompt="Enter custom field in this heading and corresponding data in this column under this heading" sqref="D10"/>
    <dataValidation allowBlank="1" showInputMessage="1" showErrorMessage="1" prompt="Enter Description in this column under this heading" sqref="C10"/>
    <dataValidation allowBlank="1" showInputMessage="1" showErrorMessage="1" prompt="Enter customer Name in this cell" sqref="E4"/>
    <dataValidation allowBlank="1" showInputMessage="1" showErrorMessage="1" prompt="Enter Invoice Number in this cell" sqref="E3"/>
    <dataValidation allowBlank="1" showInputMessage="1" showErrorMessage="1" prompt="Enter Invoice Number in cell at right" sqref="D3"/>
    <dataValidation allowBlank="1" showInputMessage="1" showErrorMessage="1" prompt="Enter invoice Date in this cell" sqref="E2"/>
    <dataValidation allowBlank="1" showInputMessage="1" showErrorMessage="1" prompt="Enter invoice Date in cell at right" sqref="D2"/>
    <dataValidation allowBlank="1" showInputMessage="1" showErrorMessage="1" prompt="Enter Phone number in this cell" sqref="C7"/>
    <dataValidation allowBlank="1" showInputMessage="1" showErrorMessage="1" prompt="Enter Fax number in this cell" sqref="C8"/>
    <dataValidation allowBlank="1" showInputMessage="1" showErrorMessage="1" prompt="Enter City, State, and Zip Code in this cell" sqref="C6"/>
    <dataValidation allowBlank="1" showInputMessage="1" showErrorMessage="1" prompt="Enter invoicing company Street Address in this cell" sqref="C5"/>
    <dataValidation allowBlank="1" showInputMessage="1" showErrorMessage="1" prompt="Enter Company Slogan in this cell, company address in cells below, and Project or Service Description in cell B9" sqref="C3:C4"/>
    <dataValidation allowBlank="1" showInputMessage="1" showErrorMessage="1" prompt="Title of this worksheet is in this cell. Enter Invoice details in cells C2 through D8" sqref="C1:E1"/>
    <dataValidation allowBlank="1" showInputMessage="1" showErrorMessage="1" prompt="Enter invoicing Company Name in this cell and slogan in cell below" sqref="C2"/>
  </dataValidations>
  <printOptions horizontalCentered="1"/>
  <pageMargins left="0.31496062992125984" right="0.31496062992125984" top="0.31496062992125984" bottom="0.11811023622047245" header="0.51181102362204722" footer="0.51181102362204722"/>
  <pageSetup scale="79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12</vt:i4>
      </vt:variant>
    </vt:vector>
  </HeadingPairs>
  <TitlesOfParts>
    <vt:vector size="14" baseType="lpstr">
      <vt:lpstr>Invoice</vt:lpstr>
      <vt:lpstr>REVISI </vt:lpstr>
      <vt:lpstr>'REVISI '!ColumnTitle1</vt:lpstr>
      <vt:lpstr>ColumnTitle1</vt:lpstr>
      <vt:lpstr>'REVISI '!Company_Name</vt:lpstr>
      <vt:lpstr>Company_Name</vt:lpstr>
      <vt:lpstr>Invoice!Print_Area</vt:lpstr>
      <vt:lpstr>'REVISI '!Print_Area</vt:lpstr>
      <vt:lpstr>Invoice!Print_Titles</vt:lpstr>
      <vt:lpstr>'REVISI '!Print_Titles</vt:lpstr>
      <vt:lpstr>'REVISI '!RowTitleRegion1..D8</vt:lpstr>
      <vt:lpstr>RowTitleRegion1..D8</vt:lpstr>
      <vt:lpstr>'REVISI '!RowTitleRegion2..D25</vt:lpstr>
      <vt:lpstr>RowTitleRegion2..D25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Fetra Haditya</dc:creator>
  <cp:lastModifiedBy>usseer</cp:lastModifiedBy>
  <cp:lastPrinted>2024-01-30T02:17:21Z</cp:lastPrinted>
  <dcterms:created xsi:type="dcterms:W3CDTF">2017-06-01T07:14:53Z</dcterms:created>
  <dcterms:modified xsi:type="dcterms:W3CDTF">2024-02-05T04:07:00Z</dcterms:modified>
</cp:coreProperties>
</file>