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UPD\"/>
    </mc:Choice>
  </mc:AlternateContent>
  <xr:revisionPtr revIDLastSave="0" documentId="8_{8B001155-4826-42D6-A9D9-0CF0A0F5A081}" xr6:coauthVersionLast="47" xr6:coauthVersionMax="47" xr10:uidLastSave="{00000000-0000-0000-0000-000000000000}"/>
  <bookViews>
    <workbookView xWindow="-120" yWindow="-120" windowWidth="29040" windowHeight="15840" xr2:uid="{85BF02A4-4772-40F3-8C2A-30E91DEF9D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11" i="1"/>
  <c r="D11" i="1"/>
  <c r="N11" i="1" s="1"/>
  <c r="R23" i="1"/>
  <c r="R11" i="1"/>
  <c r="C36" i="1"/>
  <c r="L11" i="1" l="1"/>
  <c r="E23" i="1"/>
  <c r="D17" i="1"/>
  <c r="F11" i="1"/>
  <c r="I23" i="1" l="1"/>
  <c r="N23" i="1"/>
  <c r="L23" i="1"/>
</calcChain>
</file>

<file path=xl/sharedStrings.xml><?xml version="1.0" encoding="utf-8"?>
<sst xmlns="http://schemas.openxmlformats.org/spreadsheetml/2006/main" count="18" uniqueCount="11">
  <si>
    <t>MBM</t>
  </si>
  <si>
    <t>B</t>
  </si>
  <si>
    <t>P</t>
  </si>
  <si>
    <t>BRI</t>
  </si>
  <si>
    <t>MRU</t>
  </si>
  <si>
    <t>PP</t>
  </si>
  <si>
    <t>TOTAL TIKET</t>
  </si>
  <si>
    <t>BUDGET</t>
  </si>
  <si>
    <t>HOTEL</t>
  </si>
  <si>
    <t>TOTAL HOTEL</t>
  </si>
  <si>
    <t>SISA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</si>
</sst>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2" borderId="0" xfId="1" applyFont="1" applyFill="1"/>
    <xf numFmtId="43" fontId="0" fillId="3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47C0-FB20-42EB-BF7C-C77F12013264}">
  <dimension ref="A5:R36"/>
  <sheetViews>
    <sheetView tabSelected="1" workbookViewId="0">
      <selection activeCell="H13" sqref="H13"/>
    </sheetView>
  </sheetViews>
  <sheetFormatPr defaultRowHeight="15" x14ac:dyDescent="0.25"/>
  <cols>
    <col min="1" max="1" width="9.140625" style="1"/>
    <col min="2" max="6" width="13.28515625" style="1" bestFit="1" customWidth="1"/>
    <col min="7" max="8" width="13.28515625" style="1" customWidth="1"/>
    <col min="9" max="9" width="11.5703125" style="1" bestFit="1" customWidth="1"/>
    <col min="10" max="10" width="9.140625" style="1"/>
    <col min="11" max="11" width="13.28515625" style="1" bestFit="1" customWidth="1"/>
    <col min="12" max="13" width="9.140625" style="1"/>
    <col min="14" max="14" width="13.28515625" style="1" bestFit="1" customWidth="1"/>
    <col min="15" max="17" width="9.140625" style="1"/>
    <col min="18" max="18" width="13.28515625" style="1" bestFit="1" customWidth="1"/>
    <col min="19" max="16384" width="9.140625" style="1"/>
  </cols>
  <sheetData>
    <row r="5" spans="1:18" x14ac:dyDescent="0.25">
      <c r="D5" s="1" t="s">
        <v>6</v>
      </c>
      <c r="E5" s="1" t="s">
        <v>7</v>
      </c>
      <c r="F5" s="1" t="s">
        <v>10</v>
      </c>
    </row>
    <row r="6" spans="1:18" x14ac:dyDescent="0.25">
      <c r="A6" s="1" t="s">
        <v>0</v>
      </c>
      <c r="B6" s="1" t="s">
        <v>1</v>
      </c>
      <c r="C6" s="1">
        <v>705200</v>
      </c>
    </row>
    <row r="7" spans="1:18" x14ac:dyDescent="0.25">
      <c r="B7" s="1" t="s">
        <v>2</v>
      </c>
      <c r="C7" s="1">
        <v>1204700</v>
      </c>
    </row>
    <row r="8" spans="1:18" x14ac:dyDescent="0.25">
      <c r="A8" s="1" t="s">
        <v>4</v>
      </c>
      <c r="B8" s="1" t="s">
        <v>5</v>
      </c>
      <c r="C8" s="1">
        <v>2352100</v>
      </c>
    </row>
    <row r="9" spans="1:18" x14ac:dyDescent="0.25">
      <c r="A9" s="1" t="s">
        <v>3</v>
      </c>
      <c r="B9" s="1" t="s">
        <v>1</v>
      </c>
      <c r="C9" s="1">
        <v>1147500</v>
      </c>
    </row>
    <row r="10" spans="1:18" x14ac:dyDescent="0.25">
      <c r="B10" s="1" t="s">
        <v>2</v>
      </c>
      <c r="C10" s="1">
        <v>978000</v>
      </c>
    </row>
    <row r="11" spans="1:18" x14ac:dyDescent="0.25">
      <c r="D11" s="2">
        <f>SUM(C6:C10)</f>
        <v>6387500</v>
      </c>
      <c r="E11" s="1">
        <v>7500000</v>
      </c>
      <c r="F11" s="1">
        <f>E11-D11</f>
        <v>1112500</v>
      </c>
      <c r="H11" s="3">
        <f>D11/3</f>
        <v>2129166.6666666665</v>
      </c>
      <c r="K11" s="1">
        <v>2500000</v>
      </c>
      <c r="L11" s="1">
        <f>D11/K11</f>
        <v>2.5550000000000002</v>
      </c>
      <c r="N11" s="1">
        <f>D11/3</f>
        <v>2129166.6666666665</v>
      </c>
      <c r="Q11" s="1">
        <v>2.5550000000000002</v>
      </c>
      <c r="R11" s="1">
        <f>Q11*K11</f>
        <v>6387500</v>
      </c>
    </row>
    <row r="13" spans="1:18" x14ac:dyDescent="0.25">
      <c r="H13" s="3">
        <v>2129166.6666666698</v>
      </c>
    </row>
    <row r="15" spans="1:18" x14ac:dyDescent="0.25">
      <c r="A15" s="1" t="s">
        <v>3</v>
      </c>
      <c r="B15" s="1" t="s">
        <v>1</v>
      </c>
      <c r="C15" s="1">
        <v>1147500</v>
      </c>
    </row>
    <row r="16" spans="1:18" x14ac:dyDescent="0.25">
      <c r="B16" s="1" t="s">
        <v>2</v>
      </c>
      <c r="C16" s="1">
        <v>978000</v>
      </c>
    </row>
    <row r="17" spans="1:18" x14ac:dyDescent="0.25">
      <c r="D17" s="1">
        <f>SUM(C15:C16)</f>
        <v>2125500</v>
      </c>
    </row>
    <row r="22" spans="1:18" x14ac:dyDescent="0.25">
      <c r="E22" s="1" t="s">
        <v>9</v>
      </c>
      <c r="F22" s="1" t="s">
        <v>7</v>
      </c>
      <c r="I22" s="1" t="s">
        <v>10</v>
      </c>
    </row>
    <row r="23" spans="1:18" x14ac:dyDescent="0.25">
      <c r="A23" s="1" t="s">
        <v>8</v>
      </c>
      <c r="B23" s="1">
        <v>1101000</v>
      </c>
      <c r="C23" s="1">
        <v>2</v>
      </c>
      <c r="D23" s="1">
        <v>3</v>
      </c>
      <c r="E23" s="2">
        <f>B23*C23*D23</f>
        <v>6606000</v>
      </c>
      <c r="F23" s="1">
        <v>7200000</v>
      </c>
      <c r="H23" s="3">
        <f>E23/6</f>
        <v>1101000</v>
      </c>
      <c r="I23" s="1">
        <f>F23-E23</f>
        <v>594000</v>
      </c>
      <c r="K23" s="1">
        <v>1200000</v>
      </c>
      <c r="L23" s="1">
        <f>E23/K23</f>
        <v>5.5049999999999999</v>
      </c>
      <c r="N23" s="1">
        <f>E23/3</f>
        <v>2202000</v>
      </c>
      <c r="Q23" s="1">
        <v>5.5049999999999999</v>
      </c>
      <c r="R23" s="1">
        <f>Q23*K23</f>
        <v>6606000</v>
      </c>
    </row>
    <row r="36" spans="3:3" x14ac:dyDescent="0.25">
      <c r="C36" s="1">
        <f>9.4*16000</f>
        <v>150400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2024-01-18T04:43:23Z</dcterms:created>
  <dcterms:modified xsi:type="dcterms:W3CDTF">2024-01-18T06:55:37Z</dcterms:modified>
</cp:coreProperties>
</file>