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aring Sami-139\BUS KARYAWAN BBF\"/>
    </mc:Choice>
  </mc:AlternateContent>
  <bookViews>
    <workbookView xWindow="-120" yWindow="-120" windowWidth="21840" windowHeight="13020" firstSheet="7" activeTab="16"/>
  </bookViews>
  <sheets>
    <sheet name="OKTOBER" sheetId="3" r:id="rId1"/>
    <sheet name="DES" sheetId="11" r:id="rId2"/>
    <sheet name="2018" sheetId="12" r:id="rId3"/>
    <sheet name="JF" sheetId="19" r:id="rId4"/>
    <sheet name="Order 2018" sheetId="18" r:id="rId5"/>
    <sheet name="Sheet2" sheetId="17" r:id="rId6"/>
    <sheet name="PO 2019" sheetId="20" r:id="rId7"/>
    <sheet name="PO TERM 79" sheetId="21" r:id="rId8"/>
    <sheet name="PO TERM 80" sheetId="22" r:id="rId9"/>
    <sheet name="PO TERM 81" sheetId="23" r:id="rId10"/>
    <sheet name="0823" sheetId="24" r:id="rId11"/>
    <sheet name="0923" sheetId="25" r:id="rId12"/>
    <sheet name="1023" sheetId="26" r:id="rId13"/>
    <sheet name="1123" sheetId="27" r:id="rId14"/>
    <sheet name="1223" sheetId="28" r:id="rId15"/>
    <sheet name="0124" sheetId="29" r:id="rId16"/>
    <sheet name="0224" sheetId="30" r:id="rId17"/>
  </sheets>
  <definedNames>
    <definedName name="_xlnm.Print_Area" localSheetId="15">'0124'!$A$1:$J$57</definedName>
    <definedName name="_xlnm.Print_Area" localSheetId="16">'0224'!$A$1:$J$57</definedName>
    <definedName name="_xlnm.Print_Area" localSheetId="10">'0823'!$A$1:$J$59</definedName>
    <definedName name="_xlnm.Print_Area" localSheetId="11">'0923'!$A$1:$J$57</definedName>
    <definedName name="_xlnm.Print_Area" localSheetId="12">'1023'!$A$1:$J$57</definedName>
    <definedName name="_xlnm.Print_Area" localSheetId="13">'1123'!$A$1:$J$56</definedName>
    <definedName name="_xlnm.Print_Area" localSheetId="14">'1223'!$A$1:$J$56</definedName>
    <definedName name="_xlnm.Print_Area" localSheetId="2">'2018'!$B$203:$M$229</definedName>
    <definedName name="_xlnm.Print_Area" localSheetId="1">DES!$B$86:$M$112</definedName>
    <definedName name="_xlnm.Print_Area" localSheetId="0">OKTOBER!$B$76:$AC$100</definedName>
    <definedName name="_xlnm.Print_Area" localSheetId="4">'Order 2018'!$B$465:$M$512</definedName>
    <definedName name="_xlnm.Print_Area" localSheetId="6">'PO 2019'!$B$506:$M$529</definedName>
    <definedName name="_xlnm.Print_Area" localSheetId="7">'PO TERM 79'!#REF!</definedName>
    <definedName name="_xlnm.Print_Area" localSheetId="8">'PO TERM 80'!$B$636:$J$682</definedName>
    <definedName name="_xlnm.Print_Area" localSheetId="9">'PO TERM 81'!$B$257:$J$305</definedName>
  </definedNames>
  <calcPr calcId="162913" iterate="1"/>
</workbook>
</file>

<file path=xl/calcChain.xml><?xml version="1.0" encoding="utf-8"?>
<calcChain xmlns="http://schemas.openxmlformats.org/spreadsheetml/2006/main">
  <c r="G11" i="30" l="1"/>
  <c r="I11" i="30" s="1"/>
  <c r="E11" i="30"/>
  <c r="F11" i="30" s="1"/>
  <c r="D11" i="30"/>
  <c r="B11" i="30" s="1"/>
  <c r="H11" i="30" l="1"/>
  <c r="D12" i="30"/>
  <c r="B12" i="29"/>
  <c r="E40" i="29"/>
  <c r="F40" i="29" s="1"/>
  <c r="G40" i="29"/>
  <c r="H40" i="29" s="1"/>
  <c r="E41" i="29"/>
  <c r="F41" i="29" s="1"/>
  <c r="G41" i="29"/>
  <c r="I41" i="29" s="1"/>
  <c r="E39" i="29"/>
  <c r="B40" i="29"/>
  <c r="B41" i="29"/>
  <c r="D40" i="29"/>
  <c r="D41" i="29"/>
  <c r="D11" i="29"/>
  <c r="D12" i="29" s="1"/>
  <c r="D13" i="30" l="1"/>
  <c r="B12" i="30"/>
  <c r="I40" i="29"/>
  <c r="H41" i="29"/>
  <c r="B11" i="29"/>
  <c r="D13" i="29"/>
  <c r="G12" i="28"/>
  <c r="B11" i="28"/>
  <c r="G12" i="30" l="1"/>
  <c r="E12" i="30"/>
  <c r="B13" i="30"/>
  <c r="D14" i="30"/>
  <c r="F11" i="29"/>
  <c r="E12" i="29"/>
  <c r="F12" i="29" s="1"/>
  <c r="G12" i="29"/>
  <c r="B13" i="29"/>
  <c r="D14" i="29"/>
  <c r="I11" i="29"/>
  <c r="H11" i="29"/>
  <c r="G40" i="28"/>
  <c r="I40" i="28" s="1"/>
  <c r="E40" i="28"/>
  <c r="F40" i="28" s="1"/>
  <c r="G39" i="28"/>
  <c r="H39" i="28" s="1"/>
  <c r="F39" i="28"/>
  <c r="E39" i="28"/>
  <c r="I38" i="28"/>
  <c r="G38" i="28"/>
  <c r="H38" i="28" s="1"/>
  <c r="E38" i="28"/>
  <c r="F38" i="28" s="1"/>
  <c r="G37" i="28"/>
  <c r="I37" i="28" s="1"/>
  <c r="E37" i="28"/>
  <c r="F37" i="28" s="1"/>
  <c r="G34" i="28"/>
  <c r="I34" i="28" s="1"/>
  <c r="E34" i="28"/>
  <c r="F34" i="28" s="1"/>
  <c r="G33" i="28"/>
  <c r="I33" i="28" s="1"/>
  <c r="E33" i="28"/>
  <c r="F33" i="28" s="1"/>
  <c r="G32" i="28"/>
  <c r="I32" i="28" s="1"/>
  <c r="E32" i="28"/>
  <c r="F32" i="28" s="1"/>
  <c r="G31" i="28"/>
  <c r="I31" i="28" s="1"/>
  <c r="E31" i="28"/>
  <c r="F31" i="28" s="1"/>
  <c r="G30" i="28"/>
  <c r="I30" i="28" s="1"/>
  <c r="E30" i="28"/>
  <c r="F30" i="28" s="1"/>
  <c r="G29" i="28"/>
  <c r="I29" i="28" s="1"/>
  <c r="E29" i="28"/>
  <c r="F29" i="28" s="1"/>
  <c r="G28" i="28"/>
  <c r="I28" i="28" s="1"/>
  <c r="E28" i="28"/>
  <c r="F28" i="28" s="1"/>
  <c r="G27" i="28"/>
  <c r="H27" i="28" s="1"/>
  <c r="E27" i="28"/>
  <c r="F27" i="28" s="1"/>
  <c r="G26" i="28"/>
  <c r="I26" i="28" s="1"/>
  <c r="E26" i="28"/>
  <c r="F26" i="28" s="1"/>
  <c r="G25" i="28"/>
  <c r="H25" i="28" s="1"/>
  <c r="E25" i="28"/>
  <c r="F25" i="28" s="1"/>
  <c r="G24" i="28"/>
  <c r="I24" i="28" s="1"/>
  <c r="E24" i="28"/>
  <c r="F24" i="28" s="1"/>
  <c r="G23" i="28"/>
  <c r="I23" i="28" s="1"/>
  <c r="E23" i="28"/>
  <c r="F23" i="28" s="1"/>
  <c r="G22" i="28"/>
  <c r="I22" i="28" s="1"/>
  <c r="E22" i="28"/>
  <c r="F22" i="28" s="1"/>
  <c r="G21" i="28"/>
  <c r="H21" i="28" s="1"/>
  <c r="E21" i="28"/>
  <c r="F21" i="28" s="1"/>
  <c r="G20" i="28"/>
  <c r="I20" i="28" s="1"/>
  <c r="E20" i="28"/>
  <c r="F20" i="28" s="1"/>
  <c r="G19" i="28"/>
  <c r="I19" i="28" s="1"/>
  <c r="E19" i="28"/>
  <c r="F19" i="28" s="1"/>
  <c r="G18" i="28"/>
  <c r="I18" i="28" s="1"/>
  <c r="E18" i="28"/>
  <c r="F18" i="28" s="1"/>
  <c r="G17" i="28"/>
  <c r="H17" i="28" s="1"/>
  <c r="E17" i="28"/>
  <c r="F17" i="28" s="1"/>
  <c r="G16" i="28"/>
  <c r="I16" i="28" s="1"/>
  <c r="E16" i="28"/>
  <c r="F16" i="28" s="1"/>
  <c r="G14" i="28"/>
  <c r="I14" i="28" s="1"/>
  <c r="E14" i="28"/>
  <c r="F14" i="28" s="1"/>
  <c r="G13" i="28"/>
  <c r="I13" i="28" s="1"/>
  <c r="E13" i="28"/>
  <c r="F13" i="28" s="1"/>
  <c r="I12" i="28"/>
  <c r="E12" i="28"/>
  <c r="F12" i="28" s="1"/>
  <c r="G11" i="28"/>
  <c r="I11" i="28" s="1"/>
  <c r="E11" i="28"/>
  <c r="F11" i="28" s="1"/>
  <c r="I36" i="28"/>
  <c r="F36" i="28"/>
  <c r="I35" i="28"/>
  <c r="F35" i="28"/>
  <c r="D11" i="28"/>
  <c r="B14" i="30" l="1"/>
  <c r="D15" i="30"/>
  <c r="F12" i="30"/>
  <c r="I12" i="30"/>
  <c r="H12" i="30"/>
  <c r="F13" i="30"/>
  <c r="D15" i="29"/>
  <c r="B14" i="29"/>
  <c r="G13" i="29"/>
  <c r="E13" i="29"/>
  <c r="F13" i="29" s="1"/>
  <c r="I12" i="29"/>
  <c r="H12" i="29"/>
  <c r="I39" i="28"/>
  <c r="H37" i="28"/>
  <c r="H40" i="28"/>
  <c r="I17" i="28"/>
  <c r="H33" i="28"/>
  <c r="H31" i="28"/>
  <c r="I21" i="28"/>
  <c r="H12" i="28"/>
  <c r="I25" i="28"/>
  <c r="H14" i="28"/>
  <c r="H23" i="28"/>
  <c r="I27" i="28"/>
  <c r="H11" i="28"/>
  <c r="H20" i="28"/>
  <c r="H28" i="28"/>
  <c r="H32" i="28"/>
  <c r="H19" i="28"/>
  <c r="H16" i="28"/>
  <c r="H24" i="28"/>
  <c r="H29" i="28"/>
  <c r="H13" i="28"/>
  <c r="H18" i="28"/>
  <c r="H22" i="28"/>
  <c r="H26" i="28"/>
  <c r="H30" i="28"/>
  <c r="H34" i="28"/>
  <c r="H36" i="28"/>
  <c r="H35" i="28"/>
  <c r="D12" i="28"/>
  <c r="I39" i="27"/>
  <c r="H39" i="27"/>
  <c r="F39" i="27"/>
  <c r="I38" i="27"/>
  <c r="H38" i="27"/>
  <c r="F38" i="27"/>
  <c r="I33" i="27"/>
  <c r="H33" i="27"/>
  <c r="F33" i="27"/>
  <c r="D11" i="27"/>
  <c r="D12" i="27" s="1"/>
  <c r="D16" i="30" l="1"/>
  <c r="B15" i="30"/>
  <c r="G14" i="30"/>
  <c r="E14" i="30"/>
  <c r="F14" i="30" s="1"/>
  <c r="I13" i="30"/>
  <c r="H13" i="30"/>
  <c r="H13" i="29"/>
  <c r="I13" i="29"/>
  <c r="G14" i="29"/>
  <c r="E14" i="29"/>
  <c r="B15" i="29"/>
  <c r="D16" i="29"/>
  <c r="D13" i="28"/>
  <c r="B12" i="28"/>
  <c r="D13" i="27"/>
  <c r="B12" i="27"/>
  <c r="B11" i="27"/>
  <c r="I39" i="26"/>
  <c r="H39" i="26"/>
  <c r="F39" i="26"/>
  <c r="I38" i="26"/>
  <c r="H38" i="26"/>
  <c r="F38" i="26"/>
  <c r="I33" i="26"/>
  <c r="H33" i="26"/>
  <c r="F33" i="26"/>
  <c r="D11" i="26"/>
  <c r="B11" i="26" s="1"/>
  <c r="E42" i="25"/>
  <c r="F38" i="25"/>
  <c r="H38" i="25"/>
  <c r="I38" i="25"/>
  <c r="F39" i="25"/>
  <c r="H39" i="25"/>
  <c r="I39" i="25"/>
  <c r="I12" i="24"/>
  <c r="F11" i="24"/>
  <c r="I29" i="24"/>
  <c r="I27" i="24"/>
  <c r="I26" i="24"/>
  <c r="D11" i="25"/>
  <c r="D12" i="25" s="1"/>
  <c r="D11" i="24"/>
  <c r="D12" i="24" s="1"/>
  <c r="D13" i="24" s="1"/>
  <c r="B13" i="24" s="1"/>
  <c r="E13" i="24" s="1"/>
  <c r="F13" i="24" s="1"/>
  <c r="G15" i="30" l="1"/>
  <c r="E15" i="30"/>
  <c r="F15" i="30" s="1"/>
  <c r="B16" i="30"/>
  <c r="D17" i="30"/>
  <c r="I14" i="30"/>
  <c r="H14" i="30"/>
  <c r="B16" i="29"/>
  <c r="D17" i="29"/>
  <c r="F14" i="29"/>
  <c r="E15" i="29"/>
  <c r="F15" i="29" s="1"/>
  <c r="G15" i="29"/>
  <c r="I14" i="29"/>
  <c r="H14" i="29"/>
  <c r="B13" i="28"/>
  <c r="D14" i="28"/>
  <c r="E12" i="27"/>
  <c r="F12" i="27" s="1"/>
  <c r="G12" i="27"/>
  <c r="E11" i="27"/>
  <c r="G11" i="27"/>
  <c r="B13" i="27"/>
  <c r="D14" i="27"/>
  <c r="E11" i="26"/>
  <c r="G11" i="26"/>
  <c r="D12" i="26"/>
  <c r="B11" i="25"/>
  <c r="G11" i="25" s="1"/>
  <c r="I11" i="25" s="1"/>
  <c r="D13" i="25"/>
  <c r="B12" i="25"/>
  <c r="B11" i="24"/>
  <c r="G13" i="24"/>
  <c r="B12" i="24"/>
  <c r="D14" i="24"/>
  <c r="B14" i="24" s="1"/>
  <c r="E16" i="30" l="1"/>
  <c r="F16" i="30" s="1"/>
  <c r="G16" i="30"/>
  <c r="I15" i="30"/>
  <c r="H15" i="30"/>
  <c r="D18" i="30"/>
  <c r="B17" i="30"/>
  <c r="H15" i="29"/>
  <c r="I15" i="29"/>
  <c r="D18" i="29"/>
  <c r="B17" i="29"/>
  <c r="G16" i="29"/>
  <c r="E16" i="29"/>
  <c r="F16" i="29" s="1"/>
  <c r="D15" i="28"/>
  <c r="B14" i="28"/>
  <c r="D15" i="27"/>
  <c r="B14" i="27"/>
  <c r="I12" i="27"/>
  <c r="H12" i="27"/>
  <c r="F11" i="27"/>
  <c r="I11" i="27"/>
  <c r="H11" i="27"/>
  <c r="G13" i="27"/>
  <c r="E13" i="27"/>
  <c r="F13" i="27" s="1"/>
  <c r="D13" i="26"/>
  <c r="B12" i="26"/>
  <c r="I11" i="26"/>
  <c r="H11" i="26"/>
  <c r="F11" i="26"/>
  <c r="E11" i="25"/>
  <c r="H11" i="25"/>
  <c r="F11" i="25"/>
  <c r="G12" i="25"/>
  <c r="E12" i="25"/>
  <c r="F12" i="25" s="1"/>
  <c r="B13" i="25"/>
  <c r="D14" i="25"/>
  <c r="E12" i="24"/>
  <c r="F12" i="24" s="1"/>
  <c r="G12" i="24"/>
  <c r="E11" i="24"/>
  <c r="G11" i="24"/>
  <c r="E14" i="24"/>
  <c r="F14" i="24" s="1"/>
  <c r="G14" i="24"/>
  <c r="I13" i="24"/>
  <c r="H13" i="24"/>
  <c r="D15" i="24"/>
  <c r="B15" i="24" s="1"/>
  <c r="G17" i="30" l="1"/>
  <c r="E17" i="30"/>
  <c r="F17" i="30" s="1"/>
  <c r="D19" i="30"/>
  <c r="B18" i="30"/>
  <c r="I16" i="30"/>
  <c r="H16" i="30"/>
  <c r="I16" i="29"/>
  <c r="H16" i="29"/>
  <c r="G17" i="29"/>
  <c r="E17" i="29"/>
  <c r="B18" i="29"/>
  <c r="D19" i="29"/>
  <c r="D16" i="28"/>
  <c r="B15" i="28"/>
  <c r="B15" i="27"/>
  <c r="D16" i="27"/>
  <c r="I13" i="27"/>
  <c r="H13" i="27"/>
  <c r="E12" i="26"/>
  <c r="G12" i="26"/>
  <c r="D14" i="26"/>
  <c r="B13" i="26"/>
  <c r="B14" i="25"/>
  <c r="D15" i="25"/>
  <c r="E13" i="25"/>
  <c r="F13" i="25" s="1"/>
  <c r="G13" i="25"/>
  <c r="I12" i="25"/>
  <c r="H12" i="25"/>
  <c r="E15" i="24"/>
  <c r="F15" i="24" s="1"/>
  <c r="G15" i="24"/>
  <c r="I14" i="24"/>
  <c r="H14" i="24"/>
  <c r="H11" i="24"/>
  <c r="I11" i="24"/>
  <c r="H12" i="24"/>
  <c r="D16" i="24"/>
  <c r="B16" i="24" s="1"/>
  <c r="F18" i="30" l="1"/>
  <c r="B19" i="30"/>
  <c r="D20" i="30"/>
  <c r="I17" i="30"/>
  <c r="H17" i="30"/>
  <c r="D20" i="29"/>
  <c r="B19" i="29"/>
  <c r="F17" i="29"/>
  <c r="G18" i="29"/>
  <c r="E18" i="29"/>
  <c r="F18" i="29" s="1"/>
  <c r="I17" i="29"/>
  <c r="H17" i="29"/>
  <c r="G15" i="28"/>
  <c r="E15" i="28"/>
  <c r="D17" i="28"/>
  <c r="B16" i="28"/>
  <c r="B16" i="27"/>
  <c r="D17" i="27"/>
  <c r="G15" i="27"/>
  <c r="E15" i="27"/>
  <c r="F15" i="27" s="1"/>
  <c r="F14" i="27"/>
  <c r="I14" i="27"/>
  <c r="H14" i="27"/>
  <c r="G13" i="26"/>
  <c r="E13" i="26"/>
  <c r="F13" i="26" s="1"/>
  <c r="B14" i="26"/>
  <c r="D15" i="26"/>
  <c r="I12" i="26"/>
  <c r="H12" i="26"/>
  <c r="F12" i="26"/>
  <c r="I13" i="25"/>
  <c r="H13" i="25"/>
  <c r="D16" i="25"/>
  <c r="B15" i="25"/>
  <c r="G14" i="25"/>
  <c r="E14" i="25"/>
  <c r="G16" i="24"/>
  <c r="E16" i="24"/>
  <c r="F16" i="24" s="1"/>
  <c r="I15" i="24"/>
  <c r="H15" i="24"/>
  <c r="D17" i="24"/>
  <c r="B17" i="24" s="1"/>
  <c r="D21" i="30" l="1"/>
  <c r="B20" i="30"/>
  <c r="I18" i="30"/>
  <c r="H18" i="30"/>
  <c r="G19" i="30"/>
  <c r="E19" i="30"/>
  <c r="F19" i="30" s="1"/>
  <c r="H18" i="29"/>
  <c r="I18" i="29"/>
  <c r="E19" i="29"/>
  <c r="F19" i="29" s="1"/>
  <c r="G19" i="29"/>
  <c r="D21" i="29"/>
  <c r="B20" i="29"/>
  <c r="B17" i="28"/>
  <c r="D18" i="28"/>
  <c r="F15" i="28"/>
  <c r="I15" i="28"/>
  <c r="H15" i="28"/>
  <c r="D18" i="27"/>
  <c r="B17" i="27"/>
  <c r="I15" i="27"/>
  <c r="H15" i="27"/>
  <c r="B15" i="26"/>
  <c r="D16" i="26"/>
  <c r="E14" i="26"/>
  <c r="G14" i="26"/>
  <c r="H13" i="26"/>
  <c r="I13" i="26"/>
  <c r="F14" i="25"/>
  <c r="G15" i="25"/>
  <c r="E15" i="25"/>
  <c r="F15" i="25" s="1"/>
  <c r="B16" i="25"/>
  <c r="D17" i="25"/>
  <c r="I14" i="25"/>
  <c r="H14" i="25"/>
  <c r="I16" i="24"/>
  <c r="H16" i="24"/>
  <c r="E17" i="24"/>
  <c r="F17" i="24" s="1"/>
  <c r="G17" i="24"/>
  <c r="D18" i="24"/>
  <c r="B18" i="24" s="1"/>
  <c r="F20" i="30" l="1"/>
  <c r="D22" i="30"/>
  <c r="B21" i="30"/>
  <c r="H19" i="30"/>
  <c r="I19" i="30"/>
  <c r="G20" i="29"/>
  <c r="E20" i="29"/>
  <c r="F20" i="29" s="1"/>
  <c r="B21" i="29"/>
  <c r="D22" i="29"/>
  <c r="I19" i="29"/>
  <c r="H19" i="29"/>
  <c r="B18" i="28"/>
  <c r="D19" i="28"/>
  <c r="I16" i="27"/>
  <c r="H16" i="27"/>
  <c r="F16" i="27"/>
  <c r="F17" i="27"/>
  <c r="D19" i="27"/>
  <c r="B18" i="27"/>
  <c r="H14" i="26"/>
  <c r="I14" i="26"/>
  <c r="F14" i="26"/>
  <c r="B16" i="26"/>
  <c r="D17" i="26"/>
  <c r="E15" i="26"/>
  <c r="F15" i="26" s="1"/>
  <c r="G15" i="26"/>
  <c r="B17" i="25"/>
  <c r="D18" i="25"/>
  <c r="I15" i="25"/>
  <c r="H15" i="25"/>
  <c r="G16" i="25"/>
  <c r="E16" i="25"/>
  <c r="F16" i="25" s="1"/>
  <c r="G18" i="24"/>
  <c r="E18" i="24"/>
  <c r="F18" i="24" s="1"/>
  <c r="I17" i="24"/>
  <c r="H17" i="24"/>
  <c r="D19" i="24"/>
  <c r="B19" i="24" s="1"/>
  <c r="G21" i="30" l="1"/>
  <c r="E21" i="30"/>
  <c r="F21" i="30" s="1"/>
  <c r="B22" i="30"/>
  <c r="D23" i="30"/>
  <c r="I20" i="30"/>
  <c r="H20" i="30"/>
  <c r="D23" i="29"/>
  <c r="B22" i="29"/>
  <c r="G21" i="29"/>
  <c r="E21" i="29"/>
  <c r="F21" i="29" s="1"/>
  <c r="I20" i="29"/>
  <c r="H20" i="29"/>
  <c r="D20" i="28"/>
  <c r="B19" i="28"/>
  <c r="G18" i="27"/>
  <c r="E18" i="27"/>
  <c r="F18" i="27" s="1"/>
  <c r="B19" i="27"/>
  <c r="D20" i="27"/>
  <c r="I17" i="27"/>
  <c r="H17" i="27"/>
  <c r="G16" i="26"/>
  <c r="E16" i="26"/>
  <c r="F16" i="26" s="1"/>
  <c r="D18" i="26"/>
  <c r="B17" i="26"/>
  <c r="I15" i="26"/>
  <c r="H15" i="26"/>
  <c r="E17" i="25"/>
  <c r="F17" i="25" s="1"/>
  <c r="G17" i="25"/>
  <c r="I16" i="25"/>
  <c r="H16" i="25"/>
  <c r="D19" i="25"/>
  <c r="B18" i="25"/>
  <c r="G19" i="24"/>
  <c r="E19" i="24"/>
  <c r="F19" i="24" s="1"/>
  <c r="I18" i="24"/>
  <c r="H18" i="24"/>
  <c r="D20" i="24"/>
  <c r="B20" i="24" s="1"/>
  <c r="F22" i="30" l="1"/>
  <c r="D24" i="30"/>
  <c r="B23" i="30"/>
  <c r="I21" i="30"/>
  <c r="H21" i="30"/>
  <c r="E22" i="29"/>
  <c r="F22" i="29" s="1"/>
  <c r="G22" i="29"/>
  <c r="I21" i="29"/>
  <c r="H21" i="29"/>
  <c r="B23" i="29"/>
  <c r="D24" i="29"/>
  <c r="B20" i="28"/>
  <c r="D21" i="28"/>
  <c r="I18" i="27"/>
  <c r="H18" i="27"/>
  <c r="D21" i="27"/>
  <c r="B20" i="27"/>
  <c r="E19" i="27"/>
  <c r="G19" i="27"/>
  <c r="G17" i="26"/>
  <c r="E17" i="26"/>
  <c r="B18" i="26"/>
  <c r="D19" i="26"/>
  <c r="I16" i="26"/>
  <c r="H16" i="26"/>
  <c r="B19" i="25"/>
  <c r="D20" i="25"/>
  <c r="I17" i="25"/>
  <c r="H17" i="25"/>
  <c r="G18" i="25"/>
  <c r="E18" i="25"/>
  <c r="F18" i="25" s="1"/>
  <c r="E20" i="24"/>
  <c r="F20" i="24" s="1"/>
  <c r="G20" i="24"/>
  <c r="I19" i="24"/>
  <c r="H19" i="24"/>
  <c r="D21" i="24"/>
  <c r="B21" i="24" s="1"/>
  <c r="F23" i="30" l="1"/>
  <c r="I22" i="30"/>
  <c r="H22" i="30"/>
  <c r="D25" i="30"/>
  <c r="B24" i="30"/>
  <c r="D25" i="29"/>
  <c r="B24" i="29"/>
  <c r="G23" i="29"/>
  <c r="E23" i="29"/>
  <c r="F23" i="29" s="1"/>
  <c r="I22" i="29"/>
  <c r="H22" i="29"/>
  <c r="D22" i="28"/>
  <c r="B21" i="28"/>
  <c r="H19" i="27"/>
  <c r="I19" i="27"/>
  <c r="F19" i="27"/>
  <c r="G20" i="27"/>
  <c r="E20" i="27"/>
  <c r="F20" i="27" s="1"/>
  <c r="D22" i="27"/>
  <c r="B21" i="27"/>
  <c r="D20" i="26"/>
  <c r="B19" i="26"/>
  <c r="E18" i="26"/>
  <c r="F18" i="26" s="1"/>
  <c r="G18" i="26"/>
  <c r="F17" i="26"/>
  <c r="I17" i="26"/>
  <c r="H17" i="26"/>
  <c r="H18" i="25"/>
  <c r="I18" i="25"/>
  <c r="D21" i="25"/>
  <c r="B20" i="25"/>
  <c r="G19" i="25"/>
  <c r="E19" i="25"/>
  <c r="F19" i="25" s="1"/>
  <c r="E21" i="24"/>
  <c r="F21" i="24" s="1"/>
  <c r="G21" i="24"/>
  <c r="H20" i="24"/>
  <c r="I20" i="24"/>
  <c r="D22" i="24"/>
  <c r="B22" i="24" s="1"/>
  <c r="F24" i="30" l="1"/>
  <c r="B25" i="30"/>
  <c r="D26" i="30"/>
  <c r="I23" i="30"/>
  <c r="H23" i="30"/>
  <c r="I23" i="29"/>
  <c r="H23" i="29"/>
  <c r="G24" i="29"/>
  <c r="E24" i="29"/>
  <c r="F24" i="29" s="1"/>
  <c r="D26" i="29"/>
  <c r="B25" i="29"/>
  <c r="D23" i="28"/>
  <c r="B22" i="28"/>
  <c r="F21" i="27"/>
  <c r="B22" i="27"/>
  <c r="D23" i="27"/>
  <c r="I20" i="27"/>
  <c r="H20" i="27"/>
  <c r="I18" i="26"/>
  <c r="H18" i="26"/>
  <c r="G19" i="26"/>
  <c r="E19" i="26"/>
  <c r="F19" i="26" s="1"/>
  <c r="D21" i="26"/>
  <c r="B20" i="26"/>
  <c r="H19" i="25"/>
  <c r="I19" i="25"/>
  <c r="G20" i="25"/>
  <c r="E20" i="25"/>
  <c r="F20" i="25" s="1"/>
  <c r="D22" i="25"/>
  <c r="B21" i="25"/>
  <c r="H21" i="24"/>
  <c r="I21" i="24"/>
  <c r="G22" i="24"/>
  <c r="E22" i="24"/>
  <c r="F22" i="24" s="1"/>
  <c r="D23" i="24"/>
  <c r="B23" i="24" s="1"/>
  <c r="D27" i="30" l="1"/>
  <c r="B26" i="30"/>
  <c r="E25" i="30"/>
  <c r="F25" i="30" s="1"/>
  <c r="G25" i="30"/>
  <c r="I24" i="30"/>
  <c r="H24" i="30"/>
  <c r="B26" i="29"/>
  <c r="D27" i="29"/>
  <c r="I24" i="29"/>
  <c r="H24" i="29"/>
  <c r="G25" i="29"/>
  <c r="E25" i="29"/>
  <c r="F25" i="29" s="1"/>
  <c r="B23" i="28"/>
  <c r="D24" i="28"/>
  <c r="D24" i="27"/>
  <c r="B23" i="27"/>
  <c r="G22" i="27"/>
  <c r="E22" i="27"/>
  <c r="F22" i="27" s="1"/>
  <c r="I21" i="27"/>
  <c r="H21" i="27"/>
  <c r="G20" i="26"/>
  <c r="E20" i="26"/>
  <c r="F20" i="26" s="1"/>
  <c r="D22" i="26"/>
  <c r="B21" i="26"/>
  <c r="I19" i="26"/>
  <c r="H19" i="26"/>
  <c r="G21" i="25"/>
  <c r="E21" i="25"/>
  <c r="F21" i="25" s="1"/>
  <c r="D23" i="25"/>
  <c r="B22" i="25"/>
  <c r="I20" i="25"/>
  <c r="H20" i="25"/>
  <c r="G23" i="24"/>
  <c r="E23" i="24"/>
  <c r="F23" i="24" s="1"/>
  <c r="H22" i="24"/>
  <c r="I22" i="24"/>
  <c r="D24" i="24"/>
  <c r="B24" i="24" s="1"/>
  <c r="I25" i="30" l="1"/>
  <c r="H25" i="30"/>
  <c r="G26" i="30"/>
  <c r="E26" i="30"/>
  <c r="F26" i="30" s="1"/>
  <c r="D28" i="30"/>
  <c r="B27" i="30"/>
  <c r="D28" i="29"/>
  <c r="B27" i="29"/>
  <c r="I25" i="29"/>
  <c r="H25" i="29"/>
  <c r="G26" i="29"/>
  <c r="E26" i="29"/>
  <c r="F26" i="29" s="1"/>
  <c r="D25" i="28"/>
  <c r="B24" i="28"/>
  <c r="I22" i="27"/>
  <c r="H22" i="27"/>
  <c r="G23" i="27"/>
  <c r="E23" i="27"/>
  <c r="F23" i="27" s="1"/>
  <c r="B24" i="27"/>
  <c r="D25" i="27"/>
  <c r="E21" i="26"/>
  <c r="F21" i="26" s="1"/>
  <c r="G21" i="26"/>
  <c r="D23" i="26"/>
  <c r="B22" i="26"/>
  <c r="H20" i="26"/>
  <c r="I20" i="26"/>
  <c r="G22" i="25"/>
  <c r="E22" i="25"/>
  <c r="F22" i="25" s="1"/>
  <c r="D24" i="25"/>
  <c r="B23" i="25"/>
  <c r="I21" i="25"/>
  <c r="H21" i="25"/>
  <c r="H23" i="24"/>
  <c r="I23" i="24"/>
  <c r="E24" i="24"/>
  <c r="F24" i="24" s="1"/>
  <c r="G24" i="24"/>
  <c r="D25" i="24"/>
  <c r="B25" i="24" s="1"/>
  <c r="D29" i="30" l="1"/>
  <c r="B28" i="30"/>
  <c r="I26" i="30"/>
  <c r="H26" i="30"/>
  <c r="G27" i="30"/>
  <c r="E27" i="30"/>
  <c r="F27" i="30" s="1"/>
  <c r="G27" i="29"/>
  <c r="E27" i="29"/>
  <c r="F27" i="29" s="1"/>
  <c r="H26" i="29"/>
  <c r="I26" i="29"/>
  <c r="D29" i="29"/>
  <c r="B28" i="29"/>
  <c r="D26" i="28"/>
  <c r="B25" i="28"/>
  <c r="B25" i="27"/>
  <c r="D26" i="27"/>
  <c r="G24" i="27"/>
  <c r="E24" i="27"/>
  <c r="F24" i="27" s="1"/>
  <c r="I23" i="27"/>
  <c r="H23" i="27"/>
  <c r="E22" i="26"/>
  <c r="F22" i="26" s="1"/>
  <c r="G22" i="26"/>
  <c r="D24" i="26"/>
  <c r="B23" i="26"/>
  <c r="H21" i="26"/>
  <c r="I21" i="26"/>
  <c r="H22" i="25"/>
  <c r="I22" i="25"/>
  <c r="G23" i="25"/>
  <c r="E23" i="25"/>
  <c r="F23" i="25" s="1"/>
  <c r="B24" i="25"/>
  <c r="D25" i="25"/>
  <c r="G25" i="24"/>
  <c r="E25" i="24"/>
  <c r="F25" i="24" s="1"/>
  <c r="H24" i="24"/>
  <c r="I24" i="24"/>
  <c r="D26" i="24"/>
  <c r="B26" i="24" s="1"/>
  <c r="I27" i="30" l="1"/>
  <c r="H27" i="30"/>
  <c r="D30" i="30"/>
  <c r="B29" i="30"/>
  <c r="E28" i="30"/>
  <c r="F28" i="30" s="1"/>
  <c r="G28" i="30"/>
  <c r="B29" i="29"/>
  <c r="D30" i="29"/>
  <c r="I27" i="29"/>
  <c r="H27" i="29"/>
  <c r="E28" i="29"/>
  <c r="F28" i="29" s="1"/>
  <c r="G28" i="29"/>
  <c r="B26" i="28"/>
  <c r="D27" i="28"/>
  <c r="I24" i="27"/>
  <c r="H24" i="27"/>
  <c r="D27" i="27"/>
  <c r="B26" i="27"/>
  <c r="G25" i="27"/>
  <c r="E25" i="27"/>
  <c r="F25" i="27" s="1"/>
  <c r="G23" i="26"/>
  <c r="E23" i="26"/>
  <c r="F23" i="26" s="1"/>
  <c r="B24" i="26"/>
  <c r="D25" i="26"/>
  <c r="I22" i="26"/>
  <c r="H22" i="26"/>
  <c r="B25" i="25"/>
  <c r="D26" i="25"/>
  <c r="G24" i="25"/>
  <c r="E24" i="25"/>
  <c r="F24" i="25" s="1"/>
  <c r="I23" i="25"/>
  <c r="H23" i="25"/>
  <c r="H25" i="24"/>
  <c r="I25" i="24"/>
  <c r="F26" i="24"/>
  <c r="D27" i="24"/>
  <c r="B27" i="24" s="1"/>
  <c r="I28" i="30" l="1"/>
  <c r="H28" i="30"/>
  <c r="D31" i="30"/>
  <c r="B30" i="30"/>
  <c r="G29" i="30"/>
  <c r="E29" i="30"/>
  <c r="F29" i="30" s="1"/>
  <c r="I28" i="29"/>
  <c r="H28" i="29"/>
  <c r="B30" i="29"/>
  <c r="D31" i="29"/>
  <c r="G29" i="29"/>
  <c r="E29" i="29"/>
  <c r="F29" i="29" s="1"/>
  <c r="D28" i="28"/>
  <c r="B27" i="28"/>
  <c r="I25" i="27"/>
  <c r="H25" i="27"/>
  <c r="E26" i="27"/>
  <c r="F26" i="27" s="1"/>
  <c r="G26" i="27"/>
  <c r="B27" i="27"/>
  <c r="D28" i="27"/>
  <c r="B25" i="26"/>
  <c r="D26" i="26"/>
  <c r="G24" i="26"/>
  <c r="E24" i="26"/>
  <c r="F24" i="26" s="1"/>
  <c r="I23" i="26"/>
  <c r="H23" i="26"/>
  <c r="E25" i="25"/>
  <c r="F25" i="25" s="1"/>
  <c r="G25" i="25"/>
  <c r="I24" i="25"/>
  <c r="H24" i="25"/>
  <c r="D27" i="25"/>
  <c r="B26" i="25"/>
  <c r="F27" i="24"/>
  <c r="H26" i="24"/>
  <c r="D28" i="24"/>
  <c r="B28" i="24" s="1"/>
  <c r="I29" i="30" l="1"/>
  <c r="H29" i="30"/>
  <c r="G30" i="30"/>
  <c r="E30" i="30"/>
  <c r="F30" i="30" s="1"/>
  <c r="B31" i="30"/>
  <c r="D32" i="30"/>
  <c r="G30" i="29"/>
  <c r="E30" i="29"/>
  <c r="F30" i="29" s="1"/>
  <c r="H29" i="29"/>
  <c r="I29" i="29"/>
  <c r="D32" i="29"/>
  <c r="B31" i="29"/>
  <c r="D29" i="28"/>
  <c r="B28" i="28"/>
  <c r="D29" i="27"/>
  <c r="B28" i="27"/>
  <c r="G27" i="27"/>
  <c r="E27" i="27"/>
  <c r="F27" i="27" s="1"/>
  <c r="H26" i="27"/>
  <c r="I26" i="27"/>
  <c r="I24" i="26"/>
  <c r="H24" i="26"/>
  <c r="B26" i="26"/>
  <c r="D27" i="26"/>
  <c r="E25" i="26"/>
  <c r="F25" i="26" s="1"/>
  <c r="G25" i="26"/>
  <c r="G26" i="25"/>
  <c r="E26" i="25"/>
  <c r="F26" i="25" s="1"/>
  <c r="D28" i="25"/>
  <c r="B27" i="25"/>
  <c r="I25" i="25"/>
  <c r="H25" i="25"/>
  <c r="G28" i="24"/>
  <c r="E28" i="24"/>
  <c r="F28" i="24" s="1"/>
  <c r="H27" i="24"/>
  <c r="D29" i="24"/>
  <c r="B29" i="24" s="1"/>
  <c r="D33" i="30" l="1"/>
  <c r="B32" i="30"/>
  <c r="G31" i="30"/>
  <c r="E31" i="30"/>
  <c r="F31" i="30" s="1"/>
  <c r="H30" i="30"/>
  <c r="I30" i="30"/>
  <c r="G31" i="29"/>
  <c r="E31" i="29"/>
  <c r="F31" i="29" s="1"/>
  <c r="B32" i="29"/>
  <c r="D33" i="29"/>
  <c r="I30" i="29"/>
  <c r="H30" i="29"/>
  <c r="B29" i="28"/>
  <c r="D30" i="28"/>
  <c r="I27" i="27"/>
  <c r="H27" i="27"/>
  <c r="G28" i="27"/>
  <c r="E28" i="27"/>
  <c r="F28" i="27" s="1"/>
  <c r="D30" i="27"/>
  <c r="B29" i="27"/>
  <c r="H25" i="26"/>
  <c r="I25" i="26"/>
  <c r="B27" i="26"/>
  <c r="D28" i="26"/>
  <c r="E26" i="26"/>
  <c r="F26" i="26" s="1"/>
  <c r="G26" i="26"/>
  <c r="G27" i="25"/>
  <c r="E27" i="25"/>
  <c r="F27" i="25" s="1"/>
  <c r="D29" i="25"/>
  <c r="B28" i="25"/>
  <c r="I26" i="25"/>
  <c r="H26" i="25"/>
  <c r="F29" i="24"/>
  <c r="I28" i="24"/>
  <c r="H28" i="24"/>
  <c r="D30" i="24"/>
  <c r="B30" i="24" s="1"/>
  <c r="H31" i="30" l="1"/>
  <c r="I31" i="30"/>
  <c r="G32" i="30"/>
  <c r="E32" i="30"/>
  <c r="F32" i="30" s="1"/>
  <c r="B33" i="30"/>
  <c r="D34" i="30"/>
  <c r="D34" i="29"/>
  <c r="B33" i="29"/>
  <c r="E32" i="29"/>
  <c r="F32" i="29" s="1"/>
  <c r="G32" i="29"/>
  <c r="I31" i="29"/>
  <c r="H31" i="29"/>
  <c r="D31" i="28"/>
  <c r="B30" i="28"/>
  <c r="E29" i="27"/>
  <c r="F29" i="27" s="1"/>
  <c r="G29" i="27"/>
  <c r="B30" i="27"/>
  <c r="D31" i="27"/>
  <c r="I28" i="27"/>
  <c r="H28" i="27"/>
  <c r="H26" i="26"/>
  <c r="I26" i="26"/>
  <c r="D29" i="26"/>
  <c r="B28" i="26"/>
  <c r="G27" i="26"/>
  <c r="E27" i="26"/>
  <c r="F27" i="26" s="1"/>
  <c r="E28" i="25"/>
  <c r="F28" i="25" s="1"/>
  <c r="G28" i="25"/>
  <c r="D30" i="25"/>
  <c r="B29" i="25"/>
  <c r="I27" i="25"/>
  <c r="H27" i="25"/>
  <c r="G30" i="24"/>
  <c r="E30" i="24"/>
  <c r="F30" i="24" s="1"/>
  <c r="H29" i="24"/>
  <c r="D31" i="24"/>
  <c r="B31" i="24" s="1"/>
  <c r="B34" i="30" l="1"/>
  <c r="D35" i="30"/>
  <c r="G33" i="30"/>
  <c r="E33" i="30"/>
  <c r="F33" i="30" s="1"/>
  <c r="I32" i="30"/>
  <c r="H32" i="30"/>
  <c r="I32" i="29"/>
  <c r="H32" i="29"/>
  <c r="G33" i="29"/>
  <c r="E33" i="29"/>
  <c r="F33" i="29" s="1"/>
  <c r="D35" i="29"/>
  <c r="B34" i="29"/>
  <c r="D32" i="28"/>
  <c r="B31" i="28"/>
  <c r="D32" i="27"/>
  <c r="B31" i="27"/>
  <c r="G30" i="27"/>
  <c r="E30" i="27"/>
  <c r="F30" i="27" s="1"/>
  <c r="I29" i="27"/>
  <c r="H29" i="27"/>
  <c r="I27" i="26"/>
  <c r="H27" i="26"/>
  <c r="G28" i="26"/>
  <c r="E28" i="26"/>
  <c r="F28" i="26" s="1"/>
  <c r="D30" i="26"/>
  <c r="B29" i="26"/>
  <c r="D31" i="25"/>
  <c r="B30" i="25"/>
  <c r="G29" i="25"/>
  <c r="E29" i="25"/>
  <c r="F29" i="25" s="1"/>
  <c r="I28" i="25"/>
  <c r="H28" i="25"/>
  <c r="E31" i="24"/>
  <c r="F31" i="24" s="1"/>
  <c r="G31" i="24"/>
  <c r="H30" i="24"/>
  <c r="I30" i="24"/>
  <c r="D32" i="24"/>
  <c r="B32" i="24" s="1"/>
  <c r="I33" i="30" l="1"/>
  <c r="H33" i="30"/>
  <c r="D36" i="30"/>
  <c r="B35" i="30"/>
  <c r="G34" i="30"/>
  <c r="E34" i="30"/>
  <c r="F34" i="30" s="1"/>
  <c r="G34" i="29"/>
  <c r="E34" i="29"/>
  <c r="F34" i="29" s="1"/>
  <c r="B35" i="29"/>
  <c r="D36" i="29"/>
  <c r="I33" i="29"/>
  <c r="H33" i="29"/>
  <c r="B32" i="28"/>
  <c r="D33" i="28"/>
  <c r="H30" i="27"/>
  <c r="I30" i="27"/>
  <c r="G31" i="27"/>
  <c r="E31" i="27"/>
  <c r="F31" i="27" s="1"/>
  <c r="B32" i="27"/>
  <c r="D33" i="27"/>
  <c r="E29" i="26"/>
  <c r="F29" i="26" s="1"/>
  <c r="G29" i="26"/>
  <c r="B30" i="26"/>
  <c r="D31" i="26"/>
  <c r="I28" i="26"/>
  <c r="H28" i="26"/>
  <c r="G30" i="25"/>
  <c r="E30" i="25"/>
  <c r="F30" i="25" s="1"/>
  <c r="I29" i="25"/>
  <c r="H29" i="25"/>
  <c r="B31" i="25"/>
  <c r="D32" i="25"/>
  <c r="H31" i="24"/>
  <c r="I31" i="24"/>
  <c r="G32" i="24"/>
  <c r="E32" i="24"/>
  <c r="F32" i="24" s="1"/>
  <c r="D33" i="24"/>
  <c r="B33" i="24" s="1"/>
  <c r="H34" i="30" l="1"/>
  <c r="I34" i="30"/>
  <c r="G35" i="30"/>
  <c r="E35" i="30"/>
  <c r="F35" i="30" s="1"/>
  <c r="B36" i="30"/>
  <c r="D37" i="30"/>
  <c r="G35" i="29"/>
  <c r="E35" i="29"/>
  <c r="F35" i="29" s="1"/>
  <c r="I34" i="29"/>
  <c r="H34" i="29"/>
  <c r="D37" i="29"/>
  <c r="B36" i="29"/>
  <c r="D34" i="28"/>
  <c r="B33" i="28"/>
  <c r="B33" i="27"/>
  <c r="D34" i="27"/>
  <c r="G32" i="27"/>
  <c r="E32" i="27"/>
  <c r="F32" i="27" s="1"/>
  <c r="I31" i="27"/>
  <c r="H31" i="27"/>
  <c r="B31" i="26"/>
  <c r="D32" i="26"/>
  <c r="E30" i="26"/>
  <c r="F30" i="26" s="1"/>
  <c r="G30" i="26"/>
  <c r="H29" i="26"/>
  <c r="I29" i="26"/>
  <c r="D33" i="25"/>
  <c r="B32" i="25"/>
  <c r="E31" i="25"/>
  <c r="F31" i="25" s="1"/>
  <c r="G31" i="25"/>
  <c r="H30" i="25"/>
  <c r="I30" i="25"/>
  <c r="E33" i="24"/>
  <c r="F33" i="24" s="1"/>
  <c r="G33" i="24"/>
  <c r="I32" i="24"/>
  <c r="H32" i="24"/>
  <c r="D34" i="24"/>
  <c r="B34" i="24" s="1"/>
  <c r="E36" i="30" l="1"/>
  <c r="F36" i="30" s="1"/>
  <c r="G36" i="30"/>
  <c r="I35" i="30"/>
  <c r="H35" i="30"/>
  <c r="D38" i="30"/>
  <c r="B37" i="30"/>
  <c r="G36" i="29"/>
  <c r="E36" i="29"/>
  <c r="F36" i="29" s="1"/>
  <c r="I35" i="29"/>
  <c r="H35" i="29"/>
  <c r="D38" i="29"/>
  <c r="B37" i="29"/>
  <c r="D35" i="28"/>
  <c r="B34" i="28"/>
  <c r="I32" i="27"/>
  <c r="H32" i="27"/>
  <c r="D35" i="27"/>
  <c r="B34" i="27"/>
  <c r="E31" i="26"/>
  <c r="F31" i="26" s="1"/>
  <c r="G31" i="26"/>
  <c r="H30" i="26"/>
  <c r="I30" i="26"/>
  <c r="D33" i="26"/>
  <c r="B32" i="26"/>
  <c r="G32" i="25"/>
  <c r="E32" i="25"/>
  <c r="F32" i="25" s="1"/>
  <c r="B33" i="25"/>
  <c r="D34" i="25"/>
  <c r="I31" i="25"/>
  <c r="H31" i="25"/>
  <c r="I33" i="24"/>
  <c r="H33" i="24"/>
  <c r="E34" i="24"/>
  <c r="F34" i="24" s="1"/>
  <c r="G34" i="24"/>
  <c r="D35" i="24"/>
  <c r="B35" i="24" s="1"/>
  <c r="I36" i="30" l="1"/>
  <c r="H36" i="30"/>
  <c r="E37" i="30"/>
  <c r="F37" i="30" s="1"/>
  <c r="G37" i="30"/>
  <c r="D39" i="30"/>
  <c r="B38" i="30"/>
  <c r="I36" i="29"/>
  <c r="H36" i="29"/>
  <c r="E37" i="29"/>
  <c r="F37" i="29" s="1"/>
  <c r="G37" i="29"/>
  <c r="B38" i="29"/>
  <c r="D39" i="29"/>
  <c r="B35" i="28"/>
  <c r="D36" i="28"/>
  <c r="E34" i="27"/>
  <c r="F34" i="27" s="1"/>
  <c r="G34" i="27"/>
  <c r="D36" i="27"/>
  <c r="B35" i="27"/>
  <c r="D34" i="26"/>
  <c r="B33" i="26"/>
  <c r="I31" i="26"/>
  <c r="H31" i="26"/>
  <c r="G32" i="26"/>
  <c r="E32" i="26"/>
  <c r="F32" i="26" s="1"/>
  <c r="B34" i="25"/>
  <c r="D35" i="25"/>
  <c r="F33" i="25"/>
  <c r="I32" i="25"/>
  <c r="H32" i="25"/>
  <c r="E35" i="24"/>
  <c r="F35" i="24" s="1"/>
  <c r="G35" i="24"/>
  <c r="I34" i="24"/>
  <c r="H34" i="24"/>
  <c r="D36" i="24"/>
  <c r="B36" i="24" s="1"/>
  <c r="G38" i="30" l="1"/>
  <c r="E38" i="30"/>
  <c r="F38" i="30" s="1"/>
  <c r="B39" i="30"/>
  <c r="I37" i="30"/>
  <c r="H37" i="30"/>
  <c r="B39" i="29"/>
  <c r="G38" i="29"/>
  <c r="E38" i="29"/>
  <c r="F38" i="29" s="1"/>
  <c r="I37" i="29"/>
  <c r="H37" i="29"/>
  <c r="D37" i="28"/>
  <c r="B36" i="28"/>
  <c r="E35" i="27"/>
  <c r="F35" i="27" s="1"/>
  <c r="G35" i="27"/>
  <c r="B36" i="27"/>
  <c r="D37" i="27"/>
  <c r="I34" i="27"/>
  <c r="H34" i="27"/>
  <c r="H32" i="26"/>
  <c r="I32" i="26"/>
  <c r="D35" i="26"/>
  <c r="B34" i="26"/>
  <c r="I33" i="25"/>
  <c r="H33" i="25"/>
  <c r="D36" i="25"/>
  <c r="B35" i="25"/>
  <c r="G34" i="25"/>
  <c r="E34" i="25"/>
  <c r="F34" i="25" s="1"/>
  <c r="E36" i="24"/>
  <c r="F36" i="24" s="1"/>
  <c r="G36" i="24"/>
  <c r="I35" i="24"/>
  <c r="H35" i="24"/>
  <c r="D37" i="24"/>
  <c r="B37" i="24" s="1"/>
  <c r="G39" i="30" l="1"/>
  <c r="E39" i="30"/>
  <c r="F39" i="30" s="1"/>
  <c r="I38" i="30"/>
  <c r="H38" i="30"/>
  <c r="H38" i="29"/>
  <c r="I38" i="29"/>
  <c r="G39" i="29"/>
  <c r="F39" i="29"/>
  <c r="D38" i="28"/>
  <c r="B37" i="28"/>
  <c r="D38" i="27"/>
  <c r="B37" i="27"/>
  <c r="G36" i="27"/>
  <c r="E36" i="27"/>
  <c r="F36" i="27" s="1"/>
  <c r="I35" i="27"/>
  <c r="H35" i="27"/>
  <c r="E34" i="26"/>
  <c r="F34" i="26" s="1"/>
  <c r="G34" i="26"/>
  <c r="B35" i="26"/>
  <c r="D36" i="26"/>
  <c r="I34" i="25"/>
  <c r="H34" i="25"/>
  <c r="G35" i="25"/>
  <c r="E35" i="25"/>
  <c r="F35" i="25" s="1"/>
  <c r="B36" i="25"/>
  <c r="D37" i="25"/>
  <c r="G37" i="24"/>
  <c r="E37" i="24"/>
  <c r="F37" i="24" s="1"/>
  <c r="I36" i="24"/>
  <c r="H36" i="24"/>
  <c r="D38" i="24"/>
  <c r="B38" i="24" s="1"/>
  <c r="H39" i="30" l="1"/>
  <c r="I39" i="30"/>
  <c r="F42" i="29"/>
  <c r="E42" i="29"/>
  <c r="G42" i="29"/>
  <c r="I39" i="29"/>
  <c r="H39" i="29"/>
  <c r="B38" i="28"/>
  <c r="D39" i="28"/>
  <c r="H36" i="27"/>
  <c r="I36" i="27"/>
  <c r="G37" i="27"/>
  <c r="E37" i="27"/>
  <c r="F37" i="27" s="1"/>
  <c r="D39" i="27"/>
  <c r="B38" i="27"/>
  <c r="B36" i="26"/>
  <c r="D37" i="26"/>
  <c r="G35" i="26"/>
  <c r="E35" i="26"/>
  <c r="F35" i="26" s="1"/>
  <c r="I34" i="26"/>
  <c r="H34" i="26"/>
  <c r="D38" i="25"/>
  <c r="B37" i="25"/>
  <c r="I35" i="25"/>
  <c r="H35" i="25"/>
  <c r="G36" i="25"/>
  <c r="E36" i="25"/>
  <c r="F36" i="25" s="1"/>
  <c r="E38" i="24"/>
  <c r="F38" i="24" s="1"/>
  <c r="G38" i="24"/>
  <c r="H37" i="24"/>
  <c r="I37" i="24"/>
  <c r="D39" i="24"/>
  <c r="B39" i="24" s="1"/>
  <c r="G42" i="30" l="1"/>
  <c r="F42" i="30"/>
  <c r="E42" i="30"/>
  <c r="H42" i="29"/>
  <c r="E43" i="29" s="1"/>
  <c r="D40" i="28"/>
  <c r="B40" i="28" s="1"/>
  <c r="B39" i="28"/>
  <c r="D40" i="27"/>
  <c r="B39" i="27"/>
  <c r="I37" i="27"/>
  <c r="H37" i="27"/>
  <c r="D38" i="26"/>
  <c r="B37" i="26"/>
  <c r="E36" i="26"/>
  <c r="F36" i="26" s="1"/>
  <c r="G36" i="26"/>
  <c r="I35" i="26"/>
  <c r="H35" i="26"/>
  <c r="I36" i="25"/>
  <c r="H36" i="25"/>
  <c r="G37" i="25"/>
  <c r="E37" i="25"/>
  <c r="F37" i="25" s="1"/>
  <c r="D39" i="25"/>
  <c r="B38" i="25"/>
  <c r="H38" i="24"/>
  <c r="I38" i="24"/>
  <c r="G39" i="24"/>
  <c r="E39" i="24"/>
  <c r="F39" i="24" s="1"/>
  <c r="D40" i="24"/>
  <c r="B40" i="24" s="1"/>
  <c r="H42" i="30" l="1"/>
  <c r="E43" i="30" s="1"/>
  <c r="B40" i="27"/>
  <c r="H36" i="26"/>
  <c r="I36" i="26"/>
  <c r="E37" i="26"/>
  <c r="F37" i="26" s="1"/>
  <c r="G37" i="26"/>
  <c r="B38" i="26"/>
  <c r="D39" i="26"/>
  <c r="B39" i="25"/>
  <c r="D40" i="25"/>
  <c r="I37" i="25"/>
  <c r="H37" i="25"/>
  <c r="E40" i="24"/>
  <c r="F40" i="24" s="1"/>
  <c r="G40" i="24"/>
  <c r="H39" i="24"/>
  <c r="I39" i="24"/>
  <c r="D41" i="24"/>
  <c r="B41" i="24" s="1"/>
  <c r="F41" i="28" l="1"/>
  <c r="E41" i="28"/>
  <c r="H41" i="28"/>
  <c r="G41" i="28"/>
  <c r="G40" i="27"/>
  <c r="E40" i="27"/>
  <c r="F40" i="27" s="1"/>
  <c r="B39" i="26"/>
  <c r="D40" i="26"/>
  <c r="I37" i="26"/>
  <c r="H37" i="26"/>
  <c r="D41" i="25"/>
  <c r="B41" i="25" s="1"/>
  <c r="B40" i="25"/>
  <c r="I40" i="24"/>
  <c r="H40" i="24"/>
  <c r="E41" i="24"/>
  <c r="G41" i="24"/>
  <c r="G42" i="24" s="1"/>
  <c r="E42" i="28" l="1"/>
  <c r="G41" i="27"/>
  <c r="F41" i="27"/>
  <c r="E41" i="27"/>
  <c r="I40" i="27"/>
  <c r="H40" i="27"/>
  <c r="D41" i="26"/>
  <c r="B41" i="26" s="1"/>
  <c r="B40" i="26"/>
  <c r="G40" i="25"/>
  <c r="E40" i="25"/>
  <c r="F40" i="25" s="1"/>
  <c r="G41" i="25"/>
  <c r="E41" i="25"/>
  <c r="F41" i="24"/>
  <c r="F42" i="24" s="1"/>
  <c r="E42" i="24"/>
  <c r="H41" i="24"/>
  <c r="H42" i="24" s="1"/>
  <c r="I41" i="24"/>
  <c r="H41" i="27" l="1"/>
  <c r="E42" i="27" s="1"/>
  <c r="G40" i="26"/>
  <c r="E40" i="26"/>
  <c r="F40" i="26" s="1"/>
  <c r="G41" i="26"/>
  <c r="E41" i="26"/>
  <c r="I41" i="25"/>
  <c r="H41" i="25"/>
  <c r="G42" i="25"/>
  <c r="I40" i="25"/>
  <c r="H40" i="25"/>
  <c r="F41" i="25"/>
  <c r="F42" i="25" s="1"/>
  <c r="E43" i="24"/>
  <c r="F41" i="26" l="1"/>
  <c r="F42" i="26" s="1"/>
  <c r="E42" i="26"/>
  <c r="I41" i="26"/>
  <c r="H41" i="26"/>
  <c r="G42" i="26"/>
  <c r="I40" i="26"/>
  <c r="H40" i="26"/>
  <c r="H42" i="25"/>
  <c r="E43" i="25" s="1"/>
  <c r="L299" i="23"/>
  <c r="G298" i="23"/>
  <c r="E298" i="23"/>
  <c r="G297" i="23"/>
  <c r="E297" i="23"/>
  <c r="L249" i="23"/>
  <c r="G248" i="23"/>
  <c r="E248" i="23"/>
  <c r="G247" i="23"/>
  <c r="E247" i="23"/>
  <c r="H42" i="26" l="1"/>
  <c r="E43" i="26" s="1"/>
  <c r="G299" i="23"/>
  <c r="G249" i="23"/>
  <c r="G198" i="23"/>
  <c r="E198" i="23"/>
  <c r="G197" i="23"/>
  <c r="E197" i="23"/>
  <c r="L199" i="23"/>
  <c r="G199" i="23" l="1"/>
  <c r="L149" i="23"/>
  <c r="G148" i="23"/>
  <c r="E148" i="23"/>
  <c r="G147" i="23"/>
  <c r="E147" i="23"/>
  <c r="G149" i="23" l="1"/>
  <c r="L91" i="23"/>
  <c r="G90" i="23"/>
  <c r="E90" i="23"/>
  <c r="G89" i="23"/>
  <c r="E89" i="23"/>
  <c r="G91" i="23" l="1"/>
  <c r="E40" i="23"/>
  <c r="L42" i="23"/>
  <c r="G41" i="23"/>
  <c r="E41" i="23"/>
  <c r="G40" i="23"/>
  <c r="G42" i="23" l="1"/>
  <c r="L677" i="22"/>
  <c r="G676" i="22"/>
  <c r="E676" i="22"/>
  <c r="G675" i="22"/>
  <c r="E675" i="22"/>
  <c r="G677" i="22" l="1"/>
  <c r="L627" i="22"/>
  <c r="G626" i="22"/>
  <c r="E626" i="22"/>
  <c r="G625" i="22"/>
  <c r="E625" i="22"/>
  <c r="G627" i="22" l="1"/>
  <c r="G576" i="22"/>
  <c r="E576" i="22"/>
  <c r="L577" i="22"/>
  <c r="L578" i="22" s="1"/>
  <c r="G577" i="22"/>
  <c r="E577" i="22"/>
  <c r="G578" i="22" l="1"/>
  <c r="L528" i="22"/>
  <c r="G527" i="22"/>
  <c r="E527" i="22"/>
  <c r="G526" i="22"/>
  <c r="E526" i="22"/>
  <c r="G528" i="22" l="1"/>
  <c r="E477" i="22"/>
  <c r="G477" i="22"/>
  <c r="G478" i="22"/>
  <c r="E478" i="22"/>
  <c r="L479" i="22"/>
  <c r="G479" i="22" l="1"/>
  <c r="L429" i="22"/>
  <c r="G428" i="22"/>
  <c r="E428" i="22"/>
  <c r="G427" i="22"/>
  <c r="E427" i="22"/>
  <c r="G429" i="22" l="1"/>
  <c r="L383" i="22"/>
  <c r="G382" i="22"/>
  <c r="E382" i="22"/>
  <c r="G381" i="22"/>
  <c r="E381" i="22"/>
  <c r="G383" i="22" l="1"/>
  <c r="L334" i="22"/>
  <c r="G333" i="22"/>
  <c r="E333" i="22"/>
  <c r="G332" i="22"/>
  <c r="E332" i="22"/>
  <c r="G334" i="22" l="1"/>
  <c r="L285" i="22"/>
  <c r="G284" i="22"/>
  <c r="E284" i="22"/>
  <c r="G283" i="22"/>
  <c r="E283" i="22"/>
  <c r="G285" i="22" l="1"/>
  <c r="L236" i="22"/>
  <c r="G235" i="22"/>
  <c r="E235" i="22"/>
  <c r="G234" i="22"/>
  <c r="E234" i="22"/>
  <c r="G236" i="22" l="1"/>
  <c r="L188" i="22"/>
  <c r="G187" i="22"/>
  <c r="E187" i="22"/>
  <c r="G186" i="22"/>
  <c r="E186" i="22"/>
  <c r="G188" i="22" l="1"/>
  <c r="L139" i="22"/>
  <c r="G138" i="22"/>
  <c r="E138" i="22"/>
  <c r="G137" i="22"/>
  <c r="E137" i="22"/>
  <c r="G139" i="22" l="1"/>
  <c r="G89" i="22"/>
  <c r="E89" i="22"/>
  <c r="L91" i="22"/>
  <c r="G90" i="22"/>
  <c r="E90" i="22"/>
  <c r="G91" i="22" l="1"/>
  <c r="L42" i="22"/>
  <c r="G41" i="22"/>
  <c r="E41" i="22"/>
  <c r="G42" i="22" l="1"/>
  <c r="L642" i="21"/>
  <c r="L690" i="21"/>
  <c r="G690" i="21"/>
  <c r="L689" i="21"/>
  <c r="E688" i="21"/>
  <c r="G688" i="21"/>
  <c r="E641" i="21"/>
  <c r="G641" i="21"/>
  <c r="G642" i="21" l="1"/>
  <c r="G689" i="21"/>
  <c r="G691" i="21" s="1"/>
  <c r="L691" i="21"/>
  <c r="L594" i="21"/>
  <c r="G593" i="21"/>
  <c r="E593" i="21"/>
  <c r="E594" i="21" l="1"/>
  <c r="E546" i="21"/>
  <c r="L547" i="21"/>
  <c r="G546" i="21"/>
  <c r="E547" i="21" l="1"/>
  <c r="L499" i="21"/>
  <c r="G498" i="21"/>
  <c r="E498" i="21"/>
  <c r="E499" i="21" l="1"/>
  <c r="L453" i="21"/>
  <c r="G452" i="21"/>
  <c r="E452" i="21"/>
  <c r="E453" i="21" l="1"/>
  <c r="G404" i="21"/>
  <c r="E404" i="21"/>
  <c r="L405" i="21"/>
  <c r="E405" i="21" l="1"/>
  <c r="L357" i="21"/>
  <c r="G356" i="21"/>
  <c r="E356" i="21"/>
  <c r="G325" i="21"/>
  <c r="E325" i="21"/>
  <c r="E357" i="21" l="1"/>
  <c r="E326" i="21"/>
  <c r="G293" i="21"/>
  <c r="E293" i="21"/>
  <c r="E261" i="21"/>
  <c r="G261" i="21"/>
  <c r="L294" i="21"/>
  <c r="E294" i="21" l="1"/>
  <c r="L358" i="21"/>
  <c r="E262" i="21"/>
  <c r="L230" i="21"/>
  <c r="L41" i="21"/>
  <c r="L104" i="21"/>
  <c r="L135" i="21"/>
  <c r="L167" i="21"/>
  <c r="G229" i="21"/>
  <c r="E229" i="21"/>
  <c r="G198" i="21"/>
  <c r="E198" i="21"/>
  <c r="L295" i="21" l="1"/>
  <c r="E199" i="21"/>
  <c r="E230" i="21"/>
  <c r="G166" i="21"/>
  <c r="E166" i="21"/>
  <c r="G134" i="21"/>
  <c r="E134" i="21"/>
  <c r="L231" i="21" l="1"/>
  <c r="E167" i="21"/>
  <c r="E135" i="21"/>
  <c r="G71" i="21"/>
  <c r="E71" i="21"/>
  <c r="G103" i="21"/>
  <c r="E103" i="21"/>
  <c r="L168" i="21" l="1"/>
  <c r="E72" i="21"/>
  <c r="E104" i="21" l="1"/>
  <c r="G40" i="21"/>
  <c r="E40" i="21"/>
  <c r="L105" i="21" l="1"/>
  <c r="L136" i="21"/>
  <c r="E41" i="21"/>
  <c r="O524" i="20"/>
  <c r="L520" i="20"/>
  <c r="K522" i="20" s="1"/>
  <c r="L514" i="20"/>
  <c r="K516" i="20" s="1"/>
  <c r="O500" i="20"/>
  <c r="L496" i="20"/>
  <c r="K498" i="20" s="1"/>
  <c r="L490" i="20"/>
  <c r="K492" i="20" s="1"/>
  <c r="O476" i="20"/>
  <c r="L472" i="20"/>
  <c r="K474" i="20" s="1"/>
  <c r="L466" i="20"/>
  <c r="K468" i="20" s="1"/>
  <c r="O452" i="20"/>
  <c r="L448" i="20"/>
  <c r="K450" i="20" s="1"/>
  <c r="L442" i="20"/>
  <c r="K444" i="20" s="1"/>
  <c r="O428" i="20"/>
  <c r="L424" i="20"/>
  <c r="K426" i="20" s="1"/>
  <c r="K428" i="20" s="1"/>
  <c r="L418" i="20"/>
  <c r="K420" i="20" s="1"/>
  <c r="K500" i="20" l="1"/>
  <c r="K476" i="20"/>
  <c r="K452" i="20"/>
  <c r="K524" i="20"/>
  <c r="O404" i="20"/>
  <c r="L400" i="20"/>
  <c r="K402" i="20" s="1"/>
  <c r="L394" i="20"/>
  <c r="K396" i="20" s="1"/>
  <c r="O380" i="20"/>
  <c r="L376" i="20"/>
  <c r="K378" i="20" s="1"/>
  <c r="L370" i="20"/>
  <c r="K372" i="20" s="1"/>
  <c r="O356" i="20"/>
  <c r="L352" i="20"/>
  <c r="K354" i="20" s="1"/>
  <c r="L346" i="20"/>
  <c r="K348" i="20" s="1"/>
  <c r="L322" i="20"/>
  <c r="K324" i="20" s="1"/>
  <c r="O332" i="20"/>
  <c r="L328" i="20"/>
  <c r="K330" i="20" s="1"/>
  <c r="K356" i="20" l="1"/>
  <c r="K404" i="20"/>
  <c r="K380" i="20"/>
  <c r="K332" i="20"/>
  <c r="O308" i="20"/>
  <c r="L304" i="20"/>
  <c r="K306" i="20" s="1"/>
  <c r="L298" i="20"/>
  <c r="K300" i="20" s="1"/>
  <c r="O284" i="20"/>
  <c r="L280" i="20"/>
  <c r="K282" i="20" s="1"/>
  <c r="L274" i="20"/>
  <c r="K276" i="20" s="1"/>
  <c r="O260" i="20"/>
  <c r="L256" i="20"/>
  <c r="K258" i="20" s="1"/>
  <c r="L250" i="20"/>
  <c r="K252" i="20" s="1"/>
  <c r="O236" i="20"/>
  <c r="L232" i="20"/>
  <c r="K234" i="20" s="1"/>
  <c r="L226" i="20"/>
  <c r="K228" i="20" s="1"/>
  <c r="K308" i="20" l="1"/>
  <c r="K284" i="20"/>
  <c r="K260" i="20"/>
  <c r="K236" i="20"/>
  <c r="O211" i="20"/>
  <c r="L207" i="20"/>
  <c r="K209" i="20" s="1"/>
  <c r="L201" i="20"/>
  <c r="K203" i="20" s="1"/>
  <c r="O187" i="20"/>
  <c r="L183" i="20"/>
  <c r="K185" i="20" s="1"/>
  <c r="L177" i="20"/>
  <c r="K179" i="20" s="1"/>
  <c r="L159" i="20"/>
  <c r="K161" i="20" s="1"/>
  <c r="O163" i="20"/>
  <c r="L153" i="20"/>
  <c r="K155" i="20" s="1"/>
  <c r="O139" i="20"/>
  <c r="L135" i="20"/>
  <c r="K137" i="20" s="1"/>
  <c r="L129" i="20"/>
  <c r="K131" i="20" s="1"/>
  <c r="K211" i="20" l="1"/>
  <c r="K187" i="20"/>
  <c r="K163" i="20"/>
  <c r="K139" i="20"/>
  <c r="O115" i="20" l="1"/>
  <c r="L111" i="20"/>
  <c r="K113" i="20" s="1"/>
  <c r="K115" i="20" s="1"/>
  <c r="L105" i="20"/>
  <c r="K107" i="20" s="1"/>
  <c r="O91" i="20" l="1"/>
  <c r="L87" i="20"/>
  <c r="K89" i="20" s="1"/>
  <c r="L81" i="20"/>
  <c r="K83" i="20" s="1"/>
  <c r="O67" i="20"/>
  <c r="L63" i="20"/>
  <c r="K65" i="20" s="1"/>
  <c r="L57" i="20"/>
  <c r="K59" i="20" s="1"/>
  <c r="O43" i="20"/>
  <c r="L39" i="20"/>
  <c r="K41" i="20" s="1"/>
  <c r="L33" i="20"/>
  <c r="K35" i="20" s="1"/>
  <c r="K91" i="20" l="1"/>
  <c r="K67" i="20"/>
  <c r="K43" i="20"/>
  <c r="O19" i="20"/>
  <c r="L15" i="20" l="1"/>
  <c r="K17" i="20" s="1"/>
  <c r="L9" i="20"/>
  <c r="K11" i="20" s="1"/>
  <c r="K19" i="20" s="1"/>
  <c r="L545" i="18" l="1"/>
  <c r="K547" i="18"/>
  <c r="L551" i="18"/>
  <c r="K553" i="18" s="1"/>
  <c r="L527" i="18"/>
  <c r="K529" i="18" s="1"/>
  <c r="L521" i="18"/>
  <c r="K523" i="18" s="1"/>
  <c r="K555" i="18" l="1"/>
  <c r="K531" i="18"/>
  <c r="L503" i="18"/>
  <c r="K505" i="18" s="1"/>
  <c r="L497" i="18"/>
  <c r="K499" i="18" s="1"/>
  <c r="L479" i="18"/>
  <c r="K481" i="18" s="1"/>
  <c r="L473" i="18"/>
  <c r="K475" i="18" s="1"/>
  <c r="K507" i="18" l="1"/>
  <c r="K483" i="18"/>
  <c r="L353" i="18"/>
  <c r="K355" i="18" s="1"/>
  <c r="O558" i="18" l="1"/>
  <c r="L455" i="18"/>
  <c r="K457" i="18" s="1"/>
  <c r="L449" i="18"/>
  <c r="K451" i="18" s="1"/>
  <c r="L431" i="18"/>
  <c r="K433" i="18" s="1"/>
  <c r="L425" i="18"/>
  <c r="K427" i="18" s="1"/>
  <c r="K459" i="18" l="1"/>
  <c r="K435" i="18"/>
  <c r="L407" i="18"/>
  <c r="K409" i="18" s="1"/>
  <c r="L401" i="18"/>
  <c r="K403" i="18" s="1"/>
  <c r="L383" i="18"/>
  <c r="K385" i="18" s="1"/>
  <c r="L377" i="18"/>
  <c r="K379" i="18" s="1"/>
  <c r="K411" i="18" l="1"/>
  <c r="K387" i="18"/>
  <c r="O462" i="18" s="1"/>
  <c r="L311" i="18"/>
  <c r="L359" i="18"/>
  <c r="K361" i="18" s="1"/>
  <c r="L335" i="18"/>
  <c r="L329" i="18"/>
  <c r="L305" i="18"/>
  <c r="L287" i="18"/>
  <c r="L281" i="18"/>
  <c r="L263" i="18"/>
  <c r="L257" i="18"/>
  <c r="K289" i="18" l="1"/>
  <c r="K259" i="18"/>
  <c r="K307" i="18"/>
  <c r="K337" i="18"/>
  <c r="K363" i="18"/>
  <c r="K331" i="18"/>
  <c r="K283" i="18"/>
  <c r="K313" i="18"/>
  <c r="K265" i="18"/>
  <c r="L239" i="18"/>
  <c r="L236" i="18"/>
  <c r="L231" i="18"/>
  <c r="L228" i="18"/>
  <c r="L226" i="18"/>
  <c r="L208" i="18"/>
  <c r="L205" i="18"/>
  <c r="L200" i="18"/>
  <c r="L197" i="18"/>
  <c r="L195" i="18"/>
  <c r="K291" i="18" l="1"/>
  <c r="K339" i="18"/>
  <c r="K267" i="18"/>
  <c r="K202" i="18"/>
  <c r="K241" i="18"/>
  <c r="K315" i="18"/>
  <c r="K233" i="18"/>
  <c r="K210" i="18"/>
  <c r="K211" i="18" s="1"/>
  <c r="L177" i="18"/>
  <c r="L174" i="18"/>
  <c r="L169" i="18"/>
  <c r="L166" i="18"/>
  <c r="L164" i="18"/>
  <c r="L146" i="18"/>
  <c r="L143" i="18"/>
  <c r="L138" i="18"/>
  <c r="L135" i="18"/>
  <c r="L133" i="18"/>
  <c r="O366" i="18" l="1"/>
  <c r="K242" i="18"/>
  <c r="K148" i="18"/>
  <c r="K179" i="18"/>
  <c r="K171" i="18"/>
  <c r="K140" i="18"/>
  <c r="L115" i="18"/>
  <c r="L112" i="18"/>
  <c r="L107" i="18"/>
  <c r="L104" i="18"/>
  <c r="L102" i="18"/>
  <c r="L84" i="18"/>
  <c r="L81" i="18"/>
  <c r="L76" i="18"/>
  <c r="L73" i="18"/>
  <c r="L71" i="18"/>
  <c r="K180" i="18" l="1"/>
  <c r="K149" i="18"/>
  <c r="K117" i="18"/>
  <c r="K109" i="18"/>
  <c r="K78" i="18"/>
  <c r="K86" i="18"/>
  <c r="L49" i="19"/>
  <c r="K51" i="19" s="1"/>
  <c r="L29" i="19"/>
  <c r="K31" i="19" s="1"/>
  <c r="O245" i="18" l="1"/>
  <c r="K118" i="18"/>
  <c r="K87" i="18"/>
  <c r="L9" i="19"/>
  <c r="K11" i="19" s="1"/>
  <c r="L53" i="18" l="1"/>
  <c r="L50" i="18"/>
  <c r="L45" i="18"/>
  <c r="L42" i="18"/>
  <c r="L40" i="18"/>
  <c r="L22" i="18"/>
  <c r="L19" i="18"/>
  <c r="L14" i="18"/>
  <c r="L11" i="18"/>
  <c r="L9" i="18"/>
  <c r="K24" i="18" l="1"/>
  <c r="K47" i="18"/>
  <c r="K55" i="18"/>
  <c r="K16" i="18"/>
  <c r="L271" i="12"/>
  <c r="L268" i="12"/>
  <c r="K273" i="12" s="1"/>
  <c r="F276" i="12" s="1"/>
  <c r="L263" i="12"/>
  <c r="L260" i="12"/>
  <c r="L258" i="12"/>
  <c r="E249" i="12"/>
  <c r="K265" i="12" l="1"/>
  <c r="F275" i="12" s="1"/>
  <c r="K25" i="18"/>
  <c r="K56" i="18"/>
  <c r="O121" i="18" s="1"/>
  <c r="F277" i="12"/>
  <c r="E242" i="12"/>
  <c r="H242" i="12" s="1"/>
  <c r="E235" i="12"/>
  <c r="H235" i="12"/>
  <c r="L222" i="12"/>
  <c r="L219" i="12"/>
  <c r="K224" i="12" s="1"/>
  <c r="F227" i="12" s="1"/>
  <c r="L214" i="12"/>
  <c r="K216" i="12" s="1"/>
  <c r="F226" i="12" s="1"/>
  <c r="L211" i="12"/>
  <c r="L209" i="12"/>
  <c r="F228" i="12" l="1"/>
  <c r="I242" i="12"/>
  <c r="J242" i="12" s="1"/>
  <c r="I235" i="12"/>
  <c r="J235" i="12" s="1"/>
  <c r="L194" i="12"/>
  <c r="L191" i="12"/>
  <c r="L186" i="12"/>
  <c r="L183" i="12"/>
  <c r="L181" i="12"/>
  <c r="K196" i="12" l="1"/>
  <c r="F199" i="12" s="1"/>
  <c r="K188" i="12"/>
  <c r="F198" i="12" s="1"/>
  <c r="I228" i="12"/>
  <c r="L166" i="12"/>
  <c r="L163" i="12"/>
  <c r="L158" i="12"/>
  <c r="L155" i="12"/>
  <c r="L153" i="12"/>
  <c r="K160" i="12" l="1"/>
  <c r="F170" i="12" s="1"/>
  <c r="J228" i="12"/>
  <c r="K228" i="12" s="1"/>
  <c r="K168" i="12"/>
  <c r="F171" i="12" s="1"/>
  <c r="F172" i="12" s="1"/>
  <c r="B10" i="17"/>
  <c r="B6" i="17"/>
  <c r="I172" i="12" l="1"/>
  <c r="J172" i="12" s="1"/>
  <c r="K172" i="12" s="1"/>
  <c r="F200" i="12"/>
  <c r="C10" i="17"/>
  <c r="D10" i="17" s="1"/>
  <c r="C6" i="17"/>
  <c r="D6" i="17" s="1"/>
  <c r="L138" i="12"/>
  <c r="L135" i="12"/>
  <c r="K140" i="12" s="1"/>
  <c r="F143" i="12" s="1"/>
  <c r="L130" i="12"/>
  <c r="L127" i="12"/>
  <c r="L125" i="12"/>
  <c r="I200" i="12" l="1"/>
  <c r="K132" i="12"/>
  <c r="F142" i="12" s="1"/>
  <c r="L110" i="12"/>
  <c r="L107" i="12"/>
  <c r="L102" i="12"/>
  <c r="L99" i="12"/>
  <c r="L97" i="12"/>
  <c r="K112" i="12" l="1"/>
  <c r="F115" i="12" s="1"/>
  <c r="J200" i="12"/>
  <c r="K200" i="12" s="1"/>
  <c r="F144" i="12"/>
  <c r="K104" i="12"/>
  <c r="F114" i="12" s="1"/>
  <c r="F116" i="12" s="1"/>
  <c r="L82" i="12"/>
  <c r="L79" i="12"/>
  <c r="L74" i="12"/>
  <c r="L71" i="12"/>
  <c r="L69" i="12"/>
  <c r="I144" i="12" l="1"/>
  <c r="J144" i="12" s="1"/>
  <c r="K144" i="12" s="1"/>
  <c r="O225" i="12"/>
  <c r="I116" i="12"/>
  <c r="J116" i="12" s="1"/>
  <c r="K116" i="12" s="1"/>
  <c r="K76" i="12"/>
  <c r="F86" i="12" s="1"/>
  <c r="K84" i="12"/>
  <c r="F87" i="12" s="1"/>
  <c r="L54" i="12"/>
  <c r="L51" i="12"/>
  <c r="L45" i="12"/>
  <c r="L42" i="12"/>
  <c r="L40" i="12"/>
  <c r="L56" i="12" l="1"/>
  <c r="F59" i="12" s="1"/>
  <c r="F88" i="12"/>
  <c r="L47" i="12"/>
  <c r="F58" i="12" s="1"/>
  <c r="F60" i="12" s="1"/>
  <c r="I60" i="12" s="1"/>
  <c r="J60" i="12" s="1"/>
  <c r="K60" i="12" s="1"/>
  <c r="L23" i="12"/>
  <c r="L20" i="12"/>
  <c r="L14" i="12"/>
  <c r="L11" i="12"/>
  <c r="L9" i="12"/>
  <c r="I88" i="12" l="1"/>
  <c r="J88" i="12" s="1"/>
  <c r="K88" i="12" s="1"/>
  <c r="L25" i="12"/>
  <c r="F28" i="12" s="1"/>
  <c r="L16" i="12"/>
  <c r="F27" i="12" s="1"/>
  <c r="F29" i="12" l="1"/>
  <c r="I29" i="12" l="1"/>
  <c r="J29" i="12" s="1"/>
  <c r="K29" i="12" s="1"/>
  <c r="O116" i="12"/>
  <c r="O218" i="11" l="1"/>
  <c r="O209" i="11"/>
  <c r="O190" i="11"/>
  <c r="O181" i="11"/>
  <c r="O162" i="11"/>
  <c r="O153" i="11"/>
  <c r="O134" i="11"/>
  <c r="O122" i="11"/>
  <c r="O225" i="11" s="1"/>
  <c r="O106" i="11"/>
  <c r="O97" i="11"/>
  <c r="O78" i="11"/>
  <c r="O69" i="11"/>
  <c r="O50" i="11"/>
  <c r="O41" i="11"/>
  <c r="O13" i="11"/>
  <c r="O22" i="11"/>
  <c r="O113" i="11" l="1"/>
  <c r="L217" i="11" l="1"/>
  <c r="L214" i="11"/>
  <c r="L219" i="11" s="1"/>
  <c r="F222" i="11" s="1"/>
  <c r="L208" i="11"/>
  <c r="L205" i="11"/>
  <c r="L203" i="11"/>
  <c r="L210" i="11" l="1"/>
  <c r="F221" i="11" s="1"/>
  <c r="F223" i="11" s="1"/>
  <c r="I223" i="11" s="1"/>
  <c r="J223" i="11" s="1"/>
  <c r="K223" i="11" s="1"/>
  <c r="L189" i="11"/>
  <c r="L186" i="11"/>
  <c r="L191" i="11" s="1"/>
  <c r="F194" i="11" s="1"/>
  <c r="L180" i="11"/>
  <c r="L177" i="11"/>
  <c r="L175" i="11"/>
  <c r="L182" i="11" l="1"/>
  <c r="F193" i="11" s="1"/>
  <c r="F195" i="11" s="1"/>
  <c r="I195" i="11" s="1"/>
  <c r="J195" i="11" s="1"/>
  <c r="K195" i="11" s="1"/>
  <c r="L161" i="11"/>
  <c r="L158" i="11"/>
  <c r="L163" i="11" s="1"/>
  <c r="F166" i="11" s="1"/>
  <c r="L152" i="11"/>
  <c r="L149" i="11"/>
  <c r="L147" i="11"/>
  <c r="L154" i="11" l="1"/>
  <c r="F165" i="11" s="1"/>
  <c r="F167" i="11" s="1"/>
  <c r="I167" i="11" s="1"/>
  <c r="J167" i="11" s="1"/>
  <c r="K167" i="11" s="1"/>
  <c r="L133" i="11"/>
  <c r="L130" i="11"/>
  <c r="L135" i="11" s="1"/>
  <c r="F138" i="11" s="1"/>
  <c r="L124" i="11"/>
  <c r="L121" i="11"/>
  <c r="L119" i="11"/>
  <c r="L126" i="11" s="1"/>
  <c r="F137" i="11" s="1"/>
  <c r="F139" i="11" l="1"/>
  <c r="I139" i="11" s="1"/>
  <c r="L105" i="11"/>
  <c r="L102" i="11"/>
  <c r="L107" i="11" s="1"/>
  <c r="F110" i="11" s="1"/>
  <c r="L96" i="11"/>
  <c r="L93" i="11"/>
  <c r="L91" i="11"/>
  <c r="L98" i="11" l="1"/>
  <c r="F109" i="11" s="1"/>
  <c r="J139" i="11"/>
  <c r="K139" i="11" s="1"/>
  <c r="F111" i="11"/>
  <c r="I111" i="11" s="1"/>
  <c r="J111" i="11" s="1"/>
  <c r="K111" i="11" s="1"/>
  <c r="L77" i="11"/>
  <c r="L74" i="11"/>
  <c r="L79" i="11" s="1"/>
  <c r="F82" i="11" s="1"/>
  <c r="L68" i="11"/>
  <c r="L65" i="11"/>
  <c r="L63" i="11"/>
  <c r="L70" i="11" l="1"/>
  <c r="F81" i="11" s="1"/>
  <c r="F83" i="11" s="1"/>
  <c r="I83" i="11" s="1"/>
  <c r="J83" i="11" s="1"/>
  <c r="K83" i="11" s="1"/>
  <c r="L49" i="11"/>
  <c r="L46" i="11"/>
  <c r="L51" i="11" s="1"/>
  <c r="F54" i="11" s="1"/>
  <c r="L40" i="11"/>
  <c r="L37" i="11"/>
  <c r="L35" i="11"/>
  <c r="L42" i="11" l="1"/>
  <c r="F53" i="11" s="1"/>
  <c r="F55" i="11" s="1"/>
  <c r="I55" i="11" s="1"/>
  <c r="J55" i="11" s="1"/>
  <c r="K55" i="11" s="1"/>
  <c r="L21" i="11"/>
  <c r="L18" i="11"/>
  <c r="L12" i="11"/>
  <c r="L9" i="11"/>
  <c r="L7" i="11"/>
  <c r="L14" i="11" l="1"/>
  <c r="F25" i="11" s="1"/>
  <c r="L23" i="11"/>
  <c r="F26" i="11" s="1"/>
  <c r="F27" i="11" l="1"/>
  <c r="I27" i="11" s="1"/>
  <c r="J27" i="11" s="1"/>
  <c r="K27" i="11" s="1"/>
  <c r="Y124" i="3"/>
  <c r="U124" i="3"/>
  <c r="P124" i="3"/>
  <c r="L124" i="3"/>
  <c r="G124" i="3"/>
  <c r="F117" i="3"/>
  <c r="C124" i="3" s="1"/>
  <c r="Y113" i="3"/>
  <c r="P113" i="3"/>
  <c r="G113" i="3"/>
  <c r="O110" i="3"/>
  <c r="X106" i="3"/>
  <c r="U113" i="3" s="1"/>
  <c r="O106" i="3"/>
  <c r="F106" i="3"/>
  <c r="C113" i="3" s="1"/>
  <c r="L113" i="3" l="1"/>
  <c r="N125" i="3"/>
  <c r="F91" i="3"/>
  <c r="C98" i="3" s="1"/>
  <c r="X80" i="3"/>
  <c r="U87" i="3" s="1"/>
  <c r="O84" i="3"/>
  <c r="O80" i="3"/>
  <c r="F80" i="3"/>
  <c r="Y98" i="3"/>
  <c r="U98" i="3"/>
  <c r="P98" i="3"/>
  <c r="L98" i="3"/>
  <c r="G98" i="3"/>
  <c r="Y87" i="3"/>
  <c r="P87" i="3"/>
  <c r="G87" i="3"/>
  <c r="L87" i="3"/>
  <c r="C87" i="3"/>
  <c r="N99" i="3" l="1"/>
  <c r="P72" i="3"/>
  <c r="L72" i="3"/>
  <c r="G72" i="3"/>
  <c r="F65" i="3"/>
  <c r="C72" i="3" s="1"/>
  <c r="Y72" i="3"/>
  <c r="U72" i="3"/>
  <c r="Y61" i="3" l="1"/>
  <c r="P61" i="3"/>
  <c r="G61" i="3"/>
  <c r="X54" i="3"/>
  <c r="U61" i="3" s="1"/>
  <c r="O54" i="3"/>
  <c r="L61" i="3" s="1"/>
  <c r="F54" i="3"/>
  <c r="C61" i="3" s="1"/>
  <c r="N73" i="3" s="1"/>
  <c r="AP40" i="3" l="1"/>
  <c r="AM47" i="3" s="1"/>
  <c r="AG40" i="3"/>
  <c r="AD47" i="3" s="1"/>
  <c r="X40" i="3"/>
  <c r="U47" i="3" s="1"/>
  <c r="O40" i="3"/>
  <c r="L47" i="3" s="1"/>
  <c r="F40" i="3"/>
  <c r="C47" i="3" s="1"/>
  <c r="AQ47" i="3"/>
  <c r="AH47" i="3"/>
  <c r="Y47" i="3"/>
  <c r="P47" i="3"/>
  <c r="G47" i="3"/>
  <c r="N48" i="3" l="1"/>
  <c r="AV22" i="3"/>
  <c r="AZ34" i="3"/>
  <c r="AV34" i="3"/>
  <c r="L34" i="3" l="1"/>
  <c r="C37" i="3"/>
  <c r="AQ34" i="3"/>
  <c r="AM34" i="3"/>
  <c r="AH34" i="3"/>
  <c r="AD34" i="3"/>
  <c r="Y34" i="3"/>
  <c r="U34" i="3"/>
  <c r="P34" i="3"/>
  <c r="G34" i="3"/>
  <c r="AQ22" i="3" l="1"/>
  <c r="AM22" i="3"/>
  <c r="AH22" i="3" l="1"/>
  <c r="AD22" i="3"/>
  <c r="Y22" i="3"/>
  <c r="U22" i="3"/>
  <c r="P22" i="3" l="1"/>
  <c r="L22" i="3"/>
  <c r="G22" i="3"/>
  <c r="C22" i="3"/>
  <c r="G23" i="3" l="1"/>
</calcChain>
</file>

<file path=xl/sharedStrings.xml><?xml version="1.0" encoding="utf-8"?>
<sst xmlns="http://schemas.openxmlformats.org/spreadsheetml/2006/main" count="9787" uniqueCount="432">
  <si>
    <t>07.30</t>
  </si>
  <si>
    <t>SHIFT</t>
  </si>
  <si>
    <t>HARI</t>
  </si>
  <si>
    <t>TANGGAL</t>
  </si>
  <si>
    <t>SENIN</t>
  </si>
  <si>
    <t>PARITKESIT</t>
  </si>
  <si>
    <t>JMLH</t>
  </si>
  <si>
    <t>1 Medium</t>
  </si>
  <si>
    <t>JAM</t>
  </si>
  <si>
    <t>06.00</t>
  </si>
  <si>
    <t>VENDOR</t>
  </si>
  <si>
    <t>OT</t>
  </si>
  <si>
    <t>JAM KERJA</t>
  </si>
  <si>
    <t>-</t>
  </si>
  <si>
    <t>PIC sewa</t>
  </si>
  <si>
    <t>…..</t>
  </si>
  <si>
    <t>Renny</t>
  </si>
  <si>
    <t>SEMPEL</t>
  </si>
  <si>
    <t>PIC SEWA</t>
  </si>
  <si>
    <t>DATA SEWA ARMADA UNTUK KARYAWAN BBF</t>
  </si>
  <si>
    <t>I</t>
  </si>
  <si>
    <t>DAMRI</t>
  </si>
  <si>
    <t>1 Besar</t>
  </si>
  <si>
    <t>SELASA</t>
  </si>
  <si>
    <t>PARIKESIT</t>
  </si>
  <si>
    <t>18.30</t>
  </si>
  <si>
    <t>II</t>
  </si>
  <si>
    <t>BIAYA</t>
  </si>
  <si>
    <t>11.00</t>
  </si>
  <si>
    <t>RABU</t>
  </si>
  <si>
    <t>KAMIS</t>
  </si>
  <si>
    <t>JUM'AT</t>
  </si>
  <si>
    <t>1  Besar</t>
  </si>
  <si>
    <t>1 BESAR</t>
  </si>
  <si>
    <t>08.00</t>
  </si>
  <si>
    <t>ELF</t>
  </si>
  <si>
    <t>2 MEDIUM</t>
  </si>
  <si>
    <t>1 LUXIO</t>
  </si>
  <si>
    <t>1LUXIO</t>
  </si>
  <si>
    <t>2 Medium</t>
  </si>
  <si>
    <t>SABTU</t>
  </si>
  <si>
    <t>1 MEDIUM</t>
  </si>
  <si>
    <t>CSR</t>
  </si>
  <si>
    <t>MINGGU</t>
  </si>
  <si>
    <t>1 ELF</t>
  </si>
  <si>
    <t>JUMLAH :</t>
  </si>
  <si>
    <t>1 elf</t>
  </si>
  <si>
    <t>PERIODE : 16 - 22 OKTOBER 2017</t>
  </si>
  <si>
    <t>PERIODE : 23 - 29 Oktober 2017</t>
  </si>
  <si>
    <t>1 Medium + 1 Elf</t>
  </si>
  <si>
    <t>1 LUXIO + 1 elf</t>
  </si>
  <si>
    <t>1 luxio</t>
  </si>
  <si>
    <t>1 Luxio</t>
  </si>
  <si>
    <t>07.15</t>
  </si>
  <si>
    <t>06.15</t>
  </si>
  <si>
    <t>HARGA</t>
  </si>
  <si>
    <t>1 BIS</t>
  </si>
  <si>
    <t>OVERTIME</t>
  </si>
  <si>
    <t>JENIS</t>
  </si>
  <si>
    <t>JUM' AT</t>
  </si>
  <si>
    <t>SHIFT : I</t>
  </si>
  <si>
    <t>SHIFT : II</t>
  </si>
  <si>
    <t>TOTAL</t>
  </si>
  <si>
    <t>BIAYA SEWA</t>
  </si>
  <si>
    <t>Grand Total Shift I</t>
  </si>
  <si>
    <t>Grand Total Shift II</t>
  </si>
  <si>
    <t>SEWA ARMADA UNTUK KARYAWAN DARI BBF PERIODE 6 - 12 NOVEMBER 2017</t>
  </si>
  <si>
    <t>1 ELF + antar GKM</t>
  </si>
  <si>
    <t>SEWA ARMADA UNTUK KARYAWAN DARI BBF PERIODE 13 - 19 NOVEMBER 2017</t>
  </si>
  <si>
    <t>ELF DROP</t>
  </si>
  <si>
    <t>Armada 1</t>
  </si>
  <si>
    <t xml:space="preserve">Armada 2 </t>
  </si>
  <si>
    <t>SEWA ARMADA UNTUK KARYAWAN DARI BBF PERIODE 20 - 26 NOVEMBER 2017</t>
  </si>
  <si>
    <t>SEWA ARMADA UNTUK KARYAWAN DARI BBF PERIODE 27 NOVEMBER - 3 DESEMBER 2017</t>
  </si>
  <si>
    <t>SEWA ARMADA UNTUK KARYAWAN DARI BBF PERIODE 4 - 10 Desember 2017</t>
  </si>
  <si>
    <t>1 BIS BESAR</t>
  </si>
  <si>
    <t>DPP</t>
  </si>
  <si>
    <t>PPH 4%</t>
  </si>
  <si>
    <t xml:space="preserve">BAYAR </t>
  </si>
  <si>
    <t>LUXIO</t>
  </si>
  <si>
    <t>SEWA ARMADA UNTUK KARYAWAN DARI BBF PERIODE 11 - 17 Desember 2017</t>
  </si>
  <si>
    <t>1 BIS MEDIUM</t>
  </si>
  <si>
    <t>SEWA ARMADA UNTUK KARYAWAN DARI BBF PERIODE 18 - 24 Desember 2017</t>
  </si>
  <si>
    <t>SEWA ARMADA UNTUK KARYAWAN DARI BBF PERIODE 25 - 31 Desember 2017</t>
  </si>
  <si>
    <t>BULAN</t>
  </si>
  <si>
    <t>KETERANGAN</t>
  </si>
  <si>
    <t>1 mobilio</t>
  </si>
  <si>
    <t xml:space="preserve">NAMA VENDOR </t>
  </si>
  <si>
    <t>: MJM RENT CAR</t>
  </si>
  <si>
    <t>PERIODE 4 - 10 JUNI 2018</t>
  </si>
  <si>
    <t>Sewa armada untuk karyawan dari BBF ke TF</t>
  </si>
  <si>
    <t>NO.03</t>
  </si>
  <si>
    <t>NO.02</t>
  </si>
  <si>
    <t>PERIODE 11 - 17 JUNI 2018</t>
  </si>
  <si>
    <t>1 MOBILIO</t>
  </si>
  <si>
    <t>2 BIS MEDIUM</t>
  </si>
  <si>
    <t>3 BIS MEDIUM</t>
  </si>
  <si>
    <t>2 MOBILIO</t>
  </si>
  <si>
    <t>3 MOBILIO</t>
  </si>
  <si>
    <t>NO.06</t>
  </si>
  <si>
    <t>PERIODE 2 - 8 JULI 2018</t>
  </si>
  <si>
    <t>PERIODE 25 JUNI - 1 JULI 2018</t>
  </si>
  <si>
    <t>NO.04 &amp; 05</t>
  </si>
  <si>
    <t>PERIODE 09 - 15 JULI 2018</t>
  </si>
  <si>
    <t>PERIODE 16 - 22 JULI 2018</t>
  </si>
  <si>
    <t>NO.07 &amp; 08</t>
  </si>
  <si>
    <t>No : 09</t>
  </si>
  <si>
    <t>PERIODE : 23 - 27 Juli 2018</t>
  </si>
  <si>
    <t>Harga sewa 1 Unit PP</t>
  </si>
  <si>
    <t>Jumlah Hadri</t>
  </si>
  <si>
    <t>PERIODE : 30 Juli - 5 Agustus 2018</t>
  </si>
  <si>
    <t>No : 10</t>
  </si>
  <si>
    <t>SMK</t>
  </si>
  <si>
    <t>FYH</t>
  </si>
  <si>
    <t>AWI</t>
  </si>
  <si>
    <t>PT. SEMARANG AUTOCOMP MANUFACTURING INDONESIA</t>
  </si>
  <si>
    <t>Total Biaya Shift I &amp; Shift II :</t>
  </si>
  <si>
    <t>Jumlah biaya Shift II            :</t>
  </si>
  <si>
    <t>Jumlah biaya Shift I           :</t>
  </si>
  <si>
    <t>HAL</t>
  </si>
  <si>
    <t>PERIODE</t>
  </si>
  <si>
    <t>NOMOR ORDER</t>
  </si>
  <si>
    <t>: SEWA ARMADA UNTUK KARYAWAN DARI SAMI BERGAS KE SAMI TUGU</t>
  </si>
  <si>
    <t>: 06 - 12 AGUSTUS 2018</t>
  </si>
  <si>
    <t xml:space="preserve">Kepada </t>
  </si>
  <si>
    <t xml:space="preserve">Tanggal Order </t>
  </si>
  <si>
    <t>: MJM Rentcar</t>
  </si>
  <si>
    <t>: 07 Agustus 2018</t>
  </si>
  <si>
    <t>Prepared</t>
  </si>
  <si>
    <t>Checked I</t>
  </si>
  <si>
    <t>Approved I</t>
  </si>
  <si>
    <t>Approved II</t>
  </si>
  <si>
    <t>Date :</t>
  </si>
  <si>
    <t>MJM Rentcar</t>
  </si>
  <si>
    <t>Jenis Armada</t>
  </si>
  <si>
    <t>Harga</t>
  </si>
  <si>
    <t>Accepted by,</t>
  </si>
  <si>
    <t>: Bp. Hadi Prastowo</t>
  </si>
  <si>
    <t xml:space="preserve">PT. SEMARANG AUTOCOMP MANUFACTURING INDONESIA </t>
  </si>
  <si>
    <t>: SEWA ARMADA UNTUK KARYAWAN DARI SAMI TUGU KE SAMI JEPARA</t>
  </si>
  <si>
    <t>: 23 - 27 JULI 2018</t>
  </si>
  <si>
    <t>: MJM/Jepara/01/23-27/07/2018</t>
  </si>
  <si>
    <t>Total Biaya Sewa :</t>
  </si>
  <si>
    <t>: 20 Juli 2018</t>
  </si>
  <si>
    <t>Approved</t>
  </si>
  <si>
    <t>KETERANGAN SEWA :</t>
  </si>
  <si>
    <t xml:space="preserve">Berangkat </t>
  </si>
  <si>
    <t>Pulang</t>
  </si>
  <si>
    <t>: dari SAMI Jepara jam 16.00</t>
  </si>
  <si>
    <t>: dari SAMI Tugu jam 07.00</t>
  </si>
  <si>
    <t>Keperluan</t>
  </si>
  <si>
    <t>: Back up karyawan sami Tugu perbantuan ke sami Jepara</t>
  </si>
  <si>
    <t>: dari SAMI Jepara jam 07.00</t>
  </si>
  <si>
    <t>: Antar MP PRD sami tugu yang perbantuan di sami jepara kembali ke sami tugu</t>
  </si>
  <si>
    <t>: 27 Juli 2018</t>
  </si>
  <si>
    <t>: 28 Juli 2018</t>
  </si>
  <si>
    <t>: 30 JULI - 3 AGUSTUS 2018</t>
  </si>
  <si>
    <t>SHIFT : I
B</t>
  </si>
  <si>
    <t>SHIFT : II
A</t>
  </si>
  <si>
    <t>: 13 - 19 Agustus 2018</t>
  </si>
  <si>
    <t>: 20 - 26 Agustus 2018</t>
  </si>
  <si>
    <t>SHIFT : I              
A</t>
  </si>
  <si>
    <t>SHIFT : II
B</t>
  </si>
  <si>
    <t>Armada 1
(31seat)</t>
  </si>
  <si>
    <t>: 27 - 31 AGUSTUS 2018</t>
  </si>
  <si>
    <t>SHIFT : I
A</t>
  </si>
  <si>
    <r>
      <t>: GA/Bis/BBF/</t>
    </r>
    <r>
      <rPr>
        <b/>
        <sz val="16"/>
        <color theme="1"/>
        <rFont val="Calibri"/>
        <family val="2"/>
        <scheme val="minor"/>
      </rPr>
      <t>014</t>
    </r>
  </si>
  <si>
    <r>
      <t>: GA/Bis/BBF/</t>
    </r>
    <r>
      <rPr>
        <b/>
        <sz val="16"/>
        <color theme="1"/>
        <rFont val="Calibri"/>
        <family val="2"/>
        <scheme val="minor"/>
      </rPr>
      <t>013</t>
    </r>
  </si>
  <si>
    <r>
      <t>: GA/Bis/BBF/</t>
    </r>
    <r>
      <rPr>
        <b/>
        <sz val="16"/>
        <color theme="1"/>
        <rFont val="Calibri"/>
        <family val="2"/>
        <scheme val="minor"/>
      </rPr>
      <t>012</t>
    </r>
  </si>
  <si>
    <r>
      <t>: GA/Bis/BBF/</t>
    </r>
    <r>
      <rPr>
        <b/>
        <sz val="16"/>
        <color theme="1"/>
        <rFont val="Calibri"/>
        <family val="2"/>
        <scheme val="minor"/>
      </rPr>
      <t>011</t>
    </r>
  </si>
  <si>
    <t>: 13 Agustus 2018</t>
  </si>
  <si>
    <r>
      <t>: GA/Bis/BBF/</t>
    </r>
    <r>
      <rPr>
        <b/>
        <sz val="16"/>
        <color theme="1"/>
        <rFont val="Calibri"/>
        <family val="2"/>
        <scheme val="minor"/>
      </rPr>
      <t>015</t>
    </r>
  </si>
  <si>
    <t>: 3 - 9 September</t>
  </si>
  <si>
    <t>Nama</t>
  </si>
  <si>
    <r>
      <t>: GA/Bis/BBF/</t>
    </r>
    <r>
      <rPr>
        <b/>
        <sz val="16"/>
        <color theme="1"/>
        <rFont val="Calibri"/>
        <family val="2"/>
        <scheme val="minor"/>
      </rPr>
      <t>016</t>
    </r>
  </si>
  <si>
    <t>:</t>
  </si>
  <si>
    <t>: 10 - 16 September 2018</t>
  </si>
  <si>
    <t>: 17 - 23 September 2018</t>
  </si>
  <si>
    <r>
      <t>: GA/Bis/BBF/</t>
    </r>
    <r>
      <rPr>
        <b/>
        <sz val="16"/>
        <color theme="1"/>
        <rFont val="Calibri"/>
        <family val="2"/>
        <scheme val="minor"/>
      </rPr>
      <t>017</t>
    </r>
  </si>
  <si>
    <r>
      <t>: GA/Bis/BBF/</t>
    </r>
    <r>
      <rPr>
        <b/>
        <sz val="16"/>
        <color theme="1"/>
        <rFont val="Calibri"/>
        <family val="2"/>
        <scheme val="minor"/>
      </rPr>
      <t>018</t>
    </r>
  </si>
  <si>
    <t>: 24 - 30 September 2018</t>
  </si>
  <si>
    <r>
      <t>: GA/Bis/BBF/</t>
    </r>
    <r>
      <rPr>
        <b/>
        <sz val="16"/>
        <color theme="1"/>
        <rFont val="Calibri"/>
        <family val="2"/>
        <scheme val="minor"/>
      </rPr>
      <t>019</t>
    </r>
  </si>
  <si>
    <t>: 1 - 7 Oktober 2018</t>
  </si>
  <si>
    <t>: 01 Oktober 2018</t>
  </si>
  <si>
    <r>
      <t>: GA/Bis/BBF/</t>
    </r>
    <r>
      <rPr>
        <b/>
        <sz val="16"/>
        <color theme="1"/>
        <rFont val="Calibri"/>
        <family val="2"/>
        <scheme val="minor"/>
      </rPr>
      <t>020</t>
    </r>
  </si>
  <si>
    <r>
      <t>: GA/Bis/BBF/</t>
    </r>
    <r>
      <rPr>
        <b/>
        <sz val="16"/>
        <color theme="1"/>
        <rFont val="Calibri"/>
        <family val="2"/>
        <scheme val="minor"/>
      </rPr>
      <t>021</t>
    </r>
  </si>
  <si>
    <r>
      <t>: GA/Bis/BBF/</t>
    </r>
    <r>
      <rPr>
        <b/>
        <sz val="16"/>
        <color theme="1"/>
        <rFont val="Calibri"/>
        <family val="2"/>
        <scheme val="minor"/>
      </rPr>
      <t>022</t>
    </r>
  </si>
  <si>
    <t>: 22 - 28 oktober 2018</t>
  </si>
  <si>
    <t>: 15 - 21 oktober 2018</t>
  </si>
  <si>
    <t>: 08 - 14 oktober 2018</t>
  </si>
  <si>
    <r>
      <t>: GA/Bis/BBF/</t>
    </r>
    <r>
      <rPr>
        <b/>
        <sz val="16"/>
        <color theme="1"/>
        <rFont val="Calibri"/>
        <family val="2"/>
        <scheme val="minor"/>
      </rPr>
      <t>023</t>
    </r>
  </si>
  <si>
    <t>: 29 OKTOBER - 4 November 2018</t>
  </si>
  <si>
    <t>: 5 - 11 November 2018</t>
  </si>
  <si>
    <r>
      <t>: GA/Bis/BBF/</t>
    </r>
    <r>
      <rPr>
        <b/>
        <sz val="16"/>
        <color theme="1"/>
        <rFont val="Calibri"/>
        <family val="2"/>
        <scheme val="minor"/>
      </rPr>
      <t>024</t>
    </r>
  </si>
  <si>
    <t>: 27 Okt 2018</t>
  </si>
  <si>
    <r>
      <t>: GA/Bis/BBF/</t>
    </r>
    <r>
      <rPr>
        <b/>
        <sz val="16"/>
        <color theme="1"/>
        <rFont val="Calibri"/>
        <family val="2"/>
        <scheme val="minor"/>
      </rPr>
      <t>025</t>
    </r>
  </si>
  <si>
    <t>: 12 - 18 NOVEMBER 2018</t>
  </si>
  <si>
    <r>
      <t>: GA/Bis/BBF/</t>
    </r>
    <r>
      <rPr>
        <b/>
        <sz val="16"/>
        <color theme="1"/>
        <rFont val="Calibri"/>
        <family val="2"/>
        <scheme val="minor"/>
      </rPr>
      <t>026</t>
    </r>
  </si>
  <si>
    <t>: 19 - 25 NOVEMBER 2018</t>
  </si>
  <si>
    <t>: 26 NOVEMBER - 2 DESEMBER 2018</t>
  </si>
  <si>
    <r>
      <t>: GA/Bis/BBF/</t>
    </r>
    <r>
      <rPr>
        <b/>
        <sz val="16"/>
        <color theme="1"/>
        <rFont val="Calibri"/>
        <family val="2"/>
        <scheme val="minor"/>
      </rPr>
      <t>027</t>
    </r>
  </si>
  <si>
    <r>
      <t>: GA/Bis/BBF/</t>
    </r>
    <r>
      <rPr>
        <b/>
        <sz val="16"/>
        <color theme="1"/>
        <rFont val="Calibri"/>
        <family val="2"/>
        <scheme val="minor"/>
      </rPr>
      <t>028</t>
    </r>
  </si>
  <si>
    <t>: 22 November 2018</t>
  </si>
  <si>
    <r>
      <t>: GA/Bis/BBF/</t>
    </r>
    <r>
      <rPr>
        <b/>
        <sz val="16"/>
        <color theme="1"/>
        <rFont val="Calibri"/>
        <family val="2"/>
        <scheme val="minor"/>
      </rPr>
      <t>029</t>
    </r>
  </si>
  <si>
    <r>
      <t>: GA/Bis/BBF/</t>
    </r>
    <r>
      <rPr>
        <b/>
        <sz val="16"/>
        <color theme="1"/>
        <rFont val="Calibri"/>
        <family val="2"/>
        <scheme val="minor"/>
      </rPr>
      <t>030</t>
    </r>
  </si>
  <si>
    <r>
      <t>: GA/Bis/BBF/</t>
    </r>
    <r>
      <rPr>
        <b/>
        <sz val="16"/>
        <color theme="1"/>
        <rFont val="Calibri"/>
        <family val="2"/>
        <scheme val="minor"/>
      </rPr>
      <t>031</t>
    </r>
  </si>
  <si>
    <t>: 3 - 09 Desember 2018</t>
  </si>
  <si>
    <t>: 10 - 16 Desember 2018</t>
  </si>
  <si>
    <t>: 17 - 23 Desember 2018</t>
  </si>
  <si>
    <t>: 24 - 30 DESEMBER 2018</t>
  </si>
  <si>
    <r>
      <t>: GA/Bis/BBF/</t>
    </r>
    <r>
      <rPr>
        <b/>
        <sz val="16"/>
        <color theme="1"/>
        <rFont val="Calibri"/>
        <family val="2"/>
        <scheme val="minor"/>
      </rPr>
      <t>032</t>
    </r>
  </si>
  <si>
    <r>
      <t xml:space="preserve">: 1 - 6 JANUARI </t>
    </r>
    <r>
      <rPr>
        <sz val="11"/>
        <color theme="1"/>
        <rFont val="Calibri"/>
        <family val="2"/>
        <scheme val="minor"/>
      </rPr>
      <t>2019</t>
    </r>
  </si>
  <si>
    <r>
      <t xml:space="preserve">: 7 - 13 Januari </t>
    </r>
    <r>
      <rPr>
        <sz val="11"/>
        <color theme="1"/>
        <rFont val="Calibri"/>
        <family val="2"/>
        <scheme val="minor"/>
      </rPr>
      <t>2019</t>
    </r>
  </si>
  <si>
    <r>
      <t>: GA/Bis/BBF/</t>
    </r>
    <r>
      <rPr>
        <b/>
        <sz val="16"/>
        <color theme="1"/>
        <rFont val="Calibri"/>
        <family val="2"/>
        <scheme val="minor"/>
      </rPr>
      <t>033</t>
    </r>
  </si>
  <si>
    <r>
      <t>: GA/Bis/BBF/</t>
    </r>
    <r>
      <rPr>
        <b/>
        <sz val="16"/>
        <color theme="1"/>
        <rFont val="Calibri"/>
        <family val="2"/>
        <scheme val="minor"/>
      </rPr>
      <t>034</t>
    </r>
  </si>
  <si>
    <r>
      <t xml:space="preserve">: 14 - 20 JANUARI </t>
    </r>
    <r>
      <rPr>
        <sz val="11"/>
        <color theme="1"/>
        <rFont val="Calibri"/>
        <family val="2"/>
        <scheme val="minor"/>
      </rPr>
      <t>2019</t>
    </r>
  </si>
  <si>
    <r>
      <t>: GA/Bis/BBF/</t>
    </r>
    <r>
      <rPr>
        <b/>
        <sz val="16"/>
        <color theme="1"/>
        <rFont val="Calibri"/>
        <family val="2"/>
        <scheme val="minor"/>
      </rPr>
      <t>035</t>
    </r>
  </si>
  <si>
    <r>
      <t xml:space="preserve">: 28 JANUARI - 3 FEBRUARI </t>
    </r>
    <r>
      <rPr>
        <sz val="14"/>
        <color theme="1"/>
        <rFont val="Calibri"/>
        <family val="2"/>
        <scheme val="minor"/>
      </rPr>
      <t>2019</t>
    </r>
  </si>
  <si>
    <r>
      <t xml:space="preserve">: 21 - 27 JANUARI </t>
    </r>
    <r>
      <rPr>
        <sz val="11"/>
        <color theme="1"/>
        <rFont val="Calibri"/>
        <family val="2"/>
        <scheme val="minor"/>
      </rPr>
      <t>2019</t>
    </r>
  </si>
  <si>
    <r>
      <t>: GA/Bis/BBF/</t>
    </r>
    <r>
      <rPr>
        <b/>
        <sz val="16"/>
        <color theme="1"/>
        <rFont val="Calibri"/>
        <family val="2"/>
        <scheme val="minor"/>
      </rPr>
      <t>036</t>
    </r>
  </si>
  <si>
    <t>: 4 - 10 FEBRUARI 2019</t>
  </si>
  <si>
    <r>
      <t>: GA/Bis/BBF/</t>
    </r>
    <r>
      <rPr>
        <b/>
        <sz val="16"/>
        <color theme="1"/>
        <rFont val="Calibri"/>
        <family val="2"/>
        <scheme val="minor"/>
      </rPr>
      <t>037</t>
    </r>
  </si>
  <si>
    <r>
      <t>: GA/Bis/BBF/</t>
    </r>
    <r>
      <rPr>
        <b/>
        <sz val="16"/>
        <color theme="1"/>
        <rFont val="Calibri"/>
        <family val="2"/>
        <scheme val="minor"/>
      </rPr>
      <t>038</t>
    </r>
  </si>
  <si>
    <t>: 11 - 17 FEBRUARI 2019</t>
  </si>
  <si>
    <t>: 18 - 24 FEBRUARI 2019</t>
  </si>
  <si>
    <r>
      <t>: GA/Bis/BBF/</t>
    </r>
    <r>
      <rPr>
        <b/>
        <sz val="16"/>
        <color theme="1"/>
        <rFont val="Calibri"/>
        <family val="2"/>
        <scheme val="minor"/>
      </rPr>
      <t>039</t>
    </r>
  </si>
  <si>
    <r>
      <t>: GA/Bis/BBF/</t>
    </r>
    <r>
      <rPr>
        <b/>
        <sz val="16"/>
        <color theme="1"/>
        <rFont val="Calibri"/>
        <family val="2"/>
        <scheme val="minor"/>
      </rPr>
      <t>040</t>
    </r>
  </si>
  <si>
    <t>: 25 FEBRUARI - 3 MARET 2019</t>
  </si>
  <si>
    <t>: 4 - 10 MARET 2019</t>
  </si>
  <si>
    <r>
      <t>: GA/Bis/BBF/</t>
    </r>
    <r>
      <rPr>
        <b/>
        <sz val="16"/>
        <color theme="1"/>
        <rFont val="Calibri"/>
        <family val="2"/>
        <scheme val="minor"/>
      </rPr>
      <t>041</t>
    </r>
  </si>
  <si>
    <r>
      <t>: GA/Bis/BBF/</t>
    </r>
    <r>
      <rPr>
        <b/>
        <sz val="16"/>
        <color theme="1"/>
        <rFont val="Calibri"/>
        <family val="2"/>
        <scheme val="minor"/>
      </rPr>
      <t>042</t>
    </r>
  </si>
  <si>
    <t>: 11 - 17 MARET 2019</t>
  </si>
  <si>
    <r>
      <t>: GA/Bis/BBF/</t>
    </r>
    <r>
      <rPr>
        <b/>
        <sz val="16"/>
        <color theme="1"/>
        <rFont val="Calibri"/>
        <family val="2"/>
        <scheme val="minor"/>
      </rPr>
      <t>043</t>
    </r>
  </si>
  <si>
    <t>: 18 - 24 MARET 2019</t>
  </si>
  <si>
    <r>
      <t>: GA/Bis/BBF/</t>
    </r>
    <r>
      <rPr>
        <b/>
        <sz val="16"/>
        <color theme="1"/>
        <rFont val="Calibri"/>
        <family val="2"/>
        <scheme val="minor"/>
      </rPr>
      <t>044</t>
    </r>
  </si>
  <si>
    <t>: 25 - 31 MARET 2019</t>
  </si>
  <si>
    <t>: 1 - 7 April 2019</t>
  </si>
  <si>
    <r>
      <t>: GA/Bis/BBF/</t>
    </r>
    <r>
      <rPr>
        <b/>
        <sz val="16"/>
        <color theme="1"/>
        <rFont val="Calibri"/>
        <family val="2"/>
        <scheme val="minor"/>
      </rPr>
      <t>045</t>
    </r>
  </si>
  <si>
    <t>: 8 -14 April 2019</t>
  </si>
  <si>
    <r>
      <t>: GA/Bis/BBF/</t>
    </r>
    <r>
      <rPr>
        <b/>
        <sz val="16"/>
        <color theme="1"/>
        <rFont val="Calibri"/>
        <family val="2"/>
        <scheme val="minor"/>
      </rPr>
      <t>046</t>
    </r>
  </si>
  <si>
    <r>
      <t>: GA/Bis/BBF/</t>
    </r>
    <r>
      <rPr>
        <b/>
        <sz val="16"/>
        <color theme="1"/>
        <rFont val="Calibri"/>
        <family val="2"/>
        <scheme val="minor"/>
      </rPr>
      <t>047</t>
    </r>
  </si>
  <si>
    <t>: 15 - 21 April 2019</t>
  </si>
  <si>
    <r>
      <t>: GA/Bis/BBF/</t>
    </r>
    <r>
      <rPr>
        <b/>
        <sz val="16"/>
        <color theme="1"/>
        <rFont val="Calibri"/>
        <family val="2"/>
        <scheme val="minor"/>
      </rPr>
      <t>048</t>
    </r>
  </si>
  <si>
    <t>: 22 - 28 April 2019</t>
  </si>
  <si>
    <t>: SEWA ARMADA UNTUK KARYAWAN DARI BERGAS KE SAMI TUGU</t>
  </si>
  <si>
    <t>: 29 April - 5 Mei 2019</t>
  </si>
  <si>
    <r>
      <t>: GA/Bis/BBF/</t>
    </r>
    <r>
      <rPr>
        <b/>
        <sz val="16"/>
        <color theme="1"/>
        <rFont val="Calibri"/>
        <family val="2"/>
        <scheme val="minor"/>
      </rPr>
      <t>049</t>
    </r>
  </si>
  <si>
    <t>: 6 - 12 Mei 2019</t>
  </si>
  <si>
    <t>: 13 - 19 Mei 2019</t>
  </si>
  <si>
    <r>
      <t>: GA/Bis/BBF/</t>
    </r>
    <r>
      <rPr>
        <b/>
        <sz val="16"/>
        <color theme="1"/>
        <rFont val="Calibri"/>
        <family val="2"/>
        <scheme val="minor"/>
      </rPr>
      <t>050</t>
    </r>
  </si>
  <si>
    <r>
      <t>: GA/Bis/BBF/</t>
    </r>
    <r>
      <rPr>
        <b/>
        <sz val="16"/>
        <color theme="1"/>
        <rFont val="Calibri"/>
        <family val="2"/>
        <scheme val="minor"/>
      </rPr>
      <t>051</t>
    </r>
  </si>
  <si>
    <t>: 20 - 26 Mei 2019</t>
  </si>
  <si>
    <r>
      <t>: GA/Bis/BBF/</t>
    </r>
    <r>
      <rPr>
        <b/>
        <sz val="16"/>
        <color theme="1"/>
        <rFont val="Calibri"/>
        <family val="2"/>
        <scheme val="minor"/>
      </rPr>
      <t>052</t>
    </r>
  </si>
  <si>
    <r>
      <t>: GA/Bis/BBF/</t>
    </r>
    <r>
      <rPr>
        <b/>
        <sz val="16"/>
        <color theme="1"/>
        <rFont val="Calibri"/>
        <family val="2"/>
        <scheme val="minor"/>
      </rPr>
      <t>053</t>
    </r>
  </si>
  <si>
    <t>: 27 Mei - 2 Juni 2019</t>
  </si>
  <si>
    <t>: 1 - 30 JUNI 2019</t>
  </si>
  <si>
    <t>JUMLAH BIS</t>
  </si>
  <si>
    <t>Sabtu</t>
  </si>
  <si>
    <t>Minggu</t>
  </si>
  <si>
    <t>Senin</t>
  </si>
  <si>
    <t>Selasa</t>
  </si>
  <si>
    <t>Rabu</t>
  </si>
  <si>
    <t>Kamis</t>
  </si>
  <si>
    <t>Jum' at</t>
  </si>
  <si>
    <t>GRAND TOTAL</t>
  </si>
  <si>
    <t>: GA/Bis/BBF/VI/54</t>
  </si>
  <si>
    <t>Libur Lebaran</t>
  </si>
  <si>
    <t>Tanggal Pembuatan PO : 20 Mei 2019</t>
  </si>
  <si>
    <t>Hari Kerja</t>
  </si>
  <si>
    <t>Hari Libur</t>
  </si>
  <si>
    <t>Keterangan Bus : Mini Bus dengan kapasitas 31 penumpang
Jumlah Bus : 2 ( 1Bus untuk shift pagi &amp; 1Bus untuk shift malam)
Rute perjalanan : Melalui Jalan Tol Semarang - Ungaran</t>
  </si>
  <si>
    <t>Tanggal Pembuatan PO : 20 Juni 2019</t>
  </si>
  <si>
    <t>: GA/Bis/BBF/VII/55</t>
  </si>
  <si>
    <t>Libur</t>
  </si>
  <si>
    <t>STI</t>
  </si>
  <si>
    <r>
      <rPr>
        <b/>
        <sz val="14"/>
        <color theme="1"/>
        <rFont val="Hobo Std"/>
        <family val="2"/>
      </rPr>
      <t xml:space="preserve">SHIFT I </t>
    </r>
    <r>
      <rPr>
        <b/>
        <sz val="14"/>
        <color theme="1"/>
        <rFont val="Tekton Pro"/>
        <family val="2"/>
      </rPr>
      <t>(pagi)</t>
    </r>
    <r>
      <rPr>
        <b/>
        <sz val="12"/>
        <color theme="1"/>
        <rFont val="Calibri"/>
        <family val="2"/>
        <scheme val="minor"/>
      </rPr>
      <t xml:space="preserve">
</t>
    </r>
    <r>
      <rPr>
        <sz val="10"/>
        <color theme="1"/>
        <rFont val="Tekton Pro"/>
        <family val="2"/>
      </rPr>
      <t>Berangkat : 06.00
Pulang : 16.30</t>
    </r>
  </si>
  <si>
    <r>
      <rPr>
        <b/>
        <sz val="14"/>
        <color theme="1"/>
        <rFont val="Hobo Std"/>
        <family val="2"/>
      </rPr>
      <t>SHIFT II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Tekton Pro"/>
        <family val="2"/>
      </rPr>
      <t>(malam)</t>
    </r>
    <r>
      <rPr>
        <b/>
        <sz val="12"/>
        <color theme="1"/>
        <rFont val="Calibri"/>
        <family val="2"/>
        <scheme val="minor"/>
      </rPr>
      <t xml:space="preserve">
</t>
    </r>
    <r>
      <rPr>
        <sz val="10"/>
        <color theme="1"/>
        <rFont val="Tekton Pro"/>
        <family val="2"/>
      </rPr>
      <t>Berangkat : 18.30
Pulang : 05.00</t>
    </r>
  </si>
  <si>
    <t>Hadi Prastowo</t>
  </si>
  <si>
    <t>: 1 - 15 JULI 2019</t>
  </si>
  <si>
    <t>: 16 - 31 Juli</t>
  </si>
  <si>
    <t>: GA/Bis/BBF/VII/56</t>
  </si>
  <si>
    <t>Tanggal Pembuatan PO : 26 Juni 2019</t>
  </si>
  <si>
    <t>Tanggal Pembuatan PO : 30 Juli 2019</t>
  </si>
  <si>
    <t>TGL</t>
  </si>
  <si>
    <t>: 16 - 31 Agustus 2019</t>
  </si>
  <si>
    <t>: 1 - 15 Agustus 2019</t>
  </si>
  <si>
    <t>Tanggal Pembuatan PO : 24 Agustus 2019</t>
  </si>
  <si>
    <t>: 1 - 15 September 2019</t>
  </si>
  <si>
    <t>: GA/Bis/BBF/VIII/58</t>
  </si>
  <si>
    <t>: GA/Bis/BBF/VIII/57</t>
  </si>
  <si>
    <t>: GA/Bis/BBF/IX/59</t>
  </si>
  <si>
    <t>: GA/Bis/BBF/IX/60</t>
  </si>
  <si>
    <t>: 16 - 31 September 2019</t>
  </si>
  <si>
    <t>Tanggal Pembuatan PO : 23 September 2019</t>
  </si>
  <si>
    <t>: 1 - 15 Oktober 2019</t>
  </si>
  <si>
    <t>: 16 - 31 Oktober 2019</t>
  </si>
  <si>
    <t>: GA/Bis/BBF/X/61</t>
  </si>
  <si>
    <t>: 1 - 15 November 2019</t>
  </si>
  <si>
    <t>Tanggal Pembuatan PO : 24 Oktober 2019</t>
  </si>
  <si>
    <t>: 16 - 31 November 2019</t>
  </si>
  <si>
    <t>: GA/Bis/BBF/XI/63</t>
  </si>
  <si>
    <t>: GA/Bis/BBF/X/62</t>
  </si>
  <si>
    <t>: GA/Bis/BBF/XI/64</t>
  </si>
  <si>
    <t>Keterangan Bus : Mini Bus dengan kapasitas  seat minumum 31 penumpang
Jumlah Bus : 2 ( 1Bus untuk shift pagi &amp; 1Bus untuk shift malam)
Rute perjalanan : Melalui Jalan Tol Semarang - Ungaran</t>
  </si>
  <si>
    <t>: 1 - 31 Desember 2019</t>
  </si>
  <si>
    <t>: GA/Bis/BBF/XI/65</t>
  </si>
  <si>
    <t>Tanggal Pembuatan PO : 20 November 2019</t>
  </si>
  <si>
    <t>Tanggal Pembuatan PO : 20 Desember 2019</t>
  </si>
  <si>
    <t>: 1 - 31 JANUARI 2020</t>
  </si>
  <si>
    <t>2020/01</t>
  </si>
  <si>
    <t>Tanggal Pembuatan PO : 28 Januari 2020</t>
  </si>
  <si>
    <t>: 1 - 29 FEBRUARI 2020</t>
  </si>
  <si>
    <t>: GA/Bis/BBF/2020/I/PJ-04</t>
  </si>
  <si>
    <t>: GA/Bis/BBF/2020/II/PJ-05</t>
  </si>
  <si>
    <t>20/02</t>
  </si>
  <si>
    <t>: 1 - 31 Maret 2020</t>
  </si>
  <si>
    <t>Tanggal Pembuatan PO : 28 Februari 2020</t>
  </si>
  <si>
    <t>: GA/Bis/BBF/2020/III/PJ-06</t>
  </si>
  <si>
    <t>20/04</t>
  </si>
  <si>
    <t>Tanggal Pembuatan PO : 26 Maret 2020</t>
  </si>
  <si>
    <t>: 1 - 30 April 2020</t>
  </si>
  <si>
    <t>: GA/Bis/BBF/2020/IV/PJ-07</t>
  </si>
  <si>
    <t>Tanggal Pembuatan PO : 24 April 2020</t>
  </si>
  <si>
    <t>Tanggal Pembuatan PO : 26 Mei 2020</t>
  </si>
  <si>
    <t>: GA/Bis/BBF/2020/VI/PJ-09</t>
  </si>
  <si>
    <t>: GA/Bis/BBF/2020/V/PJ-08</t>
  </si>
  <si>
    <t>: 1 - 31 MEI 2020</t>
  </si>
  <si>
    <t>KOREKSI : Kelebihan Bayar di tanggal 30 Mei 2020</t>
  </si>
  <si>
    <t>TOTAL - KOREKSI</t>
  </si>
  <si>
    <t>: 1 - 30 JUNI 2020</t>
  </si>
  <si>
    <t>: 1 - 31 Juli 2020</t>
  </si>
  <si>
    <t>: GA/Bis/BBF/2020/VII/PJ-10</t>
  </si>
  <si>
    <t>Tanggal Pembuatan PO : 19 Juni 2020</t>
  </si>
  <si>
    <t>7-20</t>
  </si>
  <si>
    <t>: 1 - 31 AGUSTUS 2020</t>
  </si>
  <si>
    <t>: GA/Bis/BBF/2020/VII/PJ-11</t>
  </si>
  <si>
    <t>Tanggal Pembuatan PO : 15 Juli 2020</t>
  </si>
  <si>
    <t>Jumlah Hari Kerja</t>
  </si>
  <si>
    <t>Tanggal Pembuatan PO : 13 Agustus 2020</t>
  </si>
  <si>
    <t>: 1 - 30 September 2020</t>
  </si>
  <si>
    <t>: GA/Bis/BBF/2020/VII/PJ-12</t>
  </si>
  <si>
    <t>: 1 - 31 Oktober 2020</t>
  </si>
  <si>
    <t>: GA/Bis/BBF/2020/VII/PJ-13</t>
  </si>
  <si>
    <t>Tanggal Pembuatan PO : 28 September 2020</t>
  </si>
  <si>
    <t>Tanggal Pembuatan PO : 15 Oktober2020</t>
  </si>
  <si>
    <t>: 1 - 30 November 2020</t>
  </si>
  <si>
    <t>: GA/Bis/BBF/2020/XI/PJ-14</t>
  </si>
  <si>
    <t>Tanggal Pembuatan PO : 19 November 2020</t>
  </si>
  <si>
    <t>: GA/Bis/BBF/2020/XI/PJ-15</t>
  </si>
  <si>
    <t>: 1 - 31 Desember 2020</t>
  </si>
  <si>
    <r>
      <t xml:space="preserve">: GA/Bis/BBF/2020/XI/PJ-15 </t>
    </r>
    <r>
      <rPr>
        <b/>
        <u/>
        <sz val="11"/>
        <color theme="1"/>
        <rFont val="Calibri"/>
        <family val="2"/>
      </rPr>
      <t>(Revisi 1)</t>
    </r>
  </si>
  <si>
    <t>Tanggal Pembuatan PO : 4 Januari 2021</t>
  </si>
  <si>
    <t>Tanggal Pembuatan PO : 25 November 2020</t>
  </si>
  <si>
    <t>: 1 - 31 Januari 2021</t>
  </si>
  <si>
    <t>: GA/Bis/BBF/2021/I/PJ-16</t>
  </si>
  <si>
    <r>
      <rPr>
        <b/>
        <u/>
        <sz val="10"/>
        <color theme="1"/>
        <rFont val="Calibri"/>
        <family val="2"/>
      </rPr>
      <t>KETERANGAN BUS :</t>
    </r>
    <r>
      <rPr>
        <sz val="10"/>
        <color theme="1"/>
        <rFont val="Calibri"/>
        <family val="2"/>
      </rPr>
      <t xml:space="preserve">
- Mini Bus dengan kapasitas  seat minumum 31 penumpang
- Jumlah Bus : 2 ( 1Bus untuk shift pagi &amp; 1Bus untuk shift malam)
- Rute perjalanan : Melalui Jalan Tol Semarang - Ungaran</t>
    </r>
  </si>
  <si>
    <t>NO. PO</t>
  </si>
  <si>
    <t>WIN</t>
  </si>
  <si>
    <t>Nama :</t>
  </si>
  <si>
    <t>Tanggal Pembuatan PO : 20 Januari 2021</t>
  </si>
  <si>
    <t>: 1 - 28 Februari 2021</t>
  </si>
  <si>
    <t>: GA/Bis/BBF/2021/II/PJ-17</t>
  </si>
  <si>
    <t>Tanggal Pembuatan PO : 22 Februari 2021</t>
  </si>
  <si>
    <t>: 1 - 31 Maret 2021</t>
  </si>
  <si>
    <t>: GA/Bis/BBF/2021/III/PJ-18</t>
  </si>
  <si>
    <t>Tanggal Pembuatan PO :  31 Maret 2021</t>
  </si>
  <si>
    <t>: 1 - 30 April 2021</t>
  </si>
  <si>
    <t>: GA/Bis/BBF/2021/IV/PJ-19</t>
  </si>
  <si>
    <t>Tanggal Pembuatan PO :  19 APRIL 2021</t>
  </si>
  <si>
    <t>: 1 - 31 Mei 2021</t>
  </si>
  <si>
    <t>: GA/Bis/BBF/2021/V/PJ-20</t>
  </si>
  <si>
    <t>Libur Nasional</t>
  </si>
  <si>
    <t>Cuti Bersama Pemerintah</t>
  </si>
  <si>
    <t>Libur Hari Pengganti</t>
  </si>
  <si>
    <t>Masuk Hari Pengganti</t>
  </si>
  <si>
    <t>Tanggal Pembuatan PO :  27 MEI 2021</t>
  </si>
  <si>
    <t>: 1 - 30 Juni 2021</t>
  </si>
  <si>
    <t>: GA/Bis/BBF/2021/V/PJ-21</t>
  </si>
  <si>
    <t>Tanggal Pembuatan PO :  11 Juni 2021</t>
  </si>
  <si>
    <t>: 1 - 31 Juli 2021</t>
  </si>
  <si>
    <t>: GA/Bis/BBF/2021/VI/PJ-22</t>
  </si>
  <si>
    <t>Tanggal Pembuatan PO :  28 Okt 2021</t>
  </si>
  <si>
    <t>: GA/Bis/BBF/2021/VI/PJ-26</t>
  </si>
  <si>
    <t>: 1 - 30 November 2021</t>
  </si>
  <si>
    <t>Tanggal Pembuatan PO :  24 NOV 2021</t>
  </si>
  <si>
    <t>: 1 - 30 Desember 2021</t>
  </si>
  <si>
    <t>: GA/Bis/BBF/2021/VI/PJ-27</t>
  </si>
  <si>
    <t>Hari Pengganti</t>
  </si>
  <si>
    <t>Tanggal Pembuatan PO :  21 JAN 2022</t>
  </si>
  <si>
    <t>: GA/Bis/BBF/2021/VI/PJ-29</t>
  </si>
  <si>
    <t>Tanggal Pembuatan PO :  22 Feb 2022</t>
  </si>
  <si>
    <t>: 1 - 31 Maret 2022</t>
  </si>
  <si>
    <t>: GA/Bis/BBF/2021/VI/PJ-30</t>
  </si>
  <si>
    <t>: GA/Bis/BBF/2021/VI/PJ-34</t>
  </si>
  <si>
    <t>: 1 - 31 APRIL 2022</t>
  </si>
  <si>
    <t>Tanggal Pembuatan PO :  22 Mar 2022</t>
  </si>
  <si>
    <t>Tanggal Pembuatan PO :  25 April 2022</t>
  </si>
  <si>
    <t>: GA/Bis/BBF/2021/VI/PJ-35</t>
  </si>
  <si>
    <t>: 1 - 31 Mei 2022</t>
  </si>
  <si>
    <t>TAHUN</t>
  </si>
  <si>
    <t>QTY</t>
  </si>
  <si>
    <t>SHIFT PAGI</t>
  </si>
  <si>
    <t>SHIFT MALAM</t>
  </si>
  <si>
    <t>Jumlah</t>
  </si>
  <si>
    <t>Total Biaya</t>
  </si>
  <si>
    <t>PO SEWA ARMADA BERGAS - TF</t>
  </si>
  <si>
    <t>1. Prepared</t>
  </si>
  <si>
    <t>2. Checked</t>
  </si>
  <si>
    <t>3. Approved I</t>
  </si>
  <si>
    <t>4. Approved II</t>
  </si>
  <si>
    <t>RENNY</t>
  </si>
  <si>
    <t xml:space="preserve">Date : </t>
  </si>
  <si>
    <t>Catatan</t>
  </si>
  <si>
    <t>POIN</t>
  </si>
  <si>
    <t>SHIFT II (malam)</t>
  </si>
  <si>
    <t>SHIFT I (pagi)</t>
  </si>
  <si>
    <t>KETENTUAN</t>
  </si>
  <si>
    <t>BERANGKAT</t>
  </si>
  <si>
    <t>PULANG</t>
  </si>
  <si>
    <t>No PO : GA/BUS/BBF/0823</t>
  </si>
  <si>
    <t>- Mini Bus kapasitas seat minimum 31 penumpang.
- Jumlah Bus : 2 (1 Shift Pagi &amp; 1 Shift Malam)
- Rute Perjalanan : Melalui Jalan Tol
(Semarang - Ungaran)
* Titik Penjemputan 1 : SPBU Karangjati
* Titik Penjemputan 2 : 4U Ungaran</t>
  </si>
  <si>
    <t>PT. SEMARANG AUTOCOMP MANUFACTURING INDONESIA TUGU FACTORY</t>
  </si>
  <si>
    <t>5. Accepted</t>
  </si>
  <si>
    <t>CV. PRATAMA JAYA BUS</t>
  </si>
  <si>
    <t>No PO : GA/BUS/BBF/0923</t>
  </si>
  <si>
    <t>No PO : GA/BUS/BBF/1023</t>
  </si>
  <si>
    <t>No PO : GA/BUS/BBF/1123</t>
  </si>
  <si>
    <t>No PO : GA/BUS/BBF/1223</t>
  </si>
  <si>
    <t>Date : 25-11-2023</t>
  </si>
  <si>
    <t>Date : 29 - 12 - 2023</t>
  </si>
  <si>
    <t>No PO : GA/BUS/BBF/0124</t>
  </si>
  <si>
    <t>No PO : GA/BUS/BBF/0224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</si>
</sst>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(&quot;Rp&quot;* #,##0_);_(&quot;Rp&quot;* \(#,##0\);_(&quot;Rp&quot;* &quot;-&quot;_);_(@_)"/>
    <numFmt numFmtId="168" formatCode="_(* #,##0_);_(* \(#,##0\);_(* \-_);_(@_)"/>
    <numFmt numFmtId="169" formatCode="0.00;[Red]0.00"/>
    <numFmt numFmtId="170" formatCode="_(* #.##0_);_(* \(#.##0\);_(* &quot;-&quot;_);_(@_)"/>
    <numFmt numFmtId="171" formatCode="_(* #,##0.00_);_(* \(#,##0.00\);_(* \-??_);_(@_)"/>
    <numFmt numFmtId="172" formatCode="_(* #.##0.00_);_(* \(#.##0.00\);_(* &quot;-&quot;??_);_(@_)"/>
    <numFmt numFmtId="173" formatCode="dd/mm/yyyy;@"/>
    <numFmt numFmtId="174" formatCode="_-* #.##0.00_-;\-* #.##0.00_-;_-* \-??_-;_-@_-"/>
    <numFmt numFmtId="175" formatCode="\$#,##0.00;[Red]\-\$#,##0.00"/>
    <numFmt numFmtId="176" formatCode="0.00_)"/>
    <numFmt numFmtId="177" formatCode="[$-409]dd\-mmm\-yy;@"/>
    <numFmt numFmtId="178" formatCode="_-* #,##0_-;\-* #,##0_-;_-* &quot;-&quot;??_-;_-@_-"/>
    <numFmt numFmtId="179" formatCode="_-[$Rp-421]* #,##0_ ;_-[$Rp-421]* \-#,##0\ ;_-[$Rp-421]* &quot;-&quot;_ ;_-@_ "/>
    <numFmt numFmtId="180" formatCode="[$-409]d\-mmm;@"/>
  </numFmts>
  <fonts count="13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lgerian"/>
      <family val="5"/>
    </font>
    <font>
      <sz val="36"/>
      <color theme="1"/>
      <name val="Algerian"/>
      <family val="5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MS Sans Serif"/>
      <family val="2"/>
    </font>
    <font>
      <sz val="11"/>
      <color indexed="20"/>
      <name val="Calibri"/>
      <family val="2"/>
    </font>
    <font>
      <b/>
      <sz val="9"/>
      <name val="BANGKOK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color indexed="8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indexed="8"/>
      <name val="Calibri"/>
      <family val="2"/>
      <scheme val="minor"/>
    </font>
    <font>
      <sz val="11"/>
      <color indexed="8"/>
      <name val="Calibri"/>
      <family val="3"/>
      <charset val="128"/>
    </font>
    <font>
      <sz val="10"/>
      <color indexed="8"/>
      <name val="Arial"/>
      <family val="2"/>
    </font>
    <font>
      <sz val="11"/>
      <color indexed="8"/>
      <name val="Calibri"/>
      <family val="2"/>
      <charset val="1"/>
    </font>
    <font>
      <sz val="10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</font>
    <font>
      <sz val="11"/>
      <color indexed="60"/>
      <name val="Calibri"/>
      <family val="2"/>
    </font>
    <font>
      <b/>
      <i/>
      <sz val="16"/>
      <name val="Helv"/>
    </font>
    <font>
      <sz val="11"/>
      <color theme="1"/>
      <name val="Arial"/>
      <family val="2"/>
    </font>
    <font>
      <sz val="10"/>
      <name val="Tahoma"/>
      <family val="2"/>
    </font>
    <font>
      <sz val="12"/>
      <color theme="1"/>
      <name val="Calibri"/>
      <family val="2"/>
      <charset val="1"/>
      <scheme val="minor"/>
    </font>
    <font>
      <sz val="11"/>
      <name val="ＭＳ Ｐゴシック"/>
      <family val="3"/>
      <charset val="128"/>
    </font>
    <font>
      <sz val="11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Ｐゴシック"/>
      <charset val="128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 val="singleAccounting"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u val="singleAccounting"/>
      <sz val="12"/>
      <color theme="1"/>
      <name val="Calibri"/>
      <family val="2"/>
      <scheme val="minor"/>
    </font>
    <font>
      <i/>
      <u val="singleAccounting"/>
      <sz val="11"/>
      <color theme="1"/>
      <name val="Calibri"/>
      <family val="2"/>
      <scheme val="minor"/>
    </font>
    <font>
      <b/>
      <i/>
      <sz val="10"/>
      <color rgb="FF00B0F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color rgb="FF00B0F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1"/>
      <color theme="1"/>
      <name val="Tekton Pro"/>
      <family val="2"/>
    </font>
    <font>
      <b/>
      <u/>
      <sz val="14"/>
      <color theme="1"/>
      <name val="Tekton Pro"/>
      <family val="2"/>
    </font>
    <font>
      <sz val="9"/>
      <color theme="1"/>
      <name val="Tekton Pro"/>
      <family val="2"/>
    </font>
    <font>
      <b/>
      <sz val="16"/>
      <color theme="1"/>
      <name val="Tekton Pro"/>
      <family val="2"/>
    </font>
    <font>
      <b/>
      <sz val="12"/>
      <color theme="1"/>
      <name val="Tekton Pro"/>
      <family val="2"/>
    </font>
    <font>
      <b/>
      <sz val="11"/>
      <color theme="1"/>
      <name val="Tekton Pro"/>
      <family val="2"/>
    </font>
    <font>
      <b/>
      <sz val="11"/>
      <name val="Tekton Pro"/>
      <family val="2"/>
    </font>
    <font>
      <b/>
      <sz val="11"/>
      <color rgb="FFC00000"/>
      <name val="Tekton Pro"/>
      <family val="2"/>
    </font>
    <font>
      <sz val="9"/>
      <name val="Tekton Pro"/>
      <family val="2"/>
    </font>
    <font>
      <sz val="9"/>
      <color rgb="FFC00000"/>
      <name val="Tekton Pro"/>
      <family val="2"/>
    </font>
    <font>
      <b/>
      <sz val="9"/>
      <name val="Tekton Pro"/>
      <family val="2"/>
    </font>
    <font>
      <i/>
      <u val="singleAccounting"/>
      <sz val="11"/>
      <name val="Tekton Pro"/>
      <family val="2"/>
    </font>
    <font>
      <b/>
      <sz val="12"/>
      <name val="Tekton Pro"/>
      <family val="2"/>
    </font>
    <font>
      <i/>
      <u val="singleAccounting"/>
      <sz val="12"/>
      <color theme="1"/>
      <name val="Tekton Pro"/>
      <family val="2"/>
    </font>
    <font>
      <sz val="12"/>
      <color theme="1"/>
      <name val="Tekton Pro"/>
      <family val="2"/>
    </font>
    <font>
      <b/>
      <i/>
      <sz val="10"/>
      <color theme="1"/>
      <name val="Tekton Pro"/>
      <family val="2"/>
    </font>
    <font>
      <b/>
      <i/>
      <u val="singleAccounting"/>
      <sz val="12"/>
      <color theme="1"/>
      <name val="Tekton Pro"/>
      <family val="2"/>
    </font>
    <font>
      <b/>
      <i/>
      <sz val="11"/>
      <color rgb="FF00B0F0"/>
      <name val="Tekton Pro"/>
      <family val="2"/>
    </font>
    <font>
      <b/>
      <i/>
      <sz val="12"/>
      <color theme="1"/>
      <name val="Tekton Pro"/>
      <family val="2"/>
    </font>
    <font>
      <b/>
      <u/>
      <sz val="15"/>
      <color theme="1"/>
      <name val="Tekton Pro"/>
      <family val="2"/>
    </font>
    <font>
      <b/>
      <u/>
      <sz val="12"/>
      <color theme="1"/>
      <name val="Tekton Pro"/>
      <family val="2"/>
    </font>
    <font>
      <b/>
      <u/>
      <sz val="12"/>
      <name val="Tekton Pro"/>
      <family val="2"/>
    </font>
    <font>
      <sz val="9"/>
      <color rgb="FF7030A0"/>
      <name val="Tekton Pro"/>
      <family val="2"/>
    </font>
    <font>
      <sz val="10"/>
      <color theme="1"/>
      <name val="Calibri"/>
      <family val="2"/>
      <scheme val="minor"/>
    </font>
    <font>
      <b/>
      <sz val="11"/>
      <color rgb="FFFF0000"/>
      <name val="Tekton Pro"/>
      <family val="2"/>
    </font>
    <font>
      <b/>
      <sz val="9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9"/>
      <name val="Calibri"/>
      <family val="2"/>
      <scheme val="minor"/>
    </font>
    <font>
      <sz val="9"/>
      <color rgb="FFC00000"/>
      <name val="Calibri"/>
      <family val="2"/>
      <scheme val="minor"/>
    </font>
    <font>
      <sz val="9"/>
      <color rgb="FF7030A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sz val="9"/>
      <color theme="5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theme="1"/>
      <name val="Arial Unicode MS"/>
      <family val="2"/>
    </font>
    <font>
      <b/>
      <sz val="14"/>
      <color theme="1"/>
      <name val="Aharoni"/>
      <charset val="177"/>
    </font>
    <font>
      <sz val="10"/>
      <color theme="1"/>
      <name val="Aharoni"/>
      <charset val="177"/>
    </font>
    <font>
      <b/>
      <sz val="11"/>
      <color theme="1"/>
      <name val="Calibri"/>
      <family val="2"/>
    </font>
    <font>
      <sz val="10"/>
      <color theme="9" tint="-0.499984740745262"/>
      <name val="Calibri"/>
      <family val="2"/>
      <scheme val="minor"/>
    </font>
    <font>
      <b/>
      <sz val="14"/>
      <color theme="1"/>
      <name val="Hobo Std"/>
      <family val="2"/>
    </font>
    <font>
      <sz val="14"/>
      <color theme="1"/>
      <name val="Hobo Std"/>
      <family val="2"/>
    </font>
    <font>
      <sz val="10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  <scheme val="minor"/>
    </font>
    <font>
      <b/>
      <sz val="14"/>
      <color theme="1"/>
      <name val="Tekton Pro"/>
      <family val="2"/>
    </font>
    <font>
      <sz val="10"/>
      <color theme="1"/>
      <name val="Tekton Pro"/>
      <family val="2"/>
    </font>
    <font>
      <sz val="10"/>
      <color rgb="FFC00000"/>
      <name val="Calibri"/>
      <family val="2"/>
      <scheme val="minor"/>
    </font>
    <font>
      <b/>
      <sz val="11"/>
      <color theme="1"/>
      <name val="Hobo Std"/>
      <family val="2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11"/>
      <color theme="1"/>
      <name val="Calibri"/>
      <family val="2"/>
    </font>
    <font>
      <b/>
      <u/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name val="Calibri"/>
      <family val="2"/>
      <scheme val="minor"/>
    </font>
    <font>
      <b/>
      <sz val="12"/>
      <color rgb="FF0000CC"/>
      <name val="Comic Sans MS"/>
      <family val="4"/>
    </font>
    <font>
      <b/>
      <sz val="9"/>
      <color rgb="FF0000CC"/>
      <name val="Comic Sans MS"/>
      <family val="4"/>
    </font>
    <font>
      <i/>
      <sz val="10"/>
      <name val="Calibri"/>
      <family val="2"/>
      <scheme val="minor"/>
    </font>
    <font>
      <b/>
      <i/>
      <sz val="12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41"/>
      </patternFill>
    </fill>
    <fill>
      <patternFill patternType="solid">
        <fgColor indexed="47"/>
        <bgColor indexed="31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1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22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40"/>
      </patternFill>
    </fill>
    <fill>
      <patternFill patternType="solid">
        <fgColor indexed="20"/>
        <bgColor indexed="36"/>
      </patternFill>
    </fill>
    <fill>
      <patternFill patternType="solid">
        <fgColor indexed="22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0070C0"/>
      </left>
      <right/>
      <top style="double">
        <color rgb="FF0070C0"/>
      </top>
      <bottom/>
      <diagonal/>
    </border>
    <border>
      <left/>
      <right/>
      <top style="double">
        <color rgb="FF0070C0"/>
      </top>
      <bottom/>
      <diagonal/>
    </border>
    <border>
      <left/>
      <right style="double">
        <color rgb="FF0070C0"/>
      </right>
      <top style="double">
        <color rgb="FF0070C0"/>
      </top>
      <bottom/>
      <diagonal/>
    </border>
    <border>
      <left style="double">
        <color rgb="FF0070C0"/>
      </left>
      <right/>
      <top/>
      <bottom/>
      <diagonal/>
    </border>
    <border>
      <left/>
      <right style="double">
        <color rgb="FF0070C0"/>
      </right>
      <top/>
      <bottom/>
      <diagonal/>
    </border>
    <border>
      <left style="double">
        <color rgb="FF0070C0"/>
      </left>
      <right/>
      <top/>
      <bottom style="double">
        <color rgb="FF0070C0"/>
      </bottom>
      <diagonal/>
    </border>
    <border>
      <left/>
      <right/>
      <top/>
      <bottom style="double">
        <color rgb="FF0070C0"/>
      </bottom>
      <diagonal/>
    </border>
    <border>
      <left/>
      <right style="double">
        <color rgb="FF0070C0"/>
      </right>
      <top/>
      <bottom style="double">
        <color rgb="FF0070C0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 style="double">
        <color auto="1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auto="1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1909">
    <xf numFmtId="0" fontId="0" fillId="0" borderId="0"/>
    <xf numFmtId="43" fontId="8" fillId="0" borderId="0" applyFont="0" applyFill="0" applyBorder="0" applyAlignment="0" applyProtection="0"/>
    <xf numFmtId="0" fontId="9" fillId="0" borderId="0"/>
    <xf numFmtId="41" fontId="9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7" borderId="0" applyNumberFormat="0" applyBorder="0" applyAlignment="0" applyProtection="0"/>
    <xf numFmtId="0" fontId="10" fillId="5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9" borderId="0" applyNumberFormat="0" applyBorder="0" applyAlignment="0" applyProtection="0"/>
    <xf numFmtId="0" fontId="10" fillId="7" borderId="0" applyNumberFormat="0" applyBorder="0" applyAlignment="0" applyProtection="0"/>
    <xf numFmtId="0" fontId="12" fillId="19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2" borderId="0" applyNumberFormat="0" applyBorder="0" applyAlignment="0" applyProtection="0"/>
    <xf numFmtId="0" fontId="10" fillId="9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4" borderId="0" applyNumberFormat="0" applyBorder="0" applyAlignment="0" applyProtection="0"/>
    <xf numFmtId="0" fontId="12" fillId="18" borderId="0" applyNumberFormat="0" applyBorder="0" applyAlignment="0" applyProtection="0"/>
    <xf numFmtId="0" fontId="12" fillId="24" borderId="0" applyNumberFormat="0" applyBorder="0" applyAlignment="0" applyProtection="0"/>
    <xf numFmtId="0" fontId="10" fillId="11" borderId="0" applyNumberFormat="0" applyBorder="0" applyAlignment="0" applyProtection="0"/>
    <xf numFmtId="0" fontId="12" fillId="24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4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4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5" borderId="0" applyNumberFormat="0" applyBorder="0" applyAlignment="0" applyProtection="0"/>
    <xf numFmtId="0" fontId="10" fillId="13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7" borderId="0" applyNumberFormat="0" applyBorder="0" applyAlignment="0" applyProtection="0"/>
    <xf numFmtId="0" fontId="12" fillId="20" borderId="0" applyNumberFormat="0" applyBorder="0" applyAlignment="0" applyProtection="0"/>
    <xf numFmtId="0" fontId="12" fillId="27" borderId="0" applyNumberFormat="0" applyBorder="0" applyAlignment="0" applyProtection="0"/>
    <xf numFmtId="0" fontId="10" fillId="15" borderId="0" applyNumberFormat="0" applyBorder="0" applyAlignment="0" applyProtection="0"/>
    <xf numFmtId="0" fontId="12" fillId="27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7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7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28" borderId="0" applyNumberFormat="0" applyBorder="0" applyAlignment="0" applyProtection="0"/>
    <xf numFmtId="0" fontId="10" fillId="6" borderId="0" applyNumberFormat="0" applyBorder="0" applyAlignment="0" applyProtection="0"/>
    <xf numFmtId="0" fontId="12" fillId="28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8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8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0" fillId="8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1" borderId="0" applyNumberFormat="0" applyBorder="0" applyAlignment="0" applyProtection="0"/>
    <xf numFmtId="0" fontId="10" fillId="1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24" borderId="0" applyNumberFormat="0" applyBorder="0" applyAlignment="0" applyProtection="0"/>
    <xf numFmtId="0" fontId="12" fillId="29" borderId="0" applyNumberFormat="0" applyBorder="0" applyAlignment="0" applyProtection="0"/>
    <xf numFmtId="0" fontId="12" fillId="24" borderId="0" applyNumberFormat="0" applyBorder="0" applyAlignment="0" applyProtection="0"/>
    <xf numFmtId="0" fontId="10" fillId="12" borderId="0" applyNumberFormat="0" applyBorder="0" applyAlignment="0" applyProtection="0"/>
    <xf numFmtId="0" fontId="12" fillId="24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4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4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0" fillId="14" borderId="0" applyNumberFormat="0" applyBorder="0" applyAlignment="0" applyProtection="0"/>
    <xf numFmtId="0" fontId="12" fillId="28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8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8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4" borderId="0" applyNumberFormat="0" applyBorder="0" applyAlignment="0" applyProtection="0"/>
    <xf numFmtId="0" fontId="12" fillId="20" borderId="0" applyNumberFormat="0" applyBorder="0" applyAlignment="0" applyProtection="0"/>
    <xf numFmtId="0" fontId="12" fillId="34" borderId="0" applyNumberFormat="0" applyBorder="0" applyAlignment="0" applyProtection="0"/>
    <xf numFmtId="0" fontId="10" fillId="16" borderId="0" applyNumberFormat="0" applyBorder="0" applyAlignment="0" applyProtection="0"/>
    <xf numFmtId="0" fontId="12" fillId="34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34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34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40" borderId="0" applyNumberFormat="0" applyBorder="0" applyAlignment="0" applyProtection="0"/>
    <xf numFmtId="0" fontId="13" fillId="2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4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4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3" fillId="41" borderId="0" applyNumberFormat="0" applyBorder="0" applyAlignment="0" applyProtection="0"/>
    <xf numFmtId="0" fontId="13" fillId="36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41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41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37" borderId="0" applyNumberFormat="0" applyBorder="0" applyAlignment="0" applyProtection="0"/>
    <xf numFmtId="0" fontId="13" fillId="44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37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37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6" fillId="0" borderId="0" applyNumberFormat="0" applyAlignment="0">
      <alignment horizontal="left" vertical="center"/>
    </xf>
    <xf numFmtId="0" fontId="17" fillId="39" borderId="24" applyNumberFormat="0" applyAlignment="0" applyProtection="0"/>
    <xf numFmtId="0" fontId="17" fillId="18" borderId="24" applyNumberFormat="0" applyAlignment="0" applyProtection="0"/>
    <xf numFmtId="0" fontId="17" fillId="39" borderId="24" applyNumberFormat="0" applyAlignment="0" applyProtection="0"/>
    <xf numFmtId="0" fontId="17" fillId="39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39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39" borderId="24" applyNumberFormat="0" applyAlignment="0" applyProtection="0"/>
    <xf numFmtId="0" fontId="17" fillId="39" borderId="24" applyNumberFormat="0" applyAlignment="0" applyProtection="0"/>
    <xf numFmtId="0" fontId="17" fillId="39" borderId="24" applyNumberFormat="0" applyAlignment="0" applyProtection="0"/>
    <xf numFmtId="0" fontId="17" fillId="39" borderId="24" applyNumberFormat="0" applyAlignment="0" applyProtection="0"/>
    <xf numFmtId="0" fontId="17" fillId="39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39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18" borderId="24" applyNumberFormat="0" applyAlignment="0" applyProtection="0"/>
    <xf numFmtId="0" fontId="17" fillId="39" borderId="24" applyNumberFormat="0" applyAlignment="0" applyProtection="0"/>
    <xf numFmtId="0" fontId="17" fillId="39" borderId="24" applyNumberFormat="0" applyAlignment="0" applyProtection="0"/>
    <xf numFmtId="0" fontId="17" fillId="39" borderId="24" applyNumberFormat="0" applyAlignment="0" applyProtection="0"/>
    <xf numFmtId="0" fontId="17" fillId="39" borderId="24" applyNumberFormat="0" applyAlignment="0" applyProtection="0"/>
    <xf numFmtId="0" fontId="17" fillId="39" borderId="24" applyNumberFormat="0" applyAlignment="0" applyProtection="0"/>
    <xf numFmtId="0" fontId="17" fillId="39" borderId="24" applyNumberFormat="0" applyAlignment="0" applyProtection="0"/>
    <xf numFmtId="0" fontId="18" fillId="0" borderId="0"/>
    <xf numFmtId="0" fontId="19" fillId="46" borderId="25" applyNumberFormat="0" applyAlignment="0" applyProtection="0"/>
    <xf numFmtId="0" fontId="19" fillId="46" borderId="25" applyNumberFormat="0" applyAlignment="0" applyProtection="0"/>
    <xf numFmtId="0" fontId="19" fillId="46" borderId="25" applyNumberFormat="0" applyAlignment="0" applyProtection="0"/>
    <xf numFmtId="0" fontId="19" fillId="46" borderId="25" applyNumberFormat="0" applyAlignment="0" applyProtection="0"/>
    <xf numFmtId="0" fontId="19" fillId="46" borderId="25" applyNumberFormat="0" applyAlignment="0" applyProtection="0"/>
    <xf numFmtId="0" fontId="19" fillId="46" borderId="25" applyNumberFormat="0" applyAlignment="0" applyProtection="0"/>
    <xf numFmtId="0" fontId="19" fillId="46" borderId="25" applyNumberFormat="0" applyAlignment="0" applyProtection="0"/>
    <xf numFmtId="0" fontId="19" fillId="46" borderId="25" applyNumberFormat="0" applyAlignment="0" applyProtection="0"/>
    <xf numFmtId="0" fontId="19" fillId="46" borderId="25" applyNumberFormat="0" applyAlignment="0" applyProtection="0"/>
    <xf numFmtId="0" fontId="19" fillId="46" borderId="25" applyNumberFormat="0" applyAlignment="0" applyProtection="0"/>
    <xf numFmtId="0" fontId="19" fillId="46" borderId="25" applyNumberFormat="0" applyAlignment="0" applyProtection="0"/>
    <xf numFmtId="0" fontId="19" fillId="46" borderId="25" applyNumberFormat="0" applyAlignment="0" applyProtection="0"/>
    <xf numFmtId="0" fontId="19" fillId="46" borderId="25" applyNumberFormat="0" applyAlignment="0" applyProtection="0"/>
    <xf numFmtId="0" fontId="19" fillId="46" borderId="25" applyNumberFormat="0" applyAlignment="0" applyProtection="0"/>
    <xf numFmtId="0" fontId="19" fillId="46" borderId="25" applyNumberFormat="0" applyAlignment="0" applyProtection="0"/>
    <xf numFmtId="0" fontId="19" fillId="46" borderId="25" applyNumberFormat="0" applyAlignment="0" applyProtection="0"/>
    <xf numFmtId="168" fontId="9" fillId="0" borderId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9" fontId="9" fillId="0" borderId="0" applyFill="0" applyBorder="0" applyAlignment="0" applyProtection="0"/>
    <xf numFmtId="169" fontId="9" fillId="0" borderId="0" applyFill="0" applyBorder="0" applyAlignment="0" applyProtection="0"/>
    <xf numFmtId="38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1" fillId="0" borderId="0" applyFont="0" applyFill="0" applyBorder="0" applyAlignment="0" applyProtection="0"/>
    <xf numFmtId="38" fontId="14" fillId="0" borderId="0" applyFont="0" applyFill="0" applyBorder="0" applyAlignment="0" applyProtection="0"/>
    <xf numFmtId="170" fontId="20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71" fontId="9" fillId="0" borderId="0" applyFill="0" applyBorder="0" applyAlignment="0" applyProtection="0"/>
    <xf numFmtId="43" fontId="9" fillId="0" borderId="0" applyFont="0" applyFill="0" applyBorder="0" applyAlignment="0" applyProtection="0"/>
    <xf numFmtId="171" fontId="12" fillId="0" borderId="0" applyFill="0" applyBorder="0" applyAlignment="0" applyProtection="0"/>
    <xf numFmtId="172" fontId="20" fillId="0" borderId="0" applyFont="0" applyFill="0" applyBorder="0" applyAlignment="0" applyProtection="0"/>
    <xf numFmtId="43" fontId="9" fillId="0" borderId="0" applyFont="0" applyFill="0" applyBorder="0" applyAlignment="0" applyProtection="0"/>
    <xf numFmtId="173" fontId="9" fillId="0" borderId="0" applyFill="0" applyBorder="0" applyAlignment="0" applyProtection="0"/>
    <xf numFmtId="171" fontId="9" fillId="0" borderId="0" applyFill="0" applyBorder="0" applyAlignment="0" applyProtection="0"/>
    <xf numFmtId="173" fontId="9" fillId="0" borderId="0" applyFill="0" applyBorder="0" applyAlignment="0" applyProtection="0"/>
    <xf numFmtId="43" fontId="2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9" fillId="0" borderId="0" applyFont="0" applyFill="0" applyBorder="0" applyAlignment="0" applyProtection="0"/>
    <xf numFmtId="171" fontId="9" fillId="0" borderId="0" applyFill="0" applyBorder="0" applyAlignment="0" applyProtection="0"/>
    <xf numFmtId="43" fontId="9" fillId="0" borderId="0" applyFont="0" applyFill="0" applyBorder="0" applyAlignment="0" applyProtection="0"/>
    <xf numFmtId="40" fontId="23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43" fontId="25" fillId="0" borderId="0" applyFont="0" applyFill="0" applyBorder="0" applyAlignment="0" applyProtection="0"/>
    <xf numFmtId="174" fontId="9" fillId="0" borderId="0" applyFill="0" applyBorder="0" applyAlignment="0" applyProtection="0"/>
    <xf numFmtId="171" fontId="9" fillId="0" borderId="0" applyFill="0" applyBorder="0" applyAlignment="0" applyProtection="0"/>
    <xf numFmtId="171" fontId="9" fillId="0" borderId="0" applyFill="0" applyBorder="0" applyAlignment="0" applyProtection="0"/>
    <xf numFmtId="171" fontId="9" fillId="0" borderId="0" applyFill="0" applyBorder="0" applyAlignment="0" applyProtection="0"/>
    <xf numFmtId="171" fontId="9" fillId="0" borderId="0" applyFill="0" applyBorder="0" applyAlignment="0" applyProtection="0"/>
    <xf numFmtId="175" fontId="26" fillId="0" borderId="0">
      <alignment horizontal="center"/>
    </xf>
    <xf numFmtId="167" fontId="9" fillId="0" borderId="0" applyFill="0" applyBorder="0" applyAlignment="0" applyProtection="0"/>
    <xf numFmtId="42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 applyNumberFormat="0" applyFill="0" applyBorder="0" applyProtection="0">
      <alignment horizontal="left"/>
    </xf>
    <xf numFmtId="0" fontId="9" fillId="0" borderId="0" applyNumberFormat="0" applyFill="0" applyBorder="0" applyProtection="0">
      <alignment horizontal="left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Protection="0">
      <alignment horizontal="left"/>
    </xf>
    <xf numFmtId="0" fontId="9" fillId="0" borderId="0" applyNumberFormat="0" applyFill="0" applyBorder="0" applyProtection="0">
      <alignment horizontal="left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2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38" fontId="11" fillId="47" borderId="0" applyNumberFormat="0" applyBorder="0" applyAlignment="0" applyProtection="0"/>
    <xf numFmtId="0" fontId="29" fillId="0" borderId="0">
      <alignment horizontal="left"/>
    </xf>
    <xf numFmtId="0" fontId="30" fillId="0" borderId="26" applyNumberFormat="0" applyFill="0" applyAlignment="0" applyProtection="0"/>
    <xf numFmtId="0" fontId="31" fillId="0" borderId="27" applyNumberFormat="0" applyFill="0" applyAlignment="0" applyProtection="0"/>
    <xf numFmtId="0" fontId="30" fillId="0" borderId="26" applyNumberFormat="0" applyFill="0" applyAlignment="0" applyProtection="0"/>
    <xf numFmtId="0" fontId="30" fillId="0" borderId="26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0" fillId="0" borderId="26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0" fillId="0" borderId="26" applyNumberFormat="0" applyFill="0" applyAlignment="0" applyProtection="0"/>
    <xf numFmtId="0" fontId="30" fillId="0" borderId="26" applyNumberFormat="0" applyFill="0" applyAlignment="0" applyProtection="0"/>
    <xf numFmtId="0" fontId="30" fillId="0" borderId="26" applyNumberFormat="0" applyFill="0" applyAlignment="0" applyProtection="0"/>
    <xf numFmtId="0" fontId="30" fillId="0" borderId="26" applyNumberFormat="0" applyFill="0" applyAlignment="0" applyProtection="0"/>
    <xf numFmtId="0" fontId="30" fillId="0" borderId="26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0" fillId="0" borderId="26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1" fillId="0" borderId="27" applyNumberFormat="0" applyFill="0" applyAlignment="0" applyProtection="0"/>
    <xf numFmtId="0" fontId="30" fillId="0" borderId="26" applyNumberFormat="0" applyFill="0" applyAlignment="0" applyProtection="0"/>
    <xf numFmtId="0" fontId="30" fillId="0" borderId="26" applyNumberFormat="0" applyFill="0" applyAlignment="0" applyProtection="0"/>
    <xf numFmtId="0" fontId="30" fillId="0" borderId="26" applyNumberFormat="0" applyFill="0" applyAlignment="0" applyProtection="0"/>
    <xf numFmtId="0" fontId="30" fillId="0" borderId="26" applyNumberFormat="0" applyFill="0" applyAlignment="0" applyProtection="0"/>
    <xf numFmtId="0" fontId="30" fillId="0" borderId="26" applyNumberFormat="0" applyFill="0" applyAlignment="0" applyProtection="0"/>
    <xf numFmtId="0" fontId="30" fillId="0" borderId="26" applyNumberFormat="0" applyFill="0" applyAlignment="0" applyProtection="0"/>
    <xf numFmtId="0" fontId="32" fillId="0" borderId="28" applyNumberFormat="0" applyFill="0" applyAlignment="0" applyProtection="0"/>
    <xf numFmtId="0" fontId="33" fillId="0" borderId="28" applyNumberFormat="0" applyFill="0" applyAlignment="0" applyProtection="0"/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2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2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32" fillId="0" borderId="28" applyNumberFormat="0" applyFill="0" applyAlignment="0" applyProtection="0"/>
    <xf numFmtId="0" fontId="34" fillId="0" borderId="29" applyNumberFormat="0" applyFill="0" applyAlignment="0" applyProtection="0"/>
    <xf numFmtId="0" fontId="35" fillId="0" borderId="30" applyNumberFormat="0" applyFill="0" applyAlignment="0" applyProtection="0"/>
    <xf numFmtId="0" fontId="34" fillId="0" borderId="29" applyNumberFormat="0" applyFill="0" applyAlignment="0" applyProtection="0"/>
    <xf numFmtId="0" fontId="34" fillId="0" borderId="29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4" fillId="0" borderId="29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4" fillId="0" borderId="29" applyNumberFormat="0" applyFill="0" applyAlignment="0" applyProtection="0"/>
    <xf numFmtId="0" fontId="34" fillId="0" borderId="29" applyNumberFormat="0" applyFill="0" applyAlignment="0" applyProtection="0"/>
    <xf numFmtId="0" fontId="34" fillId="0" borderId="29" applyNumberFormat="0" applyFill="0" applyAlignment="0" applyProtection="0"/>
    <xf numFmtId="0" fontId="34" fillId="0" borderId="29" applyNumberFormat="0" applyFill="0" applyAlignment="0" applyProtection="0"/>
    <xf numFmtId="0" fontId="34" fillId="0" borderId="29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4" fillId="0" borderId="29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34" fillId="0" borderId="29" applyNumberFormat="0" applyFill="0" applyAlignment="0" applyProtection="0"/>
    <xf numFmtId="0" fontId="34" fillId="0" borderId="29" applyNumberFormat="0" applyFill="0" applyAlignment="0" applyProtection="0"/>
    <xf numFmtId="0" fontId="34" fillId="0" borderId="29" applyNumberFormat="0" applyFill="0" applyAlignment="0" applyProtection="0"/>
    <xf numFmtId="0" fontId="34" fillId="0" borderId="29" applyNumberFormat="0" applyFill="0" applyAlignment="0" applyProtection="0"/>
    <xf numFmtId="0" fontId="34" fillId="0" borderId="29" applyNumberFormat="0" applyFill="0" applyAlignment="0" applyProtection="0"/>
    <xf numFmtId="0" fontId="34" fillId="0" borderId="29" applyNumberFormat="0" applyFill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0" fontId="11" fillId="47" borderId="1" applyNumberFormat="0" applyBorder="0" applyAlignment="0" applyProtection="0"/>
    <xf numFmtId="0" fontId="36" fillId="27" borderId="24" applyNumberFormat="0" applyAlignment="0" applyProtection="0"/>
    <xf numFmtId="0" fontId="36" fillId="20" borderId="24" applyNumberFormat="0" applyAlignment="0" applyProtection="0"/>
    <xf numFmtId="0" fontId="36" fillId="27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7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7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7" borderId="24" applyNumberFormat="0" applyAlignment="0" applyProtection="0"/>
    <xf numFmtId="0" fontId="36" fillId="27" borderId="24" applyNumberFormat="0" applyAlignment="0" applyProtection="0"/>
    <xf numFmtId="0" fontId="36" fillId="27" borderId="24" applyNumberFormat="0" applyAlignment="0" applyProtection="0"/>
    <xf numFmtId="0" fontId="36" fillId="27" borderId="24" applyNumberFormat="0" applyAlignment="0" applyProtection="0"/>
    <xf numFmtId="0" fontId="36" fillId="27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7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1" borderId="24" applyNumberFormat="0" applyAlignment="0" applyProtection="0"/>
    <xf numFmtId="0" fontId="36" fillId="27" borderId="24" applyNumberFormat="0" applyAlignment="0" applyProtection="0"/>
    <xf numFmtId="0" fontId="36" fillId="27" borderId="24" applyNumberFormat="0" applyAlignment="0" applyProtection="0"/>
    <xf numFmtId="0" fontId="36" fillId="27" borderId="24" applyNumberFormat="0" applyAlignment="0" applyProtection="0"/>
    <xf numFmtId="0" fontId="36" fillId="27" borderId="24" applyNumberFormat="0" applyAlignment="0" applyProtection="0"/>
    <xf numFmtId="0" fontId="36" fillId="27" borderId="24" applyNumberFormat="0" applyAlignment="0" applyProtection="0"/>
    <xf numFmtId="0" fontId="36" fillId="27" borderId="24" applyNumberFormat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7" fillId="0" borderId="31" applyNumberFormat="0" applyFill="0" applyAlignment="0" applyProtection="0"/>
    <xf numFmtId="0" fontId="38" fillId="0" borderId="22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176" fontId="40" fillId="0" borderId="0"/>
    <xf numFmtId="0" fontId="10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0" fillId="0" borderId="0"/>
    <xf numFmtId="0" fontId="12" fillId="0" borderId="0"/>
    <xf numFmtId="0" fontId="9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21" fillId="0" borderId="0"/>
    <xf numFmtId="0" fontId="41" fillId="0" borderId="0"/>
    <xf numFmtId="0" fontId="9" fillId="0" borderId="0"/>
    <xf numFmtId="0" fontId="2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4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2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21" fillId="0" borderId="0"/>
    <xf numFmtId="0" fontId="9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42" fillId="0" borderId="0"/>
    <xf numFmtId="0" fontId="43" fillId="0" borderId="0"/>
    <xf numFmtId="0" fontId="43" fillId="0" borderId="0"/>
    <xf numFmtId="0" fontId="14" fillId="0" borderId="0"/>
    <xf numFmtId="0" fontId="9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0" fillId="0" borderId="0"/>
    <xf numFmtId="0" fontId="9" fillId="0" borderId="0" applyNumberFormat="0" applyFill="0" applyBorder="0" applyAlignment="0" applyProtection="0"/>
    <xf numFmtId="0" fontId="20" fillId="0" borderId="0"/>
    <xf numFmtId="0" fontId="20" fillId="0" borderId="0"/>
    <xf numFmtId="0" fontId="21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3" fillId="0" borderId="0"/>
    <xf numFmtId="0" fontId="10" fillId="0" borderId="0"/>
    <xf numFmtId="0" fontId="9" fillId="0" borderId="0"/>
    <xf numFmtId="0" fontId="43" fillId="0" borderId="0"/>
    <xf numFmtId="0" fontId="10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0" fillId="0" borderId="0"/>
    <xf numFmtId="0" fontId="10" fillId="0" borderId="0"/>
    <xf numFmtId="0" fontId="10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44" fillId="0" borderId="0">
      <alignment vertical="center"/>
    </xf>
    <xf numFmtId="0" fontId="10" fillId="0" borderId="0"/>
    <xf numFmtId="0" fontId="9" fillId="0" borderId="0"/>
    <xf numFmtId="0" fontId="21" fillId="0" borderId="0"/>
    <xf numFmtId="0" fontId="21" fillId="0" borderId="0"/>
    <xf numFmtId="0" fontId="45" fillId="0" borderId="0"/>
    <xf numFmtId="0" fontId="12" fillId="0" borderId="0"/>
    <xf numFmtId="0" fontId="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23" borderId="32" applyNumberFormat="0" applyAlignment="0" applyProtection="0"/>
    <xf numFmtId="0" fontId="12" fillId="23" borderId="32" applyNumberFormat="0" applyAlignment="0" applyProtection="0"/>
    <xf numFmtId="0" fontId="10" fillId="4" borderId="23" applyNumberFormat="0" applyFont="0" applyAlignment="0" applyProtection="0"/>
    <xf numFmtId="0" fontId="9" fillId="23" borderId="32" applyNumberFormat="0" applyAlignment="0" applyProtection="0"/>
    <xf numFmtId="0" fontId="12" fillId="23" borderId="32" applyNumberFormat="0" applyAlignment="0" applyProtection="0"/>
    <xf numFmtId="0" fontId="9" fillId="23" borderId="32" applyNumberFormat="0" applyAlignment="0" applyProtection="0"/>
    <xf numFmtId="0" fontId="9" fillId="23" borderId="32" applyNumberFormat="0" applyAlignment="0" applyProtection="0"/>
    <xf numFmtId="0" fontId="9" fillId="23" borderId="32" applyNumberFormat="0" applyAlignment="0" applyProtection="0"/>
    <xf numFmtId="0" fontId="9" fillId="23" borderId="32" applyNumberFormat="0" applyAlignment="0" applyProtection="0"/>
    <xf numFmtId="0" fontId="9" fillId="23" borderId="32" applyNumberFormat="0" applyAlignment="0" applyProtection="0"/>
    <xf numFmtId="0" fontId="9" fillId="23" borderId="32" applyNumberFormat="0" applyAlignment="0" applyProtection="0"/>
    <xf numFmtId="0" fontId="9" fillId="23" borderId="32" applyNumberFormat="0" applyAlignment="0" applyProtection="0"/>
    <xf numFmtId="0" fontId="9" fillId="23" borderId="32" applyNumberFormat="0" applyAlignment="0" applyProtection="0"/>
    <xf numFmtId="0" fontId="9" fillId="23" borderId="32" applyNumberFormat="0" applyAlignment="0" applyProtection="0"/>
    <xf numFmtId="0" fontId="9" fillId="23" borderId="32" applyNumberFormat="0" applyAlignment="0" applyProtection="0"/>
    <xf numFmtId="0" fontId="9" fillId="23" borderId="32" applyNumberFormat="0" applyAlignment="0" applyProtection="0"/>
    <xf numFmtId="0" fontId="9" fillId="23" borderId="32" applyNumberFormat="0" applyAlignment="0" applyProtection="0"/>
    <xf numFmtId="0" fontId="9" fillId="23" borderId="32" applyNumberFormat="0" applyAlignment="0" applyProtection="0"/>
    <xf numFmtId="0" fontId="9" fillId="23" borderId="32" applyNumberFormat="0" applyAlignment="0" applyProtection="0"/>
    <xf numFmtId="0" fontId="9" fillId="23" borderId="32" applyNumberFormat="0" applyAlignment="0" applyProtection="0"/>
    <xf numFmtId="0" fontId="9" fillId="23" borderId="32" applyNumberFormat="0" applyAlignment="0" applyProtection="0"/>
    <xf numFmtId="0" fontId="9" fillId="23" borderId="32" applyNumberFormat="0" applyAlignment="0" applyProtection="0"/>
    <xf numFmtId="0" fontId="9" fillId="23" borderId="32" applyNumberFormat="0" applyAlignment="0" applyProtection="0"/>
    <xf numFmtId="0" fontId="12" fillId="23" borderId="32" applyNumberFormat="0" applyAlignment="0" applyProtection="0"/>
    <xf numFmtId="0" fontId="12" fillId="23" borderId="32" applyNumberFormat="0" applyAlignment="0" applyProtection="0"/>
    <xf numFmtId="0" fontId="12" fillId="23" borderId="32" applyNumberFormat="0" applyAlignment="0" applyProtection="0"/>
    <xf numFmtId="0" fontId="12" fillId="23" borderId="32" applyNumberFormat="0" applyAlignment="0" applyProtection="0"/>
    <xf numFmtId="0" fontId="46" fillId="39" borderId="33" applyNumberFormat="0" applyAlignment="0" applyProtection="0"/>
    <xf numFmtId="0" fontId="46" fillId="18" borderId="33" applyNumberFormat="0" applyAlignment="0" applyProtection="0"/>
    <xf numFmtId="0" fontId="46" fillId="39" borderId="33" applyNumberFormat="0" applyAlignment="0" applyProtection="0"/>
    <xf numFmtId="0" fontId="46" fillId="39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39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39" borderId="33" applyNumberFormat="0" applyAlignment="0" applyProtection="0"/>
    <xf numFmtId="0" fontId="46" fillId="39" borderId="33" applyNumberFormat="0" applyAlignment="0" applyProtection="0"/>
    <xf numFmtId="0" fontId="46" fillId="39" borderId="33" applyNumberFormat="0" applyAlignment="0" applyProtection="0"/>
    <xf numFmtId="0" fontId="46" fillId="39" borderId="33" applyNumberFormat="0" applyAlignment="0" applyProtection="0"/>
    <xf numFmtId="0" fontId="46" fillId="39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39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18" borderId="33" applyNumberFormat="0" applyAlignment="0" applyProtection="0"/>
    <xf numFmtId="0" fontId="46" fillId="39" borderId="33" applyNumberFormat="0" applyAlignment="0" applyProtection="0"/>
    <xf numFmtId="0" fontId="46" fillId="39" borderId="33" applyNumberFormat="0" applyAlignment="0" applyProtection="0"/>
    <xf numFmtId="0" fontId="46" fillId="39" borderId="33" applyNumberFormat="0" applyAlignment="0" applyProtection="0"/>
    <xf numFmtId="0" fontId="46" fillId="39" borderId="33" applyNumberFormat="0" applyAlignment="0" applyProtection="0"/>
    <xf numFmtId="0" fontId="46" fillId="39" borderId="33" applyNumberFormat="0" applyAlignment="0" applyProtection="0"/>
    <xf numFmtId="0" fontId="46" fillId="39" borderId="33" applyNumberFormat="0" applyAlignment="0" applyProtection="0"/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8" fillId="0" borderId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0" fillId="0" borderId="34" applyNumberFormat="0" applyFill="0" applyAlignment="0" applyProtection="0"/>
    <xf numFmtId="0" fontId="50" fillId="0" borderId="35" applyNumberFormat="0" applyFill="0" applyAlignment="0" applyProtection="0"/>
    <xf numFmtId="0" fontId="50" fillId="0" borderId="34" applyNumberFormat="0" applyFill="0" applyAlignment="0" applyProtection="0"/>
    <xf numFmtId="0" fontId="50" fillId="0" borderId="34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4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4" applyNumberFormat="0" applyFill="0" applyAlignment="0" applyProtection="0"/>
    <xf numFmtId="0" fontId="50" fillId="0" borderId="34" applyNumberFormat="0" applyFill="0" applyAlignment="0" applyProtection="0"/>
    <xf numFmtId="0" fontId="50" fillId="0" borderId="34" applyNumberFormat="0" applyFill="0" applyAlignment="0" applyProtection="0"/>
    <xf numFmtId="0" fontId="50" fillId="0" borderId="34" applyNumberFormat="0" applyFill="0" applyAlignment="0" applyProtection="0"/>
    <xf numFmtId="0" fontId="50" fillId="0" borderId="34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4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5" applyNumberFormat="0" applyFill="0" applyAlignment="0" applyProtection="0"/>
    <xf numFmtId="0" fontId="50" fillId="0" borderId="34" applyNumberFormat="0" applyFill="0" applyAlignment="0" applyProtection="0"/>
    <xf numFmtId="0" fontId="50" fillId="0" borderId="34" applyNumberFormat="0" applyFill="0" applyAlignment="0" applyProtection="0"/>
    <xf numFmtId="0" fontId="50" fillId="0" borderId="34" applyNumberFormat="0" applyFill="0" applyAlignment="0" applyProtection="0"/>
    <xf numFmtId="0" fontId="50" fillId="0" borderId="34" applyNumberFormat="0" applyFill="0" applyAlignment="0" applyProtection="0"/>
    <xf numFmtId="0" fontId="50" fillId="0" borderId="34" applyNumberFormat="0" applyFill="0" applyAlignment="0" applyProtection="0"/>
    <xf numFmtId="0" fontId="50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/>
    <xf numFmtId="0" fontId="9" fillId="0" borderId="0"/>
    <xf numFmtId="0" fontId="10" fillId="5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16" borderId="0" applyNumberFormat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4" borderId="23" applyNumberFormat="0" applyFont="0" applyAlignment="0" applyProtection="0"/>
    <xf numFmtId="164" fontId="8" fillId="0" borderId="0" applyFont="0" applyFill="0" applyBorder="0" applyAlignment="0" applyProtection="0"/>
  </cellStyleXfs>
  <cellXfs count="77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2" fillId="0" borderId="9" xfId="0" quotePrefix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166" fontId="2" fillId="0" borderId="0" xfId="1" applyNumberFormat="1" applyFont="1" applyAlignment="1">
      <alignment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6" fontId="2" fillId="0" borderId="0" xfId="1" applyNumberFormat="1" applyFont="1" applyBorder="1" applyAlignment="1">
      <alignment horizontal="center" vertical="center"/>
    </xf>
    <xf numFmtId="166" fontId="4" fillId="2" borderId="0" xfId="1" applyNumberFormat="1" applyFont="1" applyFill="1" applyBorder="1" applyAlignment="1">
      <alignment horizontal="center" vertical="center" wrapText="1"/>
    </xf>
    <xf numFmtId="0" fontId="2" fillId="48" borderId="13" xfId="0" applyFont="1" applyFill="1" applyBorder="1" applyAlignment="1">
      <alignment horizontal="center" vertical="center"/>
    </xf>
    <xf numFmtId="16" fontId="2" fillId="48" borderId="1" xfId="0" applyNumberFormat="1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vertical="center"/>
    </xf>
    <xf numFmtId="0" fontId="2" fillId="48" borderId="1" xfId="0" applyFont="1" applyFill="1" applyBorder="1" applyAlignment="1">
      <alignment horizontal="center" vertical="center"/>
    </xf>
    <xf numFmtId="0" fontId="2" fillId="48" borderId="1" xfId="0" quotePrefix="1" applyFont="1" applyFill="1" applyBorder="1" applyAlignment="1">
      <alignment horizontal="center" vertical="center"/>
    </xf>
    <xf numFmtId="0" fontId="4" fillId="48" borderId="9" xfId="0" applyFont="1" applyFill="1" applyBorder="1" applyAlignment="1">
      <alignment vertical="center"/>
    </xf>
    <xf numFmtId="0" fontId="2" fillId="48" borderId="9" xfId="0" quotePrefix="1" applyFont="1" applyFill="1" applyBorder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166" fontId="4" fillId="0" borderId="0" xfId="1" applyNumberFormat="1" applyFont="1" applyAlignment="1">
      <alignment vertical="center"/>
    </xf>
    <xf numFmtId="166" fontId="2" fillId="0" borderId="0" xfId="1" applyNumberFormat="1" applyFont="1" applyBorder="1" applyAlignment="1">
      <alignment vertical="center"/>
    </xf>
    <xf numFmtId="0" fontId="53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166" fontId="54" fillId="0" borderId="0" xfId="0" applyNumberFormat="1" applyFont="1" applyAlignment="1">
      <alignment vertical="center" wrapText="1"/>
    </xf>
    <xf numFmtId="166" fontId="4" fillId="0" borderId="0" xfId="1" applyNumberFormat="1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4" fillId="0" borderId="40" xfId="0" applyFont="1" applyBorder="1" applyAlignment="1">
      <alignment vertical="center" wrapText="1"/>
    </xf>
    <xf numFmtId="0" fontId="2" fillId="0" borderId="40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2" fillId="0" borderId="40" xfId="0" applyFont="1" applyBorder="1" applyAlignment="1">
      <alignment horizontal="center" vertical="center"/>
    </xf>
    <xf numFmtId="166" fontId="2" fillId="0" borderId="40" xfId="1" applyNumberFormat="1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66" fontId="2" fillId="0" borderId="42" xfId="1" applyNumberFormat="1" applyFont="1" applyBorder="1" applyAlignment="1">
      <alignment vertical="center"/>
    </xf>
    <xf numFmtId="166" fontId="2" fillId="0" borderId="43" xfId="1" applyNumberFormat="1" applyFont="1" applyBorder="1" applyAlignment="1">
      <alignment horizontal="center" vertical="center"/>
    </xf>
    <xf numFmtId="166" fontId="2" fillId="0" borderId="43" xfId="1" applyNumberFormat="1" applyFont="1" applyBorder="1" applyAlignment="1">
      <alignment vertical="center"/>
    </xf>
    <xf numFmtId="0" fontId="53" fillId="0" borderId="42" xfId="0" applyFont="1" applyBorder="1" applyAlignment="1">
      <alignment vertical="center"/>
    </xf>
    <xf numFmtId="166" fontId="54" fillId="0" borderId="43" xfId="0" applyNumberFormat="1" applyFont="1" applyBorder="1" applyAlignment="1">
      <alignment vertical="center" wrapText="1"/>
    </xf>
    <xf numFmtId="166" fontId="2" fillId="0" borderId="44" xfId="1" applyNumberFormat="1" applyFont="1" applyBorder="1" applyAlignment="1">
      <alignment vertical="center"/>
    </xf>
    <xf numFmtId="166" fontId="2" fillId="0" borderId="45" xfId="1" applyNumberFormat="1" applyFont="1" applyBorder="1" applyAlignment="1">
      <alignment vertical="center"/>
    </xf>
    <xf numFmtId="166" fontId="4" fillId="0" borderId="45" xfId="1" applyNumberFormat="1" applyFont="1" applyBorder="1" applyAlignment="1">
      <alignment vertical="center"/>
    </xf>
    <xf numFmtId="166" fontId="2" fillId="0" borderId="45" xfId="1" applyNumberFormat="1" applyFont="1" applyBorder="1" applyAlignment="1">
      <alignment horizontal="center" vertical="center"/>
    </xf>
    <xf numFmtId="166" fontId="2" fillId="0" borderId="46" xfId="1" applyNumberFormat="1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5" fillId="0" borderId="0" xfId="0" applyFont="1" applyAlignment="1">
      <alignment vertical="center"/>
    </xf>
    <xf numFmtId="166" fontId="60" fillId="0" borderId="0" xfId="0" applyNumberFormat="1" applyFont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vertical="center"/>
    </xf>
    <xf numFmtId="0" fontId="2" fillId="0" borderId="50" xfId="0" applyFont="1" applyBorder="1" applyAlignment="1">
      <alignment vertical="center"/>
    </xf>
    <xf numFmtId="0" fontId="59" fillId="0" borderId="0" xfId="0" applyFont="1" applyAlignment="1">
      <alignment vertical="center"/>
    </xf>
    <xf numFmtId="0" fontId="2" fillId="0" borderId="51" xfId="0" applyFont="1" applyBorder="1" applyAlignment="1">
      <alignment vertical="center"/>
    </xf>
    <xf numFmtId="0" fontId="57" fillId="0" borderId="0" xfId="0" applyFont="1" applyAlignment="1">
      <alignment vertical="center"/>
    </xf>
    <xf numFmtId="0" fontId="55" fillId="0" borderId="50" xfId="0" applyFont="1" applyBorder="1" applyAlignment="1">
      <alignment vertical="center"/>
    </xf>
    <xf numFmtId="0" fontId="55" fillId="0" borderId="51" xfId="0" applyFont="1" applyBorder="1" applyAlignment="1">
      <alignment vertical="center"/>
    </xf>
    <xf numFmtId="0" fontId="2" fillId="0" borderId="50" xfId="0" applyFont="1" applyBorder="1" applyAlignment="1">
      <alignment vertical="center" wrapText="1"/>
    </xf>
    <xf numFmtId="0" fontId="2" fillId="0" borderId="51" xfId="0" applyFont="1" applyBorder="1" applyAlignment="1">
      <alignment vertical="center" wrapText="1"/>
    </xf>
    <xf numFmtId="166" fontId="2" fillId="0" borderId="50" xfId="1" applyNumberFormat="1" applyFont="1" applyBorder="1" applyAlignment="1">
      <alignment vertical="center"/>
    </xf>
    <xf numFmtId="166" fontId="2" fillId="0" borderId="51" xfId="1" applyNumberFormat="1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vertical="center"/>
    </xf>
    <xf numFmtId="0" fontId="55" fillId="0" borderId="12" xfId="0" applyFont="1" applyBorder="1" applyAlignment="1">
      <alignment vertical="center"/>
    </xf>
    <xf numFmtId="16" fontId="55" fillId="0" borderId="13" xfId="0" applyNumberFormat="1" applyFont="1" applyBorder="1" applyAlignment="1">
      <alignment horizontal="center" vertical="center"/>
    </xf>
    <xf numFmtId="0" fontId="55" fillId="0" borderId="8" xfId="0" applyFont="1" applyBorder="1" applyAlignment="1">
      <alignment vertical="center"/>
    </xf>
    <xf numFmtId="0" fontId="55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166" fontId="2" fillId="0" borderId="8" xfId="1" applyNumberFormat="1" applyFont="1" applyBorder="1" applyAlignment="1">
      <alignment vertical="center"/>
    </xf>
    <xf numFmtId="166" fontId="2" fillId="0" borderId="9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6" fontId="61" fillId="0" borderId="0" xfId="0" applyNumberFormat="1" applyFont="1" applyAlignment="1">
      <alignment horizontal="center" vertical="center"/>
    </xf>
    <xf numFmtId="166" fontId="62" fillId="0" borderId="0" xfId="1" applyNumberFormat="1" applyFont="1" applyBorder="1" applyAlignment="1">
      <alignment horizontal="center" vertical="center"/>
    </xf>
    <xf numFmtId="43" fontId="63" fillId="0" borderId="0" xfId="0" applyNumberFormat="1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2" fillId="0" borderId="59" xfId="0" applyFont="1" applyBorder="1" applyAlignment="1">
      <alignment horizontal="left" vertical="center" wrapText="1"/>
    </xf>
    <xf numFmtId="166" fontId="2" fillId="0" borderId="60" xfId="1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166" fontId="64" fillId="0" borderId="0" xfId="1" applyNumberFormat="1" applyFont="1" applyBorder="1" applyAlignment="1">
      <alignment horizontal="center" vertical="center"/>
    </xf>
    <xf numFmtId="16" fontId="65" fillId="0" borderId="13" xfId="0" applyNumberFormat="1" applyFont="1" applyBorder="1" applyAlignment="1">
      <alignment horizontal="center" vertical="center"/>
    </xf>
    <xf numFmtId="0" fontId="65" fillId="0" borderId="9" xfId="0" applyFont="1" applyBorder="1" applyAlignment="1">
      <alignment horizontal="center" vertical="center"/>
    </xf>
    <xf numFmtId="166" fontId="2" fillId="51" borderId="0" xfId="1" applyNumberFormat="1" applyFont="1" applyFill="1" applyAlignment="1">
      <alignment vertical="center"/>
    </xf>
    <xf numFmtId="166" fontId="0" fillId="51" borderId="0" xfId="1" applyNumberFormat="1" applyFont="1" applyFill="1" applyAlignment="1">
      <alignment vertical="center"/>
    </xf>
    <xf numFmtId="166" fontId="55" fillId="51" borderId="0" xfId="1" applyNumberFormat="1" applyFont="1" applyFill="1" applyAlignment="1">
      <alignment vertical="center"/>
    </xf>
    <xf numFmtId="166" fontId="2" fillId="51" borderId="0" xfId="1" applyNumberFormat="1" applyFont="1" applyFill="1" applyAlignment="1">
      <alignment vertical="center" wrapText="1"/>
    </xf>
    <xf numFmtId="0" fontId="66" fillId="0" borderId="0" xfId="0" applyFont="1" applyAlignment="1">
      <alignment vertical="center"/>
    </xf>
    <xf numFmtId="166" fontId="67" fillId="51" borderId="64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8" fillId="0" borderId="0" xfId="0" applyFont="1" applyAlignment="1">
      <alignment vertical="center"/>
    </xf>
    <xf numFmtId="0" fontId="68" fillId="0" borderId="47" xfId="0" applyFont="1" applyBorder="1" applyAlignment="1">
      <alignment vertical="center"/>
    </xf>
    <xf numFmtId="0" fontId="68" fillId="0" borderId="48" xfId="0" applyFont="1" applyBorder="1" applyAlignment="1">
      <alignment vertical="center"/>
    </xf>
    <xf numFmtId="0" fontId="68" fillId="0" borderId="48" xfId="0" applyFont="1" applyBorder="1" applyAlignment="1">
      <alignment horizontal="center" vertical="center"/>
    </xf>
    <xf numFmtId="0" fontId="68" fillId="0" borderId="49" xfId="0" applyFont="1" applyBorder="1" applyAlignment="1">
      <alignment vertical="center"/>
    </xf>
    <xf numFmtId="0" fontId="68" fillId="0" borderId="50" xfId="0" applyFont="1" applyBorder="1" applyAlignment="1">
      <alignment vertical="center"/>
    </xf>
    <xf numFmtId="0" fontId="68" fillId="0" borderId="51" xfId="0" applyFont="1" applyBorder="1" applyAlignment="1">
      <alignment vertical="center"/>
    </xf>
    <xf numFmtId="0" fontId="68" fillId="0" borderId="0" xfId="0" applyFont="1" applyAlignment="1">
      <alignment horizontal="center" vertical="center"/>
    </xf>
    <xf numFmtId="0" fontId="68" fillId="52" borderId="0" xfId="0" quotePrefix="1" applyFont="1" applyFill="1" applyAlignment="1">
      <alignment horizontal="center" vertical="center"/>
    </xf>
    <xf numFmtId="0" fontId="70" fillId="0" borderId="50" xfId="0" applyFont="1" applyBorder="1" applyAlignment="1">
      <alignment vertical="center"/>
    </xf>
    <xf numFmtId="0" fontId="70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70" fillId="0" borderId="0" xfId="0" applyFont="1" applyAlignment="1">
      <alignment horizontal="center" vertical="center"/>
    </xf>
    <xf numFmtId="0" fontId="70" fillId="0" borderId="51" xfId="0" applyFont="1" applyBorder="1" applyAlignment="1">
      <alignment vertical="center"/>
    </xf>
    <xf numFmtId="0" fontId="72" fillId="0" borderId="0" xfId="0" applyFont="1" applyAlignment="1">
      <alignment vertical="center"/>
    </xf>
    <xf numFmtId="0" fontId="73" fillId="0" borderId="50" xfId="0" applyFont="1" applyBorder="1" applyAlignment="1">
      <alignment vertical="center"/>
    </xf>
    <xf numFmtId="0" fontId="73" fillId="0" borderId="0" xfId="0" applyFont="1" applyAlignment="1">
      <alignment vertical="center"/>
    </xf>
    <xf numFmtId="0" fontId="74" fillId="0" borderId="12" xfId="0" applyFont="1" applyBorder="1" applyAlignment="1">
      <alignment vertical="center"/>
    </xf>
    <xf numFmtId="177" fontId="74" fillId="0" borderId="13" xfId="0" applyNumberFormat="1" applyFont="1" applyBorder="1" applyAlignment="1">
      <alignment horizontal="center" vertical="center"/>
    </xf>
    <xf numFmtId="177" fontId="75" fillId="0" borderId="13" xfId="0" applyNumberFormat="1" applyFont="1" applyBorder="1" applyAlignment="1">
      <alignment horizontal="center" vertical="center"/>
    </xf>
    <xf numFmtId="0" fontId="73" fillId="0" borderId="51" xfId="0" applyFont="1" applyBorder="1" applyAlignment="1">
      <alignment vertical="center"/>
    </xf>
    <xf numFmtId="0" fontId="74" fillId="0" borderId="8" xfId="0" applyFont="1" applyBorder="1" applyAlignment="1">
      <alignment vertical="center"/>
    </xf>
    <xf numFmtId="0" fontId="74" fillId="0" borderId="9" xfId="0" applyFont="1" applyBorder="1" applyAlignment="1">
      <alignment horizontal="center" vertical="center"/>
    </xf>
    <xf numFmtId="0" fontId="75" fillId="0" borderId="9" xfId="0" applyFont="1" applyBorder="1" applyAlignment="1">
      <alignment horizontal="center" vertical="center"/>
    </xf>
    <xf numFmtId="0" fontId="70" fillId="0" borderId="50" xfId="0" applyFont="1" applyBorder="1" applyAlignment="1">
      <alignment vertical="center" wrapText="1"/>
    </xf>
    <xf numFmtId="0" fontId="76" fillId="0" borderId="12" xfId="0" applyFont="1" applyBorder="1" applyAlignment="1">
      <alignment horizontal="left" vertical="center" wrapText="1"/>
    </xf>
    <xf numFmtId="0" fontId="76" fillId="0" borderId="13" xfId="0" applyFont="1" applyBorder="1" applyAlignment="1">
      <alignment horizontal="center" vertical="center" wrapText="1"/>
    </xf>
    <xf numFmtId="0" fontId="77" fillId="0" borderId="13" xfId="0" applyFont="1" applyBorder="1" applyAlignment="1">
      <alignment horizontal="center" vertical="center" wrapText="1"/>
    </xf>
    <xf numFmtId="0" fontId="70" fillId="0" borderId="51" xfId="0" applyFont="1" applyBorder="1" applyAlignment="1">
      <alignment vertical="center" wrapText="1"/>
    </xf>
    <xf numFmtId="166" fontId="70" fillId="0" borderId="50" xfId="1" applyNumberFormat="1" applyFont="1" applyBorder="1" applyAlignment="1">
      <alignment vertical="center"/>
    </xf>
    <xf numFmtId="166" fontId="76" fillId="0" borderId="8" xfId="1" applyNumberFormat="1" applyFont="1" applyBorder="1" applyAlignment="1">
      <alignment vertical="center"/>
    </xf>
    <xf numFmtId="166" fontId="76" fillId="0" borderId="9" xfId="1" applyNumberFormat="1" applyFont="1" applyBorder="1" applyAlignment="1">
      <alignment horizontal="center" vertical="center"/>
    </xf>
    <xf numFmtId="166" fontId="77" fillId="0" borderId="9" xfId="1" applyNumberFormat="1" applyFont="1" applyBorder="1" applyAlignment="1">
      <alignment horizontal="center" vertical="center"/>
    </xf>
    <xf numFmtId="166" fontId="70" fillId="0" borderId="51" xfId="1" applyNumberFormat="1" applyFont="1" applyBorder="1" applyAlignment="1">
      <alignment vertical="center"/>
    </xf>
    <xf numFmtId="0" fontId="76" fillId="0" borderId="12" xfId="0" applyFont="1" applyBorder="1" applyAlignment="1">
      <alignment vertical="center"/>
    </xf>
    <xf numFmtId="0" fontId="76" fillId="0" borderId="13" xfId="0" applyFont="1" applyBorder="1" applyAlignment="1">
      <alignment horizontal="center" vertical="center"/>
    </xf>
    <xf numFmtId="0" fontId="76" fillId="0" borderId="8" xfId="0" applyFont="1" applyBorder="1" applyAlignment="1">
      <alignment vertical="center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166" fontId="79" fillId="0" borderId="0" xfId="0" applyNumberFormat="1" applyFont="1" applyAlignment="1">
      <alignment horizontal="center" vertical="center"/>
    </xf>
    <xf numFmtId="0" fontId="80" fillId="0" borderId="0" xfId="0" applyFont="1" applyAlignment="1">
      <alignment vertical="center"/>
    </xf>
    <xf numFmtId="0" fontId="76" fillId="0" borderId="59" xfId="0" applyFont="1" applyBorder="1" applyAlignment="1">
      <alignment horizontal="left" vertical="center" wrapText="1"/>
    </xf>
    <xf numFmtId="166" fontId="76" fillId="0" borderId="60" xfId="1" applyNumberFormat="1" applyFont="1" applyBorder="1" applyAlignment="1">
      <alignment vertical="center"/>
    </xf>
    <xf numFmtId="0" fontId="70" fillId="0" borderId="2" xfId="0" applyFont="1" applyBorder="1" applyAlignment="1">
      <alignment vertical="center"/>
    </xf>
    <xf numFmtId="0" fontId="70" fillId="0" borderId="1" xfId="0" applyFont="1" applyBorder="1" applyAlignment="1">
      <alignment horizontal="center" vertical="center"/>
    </xf>
    <xf numFmtId="0" fontId="76" fillId="0" borderId="1" xfId="0" applyFont="1" applyBorder="1" applyAlignment="1">
      <alignment horizontal="center" vertical="center" wrapText="1"/>
    </xf>
    <xf numFmtId="166" fontId="70" fillId="0" borderId="60" xfId="1" applyNumberFormat="1" applyFont="1" applyBorder="1" applyAlignment="1">
      <alignment vertical="center"/>
    </xf>
    <xf numFmtId="166" fontId="70" fillId="0" borderId="9" xfId="1" applyNumberFormat="1" applyFont="1" applyBorder="1" applyAlignment="1">
      <alignment horizontal="center" vertical="center"/>
    </xf>
    <xf numFmtId="0" fontId="70" fillId="0" borderId="0" xfId="0" applyFont="1" applyAlignment="1">
      <alignment horizontal="left"/>
    </xf>
    <xf numFmtId="166" fontId="81" fillId="0" borderId="0" xfId="0" applyNumberFormat="1" applyFont="1" applyAlignment="1">
      <alignment horizontal="center" vertical="center"/>
    </xf>
    <xf numFmtId="43" fontId="83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166" fontId="85" fillId="0" borderId="0" xfId="1" applyNumberFormat="1" applyFont="1" applyBorder="1" applyAlignment="1">
      <alignment horizontal="center" vertical="center"/>
    </xf>
    <xf numFmtId="0" fontId="70" fillId="0" borderId="52" xfId="0" applyFont="1" applyBorder="1" applyAlignment="1">
      <alignment vertical="center"/>
    </xf>
    <xf numFmtId="0" fontId="70" fillId="0" borderId="53" xfId="0" applyFont="1" applyBorder="1" applyAlignment="1">
      <alignment vertical="center"/>
    </xf>
    <xf numFmtId="0" fontId="70" fillId="0" borderId="53" xfId="0" applyFont="1" applyBorder="1" applyAlignment="1">
      <alignment horizontal="center" vertical="center"/>
    </xf>
    <xf numFmtId="0" fontId="70" fillId="0" borderId="54" xfId="0" applyFont="1" applyBorder="1" applyAlignment="1">
      <alignment vertical="center"/>
    </xf>
    <xf numFmtId="43" fontId="83" fillId="0" borderId="65" xfId="0" applyNumberFormat="1" applyFont="1" applyBorder="1" applyAlignment="1">
      <alignment horizontal="center" vertical="center"/>
    </xf>
    <xf numFmtId="0" fontId="83" fillId="0" borderId="69" xfId="0" applyFont="1" applyBorder="1" applyAlignment="1">
      <alignment horizontal="center" vertical="center"/>
    </xf>
    <xf numFmtId="0" fontId="83" fillId="0" borderId="70" xfId="0" applyFont="1" applyBorder="1" applyAlignment="1">
      <alignment horizontal="center" vertical="center"/>
    </xf>
    <xf numFmtId="166" fontId="85" fillId="0" borderId="71" xfId="1" applyNumberFormat="1" applyFont="1" applyBorder="1" applyAlignment="1">
      <alignment horizontal="center" vertical="center"/>
    </xf>
    <xf numFmtId="166" fontId="85" fillId="0" borderId="68" xfId="1" applyNumberFormat="1" applyFont="1" applyBorder="1" applyAlignment="1">
      <alignment horizontal="center" vertical="center"/>
    </xf>
    <xf numFmtId="166" fontId="85" fillId="0" borderId="72" xfId="1" applyNumberFormat="1" applyFont="1" applyBorder="1" applyAlignment="1">
      <alignment horizontal="center" vertical="center"/>
    </xf>
    <xf numFmtId="0" fontId="88" fillId="0" borderId="0" xfId="0" applyFont="1" applyAlignment="1">
      <alignment vertical="center"/>
    </xf>
    <xf numFmtId="0" fontId="89" fillId="0" borderId="0" xfId="0" applyFont="1" applyAlignment="1">
      <alignment vertical="center"/>
    </xf>
    <xf numFmtId="0" fontId="90" fillId="0" borderId="13" xfId="0" applyFont="1" applyBorder="1" applyAlignment="1">
      <alignment horizontal="center" vertical="center" wrapText="1"/>
    </xf>
    <xf numFmtId="166" fontId="90" fillId="0" borderId="9" xfId="1" applyNumberFormat="1" applyFont="1" applyBorder="1" applyAlignment="1">
      <alignment horizontal="center" vertical="center"/>
    </xf>
    <xf numFmtId="0" fontId="68" fillId="50" borderId="0" xfId="0" applyFont="1" applyFill="1" applyAlignment="1">
      <alignment horizontal="center" vertical="center"/>
    </xf>
    <xf numFmtId="0" fontId="91" fillId="0" borderId="0" xfId="0" applyFont="1" applyAlignment="1">
      <alignment vertical="center"/>
    </xf>
    <xf numFmtId="165" fontId="85" fillId="0" borderId="68" xfId="1" applyNumberFormat="1" applyFont="1" applyBorder="1" applyAlignment="1">
      <alignment horizontal="center" vertical="center"/>
    </xf>
    <xf numFmtId="178" fontId="85" fillId="0" borderId="71" xfId="1" applyNumberFormat="1" applyFont="1" applyBorder="1" applyAlignment="1">
      <alignment horizontal="center" vertical="center"/>
    </xf>
    <xf numFmtId="0" fontId="68" fillId="0" borderId="73" xfId="0" applyFont="1" applyBorder="1" applyAlignment="1">
      <alignment vertical="center"/>
    </xf>
    <xf numFmtId="0" fontId="68" fillId="0" borderId="74" xfId="0" applyFont="1" applyBorder="1" applyAlignment="1">
      <alignment vertical="center"/>
    </xf>
    <xf numFmtId="0" fontId="68" fillId="0" borderId="74" xfId="0" applyFont="1" applyBorder="1" applyAlignment="1">
      <alignment horizontal="center" vertical="center"/>
    </xf>
    <xf numFmtId="0" fontId="68" fillId="0" borderId="75" xfId="0" applyFont="1" applyBorder="1" applyAlignment="1">
      <alignment horizontal="center" vertical="center"/>
    </xf>
    <xf numFmtId="0" fontId="68" fillId="0" borderId="76" xfId="0" applyFont="1" applyBorder="1" applyAlignment="1">
      <alignment vertical="center"/>
    </xf>
    <xf numFmtId="0" fontId="68" fillId="0" borderId="77" xfId="0" applyFont="1" applyBorder="1" applyAlignment="1">
      <alignment horizontal="center" vertical="center"/>
    </xf>
    <xf numFmtId="178" fontId="85" fillId="0" borderId="79" xfId="1" applyNumberFormat="1" applyFont="1" applyBorder="1" applyAlignment="1">
      <alignment horizontal="center" vertical="center"/>
    </xf>
    <xf numFmtId="166" fontId="85" fillId="0" borderId="80" xfId="1" applyNumberFormat="1" applyFont="1" applyBorder="1" applyAlignment="1">
      <alignment horizontal="center" vertical="center"/>
    </xf>
    <xf numFmtId="0" fontId="68" fillId="0" borderId="81" xfId="0" applyFont="1" applyBorder="1" applyAlignment="1">
      <alignment vertical="center"/>
    </xf>
    <xf numFmtId="0" fontId="68" fillId="0" borderId="82" xfId="0" applyFont="1" applyBorder="1" applyAlignment="1">
      <alignment vertical="center"/>
    </xf>
    <xf numFmtId="0" fontId="68" fillId="0" borderId="82" xfId="0" applyFont="1" applyBorder="1" applyAlignment="1">
      <alignment horizontal="center" vertical="center"/>
    </xf>
    <xf numFmtId="0" fontId="68" fillId="0" borderId="83" xfId="0" applyFont="1" applyBorder="1" applyAlignment="1">
      <alignment horizontal="center" vertical="center"/>
    </xf>
    <xf numFmtId="178" fontId="85" fillId="0" borderId="78" xfId="1" applyNumberFormat="1" applyFont="1" applyBorder="1" applyAlignment="1">
      <alignment horizontal="center" vertical="center"/>
    </xf>
    <xf numFmtId="177" fontId="92" fillId="0" borderId="13" xfId="0" applyNumberFormat="1" applyFont="1" applyBorder="1" applyAlignment="1">
      <alignment horizontal="center" vertical="center"/>
    </xf>
    <xf numFmtId="0" fontId="92" fillId="0" borderId="9" xfId="0" applyFont="1" applyBorder="1" applyAlignment="1">
      <alignment horizontal="center" vertical="center"/>
    </xf>
    <xf numFmtId="178" fontId="85" fillId="0" borderId="0" xfId="1" applyNumberFormat="1" applyFont="1" applyBorder="1" applyAlignment="1">
      <alignment horizontal="center" vertical="center"/>
    </xf>
    <xf numFmtId="165" fontId="85" fillId="0" borderId="0" xfId="1" applyNumberFormat="1" applyFont="1" applyBorder="1" applyAlignment="1">
      <alignment horizontal="center" vertical="center"/>
    </xf>
    <xf numFmtId="0" fontId="2" fillId="0" borderId="48" xfId="0" applyFont="1" applyBorder="1" applyAlignment="1">
      <alignment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vertical="center"/>
    </xf>
    <xf numFmtId="0" fontId="95" fillId="0" borderId="0" xfId="0" applyFont="1" applyAlignment="1">
      <alignment vertical="center"/>
    </xf>
    <xf numFmtId="0" fontId="95" fillId="0" borderId="0" xfId="0" applyFont="1" applyAlignment="1">
      <alignment horizontal="center" vertical="center"/>
    </xf>
    <xf numFmtId="0" fontId="9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99" fillId="0" borderId="47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93" fillId="50" borderId="1" xfId="0" applyFont="1" applyFill="1" applyBorder="1" applyAlignment="1">
      <alignment horizontal="center" vertical="center"/>
    </xf>
    <xf numFmtId="177" fontId="93" fillId="50" borderId="1" xfId="0" applyNumberFormat="1" applyFont="1" applyFill="1" applyBorder="1" applyAlignment="1">
      <alignment horizontal="center" vertical="center"/>
    </xf>
    <xf numFmtId="177" fontId="94" fillId="50" borderId="1" xfId="0" applyNumberFormat="1" applyFont="1" applyFill="1" applyBorder="1" applyAlignment="1">
      <alignment horizontal="center" vertical="center"/>
    </xf>
    <xf numFmtId="0" fontId="94" fillId="50" borderId="1" xfId="0" applyFont="1" applyFill="1" applyBorder="1" applyAlignment="1">
      <alignment horizontal="center" vertical="center"/>
    </xf>
    <xf numFmtId="0" fontId="95" fillId="0" borderId="1" xfId="0" applyFont="1" applyBorder="1" applyAlignment="1">
      <alignment horizontal="left" vertical="center" wrapText="1"/>
    </xf>
    <xf numFmtId="0" fontId="96" fillId="0" borderId="1" xfId="0" applyFont="1" applyBorder="1" applyAlignment="1">
      <alignment horizontal="center" vertical="center" wrapText="1"/>
    </xf>
    <xf numFmtId="166" fontId="95" fillId="0" borderId="1" xfId="1" applyNumberFormat="1" applyFont="1" applyBorder="1" applyAlignment="1">
      <alignment vertical="center"/>
    </xf>
    <xf numFmtId="179" fontId="95" fillId="0" borderId="1" xfId="1" applyNumberFormat="1" applyFont="1" applyBorder="1" applyAlignment="1">
      <alignment horizontal="center" vertical="center"/>
    </xf>
    <xf numFmtId="179" fontId="96" fillId="0" borderId="1" xfId="1" applyNumberFormat="1" applyFont="1" applyBorder="1" applyAlignment="1">
      <alignment horizontal="center" vertical="center"/>
    </xf>
    <xf numFmtId="0" fontId="97" fillId="0" borderId="1" xfId="0" applyFont="1" applyBorder="1" applyAlignment="1">
      <alignment horizontal="center" vertical="center" wrapText="1"/>
    </xf>
    <xf numFmtId="179" fontId="97" fillId="0" borderId="1" xfId="1" applyNumberFormat="1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99" fillId="0" borderId="0" xfId="0" applyNumberFormat="1" applyFont="1" applyAlignment="1">
      <alignment vertical="center"/>
    </xf>
    <xf numFmtId="0" fontId="2" fillId="0" borderId="65" xfId="0" applyFont="1" applyBorder="1" applyAlignment="1">
      <alignment horizontal="left" vertical="center"/>
    </xf>
    <xf numFmtId="0" fontId="2" fillId="0" borderId="69" xfId="0" applyFont="1" applyBorder="1" applyAlignment="1">
      <alignment horizontal="left" vertical="center"/>
    </xf>
    <xf numFmtId="0" fontId="2" fillId="0" borderId="70" xfId="0" applyFont="1" applyBorder="1" applyAlignment="1">
      <alignment horizontal="left" vertical="center"/>
    </xf>
    <xf numFmtId="0" fontId="2" fillId="0" borderId="86" xfId="0" applyFont="1" applyBorder="1" applyAlignment="1">
      <alignment horizontal="left" vertical="center"/>
    </xf>
    <xf numFmtId="0" fontId="2" fillId="0" borderId="87" xfId="0" applyFont="1" applyBorder="1" applyAlignment="1">
      <alignment horizontal="left" vertical="center"/>
    </xf>
    <xf numFmtId="0" fontId="2" fillId="0" borderId="66" xfId="0" applyFont="1" applyBorder="1" applyAlignment="1">
      <alignment horizontal="left" vertical="center"/>
    </xf>
    <xf numFmtId="0" fontId="2" fillId="0" borderId="85" xfId="0" applyFont="1" applyBorder="1" applyAlignment="1">
      <alignment horizontal="left" vertical="center"/>
    </xf>
    <xf numFmtId="0" fontId="95" fillId="0" borderId="1" xfId="0" applyFont="1" applyBorder="1" applyAlignment="1">
      <alignment horizontal="center" vertical="center"/>
    </xf>
    <xf numFmtId="43" fontId="95" fillId="0" borderId="1" xfId="0" applyNumberFormat="1" applyFont="1" applyBorder="1" applyAlignment="1">
      <alignment horizontal="center" vertical="center"/>
    </xf>
    <xf numFmtId="178" fontId="95" fillId="0" borderId="1" xfId="1" applyNumberFormat="1" applyFont="1" applyBorder="1" applyAlignment="1">
      <alignment horizontal="center" vertical="center"/>
    </xf>
    <xf numFmtId="165" fontId="95" fillId="0" borderId="1" xfId="1" applyNumberFormat="1" applyFont="1" applyBorder="1" applyAlignment="1">
      <alignment horizontal="center" vertical="center"/>
    </xf>
    <xf numFmtId="166" fontId="95" fillId="0" borderId="1" xfId="1" applyNumberFormat="1" applyFont="1" applyBorder="1" applyAlignment="1">
      <alignment horizontal="center" vertical="center"/>
    </xf>
    <xf numFmtId="0" fontId="2" fillId="0" borderId="84" xfId="0" applyFont="1" applyBorder="1" applyAlignment="1">
      <alignment horizontal="left" vertical="center"/>
    </xf>
    <xf numFmtId="0" fontId="2" fillId="52" borderId="0" xfId="0" applyFont="1" applyFill="1" applyAlignment="1">
      <alignment vertical="center"/>
    </xf>
    <xf numFmtId="0" fontId="2" fillId="52" borderId="0" xfId="0" applyFont="1" applyFill="1" applyAlignment="1">
      <alignment horizontal="center" vertical="center"/>
    </xf>
    <xf numFmtId="0" fontId="2" fillId="0" borderId="69" xfId="0" applyFont="1" applyBorder="1"/>
    <xf numFmtId="0" fontId="2" fillId="0" borderId="0" xfId="0" applyFont="1"/>
    <xf numFmtId="0" fontId="2" fillId="0" borderId="0" xfId="0" applyFont="1" applyAlignment="1">
      <alignment vertical="top"/>
    </xf>
    <xf numFmtId="179" fontId="106" fillId="0" borderId="0" xfId="0" applyNumberFormat="1" applyFont="1" applyAlignment="1">
      <alignment horizontal="center" vertical="center"/>
    </xf>
    <xf numFmtId="43" fontId="95" fillId="0" borderId="0" xfId="0" applyNumberFormat="1" applyFont="1" applyAlignment="1">
      <alignment horizontal="center" vertical="center"/>
    </xf>
    <xf numFmtId="178" fontId="95" fillId="0" borderId="0" xfId="1" applyNumberFormat="1" applyFont="1" applyBorder="1" applyAlignment="1">
      <alignment horizontal="center" vertical="center"/>
    </xf>
    <xf numFmtId="0" fontId="107" fillId="0" borderId="0" xfId="0" applyFont="1" applyAlignment="1">
      <alignment horizontal="left" vertical="center"/>
    </xf>
    <xf numFmtId="0" fontId="2" fillId="54" borderId="0" xfId="0" applyFont="1" applyFill="1" applyAlignment="1">
      <alignment vertical="center"/>
    </xf>
    <xf numFmtId="0" fontId="2" fillId="54" borderId="0" xfId="0" applyFont="1" applyFill="1" applyAlignment="1">
      <alignment horizontal="center" vertical="center"/>
    </xf>
    <xf numFmtId="0" fontId="104" fillId="0" borderId="0" xfId="0" applyFont="1" applyAlignment="1">
      <alignment horizontal="left" vertical="center"/>
    </xf>
    <xf numFmtId="179" fontId="98" fillId="0" borderId="0" xfId="0" applyNumberFormat="1" applyFont="1" applyAlignment="1">
      <alignment horizontal="center" vertical="center"/>
    </xf>
    <xf numFmtId="179" fontId="105" fillId="0" borderId="0" xfId="0" applyNumberFormat="1" applyFont="1" applyAlignment="1">
      <alignment horizontal="center" vertical="center"/>
    </xf>
    <xf numFmtId="0" fontId="2" fillId="51" borderId="0" xfId="0" applyFont="1" applyFill="1" applyAlignment="1">
      <alignment vertical="center"/>
    </xf>
    <xf numFmtId="0" fontId="2" fillId="51" borderId="0" xfId="0" applyFont="1" applyFill="1" applyAlignment="1">
      <alignment horizontal="center" vertical="center"/>
    </xf>
    <xf numFmtId="180" fontId="93" fillId="50" borderId="1" xfId="0" applyNumberFormat="1" applyFont="1" applyFill="1" applyBorder="1" applyAlignment="1">
      <alignment horizontal="center" vertical="center"/>
    </xf>
    <xf numFmtId="180" fontId="108" fillId="50" borderId="1" xfId="0" applyNumberFormat="1" applyFont="1" applyFill="1" applyBorder="1" applyAlignment="1">
      <alignment horizontal="center" vertical="center"/>
    </xf>
    <xf numFmtId="0" fontId="108" fillId="50" borderId="1" xfId="0" applyFont="1" applyFill="1" applyBorder="1" applyAlignment="1">
      <alignment horizontal="center" vertical="center"/>
    </xf>
    <xf numFmtId="0" fontId="109" fillId="0" borderId="1" xfId="0" applyFont="1" applyBorder="1" applyAlignment="1">
      <alignment horizontal="center" vertical="center" wrapText="1"/>
    </xf>
    <xf numFmtId="179" fontId="109" fillId="0" borderId="1" xfId="1" applyNumberFormat="1" applyFont="1" applyBorder="1" applyAlignment="1">
      <alignment horizontal="center" vertical="center"/>
    </xf>
    <xf numFmtId="179" fontId="2" fillId="0" borderId="0" xfId="0" applyNumberFormat="1" applyFont="1" applyAlignment="1">
      <alignment vertical="center"/>
    </xf>
    <xf numFmtId="164" fontId="2" fillId="52" borderId="0" xfId="1908" applyFont="1" applyFill="1" applyAlignment="1">
      <alignment vertical="center"/>
    </xf>
    <xf numFmtId="164" fontId="2" fillId="0" borderId="0" xfId="1908" applyFont="1" applyAlignment="1">
      <alignment vertical="center"/>
    </xf>
    <xf numFmtId="164" fontId="2" fillId="54" borderId="0" xfId="1908" applyFont="1" applyFill="1" applyAlignment="1">
      <alignment vertical="center"/>
    </xf>
    <xf numFmtId="164" fontId="2" fillId="51" borderId="0" xfId="1908" applyFont="1" applyFill="1" applyAlignment="1">
      <alignment vertical="center"/>
    </xf>
    <xf numFmtId="166" fontId="68" fillId="0" borderId="0" xfId="0" applyNumberFormat="1" applyFont="1" applyAlignment="1">
      <alignment vertical="center"/>
    </xf>
    <xf numFmtId="164" fontId="68" fillId="0" borderId="0" xfId="1908" applyFont="1" applyAlignment="1">
      <alignment vertical="center"/>
    </xf>
    <xf numFmtId="0" fontId="109" fillId="0" borderId="0" xfId="0" applyFont="1" applyAlignment="1">
      <alignment horizontal="center" vertical="center"/>
    </xf>
    <xf numFmtId="0" fontId="2" fillId="55" borderId="0" xfId="0" applyFont="1" applyFill="1" applyAlignment="1">
      <alignment vertical="center"/>
    </xf>
    <xf numFmtId="0" fontId="2" fillId="55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 wrapText="1"/>
    </xf>
    <xf numFmtId="179" fontId="110" fillId="0" borderId="1" xfId="1" applyNumberFormat="1" applyFont="1" applyBorder="1" applyAlignment="1">
      <alignment horizontal="center" vertical="center"/>
    </xf>
    <xf numFmtId="0" fontId="2" fillId="56" borderId="0" xfId="0" applyFont="1" applyFill="1" applyAlignment="1">
      <alignment vertical="center"/>
    </xf>
    <xf numFmtId="0" fontId="2" fillId="56" borderId="0" xfId="0" applyFont="1" applyFill="1" applyAlignment="1">
      <alignment horizontal="center" vertical="center"/>
    </xf>
    <xf numFmtId="0" fontId="114" fillId="0" borderId="0" xfId="0" applyFont="1" applyAlignment="1">
      <alignment vertical="center"/>
    </xf>
    <xf numFmtId="0" fontId="115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0" fontId="111" fillId="0" borderId="0" xfId="0" applyFont="1" applyAlignment="1">
      <alignment horizontal="center" vertical="center" wrapText="1"/>
    </xf>
    <xf numFmtId="0" fontId="113" fillId="0" borderId="0" xfId="0" applyFont="1" applyAlignment="1">
      <alignment horizontal="left" vertical="center"/>
    </xf>
    <xf numFmtId="0" fontId="115" fillId="0" borderId="0" xfId="0" applyFont="1" applyAlignment="1">
      <alignment horizontal="left" vertical="center"/>
    </xf>
    <xf numFmtId="180" fontId="91" fillId="0" borderId="0" xfId="0" applyNumberFormat="1" applyFont="1" applyAlignment="1">
      <alignment horizontal="center" vertical="center"/>
    </xf>
    <xf numFmtId="0" fontId="116" fillId="0" borderId="0" xfId="0" applyFont="1" applyAlignment="1">
      <alignment vertical="center"/>
    </xf>
    <xf numFmtId="0" fontId="116" fillId="0" borderId="1" xfId="0" applyFont="1" applyBorder="1" applyAlignment="1">
      <alignment vertical="center"/>
    </xf>
    <xf numFmtId="180" fontId="116" fillId="0" borderId="1" xfId="0" applyNumberFormat="1" applyFont="1" applyBorder="1" applyAlignment="1">
      <alignment horizontal="center" vertical="center"/>
    </xf>
    <xf numFmtId="0" fontId="91" fillId="0" borderId="1" xfId="0" applyFont="1" applyBorder="1" applyAlignment="1">
      <alignment vertical="center"/>
    </xf>
    <xf numFmtId="180" fontId="91" fillId="0" borderId="1" xfId="0" applyNumberFormat="1" applyFont="1" applyBorder="1" applyAlignment="1">
      <alignment horizontal="center" vertical="center"/>
    </xf>
    <xf numFmtId="179" fontId="91" fillId="0" borderId="0" xfId="0" applyNumberFormat="1" applyFont="1" applyAlignment="1">
      <alignment horizontal="center" vertical="center"/>
    </xf>
    <xf numFmtId="0" fontId="116" fillId="0" borderId="1" xfId="0" applyFont="1" applyBorder="1" applyAlignment="1">
      <alignment horizontal="center" vertical="center"/>
    </xf>
    <xf numFmtId="179" fontId="116" fillId="0" borderId="1" xfId="0" applyNumberFormat="1" applyFont="1" applyBorder="1" applyAlignment="1">
      <alignment horizontal="center" vertical="center"/>
    </xf>
    <xf numFmtId="0" fontId="91" fillId="0" borderId="1" xfId="0" applyFont="1" applyBorder="1" applyAlignment="1">
      <alignment horizontal="center" vertical="center"/>
    </xf>
    <xf numFmtId="179" fontId="91" fillId="0" borderId="1" xfId="0" applyNumberFormat="1" applyFont="1" applyBorder="1" applyAlignment="1">
      <alignment horizontal="center" vertical="center"/>
    </xf>
    <xf numFmtId="180" fontId="113" fillId="0" borderId="0" xfId="0" applyNumberFormat="1" applyFont="1" applyAlignment="1">
      <alignment horizontal="left" vertical="center"/>
    </xf>
    <xf numFmtId="180" fontId="115" fillId="0" borderId="0" xfId="0" applyNumberFormat="1" applyFont="1" applyAlignment="1">
      <alignment horizontal="left" vertical="center"/>
    </xf>
    <xf numFmtId="0" fontId="111" fillId="57" borderId="1" xfId="0" applyFont="1" applyFill="1" applyBorder="1" applyAlignment="1">
      <alignment horizontal="center" vertical="center" wrapText="1"/>
    </xf>
    <xf numFmtId="179" fontId="111" fillId="57" borderId="1" xfId="0" applyNumberFormat="1" applyFont="1" applyFill="1" applyBorder="1" applyAlignment="1">
      <alignment horizontal="center" vertical="center" wrapText="1"/>
    </xf>
    <xf numFmtId="0" fontId="118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112" fillId="0" borderId="0" xfId="0" applyFont="1" applyAlignment="1">
      <alignment vertical="center"/>
    </xf>
    <xf numFmtId="180" fontId="2" fillId="0" borderId="0" xfId="0" applyNumberFormat="1" applyFont="1" applyAlignment="1">
      <alignment horizontal="center" vertical="center"/>
    </xf>
    <xf numFmtId="0" fontId="91" fillId="0" borderId="1" xfId="0" applyFont="1" applyBorder="1" applyAlignment="1">
      <alignment horizontal="left" vertical="center"/>
    </xf>
    <xf numFmtId="0" fontId="91" fillId="0" borderId="47" xfId="0" applyFont="1" applyBorder="1" applyAlignment="1">
      <alignment vertical="center"/>
    </xf>
    <xf numFmtId="0" fontId="91" fillId="0" borderId="48" xfId="0" applyFont="1" applyBorder="1" applyAlignment="1">
      <alignment vertical="center"/>
    </xf>
    <xf numFmtId="180" fontId="91" fillId="0" borderId="48" xfId="0" applyNumberFormat="1" applyFont="1" applyBorder="1" applyAlignment="1">
      <alignment horizontal="center" vertical="center"/>
    </xf>
    <xf numFmtId="0" fontId="91" fillId="0" borderId="48" xfId="0" applyFont="1" applyBorder="1" applyAlignment="1">
      <alignment horizontal="center" vertical="center"/>
    </xf>
    <xf numFmtId="179" fontId="91" fillId="0" borderId="48" xfId="0" applyNumberFormat="1" applyFont="1" applyBorder="1" applyAlignment="1">
      <alignment horizontal="center" vertical="center"/>
    </xf>
    <xf numFmtId="0" fontId="91" fillId="0" borderId="49" xfId="0" applyFont="1" applyBorder="1" applyAlignment="1">
      <alignment vertical="center"/>
    </xf>
    <xf numFmtId="0" fontId="91" fillId="0" borderId="50" xfId="0" applyFont="1" applyBorder="1" applyAlignment="1">
      <alignment vertical="center"/>
    </xf>
    <xf numFmtId="0" fontId="91" fillId="0" borderId="51" xfId="0" applyFont="1" applyBorder="1" applyAlignment="1">
      <alignment vertical="center"/>
    </xf>
    <xf numFmtId="0" fontId="114" fillId="0" borderId="50" xfId="0" applyFont="1" applyBorder="1" applyAlignment="1">
      <alignment vertical="center"/>
    </xf>
    <xf numFmtId="179" fontId="114" fillId="0" borderId="0" xfId="0" applyNumberFormat="1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51" xfId="0" applyFont="1" applyBorder="1" applyAlignment="1">
      <alignment vertical="center"/>
    </xf>
    <xf numFmtId="0" fontId="115" fillId="0" borderId="50" xfId="0" applyFont="1" applyBorder="1" applyAlignment="1">
      <alignment vertical="center"/>
    </xf>
    <xf numFmtId="179" fontId="115" fillId="0" borderId="0" xfId="0" applyNumberFormat="1" applyFont="1" applyAlignment="1">
      <alignment horizontal="center" vertical="center"/>
    </xf>
    <xf numFmtId="0" fontId="115" fillId="0" borderId="51" xfId="0" applyFont="1" applyBorder="1" applyAlignment="1">
      <alignment vertical="center"/>
    </xf>
    <xf numFmtId="0" fontId="111" fillId="0" borderId="50" xfId="0" applyFont="1" applyBorder="1" applyAlignment="1">
      <alignment horizontal="center" vertical="center" wrapText="1"/>
    </xf>
    <xf numFmtId="0" fontId="111" fillId="0" borderId="51" xfId="0" applyFont="1" applyBorder="1" applyAlignment="1">
      <alignment horizontal="center" vertical="center" wrapText="1"/>
    </xf>
    <xf numFmtId="0" fontId="116" fillId="0" borderId="50" xfId="0" applyFont="1" applyBorder="1" applyAlignment="1">
      <alignment vertical="center"/>
    </xf>
    <xf numFmtId="0" fontId="116" fillId="0" borderId="51" xfId="0" applyFont="1" applyBorder="1" applyAlignment="1">
      <alignment vertical="center"/>
    </xf>
    <xf numFmtId="0" fontId="56" fillId="0" borderId="50" xfId="0" applyFont="1" applyBorder="1" applyAlignment="1">
      <alignment vertical="center"/>
    </xf>
    <xf numFmtId="0" fontId="56" fillId="0" borderId="51" xfId="0" applyFont="1" applyBorder="1" applyAlignment="1">
      <alignment vertical="center"/>
    </xf>
    <xf numFmtId="0" fontId="118" fillId="0" borderId="50" xfId="0" applyFont="1" applyBorder="1" applyAlignment="1">
      <alignment vertical="center"/>
    </xf>
    <xf numFmtId="0" fontId="118" fillId="0" borderId="51" xfId="0" applyFont="1" applyBorder="1" applyAlignment="1">
      <alignment vertical="center"/>
    </xf>
    <xf numFmtId="0" fontId="91" fillId="0" borderId="52" xfId="0" applyFont="1" applyBorder="1" applyAlignment="1">
      <alignment vertical="center"/>
    </xf>
    <xf numFmtId="0" fontId="91" fillId="0" borderId="78" xfId="0" applyFont="1" applyBorder="1" applyAlignment="1">
      <alignment vertical="center"/>
    </xf>
    <xf numFmtId="180" fontId="91" fillId="0" borderId="78" xfId="0" applyNumberFormat="1" applyFont="1" applyBorder="1" applyAlignment="1">
      <alignment horizontal="center" vertical="center"/>
    </xf>
    <xf numFmtId="0" fontId="91" fillId="0" borderId="78" xfId="0" applyFont="1" applyBorder="1" applyAlignment="1">
      <alignment horizontal="center" vertical="center"/>
    </xf>
    <xf numFmtId="179" fontId="91" fillId="0" borderId="78" xfId="0" applyNumberFormat="1" applyFont="1" applyBorder="1" applyAlignment="1">
      <alignment horizontal="center" vertical="center"/>
    </xf>
    <xf numFmtId="0" fontId="91" fillId="0" borderId="54" xfId="0" applyFont="1" applyBorder="1" applyAlignment="1">
      <alignment vertical="center"/>
    </xf>
    <xf numFmtId="179" fontId="1" fillId="0" borderId="0" xfId="0" applyNumberFormat="1" applyFont="1" applyAlignment="1">
      <alignment horizontal="center" vertical="center"/>
    </xf>
    <xf numFmtId="179" fontId="117" fillId="0" borderId="0" xfId="0" applyNumberFormat="1" applyFont="1" applyAlignment="1">
      <alignment horizontal="center" vertical="center"/>
    </xf>
    <xf numFmtId="0" fontId="119" fillId="0" borderId="50" xfId="0" applyFont="1" applyBorder="1" applyAlignment="1">
      <alignment horizontal="center"/>
    </xf>
    <xf numFmtId="0" fontId="119" fillId="0" borderId="1" xfId="0" applyFont="1" applyBorder="1" applyAlignment="1">
      <alignment horizontal="center"/>
    </xf>
    <xf numFmtId="180" fontId="119" fillId="0" borderId="0" xfId="0" applyNumberFormat="1" applyFont="1" applyAlignment="1">
      <alignment horizontal="center"/>
    </xf>
    <xf numFmtId="0" fontId="119" fillId="0" borderId="0" xfId="0" applyFont="1" applyAlignment="1">
      <alignment horizontal="center"/>
    </xf>
    <xf numFmtId="0" fontId="120" fillId="0" borderId="1" xfId="0" applyFont="1" applyBorder="1" applyAlignment="1">
      <alignment horizontal="center"/>
    </xf>
    <xf numFmtId="0" fontId="119" fillId="0" borderId="51" xfId="0" applyFont="1" applyBorder="1" applyAlignment="1">
      <alignment horizontal="center"/>
    </xf>
    <xf numFmtId="0" fontId="121" fillId="0" borderId="0" xfId="0" applyFont="1" applyAlignment="1">
      <alignment horizontal="left" vertical="center"/>
    </xf>
    <xf numFmtId="0" fontId="91" fillId="56" borderId="0" xfId="0" applyFont="1" applyFill="1" applyAlignment="1">
      <alignment vertical="center"/>
    </xf>
    <xf numFmtId="180" fontId="91" fillId="56" borderId="0" xfId="0" applyNumberFormat="1" applyFont="1" applyFill="1" applyAlignment="1">
      <alignment horizontal="center" vertical="center"/>
    </xf>
    <xf numFmtId="0" fontId="91" fillId="56" borderId="0" xfId="0" applyFont="1" applyFill="1" applyAlignment="1">
      <alignment horizontal="center" vertical="center"/>
    </xf>
    <xf numFmtId="179" fontId="91" fillId="56" borderId="0" xfId="0" applyNumberFormat="1" applyFont="1" applyFill="1" applyAlignment="1">
      <alignment horizontal="center" vertical="center"/>
    </xf>
    <xf numFmtId="0" fontId="123" fillId="0" borderId="50" xfId="0" applyFont="1" applyBorder="1" applyAlignment="1">
      <alignment vertical="center"/>
    </xf>
    <xf numFmtId="0" fontId="123" fillId="0" borderId="1" xfId="0" applyFont="1" applyBorder="1" applyAlignment="1">
      <alignment vertical="center"/>
    </xf>
    <xf numFmtId="180" fontId="123" fillId="0" borderId="1" xfId="0" applyNumberFormat="1" applyFont="1" applyBorder="1" applyAlignment="1">
      <alignment horizontal="center" vertical="center"/>
    </xf>
    <xf numFmtId="0" fontId="123" fillId="0" borderId="1" xfId="0" applyFont="1" applyBorder="1" applyAlignment="1">
      <alignment horizontal="center" vertical="center"/>
    </xf>
    <xf numFmtId="179" fontId="123" fillId="0" borderId="1" xfId="0" applyNumberFormat="1" applyFont="1" applyBorder="1" applyAlignment="1">
      <alignment horizontal="center" vertical="center"/>
    </xf>
    <xf numFmtId="0" fontId="123" fillId="0" borderId="51" xfId="0" applyFont="1" applyBorder="1" applyAlignment="1">
      <alignment vertical="center"/>
    </xf>
    <xf numFmtId="0" fontId="123" fillId="0" borderId="0" xfId="0" applyFont="1" applyAlignment="1">
      <alignment vertical="center"/>
    </xf>
    <xf numFmtId="164" fontId="91" fillId="56" borderId="0" xfId="1908" applyFont="1" applyFill="1" applyAlignment="1">
      <alignment vertical="center"/>
    </xf>
    <xf numFmtId="164" fontId="91" fillId="0" borderId="0" xfId="1908" applyFont="1" applyAlignment="1">
      <alignment vertical="center"/>
    </xf>
    <xf numFmtId="164" fontId="114" fillId="0" borderId="0" xfId="1908" applyFont="1" applyAlignment="1">
      <alignment vertical="center"/>
    </xf>
    <xf numFmtId="164" fontId="115" fillId="0" borderId="0" xfId="1908" applyFont="1" applyAlignment="1">
      <alignment vertical="center"/>
    </xf>
    <xf numFmtId="164" fontId="111" fillId="0" borderId="0" xfId="1908" applyFont="1" applyAlignment="1">
      <alignment horizontal="center" vertical="center" wrapText="1"/>
    </xf>
    <xf numFmtId="164" fontId="116" fillId="0" borderId="0" xfId="1908" applyFont="1" applyAlignment="1">
      <alignment vertical="center"/>
    </xf>
    <xf numFmtId="164" fontId="56" fillId="0" borderId="0" xfId="1908" applyFont="1" applyAlignment="1">
      <alignment vertical="center"/>
    </xf>
    <xf numFmtId="164" fontId="119" fillId="0" borderId="0" xfId="1908" applyFont="1" applyAlignment="1">
      <alignment horizontal="center"/>
    </xf>
    <xf numFmtId="164" fontId="123" fillId="0" borderId="0" xfId="1908" applyFont="1" applyAlignment="1">
      <alignment vertical="center"/>
    </xf>
    <xf numFmtId="164" fontId="118" fillId="0" borderId="0" xfId="1908" applyFont="1" applyAlignment="1">
      <alignment vertical="center"/>
    </xf>
    <xf numFmtId="0" fontId="91" fillId="58" borderId="0" xfId="0" applyFont="1" applyFill="1" applyAlignment="1">
      <alignment vertical="center"/>
    </xf>
    <xf numFmtId="180" fontId="91" fillId="58" borderId="0" xfId="0" applyNumberFormat="1" applyFont="1" applyFill="1" applyAlignment="1">
      <alignment horizontal="center" vertical="center"/>
    </xf>
    <xf numFmtId="0" fontId="91" fillId="58" borderId="0" xfId="0" applyFont="1" applyFill="1" applyAlignment="1">
      <alignment horizontal="center" vertical="center"/>
    </xf>
    <xf numFmtId="179" fontId="91" fillId="58" borderId="0" xfId="0" applyNumberFormat="1" applyFont="1" applyFill="1" applyAlignment="1">
      <alignment horizontal="center" vertical="center"/>
    </xf>
    <xf numFmtId="0" fontId="91" fillId="59" borderId="0" xfId="0" applyFont="1" applyFill="1" applyAlignment="1">
      <alignment vertical="center"/>
    </xf>
    <xf numFmtId="180" fontId="91" fillId="59" borderId="0" xfId="0" applyNumberFormat="1" applyFont="1" applyFill="1" applyAlignment="1">
      <alignment horizontal="center" vertical="center"/>
    </xf>
    <xf numFmtId="0" fontId="91" fillId="59" borderId="0" xfId="0" applyFont="1" applyFill="1" applyAlignment="1">
      <alignment horizontal="center" vertical="center"/>
    </xf>
    <xf numFmtId="179" fontId="91" fillId="59" borderId="0" xfId="0" applyNumberFormat="1" applyFont="1" applyFill="1" applyAlignment="1">
      <alignment horizontal="center" vertical="center"/>
    </xf>
    <xf numFmtId="0" fontId="91" fillId="0" borderId="90" xfId="0" applyFont="1" applyBorder="1" applyAlignment="1">
      <alignment vertical="center"/>
    </xf>
    <xf numFmtId="0" fontId="91" fillId="0" borderId="69" xfId="0" applyFont="1" applyBorder="1" applyAlignment="1">
      <alignment vertical="center"/>
    </xf>
    <xf numFmtId="180" fontId="91" fillId="0" borderId="69" xfId="0" applyNumberFormat="1" applyFont="1" applyBorder="1" applyAlignment="1">
      <alignment horizontal="center" vertical="center"/>
    </xf>
    <xf numFmtId="0" fontId="91" fillId="0" borderId="69" xfId="0" applyFont="1" applyBorder="1" applyAlignment="1">
      <alignment horizontal="center" vertical="center"/>
    </xf>
    <xf numFmtId="179" fontId="91" fillId="0" borderId="69" xfId="0" applyNumberFormat="1" applyFont="1" applyBorder="1" applyAlignment="1">
      <alignment horizontal="center" vertical="center"/>
    </xf>
    <xf numFmtId="0" fontId="91" fillId="0" borderId="91" xfId="0" applyFont="1" applyBorder="1" applyAlignment="1">
      <alignment vertical="center"/>
    </xf>
    <xf numFmtId="0" fontId="91" fillId="0" borderId="92" xfId="0" applyFont="1" applyBorder="1" applyAlignment="1">
      <alignment vertical="center"/>
    </xf>
    <xf numFmtId="0" fontId="91" fillId="0" borderId="93" xfId="0" applyFont="1" applyBorder="1" applyAlignment="1">
      <alignment horizontal="left" vertical="center"/>
    </xf>
    <xf numFmtId="180" fontId="91" fillId="0" borderId="94" xfId="0" applyNumberFormat="1" applyFont="1" applyBorder="1" applyAlignment="1">
      <alignment horizontal="center" vertical="center"/>
    </xf>
    <xf numFmtId="0" fontId="91" fillId="0" borderId="94" xfId="0" applyFont="1" applyBorder="1" applyAlignment="1">
      <alignment vertical="center"/>
    </xf>
    <xf numFmtId="0" fontId="91" fillId="0" borderId="95" xfId="0" applyFont="1" applyBorder="1" applyAlignment="1">
      <alignment vertical="center"/>
    </xf>
    <xf numFmtId="0" fontId="91" fillId="51" borderId="0" xfId="0" applyFont="1" applyFill="1" applyAlignment="1">
      <alignment vertical="center"/>
    </xf>
    <xf numFmtId="180" fontId="91" fillId="51" borderId="0" xfId="0" applyNumberFormat="1" applyFont="1" applyFill="1" applyAlignment="1">
      <alignment horizontal="center" vertical="center"/>
    </xf>
    <xf numFmtId="0" fontId="91" fillId="51" borderId="0" xfId="0" applyFont="1" applyFill="1" applyAlignment="1">
      <alignment horizontal="center" vertical="center"/>
    </xf>
    <xf numFmtId="179" fontId="91" fillId="51" borderId="0" xfId="0" applyNumberFormat="1" applyFont="1" applyFill="1" applyAlignment="1">
      <alignment horizontal="center" vertical="center"/>
    </xf>
    <xf numFmtId="164" fontId="91" fillId="51" borderId="0" xfId="1908" applyFont="1" applyFill="1" applyAlignment="1">
      <alignment vertical="center"/>
    </xf>
    <xf numFmtId="0" fontId="126" fillId="0" borderId="50" xfId="0" applyFont="1" applyBorder="1" applyAlignment="1">
      <alignment vertical="center"/>
    </xf>
    <xf numFmtId="0" fontId="126" fillId="0" borderId="1" xfId="0" applyFont="1" applyBorder="1" applyAlignment="1">
      <alignment vertical="center"/>
    </xf>
    <xf numFmtId="180" fontId="126" fillId="0" borderId="1" xfId="0" applyNumberFormat="1" applyFont="1" applyBorder="1" applyAlignment="1">
      <alignment horizontal="center" vertical="center"/>
    </xf>
    <xf numFmtId="0" fontId="126" fillId="0" borderId="1" xfId="0" applyFont="1" applyBorder="1" applyAlignment="1">
      <alignment horizontal="center" vertical="center"/>
    </xf>
    <xf numFmtId="179" fontId="126" fillId="0" borderId="1" xfId="0" applyNumberFormat="1" applyFont="1" applyBorder="1" applyAlignment="1">
      <alignment horizontal="center" vertical="center"/>
    </xf>
    <xf numFmtId="0" fontId="126" fillId="0" borderId="51" xfId="0" applyFont="1" applyBorder="1" applyAlignment="1">
      <alignment vertical="center"/>
    </xf>
    <xf numFmtId="0" fontId="126" fillId="0" borderId="0" xfId="0" applyFont="1" applyAlignment="1">
      <alignment vertical="center"/>
    </xf>
    <xf numFmtId="164" fontId="126" fillId="0" borderId="0" xfId="1908" applyFont="1" applyAlignment="1">
      <alignment vertical="center"/>
    </xf>
    <xf numFmtId="0" fontId="91" fillId="0" borderId="0" xfId="0" applyFont="1" applyAlignment="1">
      <alignment horizontal="center" vertical="center" wrapText="1"/>
    </xf>
    <xf numFmtId="0" fontId="116" fillId="0" borderId="0" xfId="0" applyFont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126" fillId="0" borderId="0" xfId="0" applyFont="1" applyAlignment="1">
      <alignment horizontal="center" vertical="center"/>
    </xf>
    <xf numFmtId="179" fontId="117" fillId="0" borderId="89" xfId="0" applyNumberFormat="1" applyFont="1" applyBorder="1" applyAlignment="1">
      <alignment horizontal="center" vertical="center"/>
    </xf>
    <xf numFmtId="179" fontId="117" fillId="0" borderId="2" xfId="0" applyNumberFormat="1" applyFont="1" applyBorder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117" fillId="0" borderId="63" xfId="0" applyFont="1" applyBorder="1" applyAlignment="1">
      <alignment horizontal="center" vertical="center"/>
    </xf>
    <xf numFmtId="179" fontId="123" fillId="0" borderId="0" xfId="0" applyNumberFormat="1" applyFont="1" applyAlignment="1">
      <alignment horizontal="center" vertical="center"/>
    </xf>
    <xf numFmtId="0" fontId="129" fillId="0" borderId="1" xfId="0" applyFont="1" applyBorder="1" applyAlignment="1">
      <alignment horizontal="center" vertical="center"/>
    </xf>
    <xf numFmtId="179" fontId="129" fillId="0" borderId="1" xfId="0" applyNumberFormat="1" applyFont="1" applyBorder="1" applyAlignment="1">
      <alignment horizontal="center" vertical="center"/>
    </xf>
    <xf numFmtId="0" fontId="129" fillId="0" borderId="0" xfId="0" applyFont="1" applyAlignment="1">
      <alignment horizontal="center" vertical="center"/>
    </xf>
    <xf numFmtId="0" fontId="129" fillId="0" borderId="50" xfId="0" applyFont="1" applyBorder="1" applyAlignment="1">
      <alignment vertical="center"/>
    </xf>
    <xf numFmtId="0" fontId="129" fillId="0" borderId="1" xfId="0" applyFont="1" applyBorder="1" applyAlignment="1">
      <alignment vertical="center"/>
    </xf>
    <xf numFmtId="180" fontId="129" fillId="0" borderId="1" xfId="0" applyNumberFormat="1" applyFont="1" applyBorder="1" applyAlignment="1">
      <alignment horizontal="center" vertical="center"/>
    </xf>
    <xf numFmtId="0" fontId="129" fillId="0" borderId="51" xfId="0" applyFont="1" applyBorder="1" applyAlignment="1">
      <alignment vertical="center"/>
    </xf>
    <xf numFmtId="0" fontId="129" fillId="0" borderId="0" xfId="0" applyFont="1" applyAlignment="1">
      <alignment vertical="center"/>
    </xf>
    <xf numFmtId="164" fontId="129" fillId="0" borderId="0" xfId="1908" applyFont="1" applyAlignment="1">
      <alignment vertical="center"/>
    </xf>
    <xf numFmtId="0" fontId="115" fillId="0" borderId="0" xfId="0" applyFont="1" applyAlignment="1">
      <alignment horizontal="left" vertical="top"/>
    </xf>
    <xf numFmtId="180" fontId="115" fillId="0" borderId="84" xfId="0" applyNumberFormat="1" applyFont="1" applyBorder="1" applyAlignment="1">
      <alignment horizontal="left" vertical="top" wrapText="1"/>
    </xf>
    <xf numFmtId="0" fontId="122" fillId="0" borderId="84" xfId="0" applyFont="1" applyBorder="1" applyAlignment="1">
      <alignment vertical="center" wrapText="1"/>
    </xf>
    <xf numFmtId="180" fontId="115" fillId="0" borderId="0" xfId="0" applyNumberFormat="1" applyFont="1" applyAlignment="1">
      <alignment horizontal="left" vertical="top" wrapText="1"/>
    </xf>
    <xf numFmtId="0" fontId="122" fillId="0" borderId="89" xfId="0" applyFont="1" applyBorder="1" applyAlignment="1">
      <alignment vertical="center" wrapText="1"/>
    </xf>
    <xf numFmtId="0" fontId="120" fillId="0" borderId="1" xfId="0" applyFont="1" applyBorder="1" applyAlignment="1">
      <alignment horizontal="left"/>
    </xf>
    <xf numFmtId="0" fontId="91" fillId="0" borderId="88" xfId="0" applyFont="1" applyBorder="1" applyAlignment="1">
      <alignment horizontal="center" vertical="center"/>
    </xf>
    <xf numFmtId="0" fontId="126" fillId="0" borderId="63" xfId="0" applyFont="1" applyBorder="1" applyAlignment="1">
      <alignment vertical="center"/>
    </xf>
    <xf numFmtId="0" fontId="132" fillId="0" borderId="0" xfId="0" applyFont="1" applyAlignment="1">
      <alignment horizontal="left" vertical="center"/>
    </xf>
    <xf numFmtId="180" fontId="132" fillId="0" borderId="0" xfId="0" applyNumberFormat="1" applyFont="1" applyAlignment="1">
      <alignment horizontal="left" vertical="center"/>
    </xf>
    <xf numFmtId="0" fontId="132" fillId="0" borderId="0" xfId="0" applyFont="1" applyAlignment="1">
      <alignment vertical="center"/>
    </xf>
    <xf numFmtId="0" fontId="132" fillId="0" borderId="0" xfId="0" applyFont="1" applyAlignment="1">
      <alignment horizontal="left" vertical="top"/>
    </xf>
    <xf numFmtId="16" fontId="91" fillId="0" borderId="0" xfId="0" applyNumberFormat="1" applyFont="1" applyAlignment="1">
      <alignment horizontal="center" vertical="center"/>
    </xf>
    <xf numFmtId="0" fontId="128" fillId="0" borderId="0" xfId="0" applyFont="1" applyAlignment="1">
      <alignment horizontal="center" vertical="center"/>
    </xf>
    <xf numFmtId="177" fontId="123" fillId="0" borderId="0" xfId="0" applyNumberFormat="1" applyFont="1" applyAlignment="1">
      <alignment vertical="center"/>
    </xf>
    <xf numFmtId="177" fontId="123" fillId="0" borderId="1" xfId="0" applyNumberFormat="1" applyFont="1" applyBorder="1" applyAlignment="1">
      <alignment horizontal="center"/>
    </xf>
    <xf numFmtId="0" fontId="128" fillId="0" borderId="1" xfId="0" applyFont="1" applyBorder="1" applyAlignment="1">
      <alignment horizontal="center" vertical="center"/>
    </xf>
    <xf numFmtId="0" fontId="128" fillId="3" borderId="1" xfId="0" applyFont="1" applyFill="1" applyBorder="1" applyAlignment="1">
      <alignment horizontal="center" vertical="center"/>
    </xf>
    <xf numFmtId="166" fontId="123" fillId="0" borderId="1" xfId="1" applyNumberFormat="1" applyFont="1" applyBorder="1" applyAlignment="1">
      <alignment vertical="center"/>
    </xf>
    <xf numFmtId="0" fontId="123" fillId="0" borderId="62" xfId="0" applyFont="1" applyBorder="1" applyAlignment="1">
      <alignment horizontal="center" vertical="center"/>
    </xf>
    <xf numFmtId="166" fontId="123" fillId="0" borderId="62" xfId="1" applyNumberFormat="1" applyFont="1" applyBorder="1" applyAlignment="1">
      <alignment horizontal="center" vertical="center"/>
    </xf>
    <xf numFmtId="0" fontId="123" fillId="0" borderId="62" xfId="0" applyFont="1" applyBorder="1" applyAlignment="1">
      <alignment vertical="center"/>
    </xf>
    <xf numFmtId="177" fontId="123" fillId="0" borderId="93" xfId="0" applyNumberFormat="1" applyFont="1" applyBorder="1" applyAlignment="1">
      <alignment horizontal="center"/>
    </xf>
    <xf numFmtId="0" fontId="123" fillId="0" borderId="93" xfId="0" applyFont="1" applyBorder="1" applyAlignment="1">
      <alignment horizontal="center" vertical="center"/>
    </xf>
    <xf numFmtId="166" fontId="123" fillId="0" borderId="93" xfId="1" applyNumberFormat="1" applyFont="1" applyBorder="1" applyAlignment="1">
      <alignment vertical="center"/>
    </xf>
    <xf numFmtId="0" fontId="123" fillId="3" borderId="98" xfId="0" applyFont="1" applyFill="1" applyBorder="1" applyAlignment="1">
      <alignment vertical="center"/>
    </xf>
    <xf numFmtId="0" fontId="123" fillId="3" borderId="62" xfId="0" applyFont="1" applyFill="1" applyBorder="1" applyAlignment="1">
      <alignment vertical="center"/>
    </xf>
    <xf numFmtId="0" fontId="123" fillId="0" borderId="65" xfId="0" applyFont="1" applyBorder="1" applyAlignment="1">
      <alignment vertical="center"/>
    </xf>
    <xf numFmtId="0" fontId="123" fillId="0" borderId="70" xfId="0" applyFont="1" applyBorder="1" applyAlignment="1">
      <alignment vertical="center"/>
    </xf>
    <xf numFmtId="0" fontId="123" fillId="0" borderId="86" xfId="0" applyFont="1" applyBorder="1" applyAlignment="1">
      <alignment vertical="center"/>
    </xf>
    <xf numFmtId="0" fontId="123" fillId="0" borderId="87" xfId="0" applyFont="1" applyBorder="1" applyAlignment="1">
      <alignment vertical="center"/>
    </xf>
    <xf numFmtId="0" fontId="128" fillId="0" borderId="86" xfId="0" applyFont="1" applyBorder="1" applyAlignment="1">
      <alignment vertical="center"/>
    </xf>
    <xf numFmtId="0" fontId="128" fillId="0" borderId="0" xfId="0" applyFont="1" applyAlignment="1">
      <alignment vertical="center"/>
    </xf>
    <xf numFmtId="0" fontId="123" fillId="0" borderId="66" xfId="0" applyFont="1" applyBorder="1" applyAlignment="1">
      <alignment vertical="center"/>
    </xf>
    <xf numFmtId="0" fontId="123" fillId="0" borderId="85" xfId="0" applyFont="1" applyBorder="1" applyAlignment="1">
      <alignment vertical="center"/>
    </xf>
    <xf numFmtId="0" fontId="133" fillId="0" borderId="86" xfId="0" applyFont="1" applyBorder="1" applyAlignment="1">
      <alignment vertical="center"/>
    </xf>
    <xf numFmtId="0" fontId="123" fillId="0" borderId="88" xfId="0" applyFont="1" applyBorder="1" applyAlignment="1">
      <alignment vertical="center"/>
    </xf>
    <xf numFmtId="0" fontId="123" fillId="0" borderId="63" xfId="0" applyFont="1" applyBorder="1" applyAlignment="1">
      <alignment horizontal="left"/>
    </xf>
    <xf numFmtId="0" fontId="123" fillId="0" borderId="96" xfId="0" applyFont="1" applyBorder="1" applyAlignment="1">
      <alignment horizontal="left"/>
    </xf>
    <xf numFmtId="0" fontId="123" fillId="0" borderId="2" xfId="0" applyFont="1" applyBorder="1" applyAlignment="1">
      <alignment horizontal="left"/>
    </xf>
    <xf numFmtId="0" fontId="123" fillId="0" borderId="97" xfId="0" applyFont="1" applyBorder="1" applyAlignment="1">
      <alignment horizontal="left"/>
    </xf>
    <xf numFmtId="0" fontId="123" fillId="0" borderId="1" xfId="0" applyFont="1" applyBorder="1" applyAlignment="1">
      <alignment horizontal="left" vertical="center"/>
    </xf>
    <xf numFmtId="0" fontId="133" fillId="0" borderId="0" xfId="0" applyFont="1" applyAlignment="1">
      <alignment vertical="center"/>
    </xf>
    <xf numFmtId="0" fontId="133" fillId="0" borderId="0" xfId="0" applyFont="1" applyAlignment="1">
      <alignment horizontal="center" vertical="center"/>
    </xf>
    <xf numFmtId="0" fontId="133" fillId="60" borderId="1" xfId="0" applyFont="1" applyFill="1" applyBorder="1" applyAlignment="1">
      <alignment horizontal="center" vertical="center"/>
    </xf>
    <xf numFmtId="0" fontId="137" fillId="0" borderId="86" xfId="0" applyFont="1" applyBorder="1" applyAlignment="1">
      <alignment vertical="center"/>
    </xf>
    <xf numFmtId="0" fontId="137" fillId="0" borderId="86" xfId="0" applyFont="1" applyBorder="1"/>
    <xf numFmtId="0" fontId="104" fillId="60" borderId="1" xfId="0" applyFont="1" applyFill="1" applyBorder="1" applyAlignment="1">
      <alignment horizontal="center" vertical="center"/>
    </xf>
    <xf numFmtId="0" fontId="123" fillId="50" borderId="63" xfId="0" applyFont="1" applyFill="1" applyBorder="1" applyAlignment="1">
      <alignment horizontal="left"/>
    </xf>
    <xf numFmtId="0" fontId="123" fillId="50" borderId="2" xfId="0" applyFont="1" applyFill="1" applyBorder="1" applyAlignment="1">
      <alignment horizontal="left"/>
    </xf>
    <xf numFmtId="177" fontId="123" fillId="50" borderId="1" xfId="0" applyNumberFormat="1" applyFont="1" applyFill="1" applyBorder="1" applyAlignment="1">
      <alignment horizontal="center"/>
    </xf>
    <xf numFmtId="0" fontId="123" fillId="50" borderId="1" xfId="0" applyFont="1" applyFill="1" applyBorder="1" applyAlignment="1">
      <alignment horizontal="center" vertical="center"/>
    </xf>
    <xf numFmtId="166" fontId="123" fillId="50" borderId="1" xfId="1" applyNumberFormat="1" applyFont="1" applyFill="1" applyBorder="1" applyAlignment="1">
      <alignment vertical="center"/>
    </xf>
    <xf numFmtId="0" fontId="128" fillId="50" borderId="1" xfId="0" applyFont="1" applyFill="1" applyBorder="1" applyAlignment="1">
      <alignment horizontal="center" vertical="center"/>
    </xf>
    <xf numFmtId="0" fontId="123" fillId="61" borderId="63" xfId="0" applyFont="1" applyFill="1" applyBorder="1" applyAlignment="1">
      <alignment horizontal="left"/>
    </xf>
    <xf numFmtId="0" fontId="123" fillId="61" borderId="2" xfId="0" applyFont="1" applyFill="1" applyBorder="1" applyAlignment="1">
      <alignment horizontal="left"/>
    </xf>
    <xf numFmtId="177" fontId="123" fillId="61" borderId="1" xfId="0" applyNumberFormat="1" applyFont="1" applyFill="1" applyBorder="1" applyAlignment="1">
      <alignment horizontal="center"/>
    </xf>
    <xf numFmtId="0" fontId="123" fillId="61" borderId="1" xfId="0" applyFont="1" applyFill="1" applyBorder="1" applyAlignment="1">
      <alignment horizontal="center" vertical="center"/>
    </xf>
    <xf numFmtId="166" fontId="123" fillId="61" borderId="1" xfId="1" applyNumberFormat="1" applyFont="1" applyFill="1" applyBorder="1" applyAlignment="1">
      <alignment vertical="center"/>
    </xf>
    <xf numFmtId="0" fontId="123" fillId="0" borderId="62" xfId="0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128" fillId="3" borderId="1" xfId="0" applyFont="1" applyFill="1" applyBorder="1" applyAlignment="1">
      <alignment horizontal="center" vertical="center"/>
    </xf>
    <xf numFmtId="0" fontId="123" fillId="0" borderId="63" xfId="0" applyFont="1" applyFill="1" applyBorder="1" applyAlignment="1">
      <alignment horizontal="left"/>
    </xf>
    <xf numFmtId="0" fontId="123" fillId="0" borderId="2" xfId="0" applyFont="1" applyFill="1" applyBorder="1" applyAlignment="1">
      <alignment horizontal="left"/>
    </xf>
    <xf numFmtId="177" fontId="123" fillId="0" borderId="1" xfId="0" applyNumberFormat="1" applyFont="1" applyFill="1" applyBorder="1" applyAlignment="1">
      <alignment horizontal="center"/>
    </xf>
    <xf numFmtId="0" fontId="123" fillId="0" borderId="1" xfId="0" applyFont="1" applyFill="1" applyBorder="1" applyAlignment="1">
      <alignment horizontal="center" vertical="center"/>
    </xf>
    <xf numFmtId="166" fontId="123" fillId="0" borderId="1" xfId="1" applyNumberFormat="1" applyFont="1" applyFill="1" applyBorder="1" applyAlignment="1">
      <alignment vertical="center"/>
    </xf>
    <xf numFmtId="0" fontId="123" fillId="0" borderId="62" xfId="0" applyFont="1" applyBorder="1" applyAlignment="1">
      <alignment horizontal="center" vertical="center"/>
    </xf>
    <xf numFmtId="0" fontId="128" fillId="3" borderId="1" xfId="0" applyFont="1" applyFill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123" fillId="48" borderId="63" xfId="0" applyFont="1" applyFill="1" applyBorder="1" applyAlignment="1">
      <alignment horizontal="left"/>
    </xf>
    <xf numFmtId="0" fontId="123" fillId="48" borderId="2" xfId="0" applyFont="1" applyFill="1" applyBorder="1" applyAlignment="1">
      <alignment horizontal="left"/>
    </xf>
    <xf numFmtId="177" fontId="123" fillId="48" borderId="1" xfId="0" applyNumberFormat="1" applyFont="1" applyFill="1" applyBorder="1" applyAlignment="1">
      <alignment horizontal="center"/>
    </xf>
    <xf numFmtId="0" fontId="123" fillId="48" borderId="1" xfId="0" applyFont="1" applyFill="1" applyBorder="1" applyAlignment="1">
      <alignment horizontal="center" vertical="center"/>
    </xf>
    <xf numFmtId="166" fontId="123" fillId="48" borderId="1" xfId="1" applyNumberFormat="1" applyFont="1" applyFill="1" applyBorder="1" applyAlignment="1">
      <alignment vertical="center"/>
    </xf>
    <xf numFmtId="0" fontId="123" fillId="0" borderId="62" xfId="0" applyFont="1" applyBorder="1" applyAlignment="1">
      <alignment horizontal="center" vertical="center"/>
    </xf>
    <xf numFmtId="0" fontId="128" fillId="3" borderId="1" xfId="0" applyFont="1" applyFill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123" fillId="0" borderId="62" xfId="0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128" fillId="3" borderId="1" xfId="0" applyFont="1" applyFill="1" applyBorder="1" applyAlignment="1">
      <alignment horizontal="center" vertical="center"/>
    </xf>
    <xf numFmtId="0" fontId="123" fillId="3" borderId="88" xfId="0" applyFont="1" applyFill="1" applyBorder="1" applyAlignment="1">
      <alignment vertical="center"/>
    </xf>
    <xf numFmtId="0" fontId="123" fillId="0" borderId="96" xfId="0" applyFont="1" applyFill="1" applyBorder="1" applyAlignment="1">
      <alignment horizontal="left"/>
    </xf>
    <xf numFmtId="177" fontId="123" fillId="0" borderId="93" xfId="0" applyNumberFormat="1" applyFont="1" applyFill="1" applyBorder="1" applyAlignment="1">
      <alignment horizontal="center"/>
    </xf>
    <xf numFmtId="0" fontId="123" fillId="0" borderId="63" xfId="0" applyFont="1" applyBorder="1" applyAlignment="1">
      <alignment vertical="center"/>
    </xf>
    <xf numFmtId="0" fontId="123" fillId="0" borderId="2" xfId="0" applyFont="1" applyBorder="1" applyAlignment="1">
      <alignment vertical="center"/>
    </xf>
    <xf numFmtId="166" fontId="54" fillId="0" borderId="1" xfId="0" applyNumberFormat="1" applyFont="1" applyBorder="1" applyAlignment="1">
      <alignment horizontal="center" vertical="center" wrapText="1"/>
    </xf>
    <xf numFmtId="166" fontId="2" fillId="0" borderId="7" xfId="1" applyNumberFormat="1" applyFont="1" applyBorder="1" applyAlignment="1">
      <alignment horizontal="center" vertical="center"/>
    </xf>
    <xf numFmtId="166" fontId="2" fillId="0" borderId="10" xfId="1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6" fontId="4" fillId="0" borderId="20" xfId="1" applyNumberFormat="1" applyFont="1" applyBorder="1" applyAlignment="1">
      <alignment horizontal="right" vertical="center" wrapText="1"/>
    </xf>
    <xf numFmtId="166" fontId="4" fillId="0" borderId="16" xfId="1" applyNumberFormat="1" applyFont="1" applyBorder="1" applyAlignment="1">
      <alignment horizontal="center" vertical="center"/>
    </xf>
    <xf numFmtId="166" fontId="4" fillId="0" borderId="17" xfId="1" applyNumberFormat="1" applyFont="1" applyBorder="1" applyAlignment="1">
      <alignment horizontal="center" vertical="center"/>
    </xf>
    <xf numFmtId="166" fontId="4" fillId="0" borderId="18" xfId="1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66" fontId="2" fillId="0" borderId="16" xfId="1" applyNumberFormat="1" applyFont="1" applyFill="1" applyBorder="1" applyAlignment="1">
      <alignment horizontal="center" vertical="center"/>
    </xf>
    <xf numFmtId="166" fontId="2" fillId="0" borderId="17" xfId="1" applyNumberFormat="1" applyFont="1" applyFill="1" applyBorder="1" applyAlignment="1">
      <alignment horizontal="center" vertical="center"/>
    </xf>
    <xf numFmtId="166" fontId="2" fillId="0" borderId="18" xfId="1" applyNumberFormat="1" applyFont="1" applyFill="1" applyBorder="1" applyAlignment="1">
      <alignment horizontal="center" vertical="center"/>
    </xf>
    <xf numFmtId="166" fontId="2" fillId="0" borderId="16" xfId="1" applyNumberFormat="1" applyFont="1" applyBorder="1" applyAlignment="1">
      <alignment horizontal="center" vertical="center"/>
    </xf>
    <xf numFmtId="166" fontId="2" fillId="0" borderId="17" xfId="1" applyNumberFormat="1" applyFont="1" applyBorder="1" applyAlignment="1">
      <alignment horizontal="center" vertical="center"/>
    </xf>
    <xf numFmtId="166" fontId="2" fillId="0" borderId="18" xfId="1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6" fontId="4" fillId="0" borderId="20" xfId="1" applyNumberFormat="1" applyFont="1" applyBorder="1" applyAlignment="1">
      <alignment horizontal="center" vertical="center" wrapText="1"/>
    </xf>
    <xf numFmtId="166" fontId="2" fillId="0" borderId="7" xfId="1" applyNumberFormat="1" applyFont="1" applyFill="1" applyBorder="1" applyAlignment="1">
      <alignment horizontal="center" vertical="center"/>
    </xf>
    <xf numFmtId="166" fontId="2" fillId="0" borderId="10" xfId="1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 wrapText="1"/>
    </xf>
    <xf numFmtId="166" fontId="4" fillId="0" borderId="14" xfId="1" applyNumberFormat="1" applyFont="1" applyFill="1" applyBorder="1" applyAlignment="1">
      <alignment horizontal="center" vertical="center"/>
    </xf>
    <xf numFmtId="166" fontId="4" fillId="0" borderId="7" xfId="1" applyNumberFormat="1" applyFont="1" applyFill="1" applyBorder="1" applyAlignment="1">
      <alignment horizontal="center" vertical="center"/>
    </xf>
    <xf numFmtId="166" fontId="4" fillId="0" borderId="14" xfId="1" applyNumberFormat="1" applyFont="1" applyBorder="1" applyAlignment="1">
      <alignment horizontal="center" vertical="center"/>
    </xf>
    <xf numFmtId="166" fontId="4" fillId="0" borderId="7" xfId="1" applyNumberFormat="1" applyFont="1" applyBorder="1" applyAlignment="1">
      <alignment horizontal="center" vertical="center"/>
    </xf>
    <xf numFmtId="166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66" fontId="2" fillId="48" borderId="7" xfId="1" applyNumberFormat="1" applyFont="1" applyFill="1" applyBorder="1" applyAlignment="1">
      <alignment horizontal="center" vertical="center"/>
    </xf>
    <xf numFmtId="166" fontId="2" fillId="48" borderId="10" xfId="1" applyNumberFormat="1" applyFont="1" applyFill="1" applyBorder="1" applyAlignment="1">
      <alignment horizontal="center" vertical="center"/>
    </xf>
    <xf numFmtId="0" fontId="4" fillId="48" borderId="12" xfId="0" applyFont="1" applyFill="1" applyBorder="1" applyAlignment="1">
      <alignment horizontal="left" vertical="center"/>
    </xf>
    <xf numFmtId="0" fontId="4" fillId="48" borderId="13" xfId="0" applyFont="1" applyFill="1" applyBorder="1" applyAlignment="1">
      <alignment horizontal="left" vertical="center"/>
    </xf>
    <xf numFmtId="0" fontId="4" fillId="48" borderId="14" xfId="0" applyFont="1" applyFill="1" applyBorder="1" applyAlignment="1">
      <alignment horizontal="center" vertical="center"/>
    </xf>
    <xf numFmtId="0" fontId="4" fillId="48" borderId="7" xfId="0" applyFont="1" applyFill="1" applyBorder="1" applyAlignment="1">
      <alignment horizontal="center" vertical="center"/>
    </xf>
    <xf numFmtId="0" fontId="4" fillId="48" borderId="6" xfId="0" applyFont="1" applyFill="1" applyBorder="1" applyAlignment="1">
      <alignment horizontal="left" vertical="center"/>
    </xf>
    <xf numFmtId="0" fontId="4" fillId="48" borderId="1" xfId="0" applyFont="1" applyFill="1" applyBorder="1" applyAlignment="1">
      <alignment horizontal="left" vertical="center"/>
    </xf>
    <xf numFmtId="0" fontId="4" fillId="48" borderId="15" xfId="0" applyFont="1" applyFill="1" applyBorder="1" applyAlignment="1">
      <alignment horizontal="left" vertical="center"/>
    </xf>
    <xf numFmtId="0" fontId="4" fillId="48" borderId="2" xfId="0" applyFont="1" applyFill="1" applyBorder="1" applyAlignment="1">
      <alignment horizontal="left" vertical="center"/>
    </xf>
    <xf numFmtId="166" fontId="4" fillId="48" borderId="16" xfId="1" applyNumberFormat="1" applyFont="1" applyFill="1" applyBorder="1" applyAlignment="1">
      <alignment horizontal="center" vertical="center"/>
    </xf>
    <xf numFmtId="166" fontId="4" fillId="48" borderId="17" xfId="1" applyNumberFormat="1" applyFont="1" applyFill="1" applyBorder="1" applyAlignment="1">
      <alignment horizontal="center" vertical="center"/>
    </xf>
    <xf numFmtId="166" fontId="4" fillId="48" borderId="18" xfId="1" applyNumberFormat="1" applyFont="1" applyFill="1" applyBorder="1" applyAlignment="1">
      <alignment horizontal="center" vertical="center"/>
    </xf>
    <xf numFmtId="0" fontId="4" fillId="48" borderId="6" xfId="0" applyFont="1" applyFill="1" applyBorder="1" applyAlignment="1">
      <alignment horizontal="center" vertical="center" wrapText="1"/>
    </xf>
    <xf numFmtId="0" fontId="4" fillId="48" borderId="8" xfId="0" applyFont="1" applyFill="1" applyBorder="1" applyAlignment="1">
      <alignment horizontal="center" vertical="center" wrapText="1"/>
    </xf>
    <xf numFmtId="166" fontId="4" fillId="48" borderId="20" xfId="1" applyNumberFormat="1" applyFont="1" applyFill="1" applyBorder="1" applyAlignment="1">
      <alignment horizontal="right" vertical="center" wrapText="1"/>
    </xf>
    <xf numFmtId="166" fontId="1" fillId="49" borderId="36" xfId="1" applyNumberFormat="1" applyFont="1" applyFill="1" applyBorder="1" applyAlignment="1">
      <alignment horizontal="center" vertical="center" wrapText="1"/>
    </xf>
    <xf numFmtId="166" fontId="1" fillId="49" borderId="37" xfId="1" applyNumberFormat="1" applyFont="1" applyFill="1" applyBorder="1" applyAlignment="1">
      <alignment horizontal="center" vertical="center" wrapText="1"/>
    </xf>
    <xf numFmtId="166" fontId="1" fillId="49" borderId="38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6" fontId="4" fillId="2" borderId="20" xfId="1" applyNumberFormat="1" applyFont="1" applyFill="1" applyBorder="1" applyAlignment="1">
      <alignment horizontal="center" vertical="center" wrapText="1"/>
    </xf>
    <xf numFmtId="166" fontId="54" fillId="49" borderId="1" xfId="0" applyNumberFormat="1" applyFont="1" applyFill="1" applyBorder="1" applyAlignment="1">
      <alignment horizontal="center" vertical="center" wrapText="1"/>
    </xf>
    <xf numFmtId="0" fontId="4" fillId="50" borderId="3" xfId="0" applyFont="1" applyFill="1" applyBorder="1" applyAlignment="1">
      <alignment horizontal="center" vertical="center"/>
    </xf>
    <xf numFmtId="0" fontId="4" fillId="50" borderId="4" xfId="0" applyFont="1" applyFill="1" applyBorder="1" applyAlignment="1">
      <alignment horizontal="center" vertical="center"/>
    </xf>
    <xf numFmtId="0" fontId="4" fillId="50" borderId="5" xfId="0" applyFont="1" applyFill="1" applyBorder="1" applyAlignment="1">
      <alignment horizontal="center" vertical="center"/>
    </xf>
    <xf numFmtId="166" fontId="58" fillId="0" borderId="0" xfId="0" applyNumberFormat="1" applyFont="1" applyAlignment="1">
      <alignment horizontal="center" vertical="center"/>
    </xf>
    <xf numFmtId="0" fontId="2" fillId="0" borderId="61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59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6" fontId="2" fillId="0" borderId="0" xfId="0" applyNumberFormat="1" applyFont="1" applyAlignment="1">
      <alignment horizontal="center" vertical="center"/>
    </xf>
    <xf numFmtId="0" fontId="55" fillId="0" borderId="14" xfId="0" applyFont="1" applyBorder="1" applyAlignment="1">
      <alignment horizontal="center" vertical="center"/>
    </xf>
    <xf numFmtId="0" fontId="55" fillId="0" borderId="10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 wrapText="1"/>
    </xf>
    <xf numFmtId="166" fontId="2" fillId="0" borderId="14" xfId="1" applyNumberFormat="1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82" fillId="0" borderId="0" xfId="0" applyFont="1" applyAlignment="1">
      <alignment horizontal="left" vertical="center"/>
    </xf>
    <xf numFmtId="166" fontId="70" fillId="0" borderId="0" xfId="0" applyNumberFormat="1" applyFont="1" applyAlignment="1">
      <alignment horizontal="center" vertical="center"/>
    </xf>
    <xf numFmtId="166" fontId="70" fillId="0" borderId="68" xfId="0" applyNumberFormat="1" applyFont="1" applyBorder="1" applyAlignment="1">
      <alignment horizontal="center" vertical="center"/>
    </xf>
    <xf numFmtId="166" fontId="86" fillId="0" borderId="0" xfId="0" applyNumberFormat="1" applyFont="1" applyAlignment="1">
      <alignment horizontal="center" vertical="center"/>
    </xf>
    <xf numFmtId="166" fontId="79" fillId="0" borderId="20" xfId="0" applyNumberFormat="1" applyFont="1" applyBorder="1" applyAlignment="1">
      <alignment horizontal="center" vertical="center"/>
    </xf>
    <xf numFmtId="0" fontId="74" fillId="0" borderId="14" xfId="0" applyFont="1" applyBorder="1" applyAlignment="1">
      <alignment horizontal="center" vertical="center"/>
    </xf>
    <xf numFmtId="0" fontId="74" fillId="0" borderId="10" xfId="0" applyFont="1" applyBorder="1" applyAlignment="1">
      <alignment horizontal="center" vertical="center"/>
    </xf>
    <xf numFmtId="0" fontId="70" fillId="0" borderId="61" xfId="0" applyFont="1" applyBorder="1" applyAlignment="1">
      <alignment horizontal="center" vertical="center" wrapText="1"/>
    </xf>
    <xf numFmtId="0" fontId="70" fillId="0" borderId="62" xfId="0" applyFont="1" applyBorder="1" applyAlignment="1">
      <alignment horizontal="center" vertical="center" wrapText="1"/>
    </xf>
    <xf numFmtId="166" fontId="76" fillId="0" borderId="14" xfId="1" applyNumberFormat="1" applyFont="1" applyBorder="1" applyAlignment="1">
      <alignment horizontal="center" vertical="center"/>
    </xf>
    <xf numFmtId="166" fontId="76" fillId="0" borderId="10" xfId="1" applyNumberFormat="1" applyFont="1" applyBorder="1" applyAlignment="1">
      <alignment horizontal="center" vertical="center"/>
    </xf>
    <xf numFmtId="0" fontId="78" fillId="50" borderId="3" xfId="0" applyFont="1" applyFill="1" applyBorder="1" applyAlignment="1">
      <alignment horizontal="center" vertical="center"/>
    </xf>
    <xf numFmtId="0" fontId="78" fillId="50" borderId="4" xfId="0" applyFont="1" applyFill="1" applyBorder="1" applyAlignment="1">
      <alignment horizontal="center" vertical="center"/>
    </xf>
    <xf numFmtId="0" fontId="78" fillId="50" borderId="20" xfId="0" applyFont="1" applyFill="1" applyBorder="1" applyAlignment="1">
      <alignment horizontal="center" vertical="center"/>
    </xf>
    <xf numFmtId="0" fontId="78" fillId="50" borderId="5" xfId="0" applyFont="1" applyFill="1" applyBorder="1" applyAlignment="1">
      <alignment horizontal="center" vertical="center"/>
    </xf>
    <xf numFmtId="0" fontId="70" fillId="0" borderId="61" xfId="0" applyFont="1" applyBorder="1" applyAlignment="1">
      <alignment horizontal="center" vertical="center"/>
    </xf>
    <xf numFmtId="0" fontId="70" fillId="0" borderId="62" xfId="0" applyFont="1" applyBorder="1" applyAlignment="1">
      <alignment horizontal="center" vertical="center"/>
    </xf>
    <xf numFmtId="0" fontId="70" fillId="0" borderId="7" xfId="0" applyFont="1" applyBorder="1" applyAlignment="1">
      <alignment horizontal="center" vertical="center"/>
    </xf>
    <xf numFmtId="0" fontId="70" fillId="0" borderId="10" xfId="0" applyFont="1" applyBorder="1" applyAlignment="1">
      <alignment horizontal="center" vertical="center"/>
    </xf>
    <xf numFmtId="166" fontId="81" fillId="0" borderId="20" xfId="0" applyNumberFormat="1" applyFont="1" applyBorder="1" applyAlignment="1">
      <alignment horizontal="center" vertical="center"/>
    </xf>
    <xf numFmtId="0" fontId="71" fillId="0" borderId="0" xfId="0" applyFont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87" fillId="0" borderId="0" xfId="0" applyFont="1" applyAlignment="1">
      <alignment horizontal="right" vertical="center"/>
    </xf>
    <xf numFmtId="0" fontId="70" fillId="0" borderId="63" xfId="0" applyFont="1" applyBorder="1" applyAlignment="1">
      <alignment horizontal="center" vertical="center" wrapText="1"/>
    </xf>
    <xf numFmtId="0" fontId="76" fillId="0" borderId="63" xfId="0" applyFont="1" applyBorder="1" applyAlignment="1">
      <alignment horizontal="center" vertical="center" wrapText="1"/>
    </xf>
    <xf numFmtId="0" fontId="78" fillId="50" borderId="19" xfId="0" applyFont="1" applyFill="1" applyBorder="1" applyAlignment="1">
      <alignment horizontal="center" vertical="center"/>
    </xf>
    <xf numFmtId="0" fontId="78" fillId="50" borderId="67" xfId="0" applyFont="1" applyFill="1" applyBorder="1" applyAlignment="1">
      <alignment horizontal="center" vertical="center"/>
    </xf>
    <xf numFmtId="0" fontId="70" fillId="0" borderId="65" xfId="0" applyFont="1" applyBorder="1" applyAlignment="1">
      <alignment horizontal="center" vertical="center"/>
    </xf>
    <xf numFmtId="0" fontId="70" fillId="0" borderId="66" xfId="0" applyFont="1" applyBorder="1" applyAlignment="1">
      <alignment horizontal="center" vertical="center"/>
    </xf>
    <xf numFmtId="0" fontId="69" fillId="0" borderId="0" xfId="0" applyFont="1" applyAlignment="1">
      <alignment horizontal="right" vertical="center"/>
    </xf>
    <xf numFmtId="166" fontId="84" fillId="0" borderId="0" xfId="0" applyNumberFormat="1" applyFont="1" applyAlignment="1">
      <alignment horizontal="center" vertical="center"/>
    </xf>
    <xf numFmtId="166" fontId="70" fillId="0" borderId="78" xfId="0" applyNumberFormat="1" applyFont="1" applyBorder="1" applyAlignment="1">
      <alignment horizontal="center" vertical="center"/>
    </xf>
    <xf numFmtId="0" fontId="55" fillId="0" borderId="0" xfId="0" applyFont="1" applyAlignment="1">
      <alignment horizontal="left" vertical="center"/>
    </xf>
    <xf numFmtId="179" fontId="100" fillId="53" borderId="0" xfId="0" applyNumberFormat="1" applyFont="1" applyFill="1" applyAlignment="1">
      <alignment horizontal="center" vertical="center"/>
    </xf>
    <xf numFmtId="179" fontId="100" fillId="53" borderId="20" xfId="0" applyNumberFormat="1" applyFont="1" applyFill="1" applyBorder="1" applyAlignment="1">
      <alignment horizontal="center" vertical="center"/>
    </xf>
    <xf numFmtId="0" fontId="94" fillId="50" borderId="63" xfId="0" applyFont="1" applyFill="1" applyBorder="1" applyAlignment="1">
      <alignment horizontal="center" vertical="center"/>
    </xf>
    <xf numFmtId="0" fontId="94" fillId="50" borderId="89" xfId="0" applyFont="1" applyFill="1" applyBorder="1" applyAlignment="1">
      <alignment horizontal="center" vertical="center"/>
    </xf>
    <xf numFmtId="0" fontId="94" fillId="50" borderId="2" xfId="0" applyFont="1" applyFill="1" applyBorder="1" applyAlignment="1">
      <alignment horizontal="center" vertical="center"/>
    </xf>
    <xf numFmtId="177" fontId="94" fillId="50" borderId="63" xfId="0" applyNumberFormat="1" applyFont="1" applyFill="1" applyBorder="1" applyAlignment="1">
      <alignment horizontal="center" vertical="center"/>
    </xf>
    <xf numFmtId="177" fontId="94" fillId="50" borderId="89" xfId="0" applyNumberFormat="1" applyFont="1" applyFill="1" applyBorder="1" applyAlignment="1">
      <alignment horizontal="center" vertical="center"/>
    </xf>
    <xf numFmtId="177" fontId="94" fillId="50" borderId="2" xfId="0" applyNumberFormat="1" applyFont="1" applyFill="1" applyBorder="1" applyAlignment="1">
      <alignment horizontal="center" vertical="center"/>
    </xf>
    <xf numFmtId="179" fontId="95" fillId="0" borderId="63" xfId="1" applyNumberFormat="1" applyFont="1" applyBorder="1" applyAlignment="1">
      <alignment horizontal="center" vertical="center"/>
    </xf>
    <xf numFmtId="179" fontId="95" fillId="0" borderId="89" xfId="1" applyNumberFormat="1" applyFont="1" applyBorder="1" applyAlignment="1">
      <alignment horizontal="center" vertical="center"/>
    </xf>
    <xf numFmtId="179" fontId="95" fillId="0" borderId="2" xfId="1" applyNumberFormat="1" applyFont="1" applyBorder="1" applyAlignment="1">
      <alignment horizontal="center" vertical="center"/>
    </xf>
    <xf numFmtId="0" fontId="95" fillId="0" borderId="63" xfId="0" applyFont="1" applyBorder="1" applyAlignment="1">
      <alignment horizontal="center" vertical="center" wrapText="1"/>
    </xf>
    <xf numFmtId="0" fontId="95" fillId="0" borderId="89" xfId="0" applyFont="1" applyBorder="1" applyAlignment="1">
      <alignment horizontal="center" vertical="center" wrapText="1"/>
    </xf>
    <xf numFmtId="0" fontId="95" fillId="0" borderId="2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01" fillId="50" borderId="61" xfId="0" applyFont="1" applyFill="1" applyBorder="1" applyAlignment="1">
      <alignment horizontal="left" vertical="center" wrapText="1"/>
    </xf>
    <xf numFmtId="0" fontId="101" fillId="50" borderId="62" xfId="0" applyFont="1" applyFill="1" applyBorder="1" applyAlignment="1">
      <alignment horizontal="left" vertical="center" wrapText="1"/>
    </xf>
    <xf numFmtId="0" fontId="93" fillId="50" borderId="1" xfId="0" applyFont="1" applyFill="1" applyBorder="1" applyAlignment="1">
      <alignment horizontal="center" vertical="center"/>
    </xf>
    <xf numFmtId="179" fontId="95" fillId="0" borderId="1" xfId="1" applyNumberFormat="1" applyFont="1" applyBorder="1" applyAlignment="1">
      <alignment horizontal="center" vertical="center"/>
    </xf>
    <xf numFmtId="0" fontId="57" fillId="0" borderId="50" xfId="0" applyFont="1" applyBorder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102" fillId="50" borderId="61" xfId="0" applyFont="1" applyFill="1" applyBorder="1" applyAlignment="1">
      <alignment horizontal="left" vertical="center" wrapText="1"/>
    </xf>
    <xf numFmtId="0" fontId="102" fillId="50" borderId="62" xfId="0" applyFont="1" applyFill="1" applyBorder="1" applyAlignment="1">
      <alignment horizontal="left" vertical="center" wrapText="1"/>
    </xf>
    <xf numFmtId="179" fontId="95" fillId="0" borderId="61" xfId="1" applyNumberFormat="1" applyFont="1" applyBorder="1" applyAlignment="1">
      <alignment horizontal="center" vertical="center"/>
    </xf>
    <xf numFmtId="179" fontId="95" fillId="0" borderId="62" xfId="1" applyNumberFormat="1" applyFont="1" applyBorder="1" applyAlignment="1">
      <alignment horizontal="center" vertical="center"/>
    </xf>
    <xf numFmtId="0" fontId="55" fillId="0" borderId="69" xfId="0" applyFont="1" applyBorder="1" applyAlignment="1">
      <alignment horizontal="left" vertical="center"/>
    </xf>
    <xf numFmtId="179" fontId="105" fillId="0" borderId="89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84" xfId="0" applyFont="1" applyBorder="1" applyAlignment="1">
      <alignment horizontal="left"/>
    </xf>
    <xf numFmtId="0" fontId="2" fillId="0" borderId="61" xfId="0" applyFont="1" applyBorder="1" applyAlignment="1">
      <alignment horizontal="left" vertical="top"/>
    </xf>
    <xf numFmtId="0" fontId="2" fillId="0" borderId="88" xfId="0" applyFont="1" applyBorder="1" applyAlignment="1">
      <alignment horizontal="left" vertical="top"/>
    </xf>
    <xf numFmtId="0" fontId="2" fillId="0" borderId="62" xfId="0" applyFont="1" applyBorder="1" applyAlignment="1">
      <alignment horizontal="left" vertical="top"/>
    </xf>
    <xf numFmtId="0" fontId="93" fillId="50" borderId="61" xfId="0" applyFont="1" applyFill="1" applyBorder="1" applyAlignment="1">
      <alignment horizontal="center" vertical="center"/>
    </xf>
    <xf numFmtId="0" fontId="93" fillId="50" borderId="62" xfId="0" applyFont="1" applyFill="1" applyBorder="1" applyAlignment="1">
      <alignment horizontal="center" vertical="center"/>
    </xf>
    <xf numFmtId="0" fontId="104" fillId="0" borderId="69" xfId="0" applyFont="1" applyBorder="1" applyAlignment="1">
      <alignment horizontal="left" vertical="center"/>
    </xf>
    <xf numFmtId="179" fontId="98" fillId="0" borderId="69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9" fontId="105" fillId="0" borderId="84" xfId="0" applyNumberFormat="1" applyFont="1" applyBorder="1" applyAlignment="1">
      <alignment horizontal="center" vertical="center"/>
    </xf>
    <xf numFmtId="0" fontId="104" fillId="0" borderId="0" xfId="0" applyFont="1" applyAlignment="1">
      <alignment horizontal="left" vertical="center"/>
    </xf>
    <xf numFmtId="179" fontId="98" fillId="0" borderId="0" xfId="0" applyNumberFormat="1" applyFont="1" applyAlignment="1">
      <alignment horizontal="center" vertical="center"/>
    </xf>
    <xf numFmtId="0" fontId="95" fillId="5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horizontal="center" vertical="center" wrapText="1"/>
    </xf>
    <xf numFmtId="0" fontId="117" fillId="0" borderId="1" xfId="0" applyFont="1" applyBorder="1" applyAlignment="1">
      <alignment horizontal="center" vertical="center"/>
    </xf>
    <xf numFmtId="179" fontId="117" fillId="0" borderId="63" xfId="0" applyNumberFormat="1" applyFont="1" applyBorder="1" applyAlignment="1">
      <alignment horizontal="center" vertical="center"/>
    </xf>
    <xf numFmtId="179" fontId="117" fillId="0" borderId="89" xfId="0" applyNumberFormat="1" applyFont="1" applyBorder="1" applyAlignment="1">
      <alignment horizontal="center" vertical="center"/>
    </xf>
    <xf numFmtId="179" fontId="117" fillId="0" borderId="2" xfId="0" applyNumberFormat="1" applyFont="1" applyBorder="1" applyAlignment="1">
      <alignment horizontal="center" vertical="center"/>
    </xf>
    <xf numFmtId="17" fontId="91" fillId="0" borderId="51" xfId="0" quotePrefix="1" applyNumberFormat="1" applyFont="1" applyBorder="1" applyAlignment="1">
      <alignment horizontal="center" vertical="center"/>
    </xf>
    <xf numFmtId="0" fontId="121" fillId="0" borderId="0" xfId="0" applyFont="1" applyAlignment="1">
      <alignment horizontal="right" vertical="center"/>
    </xf>
    <xf numFmtId="0" fontId="122" fillId="0" borderId="65" xfId="0" applyFont="1" applyBorder="1" applyAlignment="1">
      <alignment horizontal="left" vertical="center" wrapText="1"/>
    </xf>
    <xf numFmtId="0" fontId="122" fillId="0" borderId="69" xfId="0" applyFont="1" applyBorder="1" applyAlignment="1">
      <alignment horizontal="left" vertical="center" wrapText="1"/>
    </xf>
    <xf numFmtId="0" fontId="122" fillId="0" borderId="70" xfId="0" applyFont="1" applyBorder="1" applyAlignment="1">
      <alignment horizontal="left" vertical="center" wrapText="1"/>
    </xf>
    <xf numFmtId="0" fontId="122" fillId="0" borderId="66" xfId="0" applyFont="1" applyBorder="1" applyAlignment="1">
      <alignment horizontal="left" vertical="center" wrapText="1"/>
    </xf>
    <xf numFmtId="0" fontId="122" fillId="0" borderId="84" xfId="0" applyFont="1" applyBorder="1" applyAlignment="1">
      <alignment horizontal="left" vertical="center" wrapText="1"/>
    </xf>
    <xf numFmtId="0" fontId="122" fillId="0" borderId="85" xfId="0" applyFont="1" applyBorder="1" applyAlignment="1">
      <alignment horizontal="left" vertical="center" wrapText="1"/>
    </xf>
    <xf numFmtId="0" fontId="57" fillId="57" borderId="61" xfId="0" applyFont="1" applyFill="1" applyBorder="1" applyAlignment="1">
      <alignment horizontal="center" vertical="center" wrapText="1"/>
    </xf>
    <xf numFmtId="0" fontId="57" fillId="57" borderId="62" xfId="0" applyFont="1" applyFill="1" applyBorder="1" applyAlignment="1">
      <alignment horizontal="center" vertical="center" wrapText="1"/>
    </xf>
    <xf numFmtId="180" fontId="57" fillId="57" borderId="61" xfId="0" applyNumberFormat="1" applyFont="1" applyFill="1" applyBorder="1" applyAlignment="1">
      <alignment horizontal="center" vertical="center" wrapText="1"/>
    </xf>
    <xf numFmtId="180" fontId="57" fillId="57" borderId="62" xfId="0" applyNumberFormat="1" applyFont="1" applyFill="1" applyBorder="1" applyAlignment="1">
      <alignment horizontal="center" vertical="center" wrapText="1"/>
    </xf>
    <xf numFmtId="0" fontId="1" fillId="57" borderId="63" xfId="0" applyFont="1" applyFill="1" applyBorder="1" applyAlignment="1">
      <alignment horizontal="center" vertical="center" wrapText="1"/>
    </xf>
    <xf numFmtId="0" fontId="1" fillId="57" borderId="2" xfId="0" applyFont="1" applyFill="1" applyBorder="1" applyAlignment="1">
      <alignment horizontal="center" vertical="center" wrapText="1"/>
    </xf>
    <xf numFmtId="0" fontId="1" fillId="5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122" fillId="0" borderId="65" xfId="0" applyFont="1" applyBorder="1" applyAlignment="1">
      <alignment horizontal="center" vertical="center" wrapText="1"/>
    </xf>
    <xf numFmtId="0" fontId="122" fillId="0" borderId="69" xfId="0" applyFont="1" applyBorder="1" applyAlignment="1">
      <alignment horizontal="center" vertical="center" wrapText="1"/>
    </xf>
    <xf numFmtId="0" fontId="122" fillId="0" borderId="70" xfId="0" applyFont="1" applyBorder="1" applyAlignment="1">
      <alignment horizontal="center" vertical="center" wrapText="1"/>
    </xf>
    <xf numFmtId="0" fontId="122" fillId="0" borderId="66" xfId="0" applyFont="1" applyBorder="1" applyAlignment="1">
      <alignment horizontal="center" vertical="center" wrapText="1"/>
    </xf>
    <xf numFmtId="0" fontId="122" fillId="0" borderId="84" xfId="0" applyFont="1" applyBorder="1" applyAlignment="1">
      <alignment horizontal="center" vertical="center" wrapText="1"/>
    </xf>
    <xf numFmtId="0" fontId="122" fillId="0" borderId="85" xfId="0" applyFont="1" applyBorder="1" applyAlignment="1">
      <alignment horizontal="center" vertical="center" wrapText="1"/>
    </xf>
    <xf numFmtId="0" fontId="122" fillId="0" borderId="0" xfId="0" applyFont="1" applyAlignment="1">
      <alignment horizontal="center" vertical="center" wrapText="1"/>
    </xf>
    <xf numFmtId="0" fontId="122" fillId="0" borderId="87" xfId="0" applyFont="1" applyBorder="1" applyAlignment="1">
      <alignment horizontal="center" vertical="center" wrapText="1"/>
    </xf>
    <xf numFmtId="0" fontId="127" fillId="0" borderId="63" xfId="0" applyFont="1" applyBorder="1" applyAlignment="1">
      <alignment horizontal="left" vertical="center"/>
    </xf>
    <xf numFmtId="0" fontId="127" fillId="0" borderId="89" xfId="0" applyFont="1" applyBorder="1" applyAlignment="1">
      <alignment horizontal="left" vertical="center"/>
    </xf>
    <xf numFmtId="0" fontId="127" fillId="0" borderId="2" xfId="0" applyFont="1" applyBorder="1" applyAlignment="1">
      <alignment horizontal="left" vertical="center"/>
    </xf>
    <xf numFmtId="179" fontId="127" fillId="0" borderId="63" xfId="0" applyNumberFormat="1" applyFont="1" applyBorder="1" applyAlignment="1">
      <alignment horizontal="center" vertical="center"/>
    </xf>
    <xf numFmtId="179" fontId="127" fillId="0" borderId="2" xfId="0" applyNumberFormat="1" applyFont="1" applyBorder="1" applyAlignment="1">
      <alignment horizontal="center" vertical="center"/>
    </xf>
    <xf numFmtId="0" fontId="127" fillId="0" borderId="1" xfId="0" applyFont="1" applyBorder="1" applyAlignment="1">
      <alignment horizontal="left" vertical="center"/>
    </xf>
    <xf numFmtId="0" fontId="117" fillId="0" borderId="1" xfId="0" applyFont="1" applyBorder="1" applyAlignment="1">
      <alignment horizontal="left" vertical="center"/>
    </xf>
    <xf numFmtId="0" fontId="1" fillId="0" borderId="6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9" fontId="1" fillId="0" borderId="63" xfId="0" applyNumberFormat="1" applyFont="1" applyBorder="1" applyAlignment="1">
      <alignment horizontal="center" vertical="center"/>
    </xf>
    <xf numFmtId="179" fontId="1" fillId="0" borderId="2" xfId="0" applyNumberFormat="1" applyFont="1" applyBorder="1" applyAlignment="1">
      <alignment horizontal="center" vertical="center"/>
    </xf>
    <xf numFmtId="0" fontId="91" fillId="0" borderId="63" xfId="0" applyFont="1" applyBorder="1" applyAlignment="1">
      <alignment horizontal="left" vertical="center"/>
    </xf>
    <xf numFmtId="0" fontId="91" fillId="0" borderId="2" xfId="0" applyFont="1" applyBorder="1" applyAlignment="1">
      <alignment horizontal="left" vertical="center"/>
    </xf>
    <xf numFmtId="0" fontId="91" fillId="0" borderId="96" xfId="0" applyFont="1" applyBorder="1" applyAlignment="1">
      <alignment horizontal="left" vertical="center"/>
    </xf>
    <xf numFmtId="0" fontId="91" fillId="0" borderId="97" xfId="0" applyFont="1" applyBorder="1" applyAlignment="1">
      <alignment horizontal="left" vertical="center"/>
    </xf>
    <xf numFmtId="0" fontId="128" fillId="0" borderId="63" xfId="0" applyFont="1" applyBorder="1" applyAlignment="1">
      <alignment horizontal="left" vertical="center"/>
    </xf>
    <xf numFmtId="0" fontId="128" fillId="0" borderId="2" xfId="0" applyFont="1" applyBorder="1" applyAlignment="1">
      <alignment horizontal="left" vertical="center"/>
    </xf>
    <xf numFmtId="0" fontId="123" fillId="0" borderId="63" xfId="0" applyFont="1" applyBorder="1" applyAlignment="1">
      <alignment horizontal="center" vertical="center"/>
    </xf>
    <xf numFmtId="0" fontId="123" fillId="0" borderId="2" xfId="0" applyFont="1" applyBorder="1" applyAlignment="1">
      <alignment horizontal="center" vertical="center"/>
    </xf>
    <xf numFmtId="0" fontId="1" fillId="0" borderId="6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79" fontId="1" fillId="0" borderId="63" xfId="0" applyNumberFormat="1" applyFont="1" applyBorder="1" applyAlignment="1">
      <alignment horizontal="left" vertical="center"/>
    </xf>
    <xf numFmtId="179" fontId="1" fillId="0" borderId="2" xfId="0" applyNumberFormat="1" applyFont="1" applyBorder="1" applyAlignment="1">
      <alignment horizontal="left" vertical="center"/>
    </xf>
    <xf numFmtId="0" fontId="119" fillId="0" borderId="63" xfId="0" applyFont="1" applyBorder="1" applyAlignment="1">
      <alignment horizontal="left"/>
    </xf>
    <xf numFmtId="0" fontId="119" fillId="0" borderId="2" xfId="0" applyFont="1" applyBorder="1" applyAlignment="1">
      <alignment horizontal="left"/>
    </xf>
    <xf numFmtId="180" fontId="115" fillId="0" borderId="0" xfId="0" applyNumberFormat="1" applyFont="1" applyAlignment="1">
      <alignment horizontal="left" vertical="top" wrapText="1"/>
    </xf>
    <xf numFmtId="0" fontId="1" fillId="57" borderId="62" xfId="0" applyFont="1" applyFill="1" applyBorder="1" applyAlignment="1">
      <alignment horizontal="center" vertical="center" wrapText="1"/>
    </xf>
    <xf numFmtId="180" fontId="115" fillId="0" borderId="84" xfId="0" applyNumberFormat="1" applyFont="1" applyBorder="1" applyAlignment="1">
      <alignment horizontal="left" vertical="top" wrapText="1"/>
    </xf>
    <xf numFmtId="180" fontId="115" fillId="0" borderId="85" xfId="0" applyNumberFormat="1" applyFont="1" applyBorder="1" applyAlignment="1">
      <alignment horizontal="left" vertical="top" wrapText="1"/>
    </xf>
    <xf numFmtId="0" fontId="128" fillId="0" borderId="63" xfId="0" applyFont="1" applyBorder="1" applyAlignment="1">
      <alignment horizontal="center" vertical="center"/>
    </xf>
    <xf numFmtId="0" fontId="128" fillId="0" borderId="2" xfId="0" applyFont="1" applyBorder="1" applyAlignment="1">
      <alignment horizontal="center" vertical="center"/>
    </xf>
    <xf numFmtId="180" fontId="132" fillId="0" borderId="0" xfId="0" applyNumberFormat="1" applyFont="1" applyAlignment="1">
      <alignment horizontal="left" vertical="top" wrapText="1"/>
    </xf>
    <xf numFmtId="0" fontId="136" fillId="0" borderId="63" xfId="0" applyFont="1" applyBorder="1" applyAlignment="1">
      <alignment horizontal="center" vertical="center"/>
    </xf>
    <xf numFmtId="0" fontId="136" fillId="0" borderId="89" xfId="0" applyFont="1" applyBorder="1" applyAlignment="1">
      <alignment horizontal="center" vertical="center"/>
    </xf>
    <xf numFmtId="0" fontId="136" fillId="0" borderId="2" xfId="0" applyFont="1" applyBorder="1" applyAlignment="1">
      <alignment horizontal="center" vertical="center"/>
    </xf>
    <xf numFmtId="0" fontId="128" fillId="3" borderId="65" xfId="0" applyFont="1" applyFill="1" applyBorder="1" applyAlignment="1">
      <alignment horizontal="center" vertical="center"/>
    </xf>
    <xf numFmtId="0" fontId="128" fillId="3" borderId="70" xfId="0" applyFont="1" applyFill="1" applyBorder="1" applyAlignment="1">
      <alignment horizontal="center" vertical="center"/>
    </xf>
    <xf numFmtId="0" fontId="128" fillId="3" borderId="66" xfId="0" applyFont="1" applyFill="1" applyBorder="1" applyAlignment="1">
      <alignment horizontal="center" vertical="center"/>
    </xf>
    <xf numFmtId="0" fontId="128" fillId="3" borderId="85" xfId="0" applyFont="1" applyFill="1" applyBorder="1" applyAlignment="1">
      <alignment horizontal="center" vertical="center"/>
    </xf>
    <xf numFmtId="0" fontId="123" fillId="0" borderId="61" xfId="0" applyFont="1" applyBorder="1" applyAlignment="1">
      <alignment horizontal="center" vertical="center"/>
    </xf>
    <xf numFmtId="0" fontId="123" fillId="0" borderId="62" xfId="0" applyFont="1" applyBorder="1" applyAlignment="1">
      <alignment horizontal="center" vertical="center"/>
    </xf>
    <xf numFmtId="177" fontId="128" fillId="3" borderId="1" xfId="0" applyNumberFormat="1" applyFont="1" applyFill="1" applyBorder="1" applyAlignment="1">
      <alignment horizontal="center" vertical="center"/>
    </xf>
    <xf numFmtId="0" fontId="128" fillId="3" borderId="1" xfId="0" applyFont="1" applyFill="1" applyBorder="1" applyAlignment="1">
      <alignment horizontal="center" vertical="center"/>
    </xf>
    <xf numFmtId="0" fontId="104" fillId="60" borderId="63" xfId="0" applyFont="1" applyFill="1" applyBorder="1" applyAlignment="1">
      <alignment horizontal="center" vertical="center"/>
    </xf>
    <xf numFmtId="0" fontId="104" fillId="60" borderId="2" xfId="0" applyFont="1" applyFill="1" applyBorder="1" applyAlignment="1">
      <alignment horizontal="center" vertical="center"/>
    </xf>
    <xf numFmtId="20" fontId="128" fillId="0" borderId="63" xfId="0" applyNumberFormat="1" applyFont="1" applyBorder="1" applyAlignment="1">
      <alignment horizontal="center" vertical="center"/>
    </xf>
    <xf numFmtId="20" fontId="128" fillId="0" borderId="2" xfId="0" applyNumberFormat="1" applyFont="1" applyBorder="1" applyAlignment="1">
      <alignment horizontal="center" vertical="center"/>
    </xf>
    <xf numFmtId="0" fontId="134" fillId="0" borderId="65" xfId="0" applyFont="1" applyBorder="1" applyAlignment="1">
      <alignment horizontal="center" vertical="center"/>
    </xf>
    <xf numFmtId="0" fontId="134" fillId="0" borderId="69" xfId="0" applyFont="1" applyBorder="1" applyAlignment="1">
      <alignment horizontal="center" vertical="center"/>
    </xf>
    <xf numFmtId="0" fontId="134" fillId="0" borderId="70" xfId="0" applyFont="1" applyBorder="1" applyAlignment="1">
      <alignment horizontal="center" vertical="center"/>
    </xf>
    <xf numFmtId="0" fontId="135" fillId="0" borderId="66" xfId="0" applyFont="1" applyBorder="1" applyAlignment="1">
      <alignment horizontal="center" vertical="center"/>
    </xf>
    <xf numFmtId="0" fontId="135" fillId="0" borderId="84" xfId="0" applyFont="1" applyBorder="1" applyAlignment="1">
      <alignment horizontal="center" vertical="center"/>
    </xf>
    <xf numFmtId="0" fontId="135" fillId="0" borderId="85" xfId="0" applyFont="1" applyBorder="1" applyAlignment="1">
      <alignment horizontal="center" vertical="center"/>
    </xf>
    <xf numFmtId="0" fontId="123" fillId="0" borderId="63" xfId="0" applyFont="1" applyBorder="1" applyAlignment="1">
      <alignment horizontal="left" vertical="center"/>
    </xf>
    <xf numFmtId="0" fontId="123" fillId="0" borderId="2" xfId="0" applyFont="1" applyBorder="1" applyAlignment="1">
      <alignment horizontal="left" vertical="center"/>
    </xf>
    <xf numFmtId="0" fontId="128" fillId="0" borderId="62" xfId="0" applyFont="1" applyBorder="1" applyAlignment="1">
      <alignment horizontal="center" vertical="center"/>
    </xf>
    <xf numFmtId="0" fontId="133" fillId="0" borderId="63" xfId="0" applyFont="1" applyBorder="1" applyAlignment="1">
      <alignment horizontal="center" vertical="center"/>
    </xf>
    <xf numFmtId="0" fontId="133" fillId="0" borderId="89" xfId="0" applyFont="1" applyBorder="1" applyAlignment="1">
      <alignment horizontal="center" vertical="center"/>
    </xf>
    <xf numFmtId="0" fontId="133" fillId="0" borderId="2" xfId="0" applyFont="1" applyBorder="1" applyAlignment="1">
      <alignment horizontal="center" vertical="center"/>
    </xf>
    <xf numFmtId="166" fontId="133" fillId="0" borderId="63" xfId="0" applyNumberFormat="1" applyFont="1" applyBorder="1" applyAlignment="1">
      <alignment horizontal="center" vertical="center"/>
    </xf>
    <xf numFmtId="0" fontId="123" fillId="0" borderId="65" xfId="0" applyFont="1" applyBorder="1" applyAlignment="1">
      <alignment horizontal="center" vertical="center"/>
    </xf>
    <xf numFmtId="0" fontId="123" fillId="0" borderId="70" xfId="0" applyFont="1" applyBorder="1" applyAlignment="1">
      <alignment horizontal="center" vertical="center"/>
    </xf>
    <xf numFmtId="0" fontId="123" fillId="0" borderId="66" xfId="0" applyFont="1" applyBorder="1" applyAlignment="1">
      <alignment horizontal="center" vertical="center"/>
    </xf>
    <xf numFmtId="0" fontId="123" fillId="0" borderId="85" xfId="0" applyFont="1" applyBorder="1" applyAlignment="1">
      <alignment horizontal="center" vertical="center"/>
    </xf>
    <xf numFmtId="0" fontId="128" fillId="0" borderId="65" xfId="0" quotePrefix="1" applyFont="1" applyBorder="1" applyAlignment="1">
      <alignment horizontal="left" vertical="center" wrapText="1"/>
    </xf>
    <xf numFmtId="0" fontId="128" fillId="0" borderId="69" xfId="0" quotePrefix="1" applyFont="1" applyBorder="1" applyAlignment="1">
      <alignment horizontal="left" vertical="center" wrapText="1"/>
    </xf>
    <xf numFmtId="0" fontId="128" fillId="0" borderId="70" xfId="0" quotePrefix="1" applyFont="1" applyBorder="1" applyAlignment="1">
      <alignment horizontal="left" vertical="center" wrapText="1"/>
    </xf>
    <xf numFmtId="0" fontId="128" fillId="0" borderId="66" xfId="0" quotePrefix="1" applyFont="1" applyBorder="1" applyAlignment="1">
      <alignment horizontal="left" vertical="center" wrapText="1"/>
    </xf>
    <xf numFmtId="0" fontId="128" fillId="0" borderId="84" xfId="0" quotePrefix="1" applyFont="1" applyBorder="1" applyAlignment="1">
      <alignment horizontal="left" vertical="center" wrapText="1"/>
    </xf>
    <xf numFmtId="0" fontId="128" fillId="0" borderId="85" xfId="0" quotePrefix="1" applyFont="1" applyBorder="1" applyAlignment="1">
      <alignment horizontal="left" vertical="center" wrapText="1"/>
    </xf>
    <xf numFmtId="0" fontId="104" fillId="60" borderId="89" xfId="0" applyFont="1" applyFill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123" fillId="0" borderId="84" xfId="0" applyFont="1" applyBorder="1" applyAlignment="1">
      <alignment horizontal="left" vertical="center"/>
    </xf>
    <xf numFmtId="0" fontId="123" fillId="0" borderId="86" xfId="0" applyFont="1" applyBorder="1" applyAlignment="1">
      <alignment horizontal="center" vertical="center"/>
    </xf>
    <xf numFmtId="0" fontId="123" fillId="0" borderId="87" xfId="0" applyFont="1" applyBorder="1" applyAlignment="1">
      <alignment horizontal="center" vertical="center"/>
    </xf>
    <xf numFmtId="0" fontId="123" fillId="0" borderId="88" xfId="0" applyFont="1" applyBorder="1" applyAlignment="1">
      <alignment horizontal="center" vertical="center"/>
    </xf>
    <xf numFmtId="0" fontId="133" fillId="60" borderId="63" xfId="0" applyFont="1" applyFill="1" applyBorder="1" applyAlignment="1">
      <alignment horizontal="center" vertical="center"/>
    </xf>
    <xf numFmtId="0" fontId="133" fillId="60" borderId="2" xfId="0" applyFont="1" applyFill="1" applyBorder="1" applyAlignment="1">
      <alignment horizontal="center" vertical="center"/>
    </xf>
    <xf numFmtId="0" fontId="133" fillId="60" borderId="89" xfId="0" applyFont="1" applyFill="1" applyBorder="1" applyAlignment="1">
      <alignment horizontal="center" vertical="center"/>
    </xf>
    <xf numFmtId="0" fontId="123" fillId="62" borderId="63" xfId="0" applyFont="1" applyFill="1" applyBorder="1" applyAlignment="1">
      <alignment horizontal="left"/>
    </xf>
    <xf numFmtId="0" fontId="123" fillId="62" borderId="2" xfId="0" applyFont="1" applyFill="1" applyBorder="1" applyAlignment="1">
      <alignment horizontal="left"/>
    </xf>
    <xf numFmtId="177" fontId="123" fillId="62" borderId="1" xfId="0" applyNumberFormat="1" applyFont="1" applyFill="1" applyBorder="1" applyAlignment="1">
      <alignment horizontal="center"/>
    </xf>
    <xf numFmtId="0" fontId="123" fillId="62" borderId="1" xfId="0" applyFont="1" applyFill="1" applyBorder="1" applyAlignment="1">
      <alignment horizontal="center" vertical="center"/>
    </xf>
    <xf numFmtId="166" fontId="123" fillId="62" borderId="1" xfId="1" applyNumberFormat="1" applyFont="1" applyFill="1" applyBorder="1" applyAlignment="1">
      <alignment vertical="center"/>
    </xf>
  </cellXfs>
  <cellStyles count="1909">
    <cellStyle name="20% - Accent1 1" xfId="4"/>
    <cellStyle name="20% - Accent1 1 2" xfId="5"/>
    <cellStyle name="20% - Accent1 10" xfId="6"/>
    <cellStyle name="20% - Accent1 11" xfId="7"/>
    <cellStyle name="20% - Accent1 11 2" xfId="1753"/>
    <cellStyle name="20% - Accent1 2" xfId="8"/>
    <cellStyle name="20% - Accent1 2 10" xfId="9"/>
    <cellStyle name="20% - Accent1 2 11" xfId="10"/>
    <cellStyle name="20% - Accent1 2 12" xfId="11"/>
    <cellStyle name="20% - Accent1 2 13" xfId="12"/>
    <cellStyle name="20% - Accent1 2 14" xfId="13"/>
    <cellStyle name="20% - Accent1 2 15" xfId="14"/>
    <cellStyle name="20% - Accent1 2 16" xfId="15"/>
    <cellStyle name="20% - Accent1 2 2" xfId="16"/>
    <cellStyle name="20% - Accent1 2 2 10" xfId="17"/>
    <cellStyle name="20% - Accent1 2 2 2" xfId="18"/>
    <cellStyle name="20% - Accent1 2 2 3" xfId="19"/>
    <cellStyle name="20% - Accent1 2 2 4" xfId="20"/>
    <cellStyle name="20% - Accent1 2 2 5" xfId="21"/>
    <cellStyle name="20% - Accent1 2 2 6" xfId="22"/>
    <cellStyle name="20% - Accent1 2 2 7" xfId="23"/>
    <cellStyle name="20% - Accent1 2 2 8" xfId="24"/>
    <cellStyle name="20% - Accent1 2 2 9" xfId="25"/>
    <cellStyle name="20% - Accent1 2 3" xfId="26"/>
    <cellStyle name="20% - Accent1 2 4" xfId="27"/>
    <cellStyle name="20% - Accent1 2 5" xfId="28"/>
    <cellStyle name="20% - Accent1 2 6" xfId="29"/>
    <cellStyle name="20% - Accent1 2 7" xfId="30"/>
    <cellStyle name="20% - Accent1 2 8" xfId="31"/>
    <cellStyle name="20% - Accent1 2 9" xfId="32"/>
    <cellStyle name="20% - Accent1 3" xfId="33"/>
    <cellStyle name="20% - Accent1 3 10" xfId="34"/>
    <cellStyle name="20% - Accent1 3 2" xfId="35"/>
    <cellStyle name="20% - Accent1 3 3" xfId="36"/>
    <cellStyle name="20% - Accent1 3 4" xfId="37"/>
    <cellStyle name="20% - Accent1 3 5" xfId="38"/>
    <cellStyle name="20% - Accent1 3 6" xfId="39"/>
    <cellStyle name="20% - Accent1 3 7" xfId="40"/>
    <cellStyle name="20% - Accent1 3 8" xfId="41"/>
    <cellStyle name="20% - Accent1 3 9" xfId="42"/>
    <cellStyle name="20% - Accent1 4" xfId="43"/>
    <cellStyle name="20% - Accent1 5" xfId="44"/>
    <cellStyle name="20% - Accent1 6" xfId="45"/>
    <cellStyle name="20% - Accent1 7" xfId="46"/>
    <cellStyle name="20% - Accent1 8" xfId="47"/>
    <cellStyle name="20% - Accent1 9" xfId="48"/>
    <cellStyle name="20% - Accent2 1" xfId="49"/>
    <cellStyle name="20% - Accent2 1 2" xfId="50"/>
    <cellStyle name="20% - Accent2 10" xfId="51"/>
    <cellStyle name="20% - Accent2 11" xfId="52"/>
    <cellStyle name="20% - Accent2 11 2" xfId="1754"/>
    <cellStyle name="20% - Accent2 2" xfId="53"/>
    <cellStyle name="20% - Accent2 2 10" xfId="54"/>
    <cellStyle name="20% - Accent2 2 11" xfId="55"/>
    <cellStyle name="20% - Accent2 2 12" xfId="56"/>
    <cellStyle name="20% - Accent2 2 13" xfId="57"/>
    <cellStyle name="20% - Accent2 2 14" xfId="58"/>
    <cellStyle name="20% - Accent2 2 15" xfId="59"/>
    <cellStyle name="20% - Accent2 2 16" xfId="60"/>
    <cellStyle name="20% - Accent2 2 2" xfId="61"/>
    <cellStyle name="20% - Accent2 2 2 10" xfId="62"/>
    <cellStyle name="20% - Accent2 2 2 2" xfId="63"/>
    <cellStyle name="20% - Accent2 2 2 3" xfId="64"/>
    <cellStyle name="20% - Accent2 2 2 4" xfId="65"/>
    <cellStyle name="20% - Accent2 2 2 5" xfId="66"/>
    <cellStyle name="20% - Accent2 2 2 6" xfId="67"/>
    <cellStyle name="20% - Accent2 2 2 7" xfId="68"/>
    <cellStyle name="20% - Accent2 2 2 8" xfId="69"/>
    <cellStyle name="20% - Accent2 2 2 9" xfId="70"/>
    <cellStyle name="20% - Accent2 2 3" xfId="71"/>
    <cellStyle name="20% - Accent2 2 4" xfId="72"/>
    <cellStyle name="20% - Accent2 2 5" xfId="73"/>
    <cellStyle name="20% - Accent2 2 6" xfId="74"/>
    <cellStyle name="20% - Accent2 2 7" xfId="75"/>
    <cellStyle name="20% - Accent2 2 8" xfId="76"/>
    <cellStyle name="20% - Accent2 2 9" xfId="77"/>
    <cellStyle name="20% - Accent2 3" xfId="78"/>
    <cellStyle name="20% - Accent2 3 10" xfId="79"/>
    <cellStyle name="20% - Accent2 3 2" xfId="80"/>
    <cellStyle name="20% - Accent2 3 3" xfId="81"/>
    <cellStyle name="20% - Accent2 3 4" xfId="82"/>
    <cellStyle name="20% - Accent2 3 5" xfId="83"/>
    <cellStyle name="20% - Accent2 3 6" xfId="84"/>
    <cellStyle name="20% - Accent2 3 7" xfId="85"/>
    <cellStyle name="20% - Accent2 3 8" xfId="86"/>
    <cellStyle name="20% - Accent2 3 9" xfId="87"/>
    <cellStyle name="20% - Accent2 4" xfId="88"/>
    <cellStyle name="20% - Accent2 5" xfId="89"/>
    <cellStyle name="20% - Accent2 6" xfId="90"/>
    <cellStyle name="20% - Accent2 7" xfId="91"/>
    <cellStyle name="20% - Accent2 8" xfId="92"/>
    <cellStyle name="20% - Accent2 9" xfId="93"/>
    <cellStyle name="20% - Accent3 1" xfId="94"/>
    <cellStyle name="20% - Accent3 1 2" xfId="95"/>
    <cellStyle name="20% - Accent3 10" xfId="96"/>
    <cellStyle name="20% - Accent3 11" xfId="97"/>
    <cellStyle name="20% - Accent3 11 2" xfId="1755"/>
    <cellStyle name="20% - Accent3 2" xfId="98"/>
    <cellStyle name="20% - Accent3 2 10" xfId="99"/>
    <cellStyle name="20% - Accent3 2 11" xfId="100"/>
    <cellStyle name="20% - Accent3 2 12" xfId="101"/>
    <cellStyle name="20% - Accent3 2 13" xfId="102"/>
    <cellStyle name="20% - Accent3 2 14" xfId="103"/>
    <cellStyle name="20% - Accent3 2 15" xfId="104"/>
    <cellStyle name="20% - Accent3 2 16" xfId="105"/>
    <cellStyle name="20% - Accent3 2 2" xfId="106"/>
    <cellStyle name="20% - Accent3 2 2 10" xfId="107"/>
    <cellStyle name="20% - Accent3 2 2 2" xfId="108"/>
    <cellStyle name="20% - Accent3 2 2 3" xfId="109"/>
    <cellStyle name="20% - Accent3 2 2 4" xfId="110"/>
    <cellStyle name="20% - Accent3 2 2 5" xfId="111"/>
    <cellStyle name="20% - Accent3 2 2 6" xfId="112"/>
    <cellStyle name="20% - Accent3 2 2 7" xfId="113"/>
    <cellStyle name="20% - Accent3 2 2 8" xfId="114"/>
    <cellStyle name="20% - Accent3 2 2 9" xfId="115"/>
    <cellStyle name="20% - Accent3 2 3" xfId="116"/>
    <cellStyle name="20% - Accent3 2 4" xfId="117"/>
    <cellStyle name="20% - Accent3 2 5" xfId="118"/>
    <cellStyle name="20% - Accent3 2 6" xfId="119"/>
    <cellStyle name="20% - Accent3 2 7" xfId="120"/>
    <cellStyle name="20% - Accent3 2 8" xfId="121"/>
    <cellStyle name="20% - Accent3 2 9" xfId="122"/>
    <cellStyle name="20% - Accent3 3" xfId="123"/>
    <cellStyle name="20% - Accent3 3 10" xfId="124"/>
    <cellStyle name="20% - Accent3 3 2" xfId="125"/>
    <cellStyle name="20% - Accent3 3 3" xfId="126"/>
    <cellStyle name="20% - Accent3 3 4" xfId="127"/>
    <cellStyle name="20% - Accent3 3 5" xfId="128"/>
    <cellStyle name="20% - Accent3 3 6" xfId="129"/>
    <cellStyle name="20% - Accent3 3 7" xfId="130"/>
    <cellStyle name="20% - Accent3 3 8" xfId="131"/>
    <cellStyle name="20% - Accent3 3 9" xfId="132"/>
    <cellStyle name="20% - Accent3 4" xfId="133"/>
    <cellStyle name="20% - Accent3 5" xfId="134"/>
    <cellStyle name="20% - Accent3 6" xfId="135"/>
    <cellStyle name="20% - Accent3 7" xfId="136"/>
    <cellStyle name="20% - Accent3 8" xfId="137"/>
    <cellStyle name="20% - Accent3 9" xfId="138"/>
    <cellStyle name="20% - Accent4 1" xfId="139"/>
    <cellStyle name="20% - Accent4 1 2" xfId="140"/>
    <cellStyle name="20% - Accent4 10" xfId="141"/>
    <cellStyle name="20% - Accent4 11" xfId="142"/>
    <cellStyle name="20% - Accent4 11 2" xfId="1756"/>
    <cellStyle name="20% - Accent4 2" xfId="143"/>
    <cellStyle name="20% - Accent4 2 10" xfId="144"/>
    <cellStyle name="20% - Accent4 2 11" xfId="145"/>
    <cellStyle name="20% - Accent4 2 12" xfId="146"/>
    <cellStyle name="20% - Accent4 2 13" xfId="147"/>
    <cellStyle name="20% - Accent4 2 14" xfId="148"/>
    <cellStyle name="20% - Accent4 2 15" xfId="149"/>
    <cellStyle name="20% - Accent4 2 16" xfId="150"/>
    <cellStyle name="20% - Accent4 2 2" xfId="151"/>
    <cellStyle name="20% - Accent4 2 2 10" xfId="152"/>
    <cellStyle name="20% - Accent4 2 2 2" xfId="153"/>
    <cellStyle name="20% - Accent4 2 2 3" xfId="154"/>
    <cellStyle name="20% - Accent4 2 2 4" xfId="155"/>
    <cellStyle name="20% - Accent4 2 2 5" xfId="156"/>
    <cellStyle name="20% - Accent4 2 2 6" xfId="157"/>
    <cellStyle name="20% - Accent4 2 2 7" xfId="158"/>
    <cellStyle name="20% - Accent4 2 2 8" xfId="159"/>
    <cellStyle name="20% - Accent4 2 2 9" xfId="160"/>
    <cellStyle name="20% - Accent4 2 3" xfId="161"/>
    <cellStyle name="20% - Accent4 2 4" xfId="162"/>
    <cellStyle name="20% - Accent4 2 5" xfId="163"/>
    <cellStyle name="20% - Accent4 2 6" xfId="164"/>
    <cellStyle name="20% - Accent4 2 7" xfId="165"/>
    <cellStyle name="20% - Accent4 2 8" xfId="166"/>
    <cellStyle name="20% - Accent4 2 9" xfId="167"/>
    <cellStyle name="20% - Accent4 3" xfId="168"/>
    <cellStyle name="20% - Accent4 3 10" xfId="169"/>
    <cellStyle name="20% - Accent4 3 2" xfId="170"/>
    <cellStyle name="20% - Accent4 3 3" xfId="171"/>
    <cellStyle name="20% - Accent4 3 4" xfId="172"/>
    <cellStyle name="20% - Accent4 3 5" xfId="173"/>
    <cellStyle name="20% - Accent4 3 6" xfId="174"/>
    <cellStyle name="20% - Accent4 3 7" xfId="175"/>
    <cellStyle name="20% - Accent4 3 8" xfId="176"/>
    <cellStyle name="20% - Accent4 3 9" xfId="177"/>
    <cellStyle name="20% - Accent4 4" xfId="178"/>
    <cellStyle name="20% - Accent4 5" xfId="179"/>
    <cellStyle name="20% - Accent4 6" xfId="180"/>
    <cellStyle name="20% - Accent4 7" xfId="181"/>
    <cellStyle name="20% - Accent4 8" xfId="182"/>
    <cellStyle name="20% - Accent4 9" xfId="183"/>
    <cellStyle name="20% - Accent5 1" xfId="184"/>
    <cellStyle name="20% - Accent5 1 2" xfId="185"/>
    <cellStyle name="20% - Accent5 10" xfId="186"/>
    <cellStyle name="20% - Accent5 11" xfId="187"/>
    <cellStyle name="20% - Accent5 11 2" xfId="1757"/>
    <cellStyle name="20% - Accent5 2" xfId="188"/>
    <cellStyle name="20% - Accent5 2 2" xfId="189"/>
    <cellStyle name="20% - Accent5 2 3" xfId="190"/>
    <cellStyle name="20% - Accent5 2 4" xfId="191"/>
    <cellStyle name="20% - Accent5 2 5" xfId="192"/>
    <cellStyle name="20% - Accent5 2 6" xfId="193"/>
    <cellStyle name="20% - Accent5 2 7" xfId="194"/>
    <cellStyle name="20% - Accent5 3" xfId="195"/>
    <cellStyle name="20% - Accent5 4" xfId="196"/>
    <cellStyle name="20% - Accent5 5" xfId="197"/>
    <cellStyle name="20% - Accent5 6" xfId="198"/>
    <cellStyle name="20% - Accent5 7" xfId="199"/>
    <cellStyle name="20% - Accent5 8" xfId="200"/>
    <cellStyle name="20% - Accent5 9" xfId="201"/>
    <cellStyle name="20% - Accent6 1" xfId="202"/>
    <cellStyle name="20% - Accent6 1 2" xfId="203"/>
    <cellStyle name="20% - Accent6 10" xfId="204"/>
    <cellStyle name="20% - Accent6 11" xfId="205"/>
    <cellStyle name="20% - Accent6 11 2" xfId="1758"/>
    <cellStyle name="20% - Accent6 2" xfId="206"/>
    <cellStyle name="20% - Accent6 2 10" xfId="207"/>
    <cellStyle name="20% - Accent6 2 11" xfId="208"/>
    <cellStyle name="20% - Accent6 2 12" xfId="209"/>
    <cellStyle name="20% - Accent6 2 13" xfId="210"/>
    <cellStyle name="20% - Accent6 2 14" xfId="211"/>
    <cellStyle name="20% - Accent6 2 15" xfId="212"/>
    <cellStyle name="20% - Accent6 2 16" xfId="213"/>
    <cellStyle name="20% - Accent6 2 2" xfId="214"/>
    <cellStyle name="20% - Accent6 2 2 10" xfId="215"/>
    <cellStyle name="20% - Accent6 2 2 2" xfId="216"/>
    <cellStyle name="20% - Accent6 2 2 3" xfId="217"/>
    <cellStyle name="20% - Accent6 2 2 4" xfId="218"/>
    <cellStyle name="20% - Accent6 2 2 5" xfId="219"/>
    <cellStyle name="20% - Accent6 2 2 6" xfId="220"/>
    <cellStyle name="20% - Accent6 2 2 7" xfId="221"/>
    <cellStyle name="20% - Accent6 2 2 8" xfId="222"/>
    <cellStyle name="20% - Accent6 2 2 9" xfId="223"/>
    <cellStyle name="20% - Accent6 2 3" xfId="224"/>
    <cellStyle name="20% - Accent6 2 4" xfId="225"/>
    <cellStyle name="20% - Accent6 2 5" xfId="226"/>
    <cellStyle name="20% - Accent6 2 6" xfId="227"/>
    <cellStyle name="20% - Accent6 2 7" xfId="228"/>
    <cellStyle name="20% - Accent6 2 8" xfId="229"/>
    <cellStyle name="20% - Accent6 2 9" xfId="230"/>
    <cellStyle name="20% - Accent6 3" xfId="231"/>
    <cellStyle name="20% - Accent6 3 10" xfId="232"/>
    <cellStyle name="20% - Accent6 3 2" xfId="233"/>
    <cellStyle name="20% - Accent6 3 3" xfId="234"/>
    <cellStyle name="20% - Accent6 3 4" xfId="235"/>
    <cellStyle name="20% - Accent6 3 5" xfId="236"/>
    <cellStyle name="20% - Accent6 3 6" xfId="237"/>
    <cellStyle name="20% - Accent6 3 7" xfId="238"/>
    <cellStyle name="20% - Accent6 3 8" xfId="239"/>
    <cellStyle name="20% - Accent6 3 9" xfId="240"/>
    <cellStyle name="20% - Accent6 4" xfId="241"/>
    <cellStyle name="20% - Accent6 5" xfId="242"/>
    <cellStyle name="20% - Accent6 6" xfId="243"/>
    <cellStyle name="20% - Accent6 7" xfId="244"/>
    <cellStyle name="20% - Accent6 8" xfId="245"/>
    <cellStyle name="20% - Accent6 9" xfId="246"/>
    <cellStyle name="40% - Accent1 1" xfId="247"/>
    <cellStyle name="40% - Accent1 1 2" xfId="248"/>
    <cellStyle name="40% - Accent1 10" xfId="249"/>
    <cellStyle name="40% - Accent1 11" xfId="250"/>
    <cellStyle name="40% - Accent1 11 2" xfId="1759"/>
    <cellStyle name="40% - Accent1 2" xfId="251"/>
    <cellStyle name="40% - Accent1 2 10" xfId="252"/>
    <cellStyle name="40% - Accent1 2 11" xfId="253"/>
    <cellStyle name="40% - Accent1 2 12" xfId="254"/>
    <cellStyle name="40% - Accent1 2 13" xfId="255"/>
    <cellStyle name="40% - Accent1 2 14" xfId="256"/>
    <cellStyle name="40% - Accent1 2 15" xfId="257"/>
    <cellStyle name="40% - Accent1 2 16" xfId="258"/>
    <cellStyle name="40% - Accent1 2 2" xfId="259"/>
    <cellStyle name="40% - Accent1 2 2 10" xfId="260"/>
    <cellStyle name="40% - Accent1 2 2 2" xfId="261"/>
    <cellStyle name="40% - Accent1 2 2 3" xfId="262"/>
    <cellStyle name="40% - Accent1 2 2 4" xfId="263"/>
    <cellStyle name="40% - Accent1 2 2 5" xfId="264"/>
    <cellStyle name="40% - Accent1 2 2 6" xfId="265"/>
    <cellStyle name="40% - Accent1 2 2 7" xfId="266"/>
    <cellStyle name="40% - Accent1 2 2 8" xfId="267"/>
    <cellStyle name="40% - Accent1 2 2 9" xfId="268"/>
    <cellStyle name="40% - Accent1 2 3" xfId="269"/>
    <cellStyle name="40% - Accent1 2 4" xfId="270"/>
    <cellStyle name="40% - Accent1 2 5" xfId="271"/>
    <cellStyle name="40% - Accent1 2 6" xfId="272"/>
    <cellStyle name="40% - Accent1 2 7" xfId="273"/>
    <cellStyle name="40% - Accent1 2 8" xfId="274"/>
    <cellStyle name="40% - Accent1 2 9" xfId="275"/>
    <cellStyle name="40% - Accent1 3" xfId="276"/>
    <cellStyle name="40% - Accent1 3 10" xfId="277"/>
    <cellStyle name="40% - Accent1 3 2" xfId="278"/>
    <cellStyle name="40% - Accent1 3 3" xfId="279"/>
    <cellStyle name="40% - Accent1 3 4" xfId="280"/>
    <cellStyle name="40% - Accent1 3 5" xfId="281"/>
    <cellStyle name="40% - Accent1 3 6" xfId="282"/>
    <cellStyle name="40% - Accent1 3 7" xfId="283"/>
    <cellStyle name="40% - Accent1 3 8" xfId="284"/>
    <cellStyle name="40% - Accent1 3 9" xfId="285"/>
    <cellStyle name="40% - Accent1 4" xfId="286"/>
    <cellStyle name="40% - Accent1 5" xfId="287"/>
    <cellStyle name="40% - Accent1 6" xfId="288"/>
    <cellStyle name="40% - Accent1 7" xfId="289"/>
    <cellStyle name="40% - Accent1 8" xfId="290"/>
    <cellStyle name="40% - Accent1 9" xfId="291"/>
    <cellStyle name="40% - Accent2 1" xfId="292"/>
    <cellStyle name="40% - Accent2 10" xfId="293"/>
    <cellStyle name="40% - Accent2 11" xfId="294"/>
    <cellStyle name="40% - Accent2 11 2" xfId="1760"/>
    <cellStyle name="40% - Accent2 2" xfId="295"/>
    <cellStyle name="40% - Accent2 2 2" xfId="296"/>
    <cellStyle name="40% - Accent2 2 3" xfId="297"/>
    <cellStyle name="40% - Accent2 2 4" xfId="298"/>
    <cellStyle name="40% - Accent2 2 5" xfId="299"/>
    <cellStyle name="40% - Accent2 2 6" xfId="300"/>
    <cellStyle name="40% - Accent2 2 7" xfId="301"/>
    <cellStyle name="40% - Accent2 3" xfId="302"/>
    <cellStyle name="40% - Accent2 4" xfId="303"/>
    <cellStyle name="40% - Accent2 5" xfId="304"/>
    <cellStyle name="40% - Accent2 6" xfId="305"/>
    <cellStyle name="40% - Accent2 7" xfId="306"/>
    <cellStyle name="40% - Accent2 8" xfId="307"/>
    <cellStyle name="40% - Accent2 9" xfId="308"/>
    <cellStyle name="40% - Accent3 1" xfId="309"/>
    <cellStyle name="40% - Accent3 1 2" xfId="310"/>
    <cellStyle name="40% - Accent3 10" xfId="311"/>
    <cellStyle name="40% - Accent3 11" xfId="312"/>
    <cellStyle name="40% - Accent3 11 2" xfId="1761"/>
    <cellStyle name="40% - Accent3 2" xfId="313"/>
    <cellStyle name="40% - Accent3 2 10" xfId="314"/>
    <cellStyle name="40% - Accent3 2 11" xfId="315"/>
    <cellStyle name="40% - Accent3 2 12" xfId="316"/>
    <cellStyle name="40% - Accent3 2 13" xfId="317"/>
    <cellStyle name="40% - Accent3 2 14" xfId="318"/>
    <cellStyle name="40% - Accent3 2 15" xfId="319"/>
    <cellStyle name="40% - Accent3 2 16" xfId="320"/>
    <cellStyle name="40% - Accent3 2 2" xfId="321"/>
    <cellStyle name="40% - Accent3 2 2 10" xfId="322"/>
    <cellStyle name="40% - Accent3 2 2 2" xfId="323"/>
    <cellStyle name="40% - Accent3 2 2 3" xfId="324"/>
    <cellStyle name="40% - Accent3 2 2 4" xfId="325"/>
    <cellStyle name="40% - Accent3 2 2 5" xfId="326"/>
    <cellStyle name="40% - Accent3 2 2 6" xfId="327"/>
    <cellStyle name="40% - Accent3 2 2 7" xfId="328"/>
    <cellStyle name="40% - Accent3 2 2 8" xfId="329"/>
    <cellStyle name="40% - Accent3 2 2 9" xfId="330"/>
    <cellStyle name="40% - Accent3 2 3" xfId="331"/>
    <cellStyle name="40% - Accent3 2 4" xfId="332"/>
    <cellStyle name="40% - Accent3 2 5" xfId="333"/>
    <cellStyle name="40% - Accent3 2 6" xfId="334"/>
    <cellStyle name="40% - Accent3 2 7" xfId="335"/>
    <cellStyle name="40% - Accent3 2 8" xfId="336"/>
    <cellStyle name="40% - Accent3 2 9" xfId="337"/>
    <cellStyle name="40% - Accent3 3" xfId="338"/>
    <cellStyle name="40% - Accent3 3 10" xfId="339"/>
    <cellStyle name="40% - Accent3 3 2" xfId="340"/>
    <cellStyle name="40% - Accent3 3 3" xfId="341"/>
    <cellStyle name="40% - Accent3 3 4" xfId="342"/>
    <cellStyle name="40% - Accent3 3 5" xfId="343"/>
    <cellStyle name="40% - Accent3 3 6" xfId="344"/>
    <cellStyle name="40% - Accent3 3 7" xfId="345"/>
    <cellStyle name="40% - Accent3 3 8" xfId="346"/>
    <cellStyle name="40% - Accent3 3 9" xfId="347"/>
    <cellStyle name="40% - Accent3 4" xfId="348"/>
    <cellStyle name="40% - Accent3 5" xfId="349"/>
    <cellStyle name="40% - Accent3 6" xfId="350"/>
    <cellStyle name="40% - Accent3 7" xfId="351"/>
    <cellStyle name="40% - Accent3 8" xfId="352"/>
    <cellStyle name="40% - Accent3 9" xfId="353"/>
    <cellStyle name="40% - Accent4 1" xfId="354"/>
    <cellStyle name="40% - Accent4 1 2" xfId="355"/>
    <cellStyle name="40% - Accent4 10" xfId="356"/>
    <cellStyle name="40% - Accent4 11" xfId="357"/>
    <cellStyle name="40% - Accent4 11 2" xfId="1762"/>
    <cellStyle name="40% - Accent4 2" xfId="358"/>
    <cellStyle name="40% - Accent4 2 10" xfId="359"/>
    <cellStyle name="40% - Accent4 2 11" xfId="360"/>
    <cellStyle name="40% - Accent4 2 12" xfId="361"/>
    <cellStyle name="40% - Accent4 2 13" xfId="362"/>
    <cellStyle name="40% - Accent4 2 14" xfId="363"/>
    <cellStyle name="40% - Accent4 2 15" xfId="364"/>
    <cellStyle name="40% - Accent4 2 16" xfId="365"/>
    <cellStyle name="40% - Accent4 2 2" xfId="366"/>
    <cellStyle name="40% - Accent4 2 2 10" xfId="367"/>
    <cellStyle name="40% - Accent4 2 2 2" xfId="368"/>
    <cellStyle name="40% - Accent4 2 2 3" xfId="369"/>
    <cellStyle name="40% - Accent4 2 2 4" xfId="370"/>
    <cellStyle name="40% - Accent4 2 2 5" xfId="371"/>
    <cellStyle name="40% - Accent4 2 2 6" xfId="372"/>
    <cellStyle name="40% - Accent4 2 2 7" xfId="373"/>
    <cellStyle name="40% - Accent4 2 2 8" xfId="374"/>
    <cellStyle name="40% - Accent4 2 2 9" xfId="375"/>
    <cellStyle name="40% - Accent4 2 3" xfId="376"/>
    <cellStyle name="40% - Accent4 2 4" xfId="377"/>
    <cellStyle name="40% - Accent4 2 5" xfId="378"/>
    <cellStyle name="40% - Accent4 2 6" xfId="379"/>
    <cellStyle name="40% - Accent4 2 7" xfId="380"/>
    <cellStyle name="40% - Accent4 2 8" xfId="381"/>
    <cellStyle name="40% - Accent4 2 9" xfId="382"/>
    <cellStyle name="40% - Accent4 3" xfId="383"/>
    <cellStyle name="40% - Accent4 3 10" xfId="384"/>
    <cellStyle name="40% - Accent4 3 2" xfId="385"/>
    <cellStyle name="40% - Accent4 3 3" xfId="386"/>
    <cellStyle name="40% - Accent4 3 4" xfId="387"/>
    <cellStyle name="40% - Accent4 3 5" xfId="388"/>
    <cellStyle name="40% - Accent4 3 6" xfId="389"/>
    <cellStyle name="40% - Accent4 3 7" xfId="390"/>
    <cellStyle name="40% - Accent4 3 8" xfId="391"/>
    <cellStyle name="40% - Accent4 3 9" xfId="392"/>
    <cellStyle name="40% - Accent4 4" xfId="393"/>
    <cellStyle name="40% - Accent4 5" xfId="394"/>
    <cellStyle name="40% - Accent4 6" xfId="395"/>
    <cellStyle name="40% - Accent4 7" xfId="396"/>
    <cellStyle name="40% - Accent4 8" xfId="397"/>
    <cellStyle name="40% - Accent4 9" xfId="398"/>
    <cellStyle name="40% - Accent5 1" xfId="399"/>
    <cellStyle name="40% - Accent5 10" xfId="400"/>
    <cellStyle name="40% - Accent5 11" xfId="401"/>
    <cellStyle name="40% - Accent5 11 2" xfId="1763"/>
    <cellStyle name="40% - Accent5 2" xfId="402"/>
    <cellStyle name="40% - Accent5 2 10" xfId="403"/>
    <cellStyle name="40% - Accent5 2 11" xfId="404"/>
    <cellStyle name="40% - Accent5 2 12" xfId="405"/>
    <cellStyle name="40% - Accent5 2 13" xfId="406"/>
    <cellStyle name="40% - Accent5 2 14" xfId="407"/>
    <cellStyle name="40% - Accent5 2 15" xfId="408"/>
    <cellStyle name="40% - Accent5 2 16" xfId="409"/>
    <cellStyle name="40% - Accent5 2 2" xfId="410"/>
    <cellStyle name="40% - Accent5 2 2 10" xfId="411"/>
    <cellStyle name="40% - Accent5 2 2 2" xfId="412"/>
    <cellStyle name="40% - Accent5 2 2 3" xfId="413"/>
    <cellStyle name="40% - Accent5 2 2 4" xfId="414"/>
    <cellStyle name="40% - Accent5 2 2 5" xfId="415"/>
    <cellStyle name="40% - Accent5 2 2 6" xfId="416"/>
    <cellStyle name="40% - Accent5 2 2 7" xfId="417"/>
    <cellStyle name="40% - Accent5 2 2 8" xfId="418"/>
    <cellStyle name="40% - Accent5 2 2 9" xfId="419"/>
    <cellStyle name="40% - Accent5 2 3" xfId="420"/>
    <cellStyle name="40% - Accent5 2 4" xfId="421"/>
    <cellStyle name="40% - Accent5 2 5" xfId="422"/>
    <cellStyle name="40% - Accent5 2 6" xfId="423"/>
    <cellStyle name="40% - Accent5 2 7" xfId="424"/>
    <cellStyle name="40% - Accent5 2 8" xfId="425"/>
    <cellStyle name="40% - Accent5 2 9" xfId="426"/>
    <cellStyle name="40% - Accent5 3" xfId="427"/>
    <cellStyle name="40% - Accent5 3 10" xfId="428"/>
    <cellStyle name="40% - Accent5 3 2" xfId="429"/>
    <cellStyle name="40% - Accent5 3 3" xfId="430"/>
    <cellStyle name="40% - Accent5 3 4" xfId="431"/>
    <cellStyle name="40% - Accent5 3 5" xfId="432"/>
    <cellStyle name="40% - Accent5 3 6" xfId="433"/>
    <cellStyle name="40% - Accent5 3 7" xfId="434"/>
    <cellStyle name="40% - Accent5 3 8" xfId="435"/>
    <cellStyle name="40% - Accent5 3 9" xfId="436"/>
    <cellStyle name="40% - Accent5 4" xfId="437"/>
    <cellStyle name="40% - Accent5 5" xfId="438"/>
    <cellStyle name="40% - Accent5 6" xfId="439"/>
    <cellStyle name="40% - Accent5 7" xfId="440"/>
    <cellStyle name="40% - Accent5 8" xfId="441"/>
    <cellStyle name="40% - Accent5 9" xfId="442"/>
    <cellStyle name="40% - Accent6 1" xfId="443"/>
    <cellStyle name="40% - Accent6 1 2" xfId="444"/>
    <cellStyle name="40% - Accent6 10" xfId="445"/>
    <cellStyle name="40% - Accent6 11" xfId="446"/>
    <cellStyle name="40% - Accent6 11 2" xfId="1764"/>
    <cellStyle name="40% - Accent6 2" xfId="447"/>
    <cellStyle name="40% - Accent6 2 10" xfId="448"/>
    <cellStyle name="40% - Accent6 2 11" xfId="449"/>
    <cellStyle name="40% - Accent6 2 12" xfId="450"/>
    <cellStyle name="40% - Accent6 2 13" xfId="451"/>
    <cellStyle name="40% - Accent6 2 14" xfId="452"/>
    <cellStyle name="40% - Accent6 2 15" xfId="453"/>
    <cellStyle name="40% - Accent6 2 16" xfId="454"/>
    <cellStyle name="40% - Accent6 2 2" xfId="455"/>
    <cellStyle name="40% - Accent6 2 2 10" xfId="456"/>
    <cellStyle name="40% - Accent6 2 2 2" xfId="457"/>
    <cellStyle name="40% - Accent6 2 2 3" xfId="458"/>
    <cellStyle name="40% - Accent6 2 2 4" xfId="459"/>
    <cellStyle name="40% - Accent6 2 2 5" xfId="460"/>
    <cellStyle name="40% - Accent6 2 2 6" xfId="461"/>
    <cellStyle name="40% - Accent6 2 2 7" xfId="462"/>
    <cellStyle name="40% - Accent6 2 2 8" xfId="463"/>
    <cellStyle name="40% - Accent6 2 2 9" xfId="464"/>
    <cellStyle name="40% - Accent6 2 3" xfId="465"/>
    <cellStyle name="40% - Accent6 2 4" xfId="466"/>
    <cellStyle name="40% - Accent6 2 5" xfId="467"/>
    <cellStyle name="40% - Accent6 2 6" xfId="468"/>
    <cellStyle name="40% - Accent6 2 7" xfId="469"/>
    <cellStyle name="40% - Accent6 2 8" xfId="470"/>
    <cellStyle name="40% - Accent6 2 9" xfId="471"/>
    <cellStyle name="40% - Accent6 3" xfId="472"/>
    <cellStyle name="40% - Accent6 3 10" xfId="473"/>
    <cellStyle name="40% - Accent6 3 2" xfId="474"/>
    <cellStyle name="40% - Accent6 3 3" xfId="475"/>
    <cellStyle name="40% - Accent6 3 4" xfId="476"/>
    <cellStyle name="40% - Accent6 3 5" xfId="477"/>
    <cellStyle name="40% - Accent6 3 6" xfId="478"/>
    <cellStyle name="40% - Accent6 3 7" xfId="479"/>
    <cellStyle name="40% - Accent6 3 8" xfId="480"/>
    <cellStyle name="40% - Accent6 3 9" xfId="481"/>
    <cellStyle name="40% - Accent6 4" xfId="482"/>
    <cellStyle name="40% - Accent6 5" xfId="483"/>
    <cellStyle name="40% - Accent6 6" xfId="484"/>
    <cellStyle name="40% - Accent6 7" xfId="485"/>
    <cellStyle name="40% - Accent6 8" xfId="486"/>
    <cellStyle name="40% - Accent6 9" xfId="487"/>
    <cellStyle name="60% - Accent1 1" xfId="488"/>
    <cellStyle name="60% - Accent1 1 2" xfId="489"/>
    <cellStyle name="60% - Accent1 10" xfId="490"/>
    <cellStyle name="60% - Accent1 2" xfId="491"/>
    <cellStyle name="60% - Accent1 2 10" xfId="492"/>
    <cellStyle name="60% - Accent1 2 11" xfId="493"/>
    <cellStyle name="60% - Accent1 2 12" xfId="494"/>
    <cellStyle name="60% - Accent1 2 13" xfId="495"/>
    <cellStyle name="60% - Accent1 2 14" xfId="496"/>
    <cellStyle name="60% - Accent1 2 15" xfId="497"/>
    <cellStyle name="60% - Accent1 2 16" xfId="498"/>
    <cellStyle name="60% - Accent1 2 2" xfId="499"/>
    <cellStyle name="60% - Accent1 2 2 10" xfId="500"/>
    <cellStyle name="60% - Accent1 2 2 2" xfId="501"/>
    <cellStyle name="60% - Accent1 2 2 3" xfId="502"/>
    <cellStyle name="60% - Accent1 2 2 4" xfId="503"/>
    <cellStyle name="60% - Accent1 2 2 5" xfId="504"/>
    <cellStyle name="60% - Accent1 2 2 6" xfId="505"/>
    <cellStyle name="60% - Accent1 2 2 7" xfId="506"/>
    <cellStyle name="60% - Accent1 2 2 8" xfId="507"/>
    <cellStyle name="60% - Accent1 2 2 9" xfId="508"/>
    <cellStyle name="60% - Accent1 2 3" xfId="509"/>
    <cellStyle name="60% - Accent1 2 4" xfId="510"/>
    <cellStyle name="60% - Accent1 2 5" xfId="511"/>
    <cellStyle name="60% - Accent1 2 6" xfId="512"/>
    <cellStyle name="60% - Accent1 2 7" xfId="513"/>
    <cellStyle name="60% - Accent1 2 8" xfId="514"/>
    <cellStyle name="60% - Accent1 2 9" xfId="515"/>
    <cellStyle name="60% - Accent1 3" xfId="516"/>
    <cellStyle name="60% - Accent1 3 10" xfId="517"/>
    <cellStyle name="60% - Accent1 3 2" xfId="518"/>
    <cellStyle name="60% - Accent1 3 3" xfId="519"/>
    <cellStyle name="60% - Accent1 3 4" xfId="520"/>
    <cellStyle name="60% - Accent1 3 5" xfId="521"/>
    <cellStyle name="60% - Accent1 3 6" xfId="522"/>
    <cellStyle name="60% - Accent1 3 7" xfId="523"/>
    <cellStyle name="60% - Accent1 3 8" xfId="524"/>
    <cellStyle name="60% - Accent1 3 9" xfId="525"/>
    <cellStyle name="60% - Accent1 4" xfId="526"/>
    <cellStyle name="60% - Accent1 5" xfId="527"/>
    <cellStyle name="60% - Accent1 6" xfId="528"/>
    <cellStyle name="60% - Accent1 7" xfId="529"/>
    <cellStyle name="60% - Accent1 8" xfId="530"/>
    <cellStyle name="60% - Accent1 9" xfId="531"/>
    <cellStyle name="60% - Accent2 1" xfId="532"/>
    <cellStyle name="60% - Accent2 10" xfId="533"/>
    <cellStyle name="60% - Accent2 2" xfId="534"/>
    <cellStyle name="60% - Accent2 2 2" xfId="535"/>
    <cellStyle name="60% - Accent2 2 3" xfId="536"/>
    <cellStyle name="60% - Accent2 2 4" xfId="537"/>
    <cellStyle name="60% - Accent2 2 5" xfId="538"/>
    <cellStyle name="60% - Accent2 2 6" xfId="539"/>
    <cellStyle name="60% - Accent2 2 7" xfId="540"/>
    <cellStyle name="60% - Accent2 3" xfId="541"/>
    <cellStyle name="60% - Accent2 4" xfId="542"/>
    <cellStyle name="60% - Accent2 5" xfId="543"/>
    <cellStyle name="60% - Accent2 6" xfId="544"/>
    <cellStyle name="60% - Accent2 7" xfId="545"/>
    <cellStyle name="60% - Accent2 8" xfId="546"/>
    <cellStyle name="60% - Accent2 9" xfId="547"/>
    <cellStyle name="60% - Accent3 1" xfId="548"/>
    <cellStyle name="60% - Accent3 1 2" xfId="549"/>
    <cellStyle name="60% - Accent3 10" xfId="550"/>
    <cellStyle name="60% - Accent3 2" xfId="551"/>
    <cellStyle name="60% - Accent3 2 10" xfId="552"/>
    <cellStyle name="60% - Accent3 2 11" xfId="553"/>
    <cellStyle name="60% - Accent3 2 12" xfId="554"/>
    <cellStyle name="60% - Accent3 2 13" xfId="555"/>
    <cellStyle name="60% - Accent3 2 14" xfId="556"/>
    <cellStyle name="60% - Accent3 2 15" xfId="557"/>
    <cellStyle name="60% - Accent3 2 16" xfId="558"/>
    <cellStyle name="60% - Accent3 2 2" xfId="559"/>
    <cellStyle name="60% - Accent3 2 2 10" xfId="560"/>
    <cellStyle name="60% - Accent3 2 2 2" xfId="561"/>
    <cellStyle name="60% - Accent3 2 2 3" xfId="562"/>
    <cellStyle name="60% - Accent3 2 2 4" xfId="563"/>
    <cellStyle name="60% - Accent3 2 2 5" xfId="564"/>
    <cellStyle name="60% - Accent3 2 2 6" xfId="565"/>
    <cellStyle name="60% - Accent3 2 2 7" xfId="566"/>
    <cellStyle name="60% - Accent3 2 2 8" xfId="567"/>
    <cellStyle name="60% - Accent3 2 2 9" xfId="568"/>
    <cellStyle name="60% - Accent3 2 3" xfId="569"/>
    <cellStyle name="60% - Accent3 2 4" xfId="570"/>
    <cellStyle name="60% - Accent3 2 5" xfId="571"/>
    <cellStyle name="60% - Accent3 2 6" xfId="572"/>
    <cellStyle name="60% - Accent3 2 7" xfId="573"/>
    <cellStyle name="60% - Accent3 2 8" xfId="574"/>
    <cellStyle name="60% - Accent3 2 9" xfId="575"/>
    <cellStyle name="60% - Accent3 3" xfId="576"/>
    <cellStyle name="60% - Accent3 3 10" xfId="577"/>
    <cellStyle name="60% - Accent3 3 2" xfId="578"/>
    <cellStyle name="60% - Accent3 3 3" xfId="579"/>
    <cellStyle name="60% - Accent3 3 4" xfId="580"/>
    <cellStyle name="60% - Accent3 3 5" xfId="581"/>
    <cellStyle name="60% - Accent3 3 6" xfId="582"/>
    <cellStyle name="60% - Accent3 3 7" xfId="583"/>
    <cellStyle name="60% - Accent3 3 8" xfId="584"/>
    <cellStyle name="60% - Accent3 3 9" xfId="585"/>
    <cellStyle name="60% - Accent3 4" xfId="586"/>
    <cellStyle name="60% - Accent3 5" xfId="587"/>
    <cellStyle name="60% - Accent3 6" xfId="588"/>
    <cellStyle name="60% - Accent3 7" xfId="589"/>
    <cellStyle name="60% - Accent3 8" xfId="590"/>
    <cellStyle name="60% - Accent3 9" xfId="591"/>
    <cellStyle name="60% - Accent4 1" xfId="592"/>
    <cellStyle name="60% - Accent4 1 2" xfId="593"/>
    <cellStyle name="60% - Accent4 10" xfId="594"/>
    <cellStyle name="60% - Accent4 2" xfId="595"/>
    <cellStyle name="60% - Accent4 2 10" xfId="596"/>
    <cellStyle name="60% - Accent4 2 11" xfId="597"/>
    <cellStyle name="60% - Accent4 2 12" xfId="598"/>
    <cellStyle name="60% - Accent4 2 13" xfId="599"/>
    <cellStyle name="60% - Accent4 2 14" xfId="600"/>
    <cellStyle name="60% - Accent4 2 15" xfId="601"/>
    <cellStyle name="60% - Accent4 2 16" xfId="602"/>
    <cellStyle name="60% - Accent4 2 2" xfId="603"/>
    <cellStyle name="60% - Accent4 2 2 10" xfId="604"/>
    <cellStyle name="60% - Accent4 2 2 2" xfId="605"/>
    <cellStyle name="60% - Accent4 2 2 3" xfId="606"/>
    <cellStyle name="60% - Accent4 2 2 4" xfId="607"/>
    <cellStyle name="60% - Accent4 2 2 5" xfId="608"/>
    <cellStyle name="60% - Accent4 2 2 6" xfId="609"/>
    <cellStyle name="60% - Accent4 2 2 7" xfId="610"/>
    <cellStyle name="60% - Accent4 2 2 8" xfId="611"/>
    <cellStyle name="60% - Accent4 2 2 9" xfId="612"/>
    <cellStyle name="60% - Accent4 2 3" xfId="613"/>
    <cellStyle name="60% - Accent4 2 4" xfId="614"/>
    <cellStyle name="60% - Accent4 2 5" xfId="615"/>
    <cellStyle name="60% - Accent4 2 6" xfId="616"/>
    <cellStyle name="60% - Accent4 2 7" xfId="617"/>
    <cellStyle name="60% - Accent4 2 8" xfId="618"/>
    <cellStyle name="60% - Accent4 2 9" xfId="619"/>
    <cellStyle name="60% - Accent4 3" xfId="620"/>
    <cellStyle name="60% - Accent4 3 10" xfId="621"/>
    <cellStyle name="60% - Accent4 3 2" xfId="622"/>
    <cellStyle name="60% - Accent4 3 3" xfId="623"/>
    <cellStyle name="60% - Accent4 3 4" xfId="624"/>
    <cellStyle name="60% - Accent4 3 5" xfId="625"/>
    <cellStyle name="60% - Accent4 3 6" xfId="626"/>
    <cellStyle name="60% - Accent4 3 7" xfId="627"/>
    <cellStyle name="60% - Accent4 3 8" xfId="628"/>
    <cellStyle name="60% - Accent4 3 9" xfId="629"/>
    <cellStyle name="60% - Accent4 4" xfId="630"/>
    <cellStyle name="60% - Accent4 5" xfId="631"/>
    <cellStyle name="60% - Accent4 6" xfId="632"/>
    <cellStyle name="60% - Accent4 7" xfId="633"/>
    <cellStyle name="60% - Accent4 8" xfId="634"/>
    <cellStyle name="60% - Accent4 9" xfId="635"/>
    <cellStyle name="60% - Accent5 1" xfId="636"/>
    <cellStyle name="60% - Accent5 10" xfId="637"/>
    <cellStyle name="60% - Accent5 2" xfId="638"/>
    <cellStyle name="60% - Accent5 2 2" xfId="639"/>
    <cellStyle name="60% - Accent5 2 3" xfId="640"/>
    <cellStyle name="60% - Accent5 2 4" xfId="641"/>
    <cellStyle name="60% - Accent5 2 5" xfId="642"/>
    <cellStyle name="60% - Accent5 2 6" xfId="643"/>
    <cellStyle name="60% - Accent5 2 7" xfId="644"/>
    <cellStyle name="60% - Accent5 3" xfId="645"/>
    <cellStyle name="60% - Accent5 4" xfId="646"/>
    <cellStyle name="60% - Accent5 5" xfId="647"/>
    <cellStyle name="60% - Accent5 6" xfId="648"/>
    <cellStyle name="60% - Accent5 7" xfId="649"/>
    <cellStyle name="60% - Accent5 8" xfId="650"/>
    <cellStyle name="60% - Accent5 9" xfId="651"/>
    <cellStyle name="60% - Accent6 1" xfId="652"/>
    <cellStyle name="60% - Accent6 1 2" xfId="653"/>
    <cellStyle name="60% - Accent6 10" xfId="654"/>
    <cellStyle name="60% - Accent6 2" xfId="655"/>
    <cellStyle name="60% - Accent6 2 10" xfId="656"/>
    <cellStyle name="60% - Accent6 2 11" xfId="657"/>
    <cellStyle name="60% - Accent6 2 12" xfId="658"/>
    <cellStyle name="60% - Accent6 2 13" xfId="659"/>
    <cellStyle name="60% - Accent6 2 14" xfId="660"/>
    <cellStyle name="60% - Accent6 2 15" xfId="661"/>
    <cellStyle name="60% - Accent6 2 16" xfId="662"/>
    <cellStyle name="60% - Accent6 2 2" xfId="663"/>
    <cellStyle name="60% - Accent6 2 2 10" xfId="664"/>
    <cellStyle name="60% - Accent6 2 2 2" xfId="665"/>
    <cellStyle name="60% - Accent6 2 2 3" xfId="666"/>
    <cellStyle name="60% - Accent6 2 2 4" xfId="667"/>
    <cellStyle name="60% - Accent6 2 2 5" xfId="668"/>
    <cellStyle name="60% - Accent6 2 2 6" xfId="669"/>
    <cellStyle name="60% - Accent6 2 2 7" xfId="670"/>
    <cellStyle name="60% - Accent6 2 2 8" xfId="671"/>
    <cellStyle name="60% - Accent6 2 2 9" xfId="672"/>
    <cellStyle name="60% - Accent6 2 3" xfId="673"/>
    <cellStyle name="60% - Accent6 2 4" xfId="674"/>
    <cellStyle name="60% - Accent6 2 5" xfId="675"/>
    <cellStyle name="60% - Accent6 2 6" xfId="676"/>
    <cellStyle name="60% - Accent6 2 7" xfId="677"/>
    <cellStyle name="60% - Accent6 2 8" xfId="678"/>
    <cellStyle name="60% - Accent6 2 9" xfId="679"/>
    <cellStyle name="60% - Accent6 3" xfId="680"/>
    <cellStyle name="60% - Accent6 3 10" xfId="681"/>
    <cellStyle name="60% - Accent6 3 2" xfId="682"/>
    <cellStyle name="60% - Accent6 3 3" xfId="683"/>
    <cellStyle name="60% - Accent6 3 4" xfId="684"/>
    <cellStyle name="60% - Accent6 3 5" xfId="685"/>
    <cellStyle name="60% - Accent6 3 6" xfId="686"/>
    <cellStyle name="60% - Accent6 3 7" xfId="687"/>
    <cellStyle name="60% - Accent6 3 8" xfId="688"/>
    <cellStyle name="60% - Accent6 3 9" xfId="689"/>
    <cellStyle name="60% - Accent6 4" xfId="690"/>
    <cellStyle name="60% - Accent6 5" xfId="691"/>
    <cellStyle name="60% - Accent6 6" xfId="692"/>
    <cellStyle name="60% - Accent6 7" xfId="693"/>
    <cellStyle name="60% - Accent6 8" xfId="694"/>
    <cellStyle name="60% - Accent6 9" xfId="695"/>
    <cellStyle name="75" xfId="696"/>
    <cellStyle name="75%" xfId="697"/>
    <cellStyle name="75_ATT.LIST JUN '07" xfId="698"/>
    <cellStyle name="Accent1 1" xfId="699"/>
    <cellStyle name="Accent1 1 2" xfId="700"/>
    <cellStyle name="Accent1 10" xfId="701"/>
    <cellStyle name="Accent1 2" xfId="702"/>
    <cellStyle name="Accent1 2 10" xfId="703"/>
    <cellStyle name="Accent1 2 11" xfId="704"/>
    <cellStyle name="Accent1 2 12" xfId="705"/>
    <cellStyle name="Accent1 2 13" xfId="706"/>
    <cellStyle name="Accent1 2 14" xfId="707"/>
    <cellStyle name="Accent1 2 15" xfId="708"/>
    <cellStyle name="Accent1 2 16" xfId="709"/>
    <cellStyle name="Accent1 2 2" xfId="710"/>
    <cellStyle name="Accent1 2 2 10" xfId="711"/>
    <cellStyle name="Accent1 2 2 2" xfId="712"/>
    <cellStyle name="Accent1 2 2 3" xfId="713"/>
    <cellStyle name="Accent1 2 2 4" xfId="714"/>
    <cellStyle name="Accent1 2 2 5" xfId="715"/>
    <cellStyle name="Accent1 2 2 6" xfId="716"/>
    <cellStyle name="Accent1 2 2 7" xfId="717"/>
    <cellStyle name="Accent1 2 2 8" xfId="718"/>
    <cellStyle name="Accent1 2 2 9" xfId="719"/>
    <cellStyle name="Accent1 2 3" xfId="720"/>
    <cellStyle name="Accent1 2 4" xfId="721"/>
    <cellStyle name="Accent1 2 5" xfId="722"/>
    <cellStyle name="Accent1 2 6" xfId="723"/>
    <cellStyle name="Accent1 2 7" xfId="724"/>
    <cellStyle name="Accent1 2 8" xfId="725"/>
    <cellStyle name="Accent1 2 9" xfId="726"/>
    <cellStyle name="Accent1 3" xfId="727"/>
    <cellStyle name="Accent1 3 10" xfId="728"/>
    <cellStyle name="Accent1 3 2" xfId="729"/>
    <cellStyle name="Accent1 3 3" xfId="730"/>
    <cellStyle name="Accent1 3 4" xfId="731"/>
    <cellStyle name="Accent1 3 5" xfId="732"/>
    <cellStyle name="Accent1 3 6" xfId="733"/>
    <cellStyle name="Accent1 3 7" xfId="734"/>
    <cellStyle name="Accent1 3 8" xfId="735"/>
    <cellStyle name="Accent1 3 9" xfId="736"/>
    <cellStyle name="Accent1 4" xfId="737"/>
    <cellStyle name="Accent1 5" xfId="738"/>
    <cellStyle name="Accent1 6" xfId="739"/>
    <cellStyle name="Accent1 7" xfId="740"/>
    <cellStyle name="Accent1 8" xfId="741"/>
    <cellStyle name="Accent1 9" xfId="742"/>
    <cellStyle name="Accent2 1" xfId="743"/>
    <cellStyle name="Accent2 10" xfId="744"/>
    <cellStyle name="Accent2 2" xfId="745"/>
    <cellStyle name="Accent2 2 2" xfId="746"/>
    <cellStyle name="Accent2 2 3" xfId="747"/>
    <cellStyle name="Accent2 2 4" xfId="748"/>
    <cellStyle name="Accent2 2 5" xfId="749"/>
    <cellStyle name="Accent2 2 6" xfId="750"/>
    <cellStyle name="Accent2 2 7" xfId="751"/>
    <cellStyle name="Accent2 3" xfId="752"/>
    <cellStyle name="Accent2 4" xfId="753"/>
    <cellStyle name="Accent2 5" xfId="754"/>
    <cellStyle name="Accent2 6" xfId="755"/>
    <cellStyle name="Accent2 7" xfId="756"/>
    <cellStyle name="Accent2 8" xfId="757"/>
    <cellStyle name="Accent2 9" xfId="758"/>
    <cellStyle name="Accent3 1" xfId="759"/>
    <cellStyle name="Accent3 10" xfId="760"/>
    <cellStyle name="Accent3 2" xfId="761"/>
    <cellStyle name="Accent3 2 2" xfId="762"/>
    <cellStyle name="Accent3 2 3" xfId="763"/>
    <cellStyle name="Accent3 2 4" xfId="764"/>
    <cellStyle name="Accent3 2 5" xfId="765"/>
    <cellStyle name="Accent3 2 6" xfId="766"/>
    <cellStyle name="Accent3 2 7" xfId="767"/>
    <cellStyle name="Accent3 3" xfId="768"/>
    <cellStyle name="Accent3 4" xfId="769"/>
    <cellStyle name="Accent3 5" xfId="770"/>
    <cellStyle name="Accent3 6" xfId="771"/>
    <cellStyle name="Accent3 7" xfId="772"/>
    <cellStyle name="Accent3 8" xfId="773"/>
    <cellStyle name="Accent3 9" xfId="774"/>
    <cellStyle name="Accent4 1" xfId="775"/>
    <cellStyle name="Accent4 1 2" xfId="776"/>
    <cellStyle name="Accent4 10" xfId="777"/>
    <cellStyle name="Accent4 2" xfId="778"/>
    <cellStyle name="Accent4 2 10" xfId="779"/>
    <cellStyle name="Accent4 2 11" xfId="780"/>
    <cellStyle name="Accent4 2 12" xfId="781"/>
    <cellStyle name="Accent4 2 13" xfId="782"/>
    <cellStyle name="Accent4 2 14" xfId="783"/>
    <cellStyle name="Accent4 2 15" xfId="784"/>
    <cellStyle name="Accent4 2 16" xfId="785"/>
    <cellStyle name="Accent4 2 2" xfId="786"/>
    <cellStyle name="Accent4 2 2 10" xfId="787"/>
    <cellStyle name="Accent4 2 2 2" xfId="788"/>
    <cellStyle name="Accent4 2 2 3" xfId="789"/>
    <cellStyle name="Accent4 2 2 4" xfId="790"/>
    <cellStyle name="Accent4 2 2 5" xfId="791"/>
    <cellStyle name="Accent4 2 2 6" xfId="792"/>
    <cellStyle name="Accent4 2 2 7" xfId="793"/>
    <cellStyle name="Accent4 2 2 8" xfId="794"/>
    <cellStyle name="Accent4 2 2 9" xfId="795"/>
    <cellStyle name="Accent4 2 3" xfId="796"/>
    <cellStyle name="Accent4 2 4" xfId="797"/>
    <cellStyle name="Accent4 2 5" xfId="798"/>
    <cellStyle name="Accent4 2 6" xfId="799"/>
    <cellStyle name="Accent4 2 7" xfId="800"/>
    <cellStyle name="Accent4 2 8" xfId="801"/>
    <cellStyle name="Accent4 2 9" xfId="802"/>
    <cellStyle name="Accent4 3" xfId="803"/>
    <cellStyle name="Accent4 3 10" xfId="804"/>
    <cellStyle name="Accent4 3 2" xfId="805"/>
    <cellStyle name="Accent4 3 3" xfId="806"/>
    <cellStyle name="Accent4 3 4" xfId="807"/>
    <cellStyle name="Accent4 3 5" xfId="808"/>
    <cellStyle name="Accent4 3 6" xfId="809"/>
    <cellStyle name="Accent4 3 7" xfId="810"/>
    <cellStyle name="Accent4 3 8" xfId="811"/>
    <cellStyle name="Accent4 3 9" xfId="812"/>
    <cellStyle name="Accent4 4" xfId="813"/>
    <cellStyle name="Accent4 5" xfId="814"/>
    <cellStyle name="Accent4 6" xfId="815"/>
    <cellStyle name="Accent4 7" xfId="816"/>
    <cellStyle name="Accent4 8" xfId="817"/>
    <cellStyle name="Accent4 9" xfId="818"/>
    <cellStyle name="Accent5 1" xfId="819"/>
    <cellStyle name="Accent5 10" xfId="820"/>
    <cellStyle name="Accent5 2" xfId="821"/>
    <cellStyle name="Accent5 2 2" xfId="822"/>
    <cellStyle name="Accent5 2 3" xfId="823"/>
    <cellStyle name="Accent5 2 4" xfId="824"/>
    <cellStyle name="Accent5 2 5" xfId="825"/>
    <cellStyle name="Accent5 2 6" xfId="826"/>
    <cellStyle name="Accent5 2 7" xfId="827"/>
    <cellStyle name="Accent5 3" xfId="828"/>
    <cellStyle name="Accent5 4" xfId="829"/>
    <cellStyle name="Accent5 5" xfId="830"/>
    <cellStyle name="Accent5 6" xfId="831"/>
    <cellStyle name="Accent5 7" xfId="832"/>
    <cellStyle name="Accent5 8" xfId="833"/>
    <cellStyle name="Accent5 9" xfId="834"/>
    <cellStyle name="Accent6 1" xfId="835"/>
    <cellStyle name="Accent6 10" xfId="836"/>
    <cellStyle name="Accent6 2" xfId="837"/>
    <cellStyle name="Accent6 2 2" xfId="838"/>
    <cellStyle name="Accent6 2 3" xfId="839"/>
    <cellStyle name="Accent6 2 4" xfId="840"/>
    <cellStyle name="Accent6 2 5" xfId="841"/>
    <cellStyle name="Accent6 2 6" xfId="842"/>
    <cellStyle name="Accent6 2 7" xfId="843"/>
    <cellStyle name="Accent6 3" xfId="844"/>
    <cellStyle name="Accent6 4" xfId="845"/>
    <cellStyle name="Accent6 5" xfId="846"/>
    <cellStyle name="Accent6 6" xfId="847"/>
    <cellStyle name="Accent6 7" xfId="848"/>
    <cellStyle name="Accent6 8" xfId="849"/>
    <cellStyle name="Accent6 9" xfId="850"/>
    <cellStyle name="Bad 1" xfId="851"/>
    <cellStyle name="Bad 10" xfId="852"/>
    <cellStyle name="Bad 2" xfId="853"/>
    <cellStyle name="Bad 2 2" xfId="854"/>
    <cellStyle name="Bad 2 3" xfId="855"/>
    <cellStyle name="Bad 2 4" xfId="856"/>
    <cellStyle name="Bad 2 5" xfId="857"/>
    <cellStyle name="Bad 2 6" xfId="858"/>
    <cellStyle name="Bad 2 7" xfId="859"/>
    <cellStyle name="Bad 3" xfId="860"/>
    <cellStyle name="Bad 4" xfId="861"/>
    <cellStyle name="Bad 5" xfId="862"/>
    <cellStyle name="Bad 6" xfId="863"/>
    <cellStyle name="Bad 7" xfId="864"/>
    <cellStyle name="Bad 8" xfId="865"/>
    <cellStyle name="Bad 9" xfId="866"/>
    <cellStyle name="BANGKOK" xfId="867"/>
    <cellStyle name="Calculation 1" xfId="868"/>
    <cellStyle name="Calculation 1 2" xfId="869"/>
    <cellStyle name="Calculation 10" xfId="870"/>
    <cellStyle name="Calculation 2" xfId="871"/>
    <cellStyle name="Calculation 2 10" xfId="872"/>
    <cellStyle name="Calculation 2 11" xfId="873"/>
    <cellStyle name="Calculation 2 12" xfId="874"/>
    <cellStyle name="Calculation 2 13" xfId="875"/>
    <cellStyle name="Calculation 2 14" xfId="876"/>
    <cellStyle name="Calculation 2 15" xfId="877"/>
    <cellStyle name="Calculation 2 16" xfId="878"/>
    <cellStyle name="Calculation 2 2" xfId="879"/>
    <cellStyle name="Calculation 2 2 10" xfId="880"/>
    <cellStyle name="Calculation 2 2 2" xfId="881"/>
    <cellStyle name="Calculation 2 2 3" xfId="882"/>
    <cellStyle name="Calculation 2 2 4" xfId="883"/>
    <cellStyle name="Calculation 2 2 5" xfId="884"/>
    <cellStyle name="Calculation 2 2 6" xfId="885"/>
    <cellStyle name="Calculation 2 2 7" xfId="886"/>
    <cellStyle name="Calculation 2 2 8" xfId="887"/>
    <cellStyle name="Calculation 2 2 9" xfId="888"/>
    <cellStyle name="Calculation 2 3" xfId="889"/>
    <cellStyle name="Calculation 2 4" xfId="890"/>
    <cellStyle name="Calculation 2 5" xfId="891"/>
    <cellStyle name="Calculation 2 6" xfId="892"/>
    <cellStyle name="Calculation 2 7" xfId="893"/>
    <cellStyle name="Calculation 2 8" xfId="894"/>
    <cellStyle name="Calculation 2 9" xfId="895"/>
    <cellStyle name="Calculation 3" xfId="896"/>
    <cellStyle name="Calculation 3 10" xfId="897"/>
    <cellStyle name="Calculation 3 2" xfId="898"/>
    <cellStyle name="Calculation 3 3" xfId="899"/>
    <cellStyle name="Calculation 3 4" xfId="900"/>
    <cellStyle name="Calculation 3 5" xfId="901"/>
    <cellStyle name="Calculation 3 6" xfId="902"/>
    <cellStyle name="Calculation 3 7" xfId="903"/>
    <cellStyle name="Calculation 3 8" xfId="904"/>
    <cellStyle name="Calculation 3 9" xfId="905"/>
    <cellStyle name="Calculation 4" xfId="906"/>
    <cellStyle name="Calculation 5" xfId="907"/>
    <cellStyle name="Calculation 6" xfId="908"/>
    <cellStyle name="Calculation 7" xfId="909"/>
    <cellStyle name="Calculation 8" xfId="910"/>
    <cellStyle name="Calculation 9" xfId="911"/>
    <cellStyle name="category" xfId="912"/>
    <cellStyle name="Check Cell 1" xfId="913"/>
    <cellStyle name="Check Cell 10" xfId="914"/>
    <cellStyle name="Check Cell 2" xfId="915"/>
    <cellStyle name="Check Cell 2 2" xfId="916"/>
    <cellStyle name="Check Cell 2 3" xfId="917"/>
    <cellStyle name="Check Cell 2 4" xfId="918"/>
    <cellStyle name="Check Cell 2 5" xfId="919"/>
    <cellStyle name="Check Cell 2 6" xfId="920"/>
    <cellStyle name="Check Cell 2 7" xfId="921"/>
    <cellStyle name="Check Cell 3" xfId="922"/>
    <cellStyle name="Check Cell 4" xfId="923"/>
    <cellStyle name="Check Cell 5" xfId="924"/>
    <cellStyle name="Check Cell 6" xfId="925"/>
    <cellStyle name="Check Cell 7" xfId="926"/>
    <cellStyle name="Check Cell 8" xfId="927"/>
    <cellStyle name="Check Cell 9" xfId="928"/>
    <cellStyle name="Comma" xfId="1" builtinId="3"/>
    <cellStyle name="Comma [0]" xfId="1908" builtinId="6"/>
    <cellStyle name="Comma [0] 10" xfId="929"/>
    <cellStyle name="Comma [0] 10 2" xfId="930"/>
    <cellStyle name="Comma [0] 11" xfId="931"/>
    <cellStyle name="Comma [0] 11 2" xfId="932"/>
    <cellStyle name="Comma [0] 11 3" xfId="1765"/>
    <cellStyle name="Comma [0] 12" xfId="933"/>
    <cellStyle name="Comma [0] 12 2" xfId="1766"/>
    <cellStyle name="Comma [0] 13" xfId="934"/>
    <cellStyle name="Comma [0] 13 2" xfId="1767"/>
    <cellStyle name="Comma [0] 14" xfId="3"/>
    <cellStyle name="Comma [0] 2" xfId="935"/>
    <cellStyle name="Comma [0] 2 2" xfId="936"/>
    <cellStyle name="Comma [0] 2 2 2" xfId="937"/>
    <cellStyle name="Comma [0] 2 2 3" xfId="938"/>
    <cellStyle name="Comma [0] 2 2 4" xfId="939"/>
    <cellStyle name="Comma [0] 2 3" xfId="940"/>
    <cellStyle name="Comma [0] 2 4" xfId="941"/>
    <cellStyle name="Comma [0] 2 5" xfId="942"/>
    <cellStyle name="Comma [0] 2_Rekap medical '2010" xfId="943"/>
    <cellStyle name="Comma [0] 3" xfId="944"/>
    <cellStyle name="Comma [0] 3 2" xfId="945"/>
    <cellStyle name="Comma [0] 3 3" xfId="946"/>
    <cellStyle name="Comma [0] 4" xfId="947"/>
    <cellStyle name="Comma [0] 4 2" xfId="948"/>
    <cellStyle name="Comma [0] 4 2 2" xfId="949"/>
    <cellStyle name="Comma [0] 4 2 2 2" xfId="1768"/>
    <cellStyle name="Comma [0] 4 2 3" xfId="1769"/>
    <cellStyle name="Comma [0] 4 3" xfId="950"/>
    <cellStyle name="Comma [0] 5" xfId="951"/>
    <cellStyle name="Comma [0] 5 2" xfId="952"/>
    <cellStyle name="Comma [0] 5 2 2" xfId="1770"/>
    <cellStyle name="Comma [0] 6" xfId="953"/>
    <cellStyle name="Comma [0] 6 2" xfId="954"/>
    <cellStyle name="Comma [0] 6 2 2" xfId="1771"/>
    <cellStyle name="Comma [0] 6 3" xfId="1772"/>
    <cellStyle name="Comma [0] 7" xfId="955"/>
    <cellStyle name="Comma [0] 7 2" xfId="956"/>
    <cellStyle name="Comma [0] 7 2 2" xfId="1773"/>
    <cellStyle name="Comma [0] 7 3" xfId="1774"/>
    <cellStyle name="Comma [0] 8" xfId="957"/>
    <cellStyle name="Comma [0] 8 2" xfId="958"/>
    <cellStyle name="Comma [0] 8 2 2" xfId="1775"/>
    <cellStyle name="Comma [0] 8 3" xfId="1776"/>
    <cellStyle name="Comma [0] 9" xfId="959"/>
    <cellStyle name="Comma [0] 9 2" xfId="960"/>
    <cellStyle name="Comma [0] 9 2 2" xfId="1777"/>
    <cellStyle name="Comma [0] 9 3" xfId="1778"/>
    <cellStyle name="Comma 10" xfId="961"/>
    <cellStyle name="Comma 2" xfId="962"/>
    <cellStyle name="Comma 2 2" xfId="963"/>
    <cellStyle name="Comma 2 2 2" xfId="964"/>
    <cellStyle name="Comma 2 3" xfId="965"/>
    <cellStyle name="Comma 2 3 2" xfId="966"/>
    <cellStyle name="Comma 2 3 3" xfId="967"/>
    <cellStyle name="Comma 2 3 4" xfId="968"/>
    <cellStyle name="Comma 2 4" xfId="969"/>
    <cellStyle name="Comma 2 5" xfId="970"/>
    <cellStyle name="Comma 2_DATA MP SAMI 03 SEP '10" xfId="971"/>
    <cellStyle name="Comma 3" xfId="972"/>
    <cellStyle name="Comma 3 2" xfId="973"/>
    <cellStyle name="Comma 4" xfId="974"/>
    <cellStyle name="Comma 4 2" xfId="975"/>
    <cellStyle name="Comma 5" xfId="976"/>
    <cellStyle name="Comma 5 2" xfId="977"/>
    <cellStyle name="Comma 6" xfId="978"/>
    <cellStyle name="Comma 7" xfId="979"/>
    <cellStyle name="Comma 8" xfId="980"/>
    <cellStyle name="Comma 9" xfId="981"/>
    <cellStyle name="Currency $" xfId="982"/>
    <cellStyle name="Currency [0] 2" xfId="983"/>
    <cellStyle name="Currency [0] 3" xfId="984"/>
    <cellStyle name="Currency 2" xfId="985"/>
    <cellStyle name="DataPilot Category" xfId="986"/>
    <cellStyle name="DataPilot Category 2" xfId="987"/>
    <cellStyle name="DataPilot Corner" xfId="988"/>
    <cellStyle name="DataPilot Corner 2" xfId="989"/>
    <cellStyle name="DataPilot Field" xfId="990"/>
    <cellStyle name="DataPilot Field 2" xfId="991"/>
    <cellStyle name="DataPilot Result" xfId="992"/>
    <cellStyle name="DataPilot Result 2" xfId="993"/>
    <cellStyle name="DataPilot Title" xfId="994"/>
    <cellStyle name="DataPilot Title 2" xfId="995"/>
    <cellStyle name="DataPilot Value" xfId="996"/>
    <cellStyle name="DataPilot Value 2" xfId="997"/>
    <cellStyle name="Excel Built-in Normal" xfId="998"/>
    <cellStyle name="Explanatory Text 1" xfId="999"/>
    <cellStyle name="Explanatory Text 10" xfId="1000"/>
    <cellStyle name="Explanatory Text 2" xfId="1001"/>
    <cellStyle name="Explanatory Text 2 2" xfId="1002"/>
    <cellStyle name="Explanatory Text 2 3" xfId="1003"/>
    <cellStyle name="Explanatory Text 2 4" xfId="1004"/>
    <cellStyle name="Explanatory Text 2 5" xfId="1005"/>
    <cellStyle name="Explanatory Text 2 6" xfId="1006"/>
    <cellStyle name="Explanatory Text 2 7" xfId="1007"/>
    <cellStyle name="Explanatory Text 3" xfId="1008"/>
    <cellStyle name="Explanatory Text 4" xfId="1009"/>
    <cellStyle name="Explanatory Text 5" xfId="1010"/>
    <cellStyle name="Explanatory Text 6" xfId="1011"/>
    <cellStyle name="Explanatory Text 7" xfId="1012"/>
    <cellStyle name="Explanatory Text 8" xfId="1013"/>
    <cellStyle name="Explanatory Text 9" xfId="1014"/>
    <cellStyle name="Good 1" xfId="1015"/>
    <cellStyle name="Good 10" xfId="1016"/>
    <cellStyle name="Good 2" xfId="1017"/>
    <cellStyle name="Good 2 2" xfId="1018"/>
    <cellStyle name="Good 2 3" xfId="1019"/>
    <cellStyle name="Good 2 4" xfId="1020"/>
    <cellStyle name="Good 2 5" xfId="1021"/>
    <cellStyle name="Good 2 6" xfId="1022"/>
    <cellStyle name="Good 2 7" xfId="1023"/>
    <cellStyle name="Good 3" xfId="1024"/>
    <cellStyle name="Good 4" xfId="1025"/>
    <cellStyle name="Good 5" xfId="1026"/>
    <cellStyle name="Good 6" xfId="1027"/>
    <cellStyle name="Good 7" xfId="1028"/>
    <cellStyle name="Good 8" xfId="1029"/>
    <cellStyle name="Good 9" xfId="1030"/>
    <cellStyle name="Grey" xfId="1031"/>
    <cellStyle name="HEADER" xfId="1032"/>
    <cellStyle name="Heading 1 1" xfId="1033"/>
    <cellStyle name="Heading 1 1 2" xfId="1034"/>
    <cellStyle name="Heading 1 10" xfId="1035"/>
    <cellStyle name="Heading 1 2" xfId="1036"/>
    <cellStyle name="Heading 1 2 10" xfId="1037"/>
    <cellStyle name="Heading 1 2 11" xfId="1038"/>
    <cellStyle name="Heading 1 2 12" xfId="1039"/>
    <cellStyle name="Heading 1 2 13" xfId="1040"/>
    <cellStyle name="Heading 1 2 14" xfId="1041"/>
    <cellStyle name="Heading 1 2 15" xfId="1042"/>
    <cellStyle name="Heading 1 2 16" xfId="1043"/>
    <cellStyle name="Heading 1 2 2" xfId="1044"/>
    <cellStyle name="Heading 1 2 2 10" xfId="1045"/>
    <cellStyle name="Heading 1 2 2 2" xfId="1046"/>
    <cellStyle name="Heading 1 2 2 3" xfId="1047"/>
    <cellStyle name="Heading 1 2 2 4" xfId="1048"/>
    <cellStyle name="Heading 1 2 2 5" xfId="1049"/>
    <cellStyle name="Heading 1 2 2 6" xfId="1050"/>
    <cellStyle name="Heading 1 2 2 7" xfId="1051"/>
    <cellStyle name="Heading 1 2 2 8" xfId="1052"/>
    <cellStyle name="Heading 1 2 2 9" xfId="1053"/>
    <cellStyle name="Heading 1 2 3" xfId="1054"/>
    <cellStyle name="Heading 1 2 4" xfId="1055"/>
    <cellStyle name="Heading 1 2 5" xfId="1056"/>
    <cellStyle name="Heading 1 2 6" xfId="1057"/>
    <cellStyle name="Heading 1 2 7" xfId="1058"/>
    <cellStyle name="Heading 1 2 8" xfId="1059"/>
    <cellStyle name="Heading 1 2 9" xfId="1060"/>
    <cellStyle name="Heading 1 3" xfId="1061"/>
    <cellStyle name="Heading 1 3 10" xfId="1062"/>
    <cellStyle name="Heading 1 3 2" xfId="1063"/>
    <cellStyle name="Heading 1 3 3" xfId="1064"/>
    <cellStyle name="Heading 1 3 4" xfId="1065"/>
    <cellStyle name="Heading 1 3 5" xfId="1066"/>
    <cellStyle name="Heading 1 3 6" xfId="1067"/>
    <cellStyle name="Heading 1 3 7" xfId="1068"/>
    <cellStyle name="Heading 1 3 8" xfId="1069"/>
    <cellStyle name="Heading 1 3 9" xfId="1070"/>
    <cellStyle name="Heading 1 4" xfId="1071"/>
    <cellStyle name="Heading 1 5" xfId="1072"/>
    <cellStyle name="Heading 1 6" xfId="1073"/>
    <cellStyle name="Heading 1 7" xfId="1074"/>
    <cellStyle name="Heading 1 8" xfId="1075"/>
    <cellStyle name="Heading 1 9" xfId="1076"/>
    <cellStyle name="Heading 2 1" xfId="1077"/>
    <cellStyle name="Heading 2 1 2" xfId="1078"/>
    <cellStyle name="Heading 2 10" xfId="1079"/>
    <cellStyle name="Heading 2 2" xfId="1080"/>
    <cellStyle name="Heading 2 2 10" xfId="1081"/>
    <cellStyle name="Heading 2 2 11" xfId="1082"/>
    <cellStyle name="Heading 2 2 12" xfId="1083"/>
    <cellStyle name="Heading 2 2 13" xfId="1084"/>
    <cellStyle name="Heading 2 2 14" xfId="1085"/>
    <cellStyle name="Heading 2 2 15" xfId="1086"/>
    <cellStyle name="Heading 2 2 16" xfId="1087"/>
    <cellStyle name="Heading 2 2 2" xfId="1088"/>
    <cellStyle name="Heading 2 2 2 10" xfId="1089"/>
    <cellStyle name="Heading 2 2 2 2" xfId="1090"/>
    <cellStyle name="Heading 2 2 2 3" xfId="1091"/>
    <cellStyle name="Heading 2 2 2 4" xfId="1092"/>
    <cellStyle name="Heading 2 2 2 5" xfId="1093"/>
    <cellStyle name="Heading 2 2 2 6" xfId="1094"/>
    <cellStyle name="Heading 2 2 2 7" xfId="1095"/>
    <cellStyle name="Heading 2 2 2 8" xfId="1096"/>
    <cellStyle name="Heading 2 2 2 9" xfId="1097"/>
    <cellStyle name="Heading 2 2 3" xfId="1098"/>
    <cellStyle name="Heading 2 2 4" xfId="1099"/>
    <cellStyle name="Heading 2 2 5" xfId="1100"/>
    <cellStyle name="Heading 2 2 6" xfId="1101"/>
    <cellStyle name="Heading 2 2 7" xfId="1102"/>
    <cellStyle name="Heading 2 2 8" xfId="1103"/>
    <cellStyle name="Heading 2 2 9" xfId="1104"/>
    <cellStyle name="Heading 2 3" xfId="1105"/>
    <cellStyle name="Heading 2 3 10" xfId="1106"/>
    <cellStyle name="Heading 2 3 2" xfId="1107"/>
    <cellStyle name="Heading 2 3 3" xfId="1108"/>
    <cellStyle name="Heading 2 3 4" xfId="1109"/>
    <cellStyle name="Heading 2 3 5" xfId="1110"/>
    <cellStyle name="Heading 2 3 6" xfId="1111"/>
    <cellStyle name="Heading 2 3 7" xfId="1112"/>
    <cellStyle name="Heading 2 3 8" xfId="1113"/>
    <cellStyle name="Heading 2 3 9" xfId="1114"/>
    <cellStyle name="Heading 2 4" xfId="1115"/>
    <cellStyle name="Heading 2 5" xfId="1116"/>
    <cellStyle name="Heading 2 6" xfId="1117"/>
    <cellStyle name="Heading 2 7" xfId="1118"/>
    <cellStyle name="Heading 2 8" xfId="1119"/>
    <cellStyle name="Heading 2 9" xfId="1120"/>
    <cellStyle name="Heading 3 1" xfId="1121"/>
    <cellStyle name="Heading 3 1 2" xfId="1122"/>
    <cellStyle name="Heading 3 10" xfId="1123"/>
    <cellStyle name="Heading 3 2" xfId="1124"/>
    <cellStyle name="Heading 3 2 10" xfId="1125"/>
    <cellStyle name="Heading 3 2 11" xfId="1126"/>
    <cellStyle name="Heading 3 2 12" xfId="1127"/>
    <cellStyle name="Heading 3 2 13" xfId="1128"/>
    <cellStyle name="Heading 3 2 14" xfId="1129"/>
    <cellStyle name="Heading 3 2 15" xfId="1130"/>
    <cellStyle name="Heading 3 2 16" xfId="1131"/>
    <cellStyle name="Heading 3 2 2" xfId="1132"/>
    <cellStyle name="Heading 3 2 2 10" xfId="1133"/>
    <cellStyle name="Heading 3 2 2 2" xfId="1134"/>
    <cellStyle name="Heading 3 2 2 3" xfId="1135"/>
    <cellStyle name="Heading 3 2 2 4" xfId="1136"/>
    <cellStyle name="Heading 3 2 2 5" xfId="1137"/>
    <cellStyle name="Heading 3 2 2 6" xfId="1138"/>
    <cellStyle name="Heading 3 2 2 7" xfId="1139"/>
    <cellStyle name="Heading 3 2 2 8" xfId="1140"/>
    <cellStyle name="Heading 3 2 2 9" xfId="1141"/>
    <cellStyle name="Heading 3 2 3" xfId="1142"/>
    <cellStyle name="Heading 3 2 4" xfId="1143"/>
    <cellStyle name="Heading 3 2 5" xfId="1144"/>
    <cellStyle name="Heading 3 2 6" xfId="1145"/>
    <cellStyle name="Heading 3 2 7" xfId="1146"/>
    <cellStyle name="Heading 3 2 8" xfId="1147"/>
    <cellStyle name="Heading 3 2 9" xfId="1148"/>
    <cellStyle name="Heading 3 3" xfId="1149"/>
    <cellStyle name="Heading 3 3 10" xfId="1150"/>
    <cellStyle name="Heading 3 3 2" xfId="1151"/>
    <cellStyle name="Heading 3 3 3" xfId="1152"/>
    <cellStyle name="Heading 3 3 4" xfId="1153"/>
    <cellStyle name="Heading 3 3 5" xfId="1154"/>
    <cellStyle name="Heading 3 3 6" xfId="1155"/>
    <cellStyle name="Heading 3 3 7" xfId="1156"/>
    <cellStyle name="Heading 3 3 8" xfId="1157"/>
    <cellStyle name="Heading 3 3 9" xfId="1158"/>
    <cellStyle name="Heading 3 4" xfId="1159"/>
    <cellStyle name="Heading 3 5" xfId="1160"/>
    <cellStyle name="Heading 3 6" xfId="1161"/>
    <cellStyle name="Heading 3 7" xfId="1162"/>
    <cellStyle name="Heading 3 8" xfId="1163"/>
    <cellStyle name="Heading 3 9" xfId="1164"/>
    <cellStyle name="Heading 4 1" xfId="1165"/>
    <cellStyle name="Heading 4 1 2" xfId="1166"/>
    <cellStyle name="Heading 4 10" xfId="1167"/>
    <cellStyle name="Heading 4 2" xfId="1168"/>
    <cellStyle name="Heading 4 2 10" xfId="1169"/>
    <cellStyle name="Heading 4 2 11" xfId="1170"/>
    <cellStyle name="Heading 4 2 12" xfId="1171"/>
    <cellStyle name="Heading 4 2 13" xfId="1172"/>
    <cellStyle name="Heading 4 2 14" xfId="1173"/>
    <cellStyle name="Heading 4 2 15" xfId="1174"/>
    <cellStyle name="Heading 4 2 16" xfId="1175"/>
    <cellStyle name="Heading 4 2 2" xfId="1176"/>
    <cellStyle name="Heading 4 2 2 10" xfId="1177"/>
    <cellStyle name="Heading 4 2 2 2" xfId="1178"/>
    <cellStyle name="Heading 4 2 2 3" xfId="1179"/>
    <cellStyle name="Heading 4 2 2 4" xfId="1180"/>
    <cellStyle name="Heading 4 2 2 5" xfId="1181"/>
    <cellStyle name="Heading 4 2 2 6" xfId="1182"/>
    <cellStyle name="Heading 4 2 2 7" xfId="1183"/>
    <cellStyle name="Heading 4 2 2 8" xfId="1184"/>
    <cellStyle name="Heading 4 2 2 9" xfId="1185"/>
    <cellStyle name="Heading 4 2 3" xfId="1186"/>
    <cellStyle name="Heading 4 2 4" xfId="1187"/>
    <cellStyle name="Heading 4 2 5" xfId="1188"/>
    <cellStyle name="Heading 4 2 6" xfId="1189"/>
    <cellStyle name="Heading 4 2 7" xfId="1190"/>
    <cellStyle name="Heading 4 2 8" xfId="1191"/>
    <cellStyle name="Heading 4 2 9" xfId="1192"/>
    <cellStyle name="Heading 4 3" xfId="1193"/>
    <cellStyle name="Heading 4 3 10" xfId="1194"/>
    <cellStyle name="Heading 4 3 2" xfId="1195"/>
    <cellStyle name="Heading 4 3 3" xfId="1196"/>
    <cellStyle name="Heading 4 3 4" xfId="1197"/>
    <cellStyle name="Heading 4 3 5" xfId="1198"/>
    <cellStyle name="Heading 4 3 6" xfId="1199"/>
    <cellStyle name="Heading 4 3 7" xfId="1200"/>
    <cellStyle name="Heading 4 3 8" xfId="1201"/>
    <cellStyle name="Heading 4 3 9" xfId="1202"/>
    <cellStyle name="Heading 4 4" xfId="1203"/>
    <cellStyle name="Heading 4 5" xfId="1204"/>
    <cellStyle name="Heading 4 6" xfId="1205"/>
    <cellStyle name="Heading 4 7" xfId="1206"/>
    <cellStyle name="Heading 4 8" xfId="1207"/>
    <cellStyle name="Heading 4 9" xfId="1208"/>
    <cellStyle name="Input [yellow]" xfId="1209"/>
    <cellStyle name="Input 1" xfId="1210"/>
    <cellStyle name="Input 1 2" xfId="1211"/>
    <cellStyle name="Input 10" xfId="1212"/>
    <cellStyle name="Input 11" xfId="1213"/>
    <cellStyle name="Input 12" xfId="1214"/>
    <cellStyle name="Input 13" xfId="1215"/>
    <cellStyle name="Input 14" xfId="1216"/>
    <cellStyle name="Input 15" xfId="1217"/>
    <cellStyle name="Input 2" xfId="1218"/>
    <cellStyle name="Input 2 10" xfId="1219"/>
    <cellStyle name="Input 2 11" xfId="1220"/>
    <cellStyle name="Input 2 12" xfId="1221"/>
    <cellStyle name="Input 2 13" xfId="1222"/>
    <cellStyle name="Input 2 14" xfId="1223"/>
    <cellStyle name="Input 2 15" xfId="1224"/>
    <cellStyle name="Input 2 16" xfId="1225"/>
    <cellStyle name="Input 2 2" xfId="1226"/>
    <cellStyle name="Input 2 2 10" xfId="1227"/>
    <cellStyle name="Input 2 2 2" xfId="1228"/>
    <cellStyle name="Input 2 2 3" xfId="1229"/>
    <cellStyle name="Input 2 2 4" xfId="1230"/>
    <cellStyle name="Input 2 2 5" xfId="1231"/>
    <cellStyle name="Input 2 2 6" xfId="1232"/>
    <cellStyle name="Input 2 2 7" xfId="1233"/>
    <cellStyle name="Input 2 2 8" xfId="1234"/>
    <cellStyle name="Input 2 2 9" xfId="1235"/>
    <cellStyle name="Input 2 3" xfId="1236"/>
    <cellStyle name="Input 2 4" xfId="1237"/>
    <cellStyle name="Input 2 5" xfId="1238"/>
    <cellStyle name="Input 2 6" xfId="1239"/>
    <cellStyle name="Input 2 7" xfId="1240"/>
    <cellStyle name="Input 2 8" xfId="1241"/>
    <cellStyle name="Input 2 9" xfId="1242"/>
    <cellStyle name="Input 3" xfId="1243"/>
    <cellStyle name="Input 3 10" xfId="1244"/>
    <cellStyle name="Input 3 2" xfId="1245"/>
    <cellStyle name="Input 3 3" xfId="1246"/>
    <cellStyle name="Input 3 4" xfId="1247"/>
    <cellStyle name="Input 3 5" xfId="1248"/>
    <cellStyle name="Input 3 6" xfId="1249"/>
    <cellStyle name="Input 3 7" xfId="1250"/>
    <cellStyle name="Input 3 8" xfId="1251"/>
    <cellStyle name="Input 3 9" xfId="1252"/>
    <cellStyle name="Input 4" xfId="1253"/>
    <cellStyle name="Input 5" xfId="1254"/>
    <cellStyle name="Input 6" xfId="1255"/>
    <cellStyle name="Input 7" xfId="1256"/>
    <cellStyle name="Input 8" xfId="1257"/>
    <cellStyle name="Input 9" xfId="1258"/>
    <cellStyle name="Linked Cell 1" xfId="1259"/>
    <cellStyle name="Linked Cell 10" xfId="1260"/>
    <cellStyle name="Linked Cell 2" xfId="1261"/>
    <cellStyle name="Linked Cell 2 2" xfId="1262"/>
    <cellStyle name="Linked Cell 2 3" xfId="1263"/>
    <cellStyle name="Linked Cell 2 4" xfId="1264"/>
    <cellStyle name="Linked Cell 2 5" xfId="1265"/>
    <cellStyle name="Linked Cell 2 6" xfId="1266"/>
    <cellStyle name="Linked Cell 2 7" xfId="1267"/>
    <cellStyle name="Linked Cell 3" xfId="1268"/>
    <cellStyle name="Linked Cell 4" xfId="1269"/>
    <cellStyle name="Linked Cell 5" xfId="1270"/>
    <cellStyle name="Linked Cell 6" xfId="1271"/>
    <cellStyle name="Linked Cell 7" xfId="1272"/>
    <cellStyle name="Linked Cell 8" xfId="1273"/>
    <cellStyle name="Linked Cell 9" xfId="1274"/>
    <cellStyle name="Model" xfId="1275"/>
    <cellStyle name="Neutral 1" xfId="1276"/>
    <cellStyle name="Neutral 10" xfId="1277"/>
    <cellStyle name="Neutral 2" xfId="1278"/>
    <cellStyle name="Neutral 2 2" xfId="1279"/>
    <cellStyle name="Neutral 2 3" xfId="1280"/>
    <cellStyle name="Neutral 2 4" xfId="1281"/>
    <cellStyle name="Neutral 2 5" xfId="1282"/>
    <cellStyle name="Neutral 2 6" xfId="1283"/>
    <cellStyle name="Neutral 2 7" xfId="1284"/>
    <cellStyle name="Neutral 3" xfId="1285"/>
    <cellStyle name="Neutral 4" xfId="1286"/>
    <cellStyle name="Neutral 5" xfId="1287"/>
    <cellStyle name="Neutral 6" xfId="1288"/>
    <cellStyle name="Neutral 7" xfId="1289"/>
    <cellStyle name="Neutral 8" xfId="1290"/>
    <cellStyle name="Neutral 9" xfId="1291"/>
    <cellStyle name="Normal" xfId="0" builtinId="0"/>
    <cellStyle name="Normal - Style1" xfId="1292"/>
    <cellStyle name="Normal 10" xfId="1293"/>
    <cellStyle name="Normal 10 2" xfId="1294"/>
    <cellStyle name="Normal 10 3" xfId="1295"/>
    <cellStyle name="Normal 10 4" xfId="1296"/>
    <cellStyle name="Normal 10 4 2" xfId="1779"/>
    <cellStyle name="Normal 10 5" xfId="1297"/>
    <cellStyle name="Normal 10 5 2" xfId="1780"/>
    <cellStyle name="Normal 10 6" xfId="1781"/>
    <cellStyle name="Normal 11" xfId="1298"/>
    <cellStyle name="Normal 11 2" xfId="1299"/>
    <cellStyle name="Normal 11 2 2" xfId="1300"/>
    <cellStyle name="Normal 11 2 2 2" xfId="1301"/>
    <cellStyle name="Normal 11 2 2 2 2" xfId="1302"/>
    <cellStyle name="Normal 11 2 2 2 2 2" xfId="1303"/>
    <cellStyle name="Normal 11 2 2 2 2 2 2" xfId="1304"/>
    <cellStyle name="Normal 11 2 2 2 2 2 2 2" xfId="1782"/>
    <cellStyle name="Normal 11 2 2 2 2 2 3" xfId="1783"/>
    <cellStyle name="Normal 11 2 2 2 2 3" xfId="1305"/>
    <cellStyle name="Normal 11 2 2 2 2 3 2" xfId="1306"/>
    <cellStyle name="Normal 11 2 2 2 2 3 2 2" xfId="1307"/>
    <cellStyle name="Normal 11 2 2 2 2 3 2 2 2" xfId="1308"/>
    <cellStyle name="Normal 11 2 2 2 2 3 2 2 2 2" xfId="1784"/>
    <cellStyle name="Normal 11 2 2 2 2 3 2 2 3" xfId="1785"/>
    <cellStyle name="Normal 11 2 2 2 2 3 2 3" xfId="1309"/>
    <cellStyle name="Normal 11 2 2 2 2 3 2 3 2" xfId="1310"/>
    <cellStyle name="Normal 11 2 2 2 2 3 2 3 2 2" xfId="1786"/>
    <cellStyle name="Normal 11 2 2 2 2 3 2 3 3" xfId="1787"/>
    <cellStyle name="Normal 11 2 2 2 2 3 2 4" xfId="1311"/>
    <cellStyle name="Normal 11 2 2 2 2 3 2 4 2" xfId="1312"/>
    <cellStyle name="Normal 11 2 2 2 2 3 2 4 2 2" xfId="1788"/>
    <cellStyle name="Normal 11 2 2 2 2 3 2 4 3" xfId="1789"/>
    <cellStyle name="Normal 11 2 2 2 2 3 2 5" xfId="1313"/>
    <cellStyle name="Normal 11 2 2 2 2 3 2 5 2" xfId="1314"/>
    <cellStyle name="Normal 11 2 2 2 2 3 2 5 2 2" xfId="1790"/>
    <cellStyle name="Normal 11 2 2 2 2 3 2 5 3" xfId="1791"/>
    <cellStyle name="Normal 11 2 2 2 2 3 2 6" xfId="1315"/>
    <cellStyle name="Normal 11 2 2 2 2 3 2 6 2" xfId="1316"/>
    <cellStyle name="Normal 11 2 2 2 2 3 2 6 2 2" xfId="1317"/>
    <cellStyle name="Normal 11 2 2 2 2 3 2 6 2 2 2" xfId="1792"/>
    <cellStyle name="Normal 11 2 2 2 2 3 2 6 2 3" xfId="1793"/>
    <cellStyle name="Normal 11 2 2 2 2 3 2 6 3" xfId="1318"/>
    <cellStyle name="Normal 11 2 2 2 2 3 2 6 3 2" xfId="1319"/>
    <cellStyle name="Normal 11 2 2 2 2 3 2 6 3 2 2" xfId="1320"/>
    <cellStyle name="Normal 11 2 2 2 2 3 2 6 3 2 2 2" xfId="1794"/>
    <cellStyle name="Normal 11 2 2 2 2 3 2 6 3 2 3" xfId="1795"/>
    <cellStyle name="Normal 11 2 2 2 2 3 2 6 3 3" xfId="1321"/>
    <cellStyle name="Normal 11 2 2 2 2 3 2 6 3 3 2" xfId="1796"/>
    <cellStyle name="Normal 11 2 2 2 2 3 2 6 3 4" xfId="1797"/>
    <cellStyle name="Normal 11 2 2 2 2 3 2 6 4" xfId="1322"/>
    <cellStyle name="Normal 11 2 2 2 2 3 2 6 4 2" xfId="1798"/>
    <cellStyle name="Normal 11 2 2 2 2 3 2 6 5" xfId="1799"/>
    <cellStyle name="Normal 11 2 2 2 2 3 2 7" xfId="1323"/>
    <cellStyle name="Normal 11 2 2 2 2 3 2 7 2" xfId="1800"/>
    <cellStyle name="Normal 11 2 2 2 2 3 2 8" xfId="1801"/>
    <cellStyle name="Normal 11 2 2 2 2 3 3" xfId="1324"/>
    <cellStyle name="Normal 11 2 2 2 2 3 3 2" xfId="1802"/>
    <cellStyle name="Normal 11 2 2 2 2 3 4" xfId="1803"/>
    <cellStyle name="Normal 11 2 2 2 2 4" xfId="1325"/>
    <cellStyle name="Normal 11 2 2 2 2 4 2" xfId="1804"/>
    <cellStyle name="Normal 11 2 2 2 2 5" xfId="1805"/>
    <cellStyle name="Normal 11 2 2 2 3" xfId="1326"/>
    <cellStyle name="Normal 11 2 2 2 3 2" xfId="1806"/>
    <cellStyle name="Normal 11 2 2 2 4" xfId="1807"/>
    <cellStyle name="Normal 11 2 2 3" xfId="1327"/>
    <cellStyle name="Normal 11 2 2 3 2" xfId="1808"/>
    <cellStyle name="Normal 11 2 2 4" xfId="1809"/>
    <cellStyle name="Normal 11 2 3" xfId="1328"/>
    <cellStyle name="Normal 11 2 3 2" xfId="1810"/>
    <cellStyle name="Normal 11 2 4" xfId="1811"/>
    <cellStyle name="Normal 11 3" xfId="1329"/>
    <cellStyle name="Normal 11 3 2" xfId="1330"/>
    <cellStyle name="Normal 11 3 2 2" xfId="1812"/>
    <cellStyle name="Normal 11 4" xfId="1331"/>
    <cellStyle name="Normal 11 4 2" xfId="1813"/>
    <cellStyle name="Normal 11 5" xfId="1814"/>
    <cellStyle name="Normal 12" xfId="1332"/>
    <cellStyle name="Normal 12 2" xfId="1333"/>
    <cellStyle name="Normal 12 2 2" xfId="1334"/>
    <cellStyle name="Normal 12 2 2 2" xfId="1815"/>
    <cellStyle name="Normal 12 2 3" xfId="1816"/>
    <cellStyle name="Normal 13" xfId="1335"/>
    <cellStyle name="Normal 13 2" xfId="1336"/>
    <cellStyle name="Normal 13 3" xfId="1337"/>
    <cellStyle name="Normal 14" xfId="1338"/>
    <cellStyle name="Normal 14 2" xfId="1339"/>
    <cellStyle name="Normal 14 2 2" xfId="1340"/>
    <cellStyle name="Normal 14 2 2 2" xfId="1817"/>
    <cellStyle name="Normal 14 2 3" xfId="1818"/>
    <cellStyle name="Normal 14 3" xfId="1341"/>
    <cellStyle name="Normal 14 3 2" xfId="1819"/>
    <cellStyle name="Normal 14 4" xfId="1820"/>
    <cellStyle name="Normal 15" xfId="1342"/>
    <cellStyle name="Normal 16" xfId="1343"/>
    <cellStyle name="Normal 17" xfId="1344"/>
    <cellStyle name="Normal 18" xfId="1345"/>
    <cellStyle name="Normal 18 2" xfId="1346"/>
    <cellStyle name="Normal 18 2 2" xfId="1821"/>
    <cellStyle name="Normal 18 3" xfId="1822"/>
    <cellStyle name="Normal 19" xfId="1347"/>
    <cellStyle name="Normal 19 2" xfId="1348"/>
    <cellStyle name="Normal 19 2 2" xfId="1349"/>
    <cellStyle name="Normal 19 2 2 2" xfId="1823"/>
    <cellStyle name="Normal 19 2 3" xfId="1824"/>
    <cellStyle name="Normal 19 3" xfId="1825"/>
    <cellStyle name="Normal 2" xfId="1350"/>
    <cellStyle name="Normal 2 10" xfId="1351"/>
    <cellStyle name="Normal 2 10 2" xfId="1352"/>
    <cellStyle name="Normal 2 11" xfId="1353"/>
    <cellStyle name="Normal 2 11 2" xfId="1354"/>
    <cellStyle name="Normal 2 11 3" xfId="1355"/>
    <cellStyle name="Normal 2 12" xfId="1356"/>
    <cellStyle name="Normal 2 12 2" xfId="1357"/>
    <cellStyle name="Normal 2 13" xfId="1358"/>
    <cellStyle name="Normal 2 14" xfId="1359"/>
    <cellStyle name="Normal 2 15" xfId="1360"/>
    <cellStyle name="Normal 2 16" xfId="1361"/>
    <cellStyle name="Normal 2 17" xfId="1362"/>
    <cellStyle name="Normal 2 18" xfId="1363"/>
    <cellStyle name="Normal 2 19" xfId="1364"/>
    <cellStyle name="Normal 2 2" xfId="1365"/>
    <cellStyle name="Normal 2 2 10" xfId="1366"/>
    <cellStyle name="Normal 2 2 10 2" xfId="1367"/>
    <cellStyle name="Normal 2 2 10 2 2" xfId="1826"/>
    <cellStyle name="Normal 2 2 10 3" xfId="1827"/>
    <cellStyle name="Normal 2 2 11" xfId="1368"/>
    <cellStyle name="Normal 2 2 11 2" xfId="1828"/>
    <cellStyle name="Normal 2 2 2" xfId="1369"/>
    <cellStyle name="Normal 2 2 2 2" xfId="1370"/>
    <cellStyle name="Normal 2 2 3" xfId="1371"/>
    <cellStyle name="Normal 2 2 3 2" xfId="1372"/>
    <cellStyle name="Normal 2 2 3 3" xfId="1829"/>
    <cellStyle name="Normal 2 2 4" xfId="1373"/>
    <cellStyle name="Normal 2 2 4 2" xfId="1830"/>
    <cellStyle name="Normal 2 2 5" xfId="1374"/>
    <cellStyle name="Normal 2 2 5 2" xfId="1831"/>
    <cellStyle name="Normal 2 2 6" xfId="1375"/>
    <cellStyle name="Normal 2 2 6 2" xfId="1832"/>
    <cellStyle name="Normal 2 2 7" xfId="1376"/>
    <cellStyle name="Normal 2 2 7 2" xfId="1833"/>
    <cellStyle name="Normal 2 2 8" xfId="1377"/>
    <cellStyle name="Normal 2 2 8 2" xfId="1834"/>
    <cellStyle name="Normal 2 2 9" xfId="1378"/>
    <cellStyle name="Normal 2 2 9 2" xfId="1835"/>
    <cellStyle name="Normal 2 20" xfId="1379"/>
    <cellStyle name="Normal 2 21" xfId="1380"/>
    <cellStyle name="Normal 2 22" xfId="1381"/>
    <cellStyle name="Normal 2 22 2" xfId="1836"/>
    <cellStyle name="Normal 2 23" xfId="1382"/>
    <cellStyle name="Normal 2 3" xfId="1383"/>
    <cellStyle name="Normal 2 3 10" xfId="1384"/>
    <cellStyle name="Normal 2 3 11" xfId="1385"/>
    <cellStyle name="Normal 2 3 2" xfId="1386"/>
    <cellStyle name="Normal 2 3 3" xfId="1387"/>
    <cellStyle name="Normal 2 3 4" xfId="1388"/>
    <cellStyle name="Normal 2 3 5" xfId="1389"/>
    <cellStyle name="Normal 2 3 6" xfId="1390"/>
    <cellStyle name="Normal 2 3 7" xfId="1391"/>
    <cellStyle name="Normal 2 3 8" xfId="1392"/>
    <cellStyle name="Normal 2 3 9" xfId="1393"/>
    <cellStyle name="Normal 2 4" xfId="1394"/>
    <cellStyle name="Normal 2 4 2" xfId="1395"/>
    <cellStyle name="Normal 2 4 2 2" xfId="1396"/>
    <cellStyle name="Normal 2 4 2 2 2" xfId="1397"/>
    <cellStyle name="Normal 2 4 2 2 2 2" xfId="1398"/>
    <cellStyle name="Normal 2 4 2 2 2 2 2" xfId="1399"/>
    <cellStyle name="Normal 2 4 2 2 2 2 2 2" xfId="1837"/>
    <cellStyle name="Normal 2 4 2 2 2 2 3" xfId="1838"/>
    <cellStyle name="Normal 2 4 2 2 2 3" xfId="1839"/>
    <cellStyle name="Normal 2 4 2 2 3" xfId="1840"/>
    <cellStyle name="Normal 2 4 2 3" xfId="1400"/>
    <cellStyle name="Normal 2 4 2 3 2" xfId="1401"/>
    <cellStyle name="Normal 2 4 2 3 2 2" xfId="1402"/>
    <cellStyle name="Normal 2 4 2 3 2 2 2" xfId="1841"/>
    <cellStyle name="Normal 2 4 2 3 2 3" xfId="1403"/>
    <cellStyle name="Normal 2 4 2 3 2 3 2" xfId="1842"/>
    <cellStyle name="Normal 2 4 2 3 2 4" xfId="1843"/>
    <cellStyle name="Normal 2 4 2 3 3" xfId="1844"/>
    <cellStyle name="Normal 2 4 2 4" xfId="1404"/>
    <cellStyle name="Normal 2 4 2 4 2" xfId="1845"/>
    <cellStyle name="Normal 2 5" xfId="1405"/>
    <cellStyle name="Normal 2 5 2" xfId="1406"/>
    <cellStyle name="Normal 2 6" xfId="1407"/>
    <cellStyle name="Normal 2 6 10" xfId="1408"/>
    <cellStyle name="Normal 2 6 2" xfId="1409"/>
    <cellStyle name="Normal 2 6 3" xfId="1410"/>
    <cellStyle name="Normal 2 6 4" xfId="1411"/>
    <cellStyle name="Normal 2 6 5" xfId="1412"/>
    <cellStyle name="Normal 2 6 6" xfId="1413"/>
    <cellStyle name="Normal 2 6 7" xfId="1414"/>
    <cellStyle name="Normal 2 6 8" xfId="1415"/>
    <cellStyle name="Normal 2 6 9" xfId="1416"/>
    <cellStyle name="Normal 2 7" xfId="1417"/>
    <cellStyle name="Normal 2 7 10" xfId="1418"/>
    <cellStyle name="Normal 2 7 10 2" xfId="1846"/>
    <cellStyle name="Normal 2 7 11" xfId="1419"/>
    <cellStyle name="Normal 2 7 11 2" xfId="1847"/>
    <cellStyle name="Normal 2 7 2" xfId="1420"/>
    <cellStyle name="Normal 2 7 2 2" xfId="1848"/>
    <cellStyle name="Normal 2 7 3" xfId="1421"/>
    <cellStyle name="Normal 2 7 3 2" xfId="1849"/>
    <cellStyle name="Normal 2 7 4" xfId="1422"/>
    <cellStyle name="Normal 2 7 4 2" xfId="1850"/>
    <cellStyle name="Normal 2 7 5" xfId="1423"/>
    <cellStyle name="Normal 2 7 5 2" xfId="1851"/>
    <cellStyle name="Normal 2 7 6" xfId="1424"/>
    <cellStyle name="Normal 2 7 6 2" xfId="1852"/>
    <cellStyle name="Normal 2 7 7" xfId="1425"/>
    <cellStyle name="Normal 2 7 7 2" xfId="1853"/>
    <cellStyle name="Normal 2 7 8" xfId="1426"/>
    <cellStyle name="Normal 2 7 8 2" xfId="1854"/>
    <cellStyle name="Normal 2 7 9" xfId="1427"/>
    <cellStyle name="Normal 2 7 9 2" xfId="1855"/>
    <cellStyle name="Normal 2 8" xfId="1428"/>
    <cellStyle name="Normal 2 8 10" xfId="1429"/>
    <cellStyle name="Normal 2 8 10 2" xfId="1856"/>
    <cellStyle name="Normal 2 8 11" xfId="1430"/>
    <cellStyle name="Normal 2 8 11 2" xfId="1857"/>
    <cellStyle name="Normal 2 8 2" xfId="1431"/>
    <cellStyle name="Normal 2 8 2 2" xfId="1858"/>
    <cellStyle name="Normal 2 8 3" xfId="1432"/>
    <cellStyle name="Normal 2 8 3 2" xfId="1859"/>
    <cellStyle name="Normal 2 8 4" xfId="1433"/>
    <cellStyle name="Normal 2 8 4 2" xfId="1860"/>
    <cellStyle name="Normal 2 8 5" xfId="1434"/>
    <cellStyle name="Normal 2 8 5 2" xfId="1861"/>
    <cellStyle name="Normal 2 8 6" xfId="1435"/>
    <cellStyle name="Normal 2 8 6 2" xfId="1862"/>
    <cellStyle name="Normal 2 8 7" xfId="1436"/>
    <cellStyle name="Normal 2 8 7 2" xfId="1863"/>
    <cellStyle name="Normal 2 8 8" xfId="1437"/>
    <cellStyle name="Normal 2 8 8 2" xfId="1864"/>
    <cellStyle name="Normal 2 8 9" xfId="1438"/>
    <cellStyle name="Normal 2 8 9 2" xfId="1865"/>
    <cellStyle name="Normal 2 9" xfId="1439"/>
    <cellStyle name="Normal 2_Book4" xfId="1440"/>
    <cellStyle name="Normal 20" xfId="1441"/>
    <cellStyle name="Normal 20 2" xfId="1442"/>
    <cellStyle name="Normal 20 3" xfId="1866"/>
    <cellStyle name="Normal 21" xfId="1443"/>
    <cellStyle name="Normal 21 2" xfId="1444"/>
    <cellStyle name="Normal 22" xfId="1445"/>
    <cellStyle name="Normal 22 2" xfId="1446"/>
    <cellStyle name="Normal 23" xfId="1447"/>
    <cellStyle name="Normal 24" xfId="1448"/>
    <cellStyle name="Normal 25" xfId="1449"/>
    <cellStyle name="Normal 26" xfId="1450"/>
    <cellStyle name="Normal 27" xfId="1451"/>
    <cellStyle name="Normal 27 2" xfId="1452"/>
    <cellStyle name="Normal 27 3" xfId="1867"/>
    <cellStyle name="Normal 28" xfId="1453"/>
    <cellStyle name="Normal 28 2" xfId="1868"/>
    <cellStyle name="Normal 29" xfId="1454"/>
    <cellStyle name="Normal 29 2" xfId="1869"/>
    <cellStyle name="Normal 3" xfId="1455"/>
    <cellStyle name="Normal 3 10" xfId="1456"/>
    <cellStyle name="Normal 3 11" xfId="1457"/>
    <cellStyle name="Normal 3 12" xfId="1458"/>
    <cellStyle name="Normal 3 2" xfId="1459"/>
    <cellStyle name="Normal 3 2 10" xfId="1460"/>
    <cellStyle name="Normal 3 2 11" xfId="1461"/>
    <cellStyle name="Normal 3 2 12" xfId="1462"/>
    <cellStyle name="Normal 3 2 2" xfId="1463"/>
    <cellStyle name="Normal 3 2 2 2" xfId="1464"/>
    <cellStyle name="Normal 3 2 2 3" xfId="1465"/>
    <cellStyle name="Normal 3 2 3" xfId="1466"/>
    <cellStyle name="Normal 3 2 4" xfId="1467"/>
    <cellStyle name="Normal 3 2 5" xfId="1468"/>
    <cellStyle name="Normal 3 2 6" xfId="1469"/>
    <cellStyle name="Normal 3 2 7" xfId="1470"/>
    <cellStyle name="Normal 3 2 8" xfId="1471"/>
    <cellStyle name="Normal 3 2 9" xfId="1472"/>
    <cellStyle name="Normal 3 3" xfId="1473"/>
    <cellStyle name="Normal 3 3 2" xfId="1474"/>
    <cellStyle name="Normal 3 3 2 2" xfId="1870"/>
    <cellStyle name="Normal 3 3 3" xfId="1475"/>
    <cellStyle name="Normal 3 4" xfId="1476"/>
    <cellStyle name="Normal 3 4 2" xfId="1477"/>
    <cellStyle name="Normal 3 4 2 2" xfId="1871"/>
    <cellStyle name="Normal 3 5" xfId="1478"/>
    <cellStyle name="Normal 3 6" xfId="1479"/>
    <cellStyle name="Normal 3 7" xfId="1480"/>
    <cellStyle name="Normal 3 8" xfId="1481"/>
    <cellStyle name="Normal 3 9" xfId="1482"/>
    <cellStyle name="Normal 3_11  MED NOV '09" xfId="1483"/>
    <cellStyle name="Normal 30" xfId="1484"/>
    <cellStyle name="Normal 30 2" xfId="1872"/>
    <cellStyle name="Normal 31" xfId="1485"/>
    <cellStyle name="Normal 31 2" xfId="1873"/>
    <cellStyle name="Normal 32" xfId="1486"/>
    <cellStyle name="Normal 33" xfId="1487"/>
    <cellStyle name="Normal 34" xfId="1488"/>
    <cellStyle name="Normal 35" xfId="1489"/>
    <cellStyle name="Normal 36" xfId="1490"/>
    <cellStyle name="Normal 37" xfId="1491"/>
    <cellStyle name="Normal 38" xfId="1492"/>
    <cellStyle name="Normal 39" xfId="1493"/>
    <cellStyle name="Normal 4" xfId="1494"/>
    <cellStyle name="Normal 4 10" xfId="1495"/>
    <cellStyle name="Normal 4 10 2" xfId="1874"/>
    <cellStyle name="Normal 4 11" xfId="1496"/>
    <cellStyle name="Normal 4 11 2" xfId="1875"/>
    <cellStyle name="Normal 4 12" xfId="1497"/>
    <cellStyle name="Normal 4 12 2" xfId="1876"/>
    <cellStyle name="Normal 4 13" xfId="1498"/>
    <cellStyle name="Normal 4 2" xfId="1499"/>
    <cellStyle name="Normal 4 2 10" xfId="1500"/>
    <cellStyle name="Normal 4 2 10 2" xfId="1877"/>
    <cellStyle name="Normal 4 2 11" xfId="1501"/>
    <cellStyle name="Normal 4 2 11 2" xfId="1878"/>
    <cellStyle name="Normal 4 2 2" xfId="1502"/>
    <cellStyle name="Normal 4 2 2 2" xfId="1879"/>
    <cellStyle name="Normal 4 2 3" xfId="1503"/>
    <cellStyle name="Normal 4 2 3 2" xfId="1880"/>
    <cellStyle name="Normal 4 2 4" xfId="1504"/>
    <cellStyle name="Normal 4 2 4 2" xfId="1881"/>
    <cellStyle name="Normal 4 2 5" xfId="1505"/>
    <cellStyle name="Normal 4 2 5 2" xfId="1882"/>
    <cellStyle name="Normal 4 2 6" xfId="1506"/>
    <cellStyle name="Normal 4 2 6 2" xfId="1883"/>
    <cellStyle name="Normal 4 2 7" xfId="1507"/>
    <cellStyle name="Normal 4 2 7 2" xfId="1884"/>
    <cellStyle name="Normal 4 2 8" xfId="1508"/>
    <cellStyle name="Normal 4 2 8 2" xfId="1885"/>
    <cellStyle name="Normal 4 2 9" xfId="1509"/>
    <cellStyle name="Normal 4 2 9 2" xfId="1886"/>
    <cellStyle name="Normal 4 3" xfId="1510"/>
    <cellStyle name="Normal 4 3 2" xfId="1887"/>
    <cellStyle name="Normal 4 4" xfId="1511"/>
    <cellStyle name="Normal 4 4 2" xfId="1888"/>
    <cellStyle name="Normal 4 5" xfId="1512"/>
    <cellStyle name="Normal 4 5 2" xfId="1889"/>
    <cellStyle name="Normal 4 6" xfId="1513"/>
    <cellStyle name="Normal 4 6 2" xfId="1890"/>
    <cellStyle name="Normal 4 7" xfId="1514"/>
    <cellStyle name="Normal 4 7 2" xfId="1891"/>
    <cellStyle name="Normal 4 8" xfId="1515"/>
    <cellStyle name="Normal 4 8 2" xfId="1892"/>
    <cellStyle name="Normal 4 9" xfId="1516"/>
    <cellStyle name="Normal 4 9 2" xfId="1893"/>
    <cellStyle name="Normal 40" xfId="1517"/>
    <cellStyle name="Normal 41" xfId="1518"/>
    <cellStyle name="Normal 42" xfId="1519"/>
    <cellStyle name="Normal 43" xfId="1520"/>
    <cellStyle name="Normal 44" xfId="1521"/>
    <cellStyle name="Normal 45" xfId="1522"/>
    <cellStyle name="Normal 46" xfId="1523"/>
    <cellStyle name="Normal 47" xfId="1524"/>
    <cellStyle name="Normal 48" xfId="2"/>
    <cellStyle name="Normal 49" xfId="1894"/>
    <cellStyle name="Normal 5" xfId="1525"/>
    <cellStyle name="Normal 5 10" xfId="1526"/>
    <cellStyle name="Normal 5 10 2" xfId="1895"/>
    <cellStyle name="Normal 5 11" xfId="1527"/>
    <cellStyle name="Normal 5 11 2" xfId="1896"/>
    <cellStyle name="Normal 5 12" xfId="1528"/>
    <cellStyle name="Normal 5 12 2" xfId="1897"/>
    <cellStyle name="Normal 5 13" xfId="1529"/>
    <cellStyle name="Normal 5 2" xfId="1530"/>
    <cellStyle name="Normal 5 2 2" xfId="1531"/>
    <cellStyle name="Normal 5 2 2 2" xfId="1532"/>
    <cellStyle name="Normal 5 2 2 3" xfId="1533"/>
    <cellStyle name="Normal 5 2 2 3 2" xfId="1534"/>
    <cellStyle name="Normal 5 2 2 3 3" xfId="1535"/>
    <cellStyle name="Normal 5 3" xfId="1536"/>
    <cellStyle name="Normal 5 3 2" xfId="1898"/>
    <cellStyle name="Normal 5 4" xfId="1537"/>
    <cellStyle name="Normal 5 4 2" xfId="1899"/>
    <cellStyle name="Normal 5 5" xfId="1538"/>
    <cellStyle name="Normal 5 5 2" xfId="1900"/>
    <cellStyle name="Normal 5 6" xfId="1539"/>
    <cellStyle name="Normal 5 6 2" xfId="1901"/>
    <cellStyle name="Normal 5 7" xfId="1540"/>
    <cellStyle name="Normal 5 7 2" xfId="1902"/>
    <cellStyle name="Normal 5 8" xfId="1541"/>
    <cellStyle name="Normal 5 8 2" xfId="1903"/>
    <cellStyle name="Normal 5 9" xfId="1542"/>
    <cellStyle name="Normal 5 9 2" xfId="1904"/>
    <cellStyle name="Normal 50" xfId="1905"/>
    <cellStyle name="Normal 51" xfId="1752"/>
    <cellStyle name="Normal 6" xfId="1543"/>
    <cellStyle name="Normal 6 2" xfId="1544"/>
    <cellStyle name="Normal 6 3" xfId="1545"/>
    <cellStyle name="Normal 6 4" xfId="1546"/>
    <cellStyle name="Normal 7" xfId="1547"/>
    <cellStyle name="Normal 7 2" xfId="1548"/>
    <cellStyle name="Normal 7 3" xfId="1549"/>
    <cellStyle name="Normal 7 3 2" xfId="1550"/>
    <cellStyle name="Normal 7 4" xfId="1906"/>
    <cellStyle name="Normal 7_Book10" xfId="1551"/>
    <cellStyle name="Normal 8" xfId="1552"/>
    <cellStyle name="Normal 8 2" xfId="1553"/>
    <cellStyle name="Normal 9" xfId="1554"/>
    <cellStyle name="Normal 9 2" xfId="1555"/>
    <cellStyle name="Normal 9 2 2" xfId="1556"/>
    <cellStyle name="Normal 9 2 3" xfId="1557"/>
    <cellStyle name="Normal 9 2 3 2" xfId="1558"/>
    <cellStyle name="Normal 9 2 3 3" xfId="1559"/>
    <cellStyle name="Note 1" xfId="1560"/>
    <cellStyle name="Note 10" xfId="1561"/>
    <cellStyle name="Note 11" xfId="1562"/>
    <cellStyle name="Note 11 2" xfId="1907"/>
    <cellStyle name="Note 2" xfId="1563"/>
    <cellStyle name="Note 2 2" xfId="1564"/>
    <cellStyle name="Note 2 2 10" xfId="1565"/>
    <cellStyle name="Note 2 2 11" xfId="1566"/>
    <cellStyle name="Note 2 2 2" xfId="1567"/>
    <cellStyle name="Note 2 2 3" xfId="1568"/>
    <cellStyle name="Note 2 2 4" xfId="1569"/>
    <cellStyle name="Note 2 2 5" xfId="1570"/>
    <cellStyle name="Note 2 2 6" xfId="1571"/>
    <cellStyle name="Note 2 2 7" xfId="1572"/>
    <cellStyle name="Note 2 2 8" xfId="1573"/>
    <cellStyle name="Note 2 2 9" xfId="1574"/>
    <cellStyle name="Note 2 3" xfId="1575"/>
    <cellStyle name="Note 2 4" xfId="1576"/>
    <cellStyle name="Note 2 5" xfId="1577"/>
    <cellStyle name="Note 2 6" xfId="1578"/>
    <cellStyle name="Note 2 7" xfId="1579"/>
    <cellStyle name="Note 3" xfId="1580"/>
    <cellStyle name="Note 4" xfId="1581"/>
    <cellStyle name="Note 5" xfId="1582"/>
    <cellStyle name="Note 6" xfId="1583"/>
    <cellStyle name="Note 7" xfId="1584"/>
    <cellStyle name="Note 8" xfId="1585"/>
    <cellStyle name="Note 9" xfId="1586"/>
    <cellStyle name="Output 1" xfId="1587"/>
    <cellStyle name="Output 1 2" xfId="1588"/>
    <cellStyle name="Output 10" xfId="1589"/>
    <cellStyle name="Output 2" xfId="1590"/>
    <cellStyle name="Output 2 10" xfId="1591"/>
    <cellStyle name="Output 2 11" xfId="1592"/>
    <cellStyle name="Output 2 12" xfId="1593"/>
    <cellStyle name="Output 2 13" xfId="1594"/>
    <cellStyle name="Output 2 14" xfId="1595"/>
    <cellStyle name="Output 2 15" xfId="1596"/>
    <cellStyle name="Output 2 16" xfId="1597"/>
    <cellStyle name="Output 2 2" xfId="1598"/>
    <cellStyle name="Output 2 2 10" xfId="1599"/>
    <cellStyle name="Output 2 2 2" xfId="1600"/>
    <cellStyle name="Output 2 2 3" xfId="1601"/>
    <cellStyle name="Output 2 2 4" xfId="1602"/>
    <cellStyle name="Output 2 2 5" xfId="1603"/>
    <cellStyle name="Output 2 2 6" xfId="1604"/>
    <cellStyle name="Output 2 2 7" xfId="1605"/>
    <cellStyle name="Output 2 2 8" xfId="1606"/>
    <cellStyle name="Output 2 2 9" xfId="1607"/>
    <cellStyle name="Output 2 3" xfId="1608"/>
    <cellStyle name="Output 2 4" xfId="1609"/>
    <cellStyle name="Output 2 5" xfId="1610"/>
    <cellStyle name="Output 2 6" xfId="1611"/>
    <cellStyle name="Output 2 7" xfId="1612"/>
    <cellStyle name="Output 2 8" xfId="1613"/>
    <cellStyle name="Output 2 9" xfId="1614"/>
    <cellStyle name="Output 3" xfId="1615"/>
    <cellStyle name="Output 3 10" xfId="1616"/>
    <cellStyle name="Output 3 2" xfId="1617"/>
    <cellStyle name="Output 3 3" xfId="1618"/>
    <cellStyle name="Output 3 4" xfId="1619"/>
    <cellStyle name="Output 3 5" xfId="1620"/>
    <cellStyle name="Output 3 6" xfId="1621"/>
    <cellStyle name="Output 3 7" xfId="1622"/>
    <cellStyle name="Output 3 8" xfId="1623"/>
    <cellStyle name="Output 3 9" xfId="1624"/>
    <cellStyle name="Output 4" xfId="1625"/>
    <cellStyle name="Output 5" xfId="1626"/>
    <cellStyle name="Output 6" xfId="1627"/>
    <cellStyle name="Output 7" xfId="1628"/>
    <cellStyle name="Output 8" xfId="1629"/>
    <cellStyle name="Output 9" xfId="1630"/>
    <cellStyle name="Percent [2]" xfId="1631"/>
    <cellStyle name="Percent [2] 2" xfId="1632"/>
    <cellStyle name="Percent 2" xfId="1633"/>
    <cellStyle name="Percent 2 2" xfId="1634"/>
    <cellStyle name="Percent 2 3" xfId="1635"/>
    <cellStyle name="Percent 3" xfId="1636"/>
    <cellStyle name="Percent 4" xfId="1637"/>
    <cellStyle name="Percent 5" xfId="1638"/>
    <cellStyle name="Percent 6" xfId="1639"/>
    <cellStyle name="subhead" xfId="1640"/>
    <cellStyle name="Title 1" xfId="1641"/>
    <cellStyle name="Title 1 2" xfId="1642"/>
    <cellStyle name="Title 1 3" xfId="1643"/>
    <cellStyle name="Title 10" xfId="1644"/>
    <cellStyle name="Title 2" xfId="1645"/>
    <cellStyle name="Title 2 10" xfId="1646"/>
    <cellStyle name="Title 2 11" xfId="1647"/>
    <cellStyle name="Title 2 12" xfId="1648"/>
    <cellStyle name="Title 2 13" xfId="1649"/>
    <cellStyle name="Title 2 14" xfId="1650"/>
    <cellStyle name="Title 2 15" xfId="1651"/>
    <cellStyle name="Title 2 16" xfId="1652"/>
    <cellStyle name="Title 2 17" xfId="1653"/>
    <cellStyle name="Title 2 2" xfId="1654"/>
    <cellStyle name="Title 2 2 10" xfId="1655"/>
    <cellStyle name="Title 2 2 11" xfId="1656"/>
    <cellStyle name="Title 2 2 2" xfId="1657"/>
    <cellStyle name="Title 2 2 3" xfId="1658"/>
    <cellStyle name="Title 2 2 4" xfId="1659"/>
    <cellStyle name="Title 2 2 5" xfId="1660"/>
    <cellStyle name="Title 2 2 6" xfId="1661"/>
    <cellStyle name="Title 2 2 7" xfId="1662"/>
    <cellStyle name="Title 2 2 8" xfId="1663"/>
    <cellStyle name="Title 2 2 9" xfId="1664"/>
    <cellStyle name="Title 2 3" xfId="1665"/>
    <cellStyle name="Title 2 4" xfId="1666"/>
    <cellStyle name="Title 2 5" xfId="1667"/>
    <cellStyle name="Title 2 6" xfId="1668"/>
    <cellStyle name="Title 2 7" xfId="1669"/>
    <cellStyle name="Title 2 8" xfId="1670"/>
    <cellStyle name="Title 2 9" xfId="1671"/>
    <cellStyle name="Title 3" xfId="1672"/>
    <cellStyle name="Title 3 10" xfId="1673"/>
    <cellStyle name="Title 3 11" xfId="1674"/>
    <cellStyle name="Title 3 2" xfId="1675"/>
    <cellStyle name="Title 3 3" xfId="1676"/>
    <cellStyle name="Title 3 4" xfId="1677"/>
    <cellStyle name="Title 3 5" xfId="1678"/>
    <cellStyle name="Title 3 6" xfId="1679"/>
    <cellStyle name="Title 3 7" xfId="1680"/>
    <cellStyle name="Title 3 8" xfId="1681"/>
    <cellStyle name="Title 3 9" xfId="1682"/>
    <cellStyle name="Title 4" xfId="1683"/>
    <cellStyle name="Title 4 2" xfId="1684"/>
    <cellStyle name="Title 5" xfId="1685"/>
    <cellStyle name="Title 5 2" xfId="1686"/>
    <cellStyle name="Title 6" xfId="1687"/>
    <cellStyle name="Title 7" xfId="1688"/>
    <cellStyle name="Title 8" xfId="1689"/>
    <cellStyle name="Title 9" xfId="1690"/>
    <cellStyle name="Total 1" xfId="1691"/>
    <cellStyle name="Total 1 2" xfId="1692"/>
    <cellStyle name="Total 10" xfId="1693"/>
    <cellStyle name="Total 2" xfId="1694"/>
    <cellStyle name="Total 2 10" xfId="1695"/>
    <cellStyle name="Total 2 11" xfId="1696"/>
    <cellStyle name="Total 2 12" xfId="1697"/>
    <cellStyle name="Total 2 13" xfId="1698"/>
    <cellStyle name="Total 2 14" xfId="1699"/>
    <cellStyle name="Total 2 15" xfId="1700"/>
    <cellStyle name="Total 2 16" xfId="1701"/>
    <cellStyle name="Total 2 2" xfId="1702"/>
    <cellStyle name="Total 2 2 10" xfId="1703"/>
    <cellStyle name="Total 2 2 2" xfId="1704"/>
    <cellStyle name="Total 2 2 3" xfId="1705"/>
    <cellStyle name="Total 2 2 4" xfId="1706"/>
    <cellStyle name="Total 2 2 5" xfId="1707"/>
    <cellStyle name="Total 2 2 6" xfId="1708"/>
    <cellStyle name="Total 2 2 7" xfId="1709"/>
    <cellStyle name="Total 2 2 8" xfId="1710"/>
    <cellStyle name="Total 2 2 9" xfId="1711"/>
    <cellStyle name="Total 2 3" xfId="1712"/>
    <cellStyle name="Total 2 4" xfId="1713"/>
    <cellStyle name="Total 2 5" xfId="1714"/>
    <cellStyle name="Total 2 6" xfId="1715"/>
    <cellStyle name="Total 2 7" xfId="1716"/>
    <cellStyle name="Total 2 8" xfId="1717"/>
    <cellStyle name="Total 2 9" xfId="1718"/>
    <cellStyle name="Total 3" xfId="1719"/>
    <cellStyle name="Total 3 10" xfId="1720"/>
    <cellStyle name="Total 3 2" xfId="1721"/>
    <cellStyle name="Total 3 3" xfId="1722"/>
    <cellStyle name="Total 3 4" xfId="1723"/>
    <cellStyle name="Total 3 5" xfId="1724"/>
    <cellStyle name="Total 3 6" xfId="1725"/>
    <cellStyle name="Total 3 7" xfId="1726"/>
    <cellStyle name="Total 3 8" xfId="1727"/>
    <cellStyle name="Total 3 9" xfId="1728"/>
    <cellStyle name="Total 4" xfId="1729"/>
    <cellStyle name="Total 5" xfId="1730"/>
    <cellStyle name="Total 6" xfId="1731"/>
    <cellStyle name="Total 7" xfId="1732"/>
    <cellStyle name="Total 8" xfId="1733"/>
    <cellStyle name="Total 9" xfId="1734"/>
    <cellStyle name="Warning Text 1" xfId="1735"/>
    <cellStyle name="Warning Text 10" xfId="1736"/>
    <cellStyle name="Warning Text 2" xfId="1737"/>
    <cellStyle name="Warning Text 2 2" xfId="1738"/>
    <cellStyle name="Warning Text 2 3" xfId="1739"/>
    <cellStyle name="Warning Text 2 4" xfId="1740"/>
    <cellStyle name="Warning Text 2 5" xfId="1741"/>
    <cellStyle name="Warning Text 2 6" xfId="1742"/>
    <cellStyle name="Warning Text 2 7" xfId="1743"/>
    <cellStyle name="Warning Text 3" xfId="1744"/>
    <cellStyle name="Warning Text 4" xfId="1745"/>
    <cellStyle name="Warning Text 5" xfId="1746"/>
    <cellStyle name="Warning Text 6" xfId="1747"/>
    <cellStyle name="Warning Text 7" xfId="1748"/>
    <cellStyle name="Warning Text 8" xfId="1749"/>
    <cellStyle name="Warning Text 9" xfId="1750"/>
    <cellStyle name="標準_5_1使用量ｹｰｽ2(内製)" xfId="1751"/>
  </cellStyles>
  <dxfs count="8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</xdr:row>
      <xdr:rowOff>0</xdr:rowOff>
    </xdr:from>
    <xdr:to>
      <xdr:col>23</xdr:col>
      <xdr:colOff>600075</xdr:colOff>
      <xdr:row>11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0515600" y="209550"/>
          <a:ext cx="2276475" cy="21336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</a:rPr>
            <a:t>CONTACT</a:t>
          </a:r>
          <a:r>
            <a:rPr lang="en-US" sz="1800" b="1" baseline="0">
              <a:solidFill>
                <a:sysClr val="windowText" lastClr="000000"/>
              </a:solidFill>
            </a:rPr>
            <a:t> PERSON BUS</a:t>
          </a:r>
        </a:p>
        <a:p>
          <a:pPr algn="ctr"/>
          <a:endParaRPr lang="en-US" sz="1400" b="1" baseline="0">
            <a:solidFill>
              <a:sysClr val="windowText" lastClr="000000"/>
            </a:solidFill>
          </a:endParaRPr>
        </a:p>
        <a:p>
          <a:pPr algn="ctr"/>
          <a:r>
            <a:rPr lang="en-US" sz="1800" b="1" baseline="0">
              <a:solidFill>
                <a:sysClr val="windowText" lastClr="000000"/>
              </a:solidFill>
            </a:rPr>
            <a:t>PARIKESIT   TOUR </a:t>
          </a:r>
        </a:p>
        <a:p>
          <a:pPr algn="ctr"/>
          <a:r>
            <a:rPr lang="en-US" sz="1800" b="1" baseline="0">
              <a:solidFill>
                <a:sysClr val="windowText" lastClr="000000"/>
              </a:solidFill>
            </a:rPr>
            <a:t>Pasadena</a:t>
          </a:r>
        </a:p>
        <a:p>
          <a:pPr algn="ctr"/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Office : 024 7623160 (**544)</a:t>
          </a:r>
        </a:p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MAS ALI : 081226921078 (**545)</a:t>
          </a:r>
        </a:p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Mas Ali (WA) : 081214740717</a:t>
          </a:r>
        </a:p>
        <a:p>
          <a:pPr algn="ctr"/>
          <a:endParaRPr lang="en-US" sz="1100" b="1" baseline="0">
            <a:solidFill>
              <a:sysClr val="windowText" lastClr="000000"/>
            </a:solidFill>
          </a:endParaRPr>
        </a:p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819978</xdr:colOff>
      <xdr:row>31</xdr:row>
      <xdr:rowOff>74543</xdr:rowOff>
    </xdr:from>
    <xdr:to>
      <xdr:col>12</xdr:col>
      <xdr:colOff>41412</xdr:colOff>
      <xdr:row>34</xdr:row>
      <xdr:rowOff>231914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5648739" y="7214152"/>
          <a:ext cx="3776869" cy="902805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Bayar 7.350.000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karena DI</a:t>
          </a:r>
          <a:r>
            <a:rPr lang="en-US" sz="1100" baseline="0">
              <a:solidFill>
                <a:sysClr val="windowText" lastClr="000000"/>
              </a:solidFill>
            </a:rPr>
            <a:t> POTONG PPH 23 (2%)</a:t>
          </a:r>
        </a:p>
        <a:p>
          <a:pPr algn="ctr"/>
          <a:r>
            <a:rPr lang="en-US" sz="1100" baseline="0">
              <a:solidFill>
                <a:sysClr val="windowText" lastClr="000000"/>
              </a:solidFill>
            </a:rPr>
            <a:t>tagihan tidak di grows up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256761</xdr:colOff>
      <xdr:row>11</xdr:row>
      <xdr:rowOff>157370</xdr:rowOff>
    </xdr:from>
    <xdr:to>
      <xdr:col>12</xdr:col>
      <xdr:colOff>140804</xdr:colOff>
      <xdr:row>14</xdr:row>
      <xdr:rowOff>157371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5996609" y="2600740"/>
          <a:ext cx="3528391" cy="745435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Bayar 7.500.000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karena</a:t>
          </a:r>
          <a:r>
            <a:rPr lang="en-US" sz="1100" baseline="0">
              <a:solidFill>
                <a:sysClr val="windowText" lastClr="000000"/>
              </a:solidFill>
            </a:rPr>
            <a:t> tagihan sudah di grows up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248477</xdr:colOff>
      <xdr:row>51</xdr:row>
      <xdr:rowOff>82826</xdr:rowOff>
    </xdr:from>
    <xdr:to>
      <xdr:col>12</xdr:col>
      <xdr:colOff>140802</xdr:colOff>
      <xdr:row>54</xdr:row>
      <xdr:rowOff>82826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5988325" y="11835848"/>
          <a:ext cx="3536673" cy="745435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Bayar 1.500.000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karena</a:t>
          </a:r>
          <a:r>
            <a:rPr lang="en-US" sz="1100" baseline="0">
              <a:solidFill>
                <a:sysClr val="windowText" lastClr="000000"/>
              </a:solidFill>
            </a:rPr>
            <a:t> tagihan sudah di grows up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C134"/>
  <sheetViews>
    <sheetView zoomScale="80" zoomScaleNormal="80" workbookViewId="0">
      <selection activeCell="AB77" sqref="AB77"/>
    </sheetView>
  </sheetViews>
  <sheetFormatPr defaultRowHeight="12"/>
  <cols>
    <col min="1" max="1" width="2.140625" style="2" customWidth="1"/>
    <col min="2" max="2" width="3.42578125" style="2" customWidth="1"/>
    <col min="3" max="3" width="5.7109375" style="2" customWidth="1"/>
    <col min="4" max="4" width="8.7109375" style="3" customWidth="1"/>
    <col min="5" max="5" width="10.7109375" style="4" customWidth="1"/>
    <col min="6" max="6" width="11.140625" style="24" bestFit="1" customWidth="1"/>
    <col min="7" max="7" width="5.7109375" style="2" customWidth="1"/>
    <col min="8" max="8" width="8.7109375" style="3" customWidth="1"/>
    <col min="9" max="9" width="10.7109375" style="4" customWidth="1"/>
    <col min="10" max="10" width="9.140625" style="24"/>
    <col min="11" max="11" width="3.7109375" style="2" customWidth="1"/>
    <col min="12" max="12" width="5.7109375" style="2" customWidth="1"/>
    <col min="13" max="13" width="8.7109375" style="3" customWidth="1"/>
    <col min="14" max="14" width="10.7109375" style="4" customWidth="1"/>
    <col min="15" max="15" width="11.140625" style="24" bestFit="1" customWidth="1"/>
    <col min="16" max="16" width="5.7109375" style="2" customWidth="1"/>
    <col min="17" max="17" width="8.7109375" style="3" customWidth="1"/>
    <col min="18" max="18" width="10.7109375" style="4" customWidth="1"/>
    <col min="19" max="19" width="9.140625" style="2"/>
    <col min="20" max="20" width="3.7109375" style="2" customWidth="1"/>
    <col min="21" max="21" width="5.7109375" style="2" customWidth="1"/>
    <col min="22" max="22" width="8.7109375" style="3" customWidth="1"/>
    <col min="23" max="23" width="10.7109375" style="4" customWidth="1"/>
    <col min="24" max="24" width="11.140625" style="2" bestFit="1" customWidth="1"/>
    <col min="25" max="25" width="5.7109375" style="2" customWidth="1"/>
    <col min="26" max="26" width="8.7109375" style="3" customWidth="1"/>
    <col min="27" max="27" width="10.7109375" style="4" customWidth="1"/>
    <col min="28" max="28" width="9.140625" style="2"/>
    <col min="29" max="29" width="3.7109375" style="2" customWidth="1"/>
    <col min="30" max="30" width="5.7109375" style="2" customWidth="1"/>
    <col min="31" max="31" width="8.7109375" style="3" customWidth="1"/>
    <col min="32" max="32" width="10.7109375" style="4" customWidth="1"/>
    <col min="33" max="33" width="11.140625" style="2" bestFit="1" customWidth="1"/>
    <col min="34" max="34" width="5.7109375" style="2" customWidth="1"/>
    <col min="35" max="35" width="8.7109375" style="3" customWidth="1"/>
    <col min="36" max="36" width="10.7109375" style="4" customWidth="1"/>
    <col min="37" max="37" width="9.140625" style="2"/>
    <col min="38" max="38" width="3.7109375" style="2" customWidth="1"/>
    <col min="39" max="39" width="5.7109375" style="2" customWidth="1"/>
    <col min="40" max="40" width="8.7109375" style="3" customWidth="1"/>
    <col min="41" max="41" width="10.7109375" style="4" customWidth="1"/>
    <col min="42" max="42" width="11.140625" style="2" bestFit="1" customWidth="1"/>
    <col min="43" max="43" width="5.7109375" style="2" customWidth="1"/>
    <col min="44" max="44" width="8.7109375" style="3" customWidth="1"/>
    <col min="45" max="45" width="10.7109375" style="4" customWidth="1"/>
    <col min="46" max="46" width="9.140625" style="2"/>
    <col min="47" max="47" width="3.7109375" style="2" customWidth="1"/>
    <col min="48" max="48" width="5.7109375" style="2" customWidth="1"/>
    <col min="49" max="49" width="8.7109375" style="3" customWidth="1"/>
    <col min="50" max="50" width="10.7109375" style="4" customWidth="1"/>
    <col min="51" max="51" width="11.140625" style="2" bestFit="1" customWidth="1"/>
    <col min="52" max="52" width="5.7109375" style="2" customWidth="1"/>
    <col min="53" max="53" width="8.7109375" style="3" customWidth="1"/>
    <col min="54" max="54" width="10.7109375" style="4" customWidth="1"/>
    <col min="55" max="16384" width="9.140625" style="2"/>
  </cols>
  <sheetData>
    <row r="1" spans="3:55" ht="17.100000000000001" customHeight="1" thickBot="1"/>
    <row r="2" spans="3:55" s="8" customFormat="1" ht="20.100000000000001" customHeight="1">
      <c r="C2" s="551" t="s">
        <v>17</v>
      </c>
      <c r="D2" s="552"/>
      <c r="E2" s="552"/>
      <c r="F2" s="553"/>
      <c r="G2" s="11"/>
      <c r="H2" s="550" t="s">
        <v>19</v>
      </c>
      <c r="I2" s="550"/>
      <c r="J2" s="550"/>
      <c r="K2" s="550"/>
      <c r="L2" s="550"/>
      <c r="M2" s="550"/>
      <c r="N2" s="550"/>
      <c r="O2" s="550"/>
      <c r="P2" s="550"/>
      <c r="Q2" s="550"/>
      <c r="R2" s="550"/>
      <c r="S2" s="550"/>
      <c r="T2" s="15"/>
      <c r="U2" s="16"/>
      <c r="V2" s="17"/>
      <c r="W2" s="17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</row>
    <row r="3" spans="3:55" ht="17.100000000000001" customHeight="1">
      <c r="C3" s="517" t="s">
        <v>2</v>
      </c>
      <c r="D3" s="518"/>
      <c r="E3" s="1" t="s">
        <v>4</v>
      </c>
      <c r="F3" s="528" t="s">
        <v>14</v>
      </c>
      <c r="G3" s="3"/>
      <c r="H3" s="550"/>
      <c r="I3" s="550"/>
      <c r="J3" s="550"/>
      <c r="K3" s="550"/>
      <c r="L3" s="550"/>
      <c r="M3" s="550"/>
      <c r="N3" s="550"/>
      <c r="O3" s="550"/>
      <c r="P3" s="550"/>
      <c r="Q3" s="550"/>
      <c r="R3" s="550"/>
      <c r="S3" s="550"/>
      <c r="T3" s="15"/>
      <c r="U3" s="18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</row>
    <row r="4" spans="3:55" ht="17.100000000000001" customHeight="1">
      <c r="C4" s="517" t="s">
        <v>3</v>
      </c>
      <c r="D4" s="518"/>
      <c r="E4" s="5">
        <v>42826</v>
      </c>
      <c r="F4" s="528"/>
      <c r="G4" s="3"/>
      <c r="H4" s="550"/>
      <c r="I4" s="550"/>
      <c r="J4" s="550"/>
      <c r="K4" s="550"/>
      <c r="L4" s="550"/>
      <c r="M4" s="550"/>
      <c r="N4" s="550"/>
      <c r="O4" s="550"/>
      <c r="P4" s="550"/>
      <c r="Q4" s="550"/>
      <c r="R4" s="550"/>
      <c r="S4" s="550"/>
      <c r="T4" s="15"/>
      <c r="U4" s="18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</row>
    <row r="5" spans="3:55" ht="17.100000000000001" customHeight="1">
      <c r="C5" s="505" t="s">
        <v>1</v>
      </c>
      <c r="D5" s="506"/>
      <c r="E5" s="5" t="s">
        <v>20</v>
      </c>
      <c r="F5" s="510" t="s">
        <v>16</v>
      </c>
      <c r="G5" s="3"/>
      <c r="H5" s="550"/>
      <c r="I5" s="550"/>
      <c r="J5" s="550"/>
      <c r="K5" s="550"/>
      <c r="L5" s="550"/>
      <c r="M5" s="550"/>
      <c r="N5" s="550"/>
      <c r="O5" s="550"/>
      <c r="P5" s="550"/>
      <c r="Q5" s="550"/>
      <c r="R5" s="550"/>
      <c r="S5" s="550"/>
      <c r="T5" s="15"/>
      <c r="U5" s="18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</row>
    <row r="6" spans="3:55" ht="17.100000000000001" customHeight="1">
      <c r="C6" s="499" t="s">
        <v>12</v>
      </c>
      <c r="D6" s="6" t="s">
        <v>10</v>
      </c>
      <c r="E6" s="1" t="s">
        <v>5</v>
      </c>
      <c r="F6" s="511"/>
      <c r="G6" s="14"/>
      <c r="H6" s="550"/>
      <c r="I6" s="550"/>
      <c r="J6" s="550"/>
      <c r="K6" s="550"/>
      <c r="L6" s="550"/>
      <c r="M6" s="550"/>
      <c r="N6" s="550"/>
      <c r="O6" s="550"/>
      <c r="P6" s="550"/>
      <c r="Q6" s="550"/>
      <c r="R6" s="550"/>
      <c r="S6" s="550"/>
      <c r="T6" s="15"/>
      <c r="U6" s="18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</row>
    <row r="7" spans="3:55" ht="17.100000000000001" customHeight="1">
      <c r="C7" s="499"/>
      <c r="D7" s="6" t="s">
        <v>6</v>
      </c>
      <c r="E7" s="1" t="s">
        <v>7</v>
      </c>
      <c r="F7" s="511"/>
      <c r="G7" s="14"/>
      <c r="H7" s="550"/>
      <c r="I7" s="550"/>
      <c r="J7" s="550"/>
      <c r="K7" s="550"/>
      <c r="L7" s="550"/>
      <c r="M7" s="550"/>
      <c r="N7" s="550"/>
      <c r="O7" s="550"/>
      <c r="P7" s="550"/>
      <c r="Q7" s="550"/>
      <c r="R7" s="550"/>
      <c r="S7" s="550"/>
      <c r="T7" s="15"/>
      <c r="U7" s="18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</row>
    <row r="8" spans="3:55" ht="17.100000000000001" customHeight="1">
      <c r="C8" s="499"/>
      <c r="D8" s="6" t="s">
        <v>8</v>
      </c>
      <c r="E8" s="7" t="s">
        <v>9</v>
      </c>
      <c r="F8" s="512"/>
      <c r="G8" s="14"/>
      <c r="H8" s="550"/>
      <c r="I8" s="550"/>
      <c r="J8" s="550"/>
      <c r="K8" s="550"/>
      <c r="L8" s="550"/>
      <c r="M8" s="550"/>
      <c r="N8" s="550"/>
      <c r="O8" s="550"/>
      <c r="P8" s="550"/>
      <c r="Q8" s="550"/>
      <c r="R8" s="550"/>
      <c r="S8" s="550"/>
      <c r="T8" s="15"/>
      <c r="U8" s="18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</row>
    <row r="9" spans="3:55" ht="17.100000000000001" customHeight="1">
      <c r="C9" s="499" t="s">
        <v>11</v>
      </c>
      <c r="D9" s="6" t="s">
        <v>10</v>
      </c>
      <c r="E9" s="7" t="s">
        <v>13</v>
      </c>
      <c r="F9" s="497" t="s">
        <v>15</v>
      </c>
      <c r="G9" s="14"/>
      <c r="H9" s="550"/>
      <c r="I9" s="550"/>
      <c r="J9" s="550"/>
      <c r="K9" s="550"/>
      <c r="L9" s="550"/>
      <c r="M9" s="550"/>
      <c r="N9" s="550"/>
      <c r="O9" s="550"/>
      <c r="P9" s="550"/>
      <c r="Q9" s="550"/>
      <c r="R9" s="550"/>
      <c r="S9" s="550"/>
      <c r="T9" s="15"/>
      <c r="U9" s="18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</row>
    <row r="10" spans="3:55" ht="17.100000000000001" customHeight="1">
      <c r="C10" s="499"/>
      <c r="D10" s="6" t="s">
        <v>6</v>
      </c>
      <c r="E10" s="1" t="s">
        <v>13</v>
      </c>
      <c r="F10" s="497"/>
      <c r="G10" s="14"/>
      <c r="H10" s="550"/>
      <c r="I10" s="550"/>
      <c r="J10" s="550"/>
      <c r="K10" s="550"/>
      <c r="L10" s="550"/>
      <c r="M10" s="550"/>
      <c r="N10" s="550"/>
      <c r="O10" s="550"/>
      <c r="P10" s="550"/>
      <c r="Q10" s="550"/>
      <c r="R10" s="550"/>
      <c r="S10" s="550"/>
      <c r="T10" s="15"/>
      <c r="U10" s="18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</row>
    <row r="11" spans="3:55" ht="17.100000000000001" customHeight="1" thickBot="1">
      <c r="C11" s="500"/>
      <c r="D11" s="9" t="s">
        <v>8</v>
      </c>
      <c r="E11" s="10" t="s">
        <v>13</v>
      </c>
      <c r="F11" s="498"/>
      <c r="G11" s="14"/>
      <c r="H11" s="550"/>
      <c r="I11" s="550"/>
      <c r="J11" s="550"/>
      <c r="K11" s="550"/>
      <c r="L11" s="550"/>
      <c r="M11" s="550"/>
      <c r="N11" s="550"/>
      <c r="O11" s="550"/>
      <c r="P11" s="550"/>
      <c r="Q11" s="550"/>
      <c r="R11" s="550"/>
      <c r="S11" s="550"/>
      <c r="T11" s="15"/>
      <c r="U11" s="19"/>
      <c r="V11" s="20"/>
      <c r="W11" s="20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</row>
    <row r="12" spans="3:55" ht="17.100000000000001" customHeight="1" thickBot="1"/>
    <row r="13" spans="3:55" ht="17.100000000000001" customHeight="1">
      <c r="C13" s="515" t="s">
        <v>2</v>
      </c>
      <c r="D13" s="516"/>
      <c r="E13" s="12" t="s">
        <v>4</v>
      </c>
      <c r="F13" s="527" t="s">
        <v>27</v>
      </c>
      <c r="G13" s="515" t="s">
        <v>2</v>
      </c>
      <c r="H13" s="516"/>
      <c r="I13" s="26" t="s">
        <v>4</v>
      </c>
      <c r="J13" s="527" t="s">
        <v>27</v>
      </c>
      <c r="K13" s="13"/>
      <c r="L13" s="515" t="s">
        <v>2</v>
      </c>
      <c r="M13" s="516"/>
      <c r="N13" s="12" t="s">
        <v>23</v>
      </c>
      <c r="O13" s="527" t="s">
        <v>27</v>
      </c>
      <c r="P13" s="515" t="s">
        <v>2</v>
      </c>
      <c r="Q13" s="516"/>
      <c r="R13" s="26" t="s">
        <v>23</v>
      </c>
      <c r="S13" s="513" t="s">
        <v>18</v>
      </c>
      <c r="T13" s="13"/>
      <c r="U13" s="515" t="s">
        <v>2</v>
      </c>
      <c r="V13" s="516"/>
      <c r="W13" s="12" t="s">
        <v>29</v>
      </c>
      <c r="X13" s="513" t="s">
        <v>18</v>
      </c>
      <c r="Y13" s="515" t="s">
        <v>2</v>
      </c>
      <c r="Z13" s="516"/>
      <c r="AA13" s="12" t="s">
        <v>29</v>
      </c>
      <c r="AB13" s="513" t="s">
        <v>18</v>
      </c>
      <c r="AC13" s="13"/>
      <c r="AD13" s="515" t="s">
        <v>2</v>
      </c>
      <c r="AE13" s="516"/>
      <c r="AF13" s="12" t="s">
        <v>30</v>
      </c>
      <c r="AG13" s="513" t="s">
        <v>18</v>
      </c>
      <c r="AH13" s="515" t="s">
        <v>2</v>
      </c>
      <c r="AI13" s="516"/>
      <c r="AJ13" s="12" t="s">
        <v>30</v>
      </c>
      <c r="AK13" s="513" t="s">
        <v>18</v>
      </c>
      <c r="AL13" s="13"/>
      <c r="AM13" s="515" t="s">
        <v>2</v>
      </c>
      <c r="AN13" s="516"/>
      <c r="AO13" s="12" t="s">
        <v>31</v>
      </c>
      <c r="AP13" s="513" t="s">
        <v>18</v>
      </c>
      <c r="AQ13" s="515" t="s">
        <v>2</v>
      </c>
      <c r="AR13" s="516"/>
      <c r="AS13" s="12" t="s">
        <v>31</v>
      </c>
      <c r="AT13" s="513" t="s">
        <v>18</v>
      </c>
      <c r="AU13" s="13"/>
      <c r="AV13" s="533" t="s">
        <v>2</v>
      </c>
      <c r="AW13" s="534"/>
      <c r="AX13" s="29" t="s">
        <v>40</v>
      </c>
      <c r="AY13" s="535" t="s">
        <v>18</v>
      </c>
      <c r="AZ13" s="3"/>
      <c r="BB13" s="3"/>
      <c r="BC13" s="3"/>
    </row>
    <row r="14" spans="3:55" ht="17.100000000000001" customHeight="1">
      <c r="C14" s="517" t="s">
        <v>3</v>
      </c>
      <c r="D14" s="518"/>
      <c r="E14" s="5">
        <v>43003</v>
      </c>
      <c r="F14" s="528"/>
      <c r="G14" s="517" t="s">
        <v>3</v>
      </c>
      <c r="H14" s="518"/>
      <c r="I14" s="25">
        <v>43003</v>
      </c>
      <c r="J14" s="528"/>
      <c r="K14" s="13"/>
      <c r="L14" s="517" t="s">
        <v>3</v>
      </c>
      <c r="M14" s="518"/>
      <c r="N14" s="5">
        <v>43004</v>
      </c>
      <c r="O14" s="528"/>
      <c r="P14" s="517" t="s">
        <v>3</v>
      </c>
      <c r="Q14" s="518"/>
      <c r="R14" s="25">
        <v>43004</v>
      </c>
      <c r="S14" s="514"/>
      <c r="T14" s="13"/>
      <c r="U14" s="517" t="s">
        <v>3</v>
      </c>
      <c r="V14" s="518"/>
      <c r="W14" s="5">
        <v>43005</v>
      </c>
      <c r="X14" s="514"/>
      <c r="Y14" s="517" t="s">
        <v>3</v>
      </c>
      <c r="Z14" s="518"/>
      <c r="AA14" s="5">
        <v>43005</v>
      </c>
      <c r="AB14" s="514"/>
      <c r="AC14" s="13"/>
      <c r="AD14" s="517" t="s">
        <v>3</v>
      </c>
      <c r="AE14" s="518"/>
      <c r="AF14" s="5">
        <v>43006</v>
      </c>
      <c r="AG14" s="514"/>
      <c r="AH14" s="517" t="s">
        <v>3</v>
      </c>
      <c r="AI14" s="518"/>
      <c r="AJ14" s="5">
        <v>43006</v>
      </c>
      <c r="AK14" s="514"/>
      <c r="AL14" s="13"/>
      <c r="AM14" s="517" t="s">
        <v>3</v>
      </c>
      <c r="AN14" s="518"/>
      <c r="AO14" s="5">
        <v>43007</v>
      </c>
      <c r="AP14" s="514"/>
      <c r="AQ14" s="517" t="s">
        <v>3</v>
      </c>
      <c r="AR14" s="518"/>
      <c r="AS14" s="5">
        <v>43006</v>
      </c>
      <c r="AT14" s="514"/>
      <c r="AU14" s="13"/>
      <c r="AV14" s="537" t="s">
        <v>3</v>
      </c>
      <c r="AW14" s="538"/>
      <c r="AX14" s="30">
        <v>43015</v>
      </c>
      <c r="AY14" s="536"/>
      <c r="AZ14" s="3"/>
      <c r="BB14" s="3"/>
      <c r="BC14" s="3"/>
    </row>
    <row r="15" spans="3:55" ht="17.100000000000001" customHeight="1">
      <c r="C15" s="505" t="s">
        <v>1</v>
      </c>
      <c r="D15" s="506"/>
      <c r="E15" s="5" t="s">
        <v>20</v>
      </c>
      <c r="F15" s="510">
        <v>1200000</v>
      </c>
      <c r="G15" s="505" t="s">
        <v>1</v>
      </c>
      <c r="H15" s="506"/>
      <c r="I15" s="25" t="s">
        <v>26</v>
      </c>
      <c r="J15" s="510">
        <v>1000000</v>
      </c>
      <c r="K15" s="13"/>
      <c r="L15" s="505" t="s">
        <v>1</v>
      </c>
      <c r="M15" s="506"/>
      <c r="N15" s="5" t="s">
        <v>20</v>
      </c>
      <c r="O15" s="510">
        <v>1000000</v>
      </c>
      <c r="P15" s="505" t="s">
        <v>1</v>
      </c>
      <c r="Q15" s="506"/>
      <c r="R15" s="25" t="s">
        <v>26</v>
      </c>
      <c r="S15" s="502">
        <v>1000000</v>
      </c>
      <c r="T15" s="13"/>
      <c r="U15" s="505" t="s">
        <v>1</v>
      </c>
      <c r="V15" s="506"/>
      <c r="W15" s="5" t="s">
        <v>20</v>
      </c>
      <c r="X15" s="502">
        <v>1000000</v>
      </c>
      <c r="Y15" s="505" t="s">
        <v>1</v>
      </c>
      <c r="Z15" s="506"/>
      <c r="AA15" s="25" t="s">
        <v>26</v>
      </c>
      <c r="AB15" s="502">
        <v>1000000</v>
      </c>
      <c r="AC15" s="13"/>
      <c r="AD15" s="505" t="s">
        <v>1</v>
      </c>
      <c r="AE15" s="506"/>
      <c r="AF15" s="5" t="s">
        <v>20</v>
      </c>
      <c r="AG15" s="502">
        <v>1000000</v>
      </c>
      <c r="AH15" s="505" t="s">
        <v>1</v>
      </c>
      <c r="AI15" s="506"/>
      <c r="AJ15" s="25" t="s">
        <v>26</v>
      </c>
      <c r="AK15" s="502">
        <v>1000000</v>
      </c>
      <c r="AL15" s="13"/>
      <c r="AM15" s="505" t="s">
        <v>1</v>
      </c>
      <c r="AN15" s="506"/>
      <c r="AO15" s="5" t="s">
        <v>20</v>
      </c>
      <c r="AP15" s="502">
        <v>1200000</v>
      </c>
      <c r="AQ15" s="505" t="s">
        <v>1</v>
      </c>
      <c r="AR15" s="506"/>
      <c r="AS15" s="25" t="s">
        <v>26</v>
      </c>
      <c r="AT15" s="502">
        <v>1000000</v>
      </c>
      <c r="AU15" s="13"/>
      <c r="AV15" s="539" t="s">
        <v>1</v>
      </c>
      <c r="AW15" s="540"/>
      <c r="AX15" s="30" t="s">
        <v>42</v>
      </c>
      <c r="AY15" s="541">
        <v>800000</v>
      </c>
      <c r="AZ15" s="3"/>
      <c r="BB15" s="3"/>
      <c r="BC15" s="3"/>
    </row>
    <row r="16" spans="3:55" ht="17.100000000000001" customHeight="1">
      <c r="C16" s="499" t="s">
        <v>12</v>
      </c>
      <c r="D16" s="6" t="s">
        <v>10</v>
      </c>
      <c r="E16" s="22" t="s">
        <v>21</v>
      </c>
      <c r="F16" s="511"/>
      <c r="G16" s="499" t="s">
        <v>12</v>
      </c>
      <c r="H16" s="6" t="s">
        <v>10</v>
      </c>
      <c r="I16" s="1" t="s">
        <v>24</v>
      </c>
      <c r="J16" s="511"/>
      <c r="K16" s="4"/>
      <c r="L16" s="499" t="s">
        <v>12</v>
      </c>
      <c r="M16" s="6" t="s">
        <v>10</v>
      </c>
      <c r="N16" s="1" t="s">
        <v>24</v>
      </c>
      <c r="O16" s="511"/>
      <c r="P16" s="499" t="s">
        <v>12</v>
      </c>
      <c r="Q16" s="6" t="s">
        <v>10</v>
      </c>
      <c r="R16" s="1" t="s">
        <v>24</v>
      </c>
      <c r="S16" s="503"/>
      <c r="T16" s="4"/>
      <c r="U16" s="499" t="s">
        <v>12</v>
      </c>
      <c r="V16" s="6" t="s">
        <v>10</v>
      </c>
      <c r="W16" s="1" t="s">
        <v>24</v>
      </c>
      <c r="X16" s="503"/>
      <c r="Y16" s="499" t="s">
        <v>12</v>
      </c>
      <c r="Z16" s="6" t="s">
        <v>10</v>
      </c>
      <c r="AA16" s="1" t="s">
        <v>24</v>
      </c>
      <c r="AB16" s="503"/>
      <c r="AC16" s="4"/>
      <c r="AD16" s="499" t="s">
        <v>12</v>
      </c>
      <c r="AE16" s="6" t="s">
        <v>10</v>
      </c>
      <c r="AF16" s="1" t="s">
        <v>24</v>
      </c>
      <c r="AG16" s="503"/>
      <c r="AH16" s="499" t="s">
        <v>12</v>
      </c>
      <c r="AI16" s="6" t="s">
        <v>10</v>
      </c>
      <c r="AJ16" s="1" t="s">
        <v>24</v>
      </c>
      <c r="AK16" s="503"/>
      <c r="AL16" s="4"/>
      <c r="AM16" s="499" t="s">
        <v>12</v>
      </c>
      <c r="AN16" s="6" t="s">
        <v>10</v>
      </c>
      <c r="AO16" s="1" t="s">
        <v>24</v>
      </c>
      <c r="AP16" s="503"/>
      <c r="AQ16" s="499" t="s">
        <v>12</v>
      </c>
      <c r="AR16" s="6" t="s">
        <v>10</v>
      </c>
      <c r="AS16" s="1" t="s">
        <v>24</v>
      </c>
      <c r="AT16" s="503"/>
      <c r="AU16" s="4"/>
      <c r="AV16" s="544" t="s">
        <v>42</v>
      </c>
      <c r="AW16" s="31" t="s">
        <v>10</v>
      </c>
      <c r="AX16" s="32" t="s">
        <v>24</v>
      </c>
      <c r="AY16" s="542"/>
      <c r="AZ16" s="3"/>
      <c r="BB16" s="3"/>
      <c r="BC16" s="3"/>
    </row>
    <row r="17" spans="3:55" ht="17.100000000000001" customHeight="1">
      <c r="C17" s="499"/>
      <c r="D17" s="6" t="s">
        <v>6</v>
      </c>
      <c r="E17" s="1" t="s">
        <v>22</v>
      </c>
      <c r="F17" s="511"/>
      <c r="G17" s="499"/>
      <c r="H17" s="6" t="s">
        <v>6</v>
      </c>
      <c r="I17" s="1" t="s">
        <v>7</v>
      </c>
      <c r="J17" s="511"/>
      <c r="K17" s="4"/>
      <c r="L17" s="499"/>
      <c r="M17" s="6" t="s">
        <v>6</v>
      </c>
      <c r="N17" s="1" t="s">
        <v>7</v>
      </c>
      <c r="O17" s="511"/>
      <c r="P17" s="499"/>
      <c r="Q17" s="6" t="s">
        <v>6</v>
      </c>
      <c r="R17" s="1" t="s">
        <v>7</v>
      </c>
      <c r="S17" s="503"/>
      <c r="T17" s="4"/>
      <c r="U17" s="499"/>
      <c r="V17" s="6" t="s">
        <v>6</v>
      </c>
      <c r="W17" s="1" t="s">
        <v>7</v>
      </c>
      <c r="X17" s="503"/>
      <c r="Y17" s="499"/>
      <c r="Z17" s="6" t="s">
        <v>6</v>
      </c>
      <c r="AA17" s="1" t="s">
        <v>7</v>
      </c>
      <c r="AB17" s="503"/>
      <c r="AC17" s="4"/>
      <c r="AD17" s="499"/>
      <c r="AE17" s="6" t="s">
        <v>6</v>
      </c>
      <c r="AF17" s="1" t="s">
        <v>7</v>
      </c>
      <c r="AG17" s="503"/>
      <c r="AH17" s="499"/>
      <c r="AI17" s="6" t="s">
        <v>6</v>
      </c>
      <c r="AJ17" s="1" t="s">
        <v>7</v>
      </c>
      <c r="AK17" s="503"/>
      <c r="AL17" s="4"/>
      <c r="AM17" s="499"/>
      <c r="AN17" s="6" t="s">
        <v>6</v>
      </c>
      <c r="AO17" s="1" t="s">
        <v>32</v>
      </c>
      <c r="AP17" s="503"/>
      <c r="AQ17" s="499"/>
      <c r="AR17" s="6" t="s">
        <v>6</v>
      </c>
      <c r="AS17" s="1" t="s">
        <v>7</v>
      </c>
      <c r="AT17" s="503"/>
      <c r="AU17" s="4"/>
      <c r="AV17" s="544"/>
      <c r="AW17" s="31" t="s">
        <v>6</v>
      </c>
      <c r="AX17" s="32" t="s">
        <v>35</v>
      </c>
      <c r="AY17" s="542"/>
      <c r="AZ17" s="3"/>
      <c r="BB17" s="3"/>
      <c r="BC17" s="3"/>
    </row>
    <row r="18" spans="3:55" ht="17.100000000000001" customHeight="1">
      <c r="C18" s="499"/>
      <c r="D18" s="6" t="s">
        <v>8</v>
      </c>
      <c r="E18" s="7" t="s">
        <v>9</v>
      </c>
      <c r="F18" s="512"/>
      <c r="G18" s="499"/>
      <c r="H18" s="6" t="s">
        <v>8</v>
      </c>
      <c r="I18" s="7" t="s">
        <v>25</v>
      </c>
      <c r="J18" s="512"/>
      <c r="K18" s="4"/>
      <c r="L18" s="499"/>
      <c r="M18" s="6" t="s">
        <v>8</v>
      </c>
      <c r="N18" s="7">
        <v>6</v>
      </c>
      <c r="O18" s="512"/>
      <c r="P18" s="499"/>
      <c r="Q18" s="6" t="s">
        <v>8</v>
      </c>
      <c r="R18" s="7" t="s">
        <v>25</v>
      </c>
      <c r="S18" s="504"/>
      <c r="T18" s="4"/>
      <c r="U18" s="499"/>
      <c r="V18" s="6" t="s">
        <v>8</v>
      </c>
      <c r="W18" s="7" t="s">
        <v>9</v>
      </c>
      <c r="X18" s="504"/>
      <c r="Y18" s="499"/>
      <c r="Z18" s="6" t="s">
        <v>8</v>
      </c>
      <c r="AA18" s="7" t="s">
        <v>25</v>
      </c>
      <c r="AB18" s="504"/>
      <c r="AC18" s="4"/>
      <c r="AD18" s="499"/>
      <c r="AE18" s="6" t="s">
        <v>8</v>
      </c>
      <c r="AF18" s="7" t="s">
        <v>9</v>
      </c>
      <c r="AG18" s="504"/>
      <c r="AH18" s="499"/>
      <c r="AI18" s="6" t="s">
        <v>8</v>
      </c>
      <c r="AJ18" s="7" t="s">
        <v>25</v>
      </c>
      <c r="AK18" s="504"/>
      <c r="AL18" s="4"/>
      <c r="AM18" s="499"/>
      <c r="AN18" s="6" t="s">
        <v>8</v>
      </c>
      <c r="AO18" s="7" t="s">
        <v>9</v>
      </c>
      <c r="AP18" s="504"/>
      <c r="AQ18" s="499"/>
      <c r="AR18" s="6" t="s">
        <v>8</v>
      </c>
      <c r="AS18" s="7" t="s">
        <v>25</v>
      </c>
      <c r="AT18" s="504"/>
      <c r="AU18" s="4"/>
      <c r="AV18" s="544"/>
      <c r="AW18" s="31" t="s">
        <v>8</v>
      </c>
      <c r="AX18" s="33" t="s">
        <v>9</v>
      </c>
      <c r="AY18" s="543"/>
      <c r="AZ18" s="3"/>
      <c r="BB18" s="3"/>
      <c r="BC18" s="3"/>
    </row>
    <row r="19" spans="3:55" ht="17.100000000000001" customHeight="1">
      <c r="C19" s="499" t="s">
        <v>12</v>
      </c>
      <c r="D19" s="6" t="s">
        <v>10</v>
      </c>
      <c r="E19" s="23" t="s">
        <v>21</v>
      </c>
      <c r="F19" s="497">
        <v>1000000</v>
      </c>
      <c r="G19" s="499" t="s">
        <v>11</v>
      </c>
      <c r="H19" s="6" t="s">
        <v>10</v>
      </c>
      <c r="I19" s="7"/>
      <c r="J19" s="497"/>
      <c r="K19" s="4"/>
      <c r="L19" s="499" t="s">
        <v>12</v>
      </c>
      <c r="M19" s="6" t="s">
        <v>10</v>
      </c>
      <c r="N19" s="7" t="s">
        <v>24</v>
      </c>
      <c r="O19" s="497">
        <v>500000</v>
      </c>
      <c r="P19" s="499" t="s">
        <v>11</v>
      </c>
      <c r="Q19" s="6" t="s">
        <v>10</v>
      </c>
      <c r="R19" s="7"/>
      <c r="S19" s="522"/>
      <c r="T19" s="4"/>
      <c r="U19" s="499" t="s">
        <v>12</v>
      </c>
      <c r="V19" s="6" t="s">
        <v>10</v>
      </c>
      <c r="W19" s="7" t="s">
        <v>24</v>
      </c>
      <c r="X19" s="497">
        <v>500000</v>
      </c>
      <c r="Y19" s="499" t="s">
        <v>11</v>
      </c>
      <c r="Z19" s="6" t="s">
        <v>10</v>
      </c>
      <c r="AA19" s="7"/>
      <c r="AB19" s="497"/>
      <c r="AC19" s="4"/>
      <c r="AD19" s="499" t="s">
        <v>11</v>
      </c>
      <c r="AE19" s="6" t="s">
        <v>10</v>
      </c>
      <c r="AF19" s="7"/>
      <c r="AG19" s="497"/>
      <c r="AH19" s="499" t="s">
        <v>11</v>
      </c>
      <c r="AI19" s="6" t="s">
        <v>10</v>
      </c>
      <c r="AJ19" s="7" t="s">
        <v>24</v>
      </c>
      <c r="AK19" s="497">
        <v>500000</v>
      </c>
      <c r="AL19" s="4"/>
      <c r="AM19" s="499" t="s">
        <v>11</v>
      </c>
      <c r="AN19" s="6" t="s">
        <v>10</v>
      </c>
      <c r="AO19" s="7"/>
      <c r="AP19" s="497"/>
      <c r="AQ19" s="499" t="s">
        <v>11</v>
      </c>
      <c r="AR19" s="6" t="s">
        <v>10</v>
      </c>
      <c r="AS19" s="7"/>
      <c r="AT19" s="497"/>
      <c r="AU19" s="4"/>
      <c r="AV19" s="544" t="s">
        <v>42</v>
      </c>
      <c r="AW19" s="31" t="s">
        <v>10</v>
      </c>
      <c r="AX19" s="33" t="s">
        <v>24</v>
      </c>
      <c r="AY19" s="531">
        <v>500000</v>
      </c>
      <c r="AZ19" s="3"/>
      <c r="BB19" s="3"/>
      <c r="BC19" s="3"/>
    </row>
    <row r="20" spans="3:55" ht="17.100000000000001" customHeight="1">
      <c r="C20" s="499"/>
      <c r="D20" s="6" t="s">
        <v>6</v>
      </c>
      <c r="E20" s="1" t="s">
        <v>7</v>
      </c>
      <c r="F20" s="497"/>
      <c r="G20" s="499"/>
      <c r="H20" s="6" t="s">
        <v>6</v>
      </c>
      <c r="I20" s="1"/>
      <c r="J20" s="497"/>
      <c r="K20" s="4"/>
      <c r="L20" s="499"/>
      <c r="M20" s="6" t="s">
        <v>6</v>
      </c>
      <c r="N20" s="1" t="s">
        <v>7</v>
      </c>
      <c r="O20" s="497"/>
      <c r="P20" s="499"/>
      <c r="Q20" s="6" t="s">
        <v>6</v>
      </c>
      <c r="R20" s="1"/>
      <c r="S20" s="522"/>
      <c r="T20" s="4"/>
      <c r="U20" s="499"/>
      <c r="V20" s="6" t="s">
        <v>6</v>
      </c>
      <c r="W20" s="1" t="s">
        <v>7</v>
      </c>
      <c r="X20" s="497"/>
      <c r="Y20" s="499"/>
      <c r="Z20" s="6" t="s">
        <v>6</v>
      </c>
      <c r="AA20" s="1"/>
      <c r="AB20" s="497"/>
      <c r="AC20" s="4"/>
      <c r="AD20" s="499"/>
      <c r="AE20" s="6" t="s">
        <v>6</v>
      </c>
      <c r="AF20" s="1"/>
      <c r="AG20" s="497"/>
      <c r="AH20" s="499"/>
      <c r="AI20" s="6" t="s">
        <v>6</v>
      </c>
      <c r="AJ20" s="1" t="s">
        <v>38</v>
      </c>
      <c r="AK20" s="497"/>
      <c r="AL20" s="4"/>
      <c r="AM20" s="499"/>
      <c r="AN20" s="6" t="s">
        <v>6</v>
      </c>
      <c r="AO20" s="1"/>
      <c r="AP20" s="497"/>
      <c r="AQ20" s="499"/>
      <c r="AR20" s="6" t="s">
        <v>6</v>
      </c>
      <c r="AS20" s="1"/>
      <c r="AT20" s="497"/>
      <c r="AU20" s="4"/>
      <c r="AV20" s="544"/>
      <c r="AW20" s="31" t="s">
        <v>6</v>
      </c>
      <c r="AX20" s="32" t="s">
        <v>37</v>
      </c>
      <c r="AY20" s="531"/>
      <c r="AZ20" s="3"/>
      <c r="BB20" s="3"/>
      <c r="BC20" s="3"/>
    </row>
    <row r="21" spans="3:55" ht="17.100000000000001" customHeight="1" thickBot="1">
      <c r="C21" s="500"/>
      <c r="D21" s="9" t="s">
        <v>8</v>
      </c>
      <c r="E21" s="21" t="s">
        <v>0</v>
      </c>
      <c r="F21" s="498"/>
      <c r="G21" s="500"/>
      <c r="H21" s="9" t="s">
        <v>8</v>
      </c>
      <c r="I21" s="10"/>
      <c r="J21" s="498"/>
      <c r="K21" s="4"/>
      <c r="L21" s="500"/>
      <c r="M21" s="9" t="s">
        <v>8</v>
      </c>
      <c r="N21" s="21" t="s">
        <v>28</v>
      </c>
      <c r="O21" s="498"/>
      <c r="P21" s="500"/>
      <c r="Q21" s="9" t="s">
        <v>8</v>
      </c>
      <c r="R21" s="10"/>
      <c r="S21" s="523"/>
      <c r="T21" s="4"/>
      <c r="U21" s="500"/>
      <c r="V21" s="9" t="s">
        <v>8</v>
      </c>
      <c r="W21" s="21" t="s">
        <v>0</v>
      </c>
      <c r="X21" s="498"/>
      <c r="Y21" s="500"/>
      <c r="Z21" s="9" t="s">
        <v>8</v>
      </c>
      <c r="AA21" s="21"/>
      <c r="AB21" s="498"/>
      <c r="AC21" s="4"/>
      <c r="AD21" s="500"/>
      <c r="AE21" s="9" t="s">
        <v>8</v>
      </c>
      <c r="AF21" s="21"/>
      <c r="AG21" s="498"/>
      <c r="AH21" s="500"/>
      <c r="AI21" s="9" t="s">
        <v>8</v>
      </c>
      <c r="AJ21" s="21"/>
      <c r="AK21" s="498"/>
      <c r="AL21" s="4"/>
      <c r="AM21" s="500"/>
      <c r="AN21" s="9" t="s">
        <v>8</v>
      </c>
      <c r="AO21" s="21"/>
      <c r="AP21" s="498"/>
      <c r="AQ21" s="500"/>
      <c r="AR21" s="9" t="s">
        <v>8</v>
      </c>
      <c r="AS21" s="21"/>
      <c r="AT21" s="498"/>
      <c r="AU21" s="4"/>
      <c r="AV21" s="545"/>
      <c r="AW21" s="34" t="s">
        <v>8</v>
      </c>
      <c r="AX21" s="35" t="s">
        <v>9</v>
      </c>
      <c r="AY21" s="532"/>
      <c r="AZ21" s="3"/>
      <c r="BB21" s="3"/>
      <c r="BC21" s="3"/>
    </row>
    <row r="22" spans="3:55" s="24" customFormat="1" ht="17.100000000000001" customHeight="1" thickBot="1">
      <c r="C22" s="554">
        <f>SUM(F15:F21)</f>
        <v>2200000</v>
      </c>
      <c r="D22" s="554"/>
      <c r="E22" s="554"/>
      <c r="F22" s="554"/>
      <c r="G22" s="519">
        <f>SUM(J15:J21)</f>
        <v>1000000</v>
      </c>
      <c r="H22" s="519"/>
      <c r="I22" s="519"/>
      <c r="J22" s="519"/>
      <c r="K22" s="27"/>
      <c r="L22" s="519">
        <f>SUM(O15:O21)</f>
        <v>1500000</v>
      </c>
      <c r="M22" s="519"/>
      <c r="N22" s="519"/>
      <c r="O22" s="519"/>
      <c r="P22" s="519">
        <f>SUM(S15:S21)</f>
        <v>1000000</v>
      </c>
      <c r="Q22" s="519"/>
      <c r="R22" s="519"/>
      <c r="S22" s="519"/>
      <c r="T22" s="27"/>
      <c r="U22" s="501">
        <f>SUM(X15:X21)</f>
        <v>1500000</v>
      </c>
      <c r="V22" s="501"/>
      <c r="W22" s="501"/>
      <c r="X22" s="501"/>
      <c r="Y22" s="501">
        <f>SUM(AB15:AB21)</f>
        <v>1000000</v>
      </c>
      <c r="Z22" s="501"/>
      <c r="AA22" s="501"/>
      <c r="AB22" s="501"/>
      <c r="AC22" s="27"/>
      <c r="AD22" s="501">
        <f>SUM(AG15:AG21)</f>
        <v>1000000</v>
      </c>
      <c r="AE22" s="501"/>
      <c r="AF22" s="501"/>
      <c r="AG22" s="501"/>
      <c r="AH22" s="501">
        <f>SUM(AK15:AK21)</f>
        <v>1500000</v>
      </c>
      <c r="AI22" s="501"/>
      <c r="AJ22" s="501"/>
      <c r="AK22" s="501"/>
      <c r="AL22" s="27"/>
      <c r="AM22" s="501">
        <f>SUM(AP15:AP21)</f>
        <v>1200000</v>
      </c>
      <c r="AN22" s="501"/>
      <c r="AO22" s="501"/>
      <c r="AP22" s="501"/>
      <c r="AQ22" s="501">
        <f>SUM(AT15:AT21)</f>
        <v>1000000</v>
      </c>
      <c r="AR22" s="501"/>
      <c r="AS22" s="501"/>
      <c r="AT22" s="501"/>
      <c r="AU22" s="27"/>
      <c r="AV22" s="546">
        <f>SUM(AY15:AY21)</f>
        <v>1300000</v>
      </c>
      <c r="AW22" s="546"/>
      <c r="AX22" s="546"/>
      <c r="AY22" s="546"/>
      <c r="AZ22" s="3"/>
      <c r="BA22" s="3"/>
      <c r="BB22" s="3"/>
      <c r="BC22" s="3"/>
    </row>
    <row r="23" spans="3:55" s="24" customFormat="1" ht="24.95" customHeight="1" thickBot="1">
      <c r="C23" s="28"/>
      <c r="D23" s="28"/>
      <c r="E23" s="28"/>
      <c r="F23" s="28"/>
      <c r="G23" s="547">
        <f>SUM(G22:AT22)</f>
        <v>10700000</v>
      </c>
      <c r="H23" s="548"/>
      <c r="I23" s="548"/>
      <c r="J23" s="548"/>
      <c r="K23" s="548"/>
      <c r="L23" s="548"/>
      <c r="M23" s="548"/>
      <c r="N23" s="548"/>
      <c r="O23" s="548"/>
      <c r="P23" s="548"/>
      <c r="Q23" s="548"/>
      <c r="R23" s="548"/>
      <c r="S23" s="548"/>
      <c r="T23" s="548"/>
      <c r="U23" s="548"/>
      <c r="V23" s="548"/>
      <c r="W23" s="548"/>
      <c r="X23" s="548"/>
      <c r="Y23" s="548"/>
      <c r="Z23" s="548"/>
      <c r="AA23" s="548"/>
      <c r="AB23" s="548"/>
      <c r="AC23" s="548"/>
      <c r="AD23" s="548"/>
      <c r="AE23" s="548"/>
      <c r="AF23" s="548"/>
      <c r="AG23" s="548"/>
      <c r="AH23" s="548"/>
      <c r="AI23" s="548"/>
      <c r="AJ23" s="548"/>
      <c r="AK23" s="548"/>
      <c r="AL23" s="548"/>
      <c r="AM23" s="548"/>
      <c r="AN23" s="548"/>
      <c r="AO23" s="548"/>
      <c r="AP23" s="548"/>
      <c r="AQ23" s="548"/>
      <c r="AR23" s="548"/>
      <c r="AS23" s="548"/>
      <c r="AT23" s="549"/>
    </row>
    <row r="24" spans="3:55" ht="17.100000000000001" customHeight="1" thickBot="1"/>
    <row r="25" spans="3:55" ht="17.100000000000001" customHeight="1">
      <c r="C25" s="515" t="s">
        <v>2</v>
      </c>
      <c r="D25" s="516"/>
      <c r="E25" s="12" t="s">
        <v>4</v>
      </c>
      <c r="F25" s="525" t="s">
        <v>27</v>
      </c>
      <c r="G25" s="515" t="s">
        <v>2</v>
      </c>
      <c r="H25" s="516"/>
      <c r="I25" s="26" t="s">
        <v>4</v>
      </c>
      <c r="J25" s="527" t="s">
        <v>27</v>
      </c>
      <c r="K25" s="13"/>
      <c r="L25" s="515" t="s">
        <v>2</v>
      </c>
      <c r="M25" s="516"/>
      <c r="N25" s="12" t="s">
        <v>23</v>
      </c>
      <c r="O25" s="527" t="s">
        <v>27</v>
      </c>
      <c r="P25" s="515" t="s">
        <v>2</v>
      </c>
      <c r="Q25" s="516"/>
      <c r="R25" s="26" t="s">
        <v>23</v>
      </c>
      <c r="S25" s="513" t="s">
        <v>18</v>
      </c>
      <c r="T25" s="13"/>
      <c r="U25" s="515" t="s">
        <v>2</v>
      </c>
      <c r="V25" s="516"/>
      <c r="W25" s="12" t="s">
        <v>29</v>
      </c>
      <c r="X25" s="513" t="s">
        <v>18</v>
      </c>
      <c r="Y25" s="515" t="s">
        <v>2</v>
      </c>
      <c r="Z25" s="516"/>
      <c r="AA25" s="12" t="s">
        <v>29</v>
      </c>
      <c r="AB25" s="513" t="s">
        <v>18</v>
      </c>
      <c r="AC25" s="13"/>
      <c r="AD25" s="515" t="s">
        <v>2</v>
      </c>
      <c r="AE25" s="516"/>
      <c r="AF25" s="12" t="s">
        <v>30</v>
      </c>
      <c r="AG25" s="513" t="s">
        <v>18</v>
      </c>
      <c r="AH25" s="515" t="s">
        <v>2</v>
      </c>
      <c r="AI25" s="516"/>
      <c r="AJ25" s="12" t="s">
        <v>30</v>
      </c>
      <c r="AK25" s="513" t="s">
        <v>18</v>
      </c>
      <c r="AL25" s="13"/>
      <c r="AM25" s="515" t="s">
        <v>2</v>
      </c>
      <c r="AN25" s="516"/>
      <c r="AO25" s="12" t="s">
        <v>31</v>
      </c>
      <c r="AP25" s="513" t="s">
        <v>18</v>
      </c>
      <c r="AQ25" s="515" t="s">
        <v>2</v>
      </c>
      <c r="AR25" s="516"/>
      <c r="AS25" s="12" t="s">
        <v>31</v>
      </c>
      <c r="AT25" s="513" t="s">
        <v>18</v>
      </c>
      <c r="AU25" s="13"/>
      <c r="AV25" s="515" t="s">
        <v>2</v>
      </c>
      <c r="AW25" s="516"/>
      <c r="AX25" s="12" t="s">
        <v>40</v>
      </c>
      <c r="AY25" s="513" t="s">
        <v>18</v>
      </c>
      <c r="AZ25" s="515" t="s">
        <v>2</v>
      </c>
      <c r="BA25" s="516"/>
      <c r="BB25" s="12" t="s">
        <v>43</v>
      </c>
      <c r="BC25" s="513" t="s">
        <v>18</v>
      </c>
    </row>
    <row r="26" spans="3:55" ht="17.100000000000001" customHeight="1">
      <c r="C26" s="517" t="s">
        <v>3</v>
      </c>
      <c r="D26" s="518"/>
      <c r="E26" s="5">
        <v>43010</v>
      </c>
      <c r="F26" s="526"/>
      <c r="G26" s="517" t="s">
        <v>3</v>
      </c>
      <c r="H26" s="518"/>
      <c r="I26" s="25">
        <v>43010</v>
      </c>
      <c r="J26" s="528"/>
      <c r="K26" s="13"/>
      <c r="L26" s="517" t="s">
        <v>3</v>
      </c>
      <c r="M26" s="518"/>
      <c r="N26" s="5">
        <v>43011</v>
      </c>
      <c r="O26" s="528"/>
      <c r="P26" s="517" t="s">
        <v>3</v>
      </c>
      <c r="Q26" s="518"/>
      <c r="R26" s="25">
        <v>43011</v>
      </c>
      <c r="S26" s="514"/>
      <c r="T26" s="13"/>
      <c r="U26" s="517" t="s">
        <v>3</v>
      </c>
      <c r="V26" s="518"/>
      <c r="W26" s="5">
        <v>43012</v>
      </c>
      <c r="X26" s="514"/>
      <c r="Y26" s="517" t="s">
        <v>3</v>
      </c>
      <c r="Z26" s="518"/>
      <c r="AA26" s="5">
        <v>43012</v>
      </c>
      <c r="AB26" s="514"/>
      <c r="AC26" s="13"/>
      <c r="AD26" s="517" t="s">
        <v>3</v>
      </c>
      <c r="AE26" s="518"/>
      <c r="AF26" s="5">
        <v>43013</v>
      </c>
      <c r="AG26" s="514"/>
      <c r="AH26" s="517" t="s">
        <v>3</v>
      </c>
      <c r="AI26" s="518"/>
      <c r="AJ26" s="5">
        <v>43013</v>
      </c>
      <c r="AK26" s="514"/>
      <c r="AL26" s="13"/>
      <c r="AM26" s="517" t="s">
        <v>3</v>
      </c>
      <c r="AN26" s="518"/>
      <c r="AO26" s="5">
        <v>43014</v>
      </c>
      <c r="AP26" s="514"/>
      <c r="AQ26" s="517" t="s">
        <v>3</v>
      </c>
      <c r="AR26" s="518"/>
      <c r="AS26" s="5">
        <v>43014</v>
      </c>
      <c r="AT26" s="514"/>
      <c r="AU26" s="13"/>
      <c r="AV26" s="517" t="s">
        <v>3</v>
      </c>
      <c r="AW26" s="518"/>
      <c r="AX26" s="5">
        <v>43015</v>
      </c>
      <c r="AY26" s="514"/>
      <c r="AZ26" s="517" t="s">
        <v>3</v>
      </c>
      <c r="BA26" s="518"/>
      <c r="BB26" s="5">
        <v>43016</v>
      </c>
      <c r="BC26" s="514"/>
    </row>
    <row r="27" spans="3:55" ht="17.100000000000001" customHeight="1">
      <c r="C27" s="505" t="s">
        <v>1</v>
      </c>
      <c r="D27" s="506"/>
      <c r="E27" s="5" t="s">
        <v>20</v>
      </c>
      <c r="F27" s="507">
        <v>1200000</v>
      </c>
      <c r="G27" s="505" t="s">
        <v>1</v>
      </c>
      <c r="H27" s="506"/>
      <c r="I27" s="25" t="s">
        <v>26</v>
      </c>
      <c r="J27" s="510">
        <v>800000</v>
      </c>
      <c r="K27" s="13"/>
      <c r="L27" s="505" t="s">
        <v>1</v>
      </c>
      <c r="M27" s="506"/>
      <c r="N27" s="5" t="s">
        <v>20</v>
      </c>
      <c r="O27" s="510">
        <v>1500000</v>
      </c>
      <c r="P27" s="505" t="s">
        <v>1</v>
      </c>
      <c r="Q27" s="506"/>
      <c r="R27" s="25" t="s">
        <v>26</v>
      </c>
      <c r="S27" s="502">
        <v>800000</v>
      </c>
      <c r="T27" s="13"/>
      <c r="U27" s="505" t="s">
        <v>1</v>
      </c>
      <c r="V27" s="506"/>
      <c r="W27" s="5" t="s">
        <v>20</v>
      </c>
      <c r="X27" s="502">
        <v>1500000</v>
      </c>
      <c r="Y27" s="505" t="s">
        <v>1</v>
      </c>
      <c r="Z27" s="506"/>
      <c r="AA27" s="25" t="s">
        <v>26</v>
      </c>
      <c r="AB27" s="502">
        <v>800000</v>
      </c>
      <c r="AC27" s="13"/>
      <c r="AD27" s="505" t="s">
        <v>1</v>
      </c>
      <c r="AE27" s="506"/>
      <c r="AF27" s="5" t="s">
        <v>20</v>
      </c>
      <c r="AG27" s="502">
        <v>1500000</v>
      </c>
      <c r="AH27" s="505" t="s">
        <v>1</v>
      </c>
      <c r="AI27" s="506"/>
      <c r="AJ27" s="25" t="s">
        <v>26</v>
      </c>
      <c r="AK27" s="502">
        <v>800000</v>
      </c>
      <c r="AL27" s="13"/>
      <c r="AM27" s="505" t="s">
        <v>1</v>
      </c>
      <c r="AN27" s="506"/>
      <c r="AO27" s="5" t="s">
        <v>20</v>
      </c>
      <c r="AP27" s="502">
        <v>1500000</v>
      </c>
      <c r="AQ27" s="505" t="s">
        <v>1</v>
      </c>
      <c r="AR27" s="506"/>
      <c r="AS27" s="25" t="s">
        <v>26</v>
      </c>
      <c r="AT27" s="502">
        <v>800000</v>
      </c>
      <c r="AU27" s="13"/>
      <c r="AV27" s="505" t="s">
        <v>1</v>
      </c>
      <c r="AW27" s="506"/>
      <c r="AX27" s="5" t="s">
        <v>20</v>
      </c>
      <c r="AY27" s="502">
        <v>1000000</v>
      </c>
      <c r="AZ27" s="505" t="s">
        <v>1</v>
      </c>
      <c r="BA27" s="506"/>
      <c r="BB27" s="25">
        <v>1</v>
      </c>
      <c r="BC27" s="502">
        <v>400000</v>
      </c>
    </row>
    <row r="28" spans="3:55" ht="17.100000000000001" customHeight="1">
      <c r="C28" s="499" t="s">
        <v>12</v>
      </c>
      <c r="D28" s="6" t="s">
        <v>10</v>
      </c>
      <c r="E28" s="1" t="s">
        <v>24</v>
      </c>
      <c r="F28" s="508"/>
      <c r="G28" s="499" t="s">
        <v>12</v>
      </c>
      <c r="H28" s="6" t="s">
        <v>10</v>
      </c>
      <c r="I28" s="1" t="s">
        <v>24</v>
      </c>
      <c r="J28" s="511"/>
      <c r="K28" s="4"/>
      <c r="L28" s="499" t="s">
        <v>12</v>
      </c>
      <c r="M28" s="6" t="s">
        <v>10</v>
      </c>
      <c r="N28" s="1" t="s">
        <v>24</v>
      </c>
      <c r="O28" s="511"/>
      <c r="P28" s="499" t="s">
        <v>12</v>
      </c>
      <c r="Q28" s="6" t="s">
        <v>10</v>
      </c>
      <c r="R28" s="1" t="s">
        <v>24</v>
      </c>
      <c r="S28" s="503"/>
      <c r="T28" s="4"/>
      <c r="U28" s="499" t="s">
        <v>12</v>
      </c>
      <c r="V28" s="6" t="s">
        <v>10</v>
      </c>
      <c r="W28" s="1" t="s">
        <v>24</v>
      </c>
      <c r="X28" s="503"/>
      <c r="Y28" s="499" t="s">
        <v>12</v>
      </c>
      <c r="Z28" s="6" t="s">
        <v>10</v>
      </c>
      <c r="AA28" s="1" t="s">
        <v>24</v>
      </c>
      <c r="AB28" s="503"/>
      <c r="AC28" s="4"/>
      <c r="AD28" s="499" t="s">
        <v>12</v>
      </c>
      <c r="AE28" s="6" t="s">
        <v>10</v>
      </c>
      <c r="AF28" s="1" t="s">
        <v>24</v>
      </c>
      <c r="AG28" s="503"/>
      <c r="AH28" s="499" t="s">
        <v>12</v>
      </c>
      <c r="AI28" s="6" t="s">
        <v>10</v>
      </c>
      <c r="AJ28" s="1" t="s">
        <v>24</v>
      </c>
      <c r="AK28" s="503"/>
      <c r="AL28" s="4"/>
      <c r="AM28" s="499" t="s">
        <v>12</v>
      </c>
      <c r="AN28" s="6" t="s">
        <v>10</v>
      </c>
      <c r="AO28" s="1" t="s">
        <v>24</v>
      </c>
      <c r="AP28" s="503"/>
      <c r="AQ28" s="499" t="s">
        <v>12</v>
      </c>
      <c r="AR28" s="6" t="s">
        <v>10</v>
      </c>
      <c r="AS28" s="1" t="s">
        <v>24</v>
      </c>
      <c r="AT28" s="503"/>
      <c r="AU28" s="4"/>
      <c r="AV28" s="499" t="s">
        <v>12</v>
      </c>
      <c r="AW28" s="6" t="s">
        <v>10</v>
      </c>
      <c r="AX28" s="1" t="s">
        <v>24</v>
      </c>
      <c r="AY28" s="503"/>
      <c r="AZ28" s="499" t="s">
        <v>12</v>
      </c>
      <c r="BA28" s="6" t="s">
        <v>10</v>
      </c>
      <c r="BB28" s="1" t="s">
        <v>24</v>
      </c>
      <c r="BC28" s="503"/>
    </row>
    <row r="29" spans="3:55" ht="17.100000000000001" customHeight="1">
      <c r="C29" s="499"/>
      <c r="D29" s="6" t="s">
        <v>6</v>
      </c>
      <c r="E29" s="1" t="s">
        <v>33</v>
      </c>
      <c r="F29" s="508"/>
      <c r="G29" s="499"/>
      <c r="H29" s="6" t="s">
        <v>6</v>
      </c>
      <c r="I29" s="1" t="s">
        <v>35</v>
      </c>
      <c r="J29" s="511"/>
      <c r="K29" s="4"/>
      <c r="L29" s="499"/>
      <c r="M29" s="6" t="s">
        <v>6</v>
      </c>
      <c r="N29" s="1" t="s">
        <v>36</v>
      </c>
      <c r="O29" s="511"/>
      <c r="P29" s="499"/>
      <c r="Q29" s="6" t="s">
        <v>6</v>
      </c>
      <c r="R29" s="1" t="s">
        <v>35</v>
      </c>
      <c r="S29" s="503"/>
      <c r="T29" s="4"/>
      <c r="U29" s="499"/>
      <c r="V29" s="6" t="s">
        <v>6</v>
      </c>
      <c r="W29" s="1" t="s">
        <v>36</v>
      </c>
      <c r="X29" s="503"/>
      <c r="Y29" s="499"/>
      <c r="Z29" s="6" t="s">
        <v>6</v>
      </c>
      <c r="AA29" s="1" t="s">
        <v>7</v>
      </c>
      <c r="AB29" s="503"/>
      <c r="AC29" s="4"/>
      <c r="AD29" s="499"/>
      <c r="AE29" s="6" t="s">
        <v>6</v>
      </c>
      <c r="AF29" s="1" t="s">
        <v>39</v>
      </c>
      <c r="AG29" s="503"/>
      <c r="AH29" s="499"/>
      <c r="AI29" s="6" t="s">
        <v>6</v>
      </c>
      <c r="AJ29" s="1" t="s">
        <v>7</v>
      </c>
      <c r="AK29" s="503"/>
      <c r="AL29" s="4"/>
      <c r="AM29" s="499"/>
      <c r="AN29" s="6" t="s">
        <v>6</v>
      </c>
      <c r="AO29" s="1" t="s">
        <v>36</v>
      </c>
      <c r="AP29" s="503"/>
      <c r="AQ29" s="499"/>
      <c r="AR29" s="6" t="s">
        <v>6</v>
      </c>
      <c r="AS29" s="1" t="s">
        <v>7</v>
      </c>
      <c r="AT29" s="503"/>
      <c r="AU29" s="4"/>
      <c r="AV29" s="499"/>
      <c r="AW29" s="6" t="s">
        <v>6</v>
      </c>
      <c r="AX29" s="1" t="s">
        <v>41</v>
      </c>
      <c r="AY29" s="503"/>
      <c r="AZ29" s="499"/>
      <c r="BA29" s="6" t="s">
        <v>6</v>
      </c>
      <c r="BB29" s="1" t="s">
        <v>44</v>
      </c>
      <c r="BC29" s="503"/>
    </row>
    <row r="30" spans="3:55" ht="17.100000000000001" customHeight="1">
      <c r="C30" s="499"/>
      <c r="D30" s="6" t="s">
        <v>8</v>
      </c>
      <c r="E30" s="7" t="s">
        <v>9</v>
      </c>
      <c r="F30" s="509"/>
      <c r="G30" s="499"/>
      <c r="H30" s="6" t="s">
        <v>8</v>
      </c>
      <c r="I30" s="7" t="s">
        <v>25</v>
      </c>
      <c r="J30" s="512"/>
      <c r="K30" s="4"/>
      <c r="L30" s="499"/>
      <c r="M30" s="6" t="s">
        <v>8</v>
      </c>
      <c r="N30" s="7" t="s">
        <v>9</v>
      </c>
      <c r="O30" s="512"/>
      <c r="P30" s="499"/>
      <c r="Q30" s="6" t="s">
        <v>8</v>
      </c>
      <c r="R30" s="7" t="s">
        <v>25</v>
      </c>
      <c r="S30" s="504"/>
      <c r="T30" s="4"/>
      <c r="U30" s="499"/>
      <c r="V30" s="6" t="s">
        <v>8</v>
      </c>
      <c r="W30" s="7" t="s">
        <v>9</v>
      </c>
      <c r="X30" s="504"/>
      <c r="Y30" s="499"/>
      <c r="Z30" s="6" t="s">
        <v>8</v>
      </c>
      <c r="AA30" s="7" t="s">
        <v>25</v>
      </c>
      <c r="AB30" s="504"/>
      <c r="AC30" s="4"/>
      <c r="AD30" s="499"/>
      <c r="AE30" s="6" t="s">
        <v>8</v>
      </c>
      <c r="AF30" s="7" t="s">
        <v>9</v>
      </c>
      <c r="AG30" s="504"/>
      <c r="AH30" s="499"/>
      <c r="AI30" s="6" t="s">
        <v>8</v>
      </c>
      <c r="AJ30" s="7" t="s">
        <v>25</v>
      </c>
      <c r="AK30" s="504"/>
      <c r="AL30" s="4"/>
      <c r="AM30" s="499"/>
      <c r="AN30" s="6" t="s">
        <v>8</v>
      </c>
      <c r="AO30" s="7" t="s">
        <v>9</v>
      </c>
      <c r="AP30" s="504"/>
      <c r="AQ30" s="499"/>
      <c r="AR30" s="6" t="s">
        <v>8</v>
      </c>
      <c r="AS30" s="7" t="s">
        <v>25</v>
      </c>
      <c r="AT30" s="504"/>
      <c r="AU30" s="4"/>
      <c r="AV30" s="499"/>
      <c r="AW30" s="6" t="s">
        <v>8</v>
      </c>
      <c r="AX30" s="7" t="s">
        <v>9</v>
      </c>
      <c r="AY30" s="504"/>
      <c r="AZ30" s="499"/>
      <c r="BA30" s="6" t="s">
        <v>8</v>
      </c>
      <c r="BB30" s="7" t="s">
        <v>9</v>
      </c>
      <c r="BC30" s="504"/>
    </row>
    <row r="31" spans="3:55" ht="17.100000000000001" customHeight="1">
      <c r="C31" s="499" t="s">
        <v>12</v>
      </c>
      <c r="D31" s="6" t="s">
        <v>10</v>
      </c>
      <c r="E31" s="7" t="s">
        <v>24</v>
      </c>
      <c r="F31" s="520">
        <v>1000000</v>
      </c>
      <c r="G31" s="499" t="s">
        <v>11</v>
      </c>
      <c r="H31" s="6" t="s">
        <v>10</v>
      </c>
      <c r="I31" s="7"/>
      <c r="J31" s="497"/>
      <c r="K31" s="4"/>
      <c r="L31" s="499" t="s">
        <v>11</v>
      </c>
      <c r="M31" s="6" t="s">
        <v>10</v>
      </c>
      <c r="N31" s="7" t="s">
        <v>24</v>
      </c>
      <c r="O31" s="497">
        <v>300000</v>
      </c>
      <c r="P31" s="499" t="s">
        <v>11</v>
      </c>
      <c r="Q31" s="6" t="s">
        <v>10</v>
      </c>
      <c r="R31" s="7"/>
      <c r="S31" s="522" t="s">
        <v>13</v>
      </c>
      <c r="T31" s="4"/>
      <c r="U31" s="499" t="s">
        <v>12</v>
      </c>
      <c r="V31" s="6" t="s">
        <v>10</v>
      </c>
      <c r="W31" s="7" t="s">
        <v>24</v>
      </c>
      <c r="X31" s="497">
        <v>300000</v>
      </c>
      <c r="Y31" s="499" t="s">
        <v>11</v>
      </c>
      <c r="Z31" s="6" t="s">
        <v>10</v>
      </c>
      <c r="AA31" s="7"/>
      <c r="AB31" s="497"/>
      <c r="AC31" s="4"/>
      <c r="AD31" s="499" t="s">
        <v>11</v>
      </c>
      <c r="AE31" s="6" t="s">
        <v>10</v>
      </c>
      <c r="AF31" s="7" t="s">
        <v>24</v>
      </c>
      <c r="AG31" s="497">
        <v>300000</v>
      </c>
      <c r="AH31" s="499" t="s">
        <v>11</v>
      </c>
      <c r="AI31" s="6" t="s">
        <v>10</v>
      </c>
      <c r="AJ31" s="7"/>
      <c r="AK31" s="497"/>
      <c r="AL31" s="4"/>
      <c r="AM31" s="499" t="s">
        <v>11</v>
      </c>
      <c r="AN31" s="6" t="s">
        <v>10</v>
      </c>
      <c r="AO31" s="7" t="s">
        <v>24</v>
      </c>
      <c r="AP31" s="497">
        <v>300000</v>
      </c>
      <c r="AQ31" s="499" t="s">
        <v>11</v>
      </c>
      <c r="AR31" s="6" t="s">
        <v>10</v>
      </c>
      <c r="AS31" s="7"/>
      <c r="AT31" s="497"/>
      <c r="AU31" s="4"/>
      <c r="AV31" s="499" t="s">
        <v>11</v>
      </c>
      <c r="AW31" s="6" t="s">
        <v>10</v>
      </c>
      <c r="AX31" s="7"/>
      <c r="AY31" s="497"/>
      <c r="AZ31" s="499" t="s">
        <v>11</v>
      </c>
      <c r="BA31" s="6" t="s">
        <v>10</v>
      </c>
      <c r="BB31" s="7"/>
      <c r="BC31" s="497"/>
    </row>
    <row r="32" spans="3:55" ht="17.100000000000001" customHeight="1">
      <c r="C32" s="499"/>
      <c r="D32" s="6" t="s">
        <v>6</v>
      </c>
      <c r="E32" s="1" t="s">
        <v>33</v>
      </c>
      <c r="F32" s="520"/>
      <c r="G32" s="499"/>
      <c r="H32" s="6" t="s">
        <v>6</v>
      </c>
      <c r="I32" s="1"/>
      <c r="J32" s="497"/>
      <c r="K32" s="4"/>
      <c r="L32" s="499"/>
      <c r="M32" s="6" t="s">
        <v>6</v>
      </c>
      <c r="N32" s="1" t="s">
        <v>37</v>
      </c>
      <c r="O32" s="497"/>
      <c r="P32" s="499"/>
      <c r="Q32" s="6" t="s">
        <v>6</v>
      </c>
      <c r="R32" s="1"/>
      <c r="S32" s="522"/>
      <c r="T32" s="4"/>
      <c r="U32" s="499"/>
      <c r="V32" s="6" t="s">
        <v>6</v>
      </c>
      <c r="W32" s="1" t="s">
        <v>37</v>
      </c>
      <c r="X32" s="497"/>
      <c r="Y32" s="499"/>
      <c r="Z32" s="6" t="s">
        <v>6</v>
      </c>
      <c r="AA32" s="1"/>
      <c r="AB32" s="497"/>
      <c r="AC32" s="4"/>
      <c r="AD32" s="499"/>
      <c r="AE32" s="6" t="s">
        <v>6</v>
      </c>
      <c r="AF32" s="1" t="s">
        <v>37</v>
      </c>
      <c r="AG32" s="497"/>
      <c r="AH32" s="499"/>
      <c r="AI32" s="6" t="s">
        <v>6</v>
      </c>
      <c r="AJ32" s="1"/>
      <c r="AK32" s="497"/>
      <c r="AL32" s="4"/>
      <c r="AM32" s="499"/>
      <c r="AN32" s="6" t="s">
        <v>6</v>
      </c>
      <c r="AO32" s="1" t="s">
        <v>37</v>
      </c>
      <c r="AP32" s="497"/>
      <c r="AQ32" s="499"/>
      <c r="AR32" s="6" t="s">
        <v>6</v>
      </c>
      <c r="AS32" s="1"/>
      <c r="AT32" s="497"/>
      <c r="AU32" s="4"/>
      <c r="AV32" s="499"/>
      <c r="AW32" s="6" t="s">
        <v>6</v>
      </c>
      <c r="AX32" s="1"/>
      <c r="AY32" s="497"/>
      <c r="AZ32" s="499"/>
      <c r="BA32" s="6" t="s">
        <v>6</v>
      </c>
      <c r="BB32" s="1"/>
      <c r="BC32" s="497"/>
    </row>
    <row r="33" spans="3:55" ht="17.100000000000001" customHeight="1" thickBot="1">
      <c r="C33" s="500"/>
      <c r="D33" s="9" t="s">
        <v>8</v>
      </c>
      <c r="E33" s="21" t="s">
        <v>0</v>
      </c>
      <c r="F33" s="521"/>
      <c r="G33" s="500"/>
      <c r="H33" s="9" t="s">
        <v>8</v>
      </c>
      <c r="I33" s="10"/>
      <c r="J33" s="498"/>
      <c r="K33" s="4"/>
      <c r="L33" s="500"/>
      <c r="M33" s="9" t="s">
        <v>8</v>
      </c>
      <c r="N33" s="21" t="s">
        <v>25</v>
      </c>
      <c r="O33" s="498"/>
      <c r="P33" s="500"/>
      <c r="Q33" s="9" t="s">
        <v>8</v>
      </c>
      <c r="R33" s="10"/>
      <c r="S33" s="523"/>
      <c r="T33" s="4"/>
      <c r="U33" s="500"/>
      <c r="V33" s="9" t="s">
        <v>8</v>
      </c>
      <c r="W33" s="21" t="s">
        <v>25</v>
      </c>
      <c r="X33" s="498"/>
      <c r="Y33" s="500"/>
      <c r="Z33" s="9" t="s">
        <v>8</v>
      </c>
      <c r="AA33" s="21"/>
      <c r="AB33" s="498"/>
      <c r="AC33" s="4"/>
      <c r="AD33" s="500"/>
      <c r="AE33" s="9" t="s">
        <v>8</v>
      </c>
      <c r="AF33" s="21" t="s">
        <v>25</v>
      </c>
      <c r="AG33" s="498"/>
      <c r="AH33" s="500"/>
      <c r="AI33" s="9" t="s">
        <v>8</v>
      </c>
      <c r="AJ33" s="21"/>
      <c r="AK33" s="498"/>
      <c r="AL33" s="4"/>
      <c r="AM33" s="500"/>
      <c r="AN33" s="9" t="s">
        <v>8</v>
      </c>
      <c r="AO33" s="21" t="s">
        <v>25</v>
      </c>
      <c r="AP33" s="498"/>
      <c r="AQ33" s="500"/>
      <c r="AR33" s="9" t="s">
        <v>8</v>
      </c>
      <c r="AS33" s="21"/>
      <c r="AT33" s="498"/>
      <c r="AU33" s="4"/>
      <c r="AV33" s="500"/>
      <c r="AW33" s="9" t="s">
        <v>8</v>
      </c>
      <c r="AX33" s="21"/>
      <c r="AY33" s="498"/>
      <c r="AZ33" s="500"/>
      <c r="BA33" s="9" t="s">
        <v>8</v>
      </c>
      <c r="BB33" s="21"/>
      <c r="BC33" s="498"/>
    </row>
    <row r="34" spans="3:55" s="24" customFormat="1" ht="17.100000000000001" customHeight="1">
      <c r="C34" s="499" t="s">
        <v>12</v>
      </c>
      <c r="D34" s="6" t="s">
        <v>10</v>
      </c>
      <c r="E34" s="7" t="s">
        <v>24</v>
      </c>
      <c r="F34" s="520">
        <v>1000000</v>
      </c>
      <c r="G34" s="519">
        <f>SUM(J27:J33)</f>
        <v>800000</v>
      </c>
      <c r="H34" s="519"/>
      <c r="I34" s="519"/>
      <c r="J34" s="519"/>
      <c r="K34" s="27"/>
      <c r="L34" s="519">
        <f>SUM(O27:O33)</f>
        <v>1800000</v>
      </c>
      <c r="M34" s="519"/>
      <c r="N34" s="519"/>
      <c r="O34" s="519"/>
      <c r="P34" s="519">
        <f>SUM(S27:S33)</f>
        <v>800000</v>
      </c>
      <c r="Q34" s="519"/>
      <c r="R34" s="519"/>
      <c r="S34" s="519"/>
      <c r="T34" s="27"/>
      <c r="U34" s="501">
        <f>SUM(X27:X33)</f>
        <v>1800000</v>
      </c>
      <c r="V34" s="501"/>
      <c r="W34" s="501"/>
      <c r="X34" s="501"/>
      <c r="Y34" s="501">
        <f>SUM(AB27:AB33)</f>
        <v>800000</v>
      </c>
      <c r="Z34" s="501"/>
      <c r="AA34" s="501"/>
      <c r="AB34" s="501"/>
      <c r="AC34" s="27"/>
      <c r="AD34" s="501">
        <f>SUM(AG27:AG33)</f>
        <v>1800000</v>
      </c>
      <c r="AE34" s="501"/>
      <c r="AF34" s="501"/>
      <c r="AG34" s="501"/>
      <c r="AH34" s="501">
        <f>SUM(AK27:AK33)</f>
        <v>800000</v>
      </c>
      <c r="AI34" s="501"/>
      <c r="AJ34" s="501"/>
      <c r="AK34" s="501"/>
      <c r="AL34" s="27"/>
      <c r="AM34" s="501">
        <f>SUM(AP27:AP33)</f>
        <v>1800000</v>
      </c>
      <c r="AN34" s="501"/>
      <c r="AO34" s="501"/>
      <c r="AP34" s="501"/>
      <c r="AQ34" s="501">
        <f>SUM(AT27:AT33)</f>
        <v>800000</v>
      </c>
      <c r="AR34" s="501"/>
      <c r="AS34" s="501"/>
      <c r="AT34" s="501"/>
      <c r="AU34" s="27"/>
      <c r="AV34" s="501">
        <f>SUM(AY27:AY33)</f>
        <v>1000000</v>
      </c>
      <c r="AW34" s="501"/>
      <c r="AX34" s="501"/>
      <c r="AY34" s="501"/>
      <c r="AZ34" s="501">
        <f>SUM(BC27:BC33)</f>
        <v>400000</v>
      </c>
      <c r="BA34" s="501"/>
      <c r="BB34" s="501"/>
      <c r="BC34" s="501"/>
    </row>
    <row r="35" spans="3:55" ht="17.100000000000001" customHeight="1">
      <c r="C35" s="499"/>
      <c r="D35" s="6" t="s">
        <v>6</v>
      </c>
      <c r="E35" s="1" t="s">
        <v>33</v>
      </c>
      <c r="F35" s="520"/>
    </row>
    <row r="36" spans="3:55" ht="17.100000000000001" customHeight="1" thickBot="1">
      <c r="C36" s="500"/>
      <c r="D36" s="9" t="s">
        <v>8</v>
      </c>
      <c r="E36" s="21" t="s">
        <v>34</v>
      </c>
      <c r="F36" s="521"/>
    </row>
    <row r="37" spans="3:55" ht="17.100000000000001" customHeight="1" thickBot="1">
      <c r="C37" s="529">
        <f>+F34+F31+F27</f>
        <v>3200000</v>
      </c>
      <c r="D37" s="530"/>
      <c r="E37" s="530"/>
      <c r="F37" s="530"/>
    </row>
    <row r="38" spans="3:55" ht="17.100000000000001" customHeight="1">
      <c r="C38" s="515" t="s">
        <v>2</v>
      </c>
      <c r="D38" s="516"/>
      <c r="E38" s="12" t="s">
        <v>4</v>
      </c>
      <c r="F38" s="525" t="s">
        <v>27</v>
      </c>
      <c r="G38" s="515" t="s">
        <v>2</v>
      </c>
      <c r="H38" s="516"/>
      <c r="I38" s="26" t="s">
        <v>4</v>
      </c>
      <c r="J38" s="527" t="s">
        <v>27</v>
      </c>
      <c r="K38" s="13"/>
      <c r="L38" s="515" t="s">
        <v>2</v>
      </c>
      <c r="M38" s="516"/>
      <c r="N38" s="12" t="s">
        <v>23</v>
      </c>
      <c r="O38" s="527" t="s">
        <v>27</v>
      </c>
      <c r="P38" s="515" t="s">
        <v>2</v>
      </c>
      <c r="Q38" s="516"/>
      <c r="R38" s="26" t="s">
        <v>23</v>
      </c>
      <c r="S38" s="513" t="s">
        <v>18</v>
      </c>
      <c r="T38" s="13"/>
      <c r="U38" s="515" t="s">
        <v>2</v>
      </c>
      <c r="V38" s="516"/>
      <c r="W38" s="12" t="s">
        <v>29</v>
      </c>
      <c r="X38" s="513" t="s">
        <v>18</v>
      </c>
      <c r="Y38" s="515" t="s">
        <v>2</v>
      </c>
      <c r="Z38" s="516"/>
      <c r="AA38" s="12" t="s">
        <v>29</v>
      </c>
      <c r="AB38" s="513" t="s">
        <v>18</v>
      </c>
      <c r="AC38" s="13"/>
      <c r="AD38" s="515" t="s">
        <v>2</v>
      </c>
      <c r="AE38" s="516"/>
      <c r="AF38" s="12" t="s">
        <v>30</v>
      </c>
      <c r="AG38" s="513" t="s">
        <v>18</v>
      </c>
      <c r="AH38" s="515" t="s">
        <v>2</v>
      </c>
      <c r="AI38" s="516"/>
      <c r="AJ38" s="12" t="s">
        <v>30</v>
      </c>
      <c r="AK38" s="513" t="s">
        <v>18</v>
      </c>
      <c r="AL38" s="13"/>
      <c r="AM38" s="515" t="s">
        <v>2</v>
      </c>
      <c r="AN38" s="516"/>
      <c r="AO38" s="12" t="s">
        <v>31</v>
      </c>
      <c r="AP38" s="513" t="s">
        <v>18</v>
      </c>
      <c r="AQ38" s="515" t="s">
        <v>2</v>
      </c>
      <c r="AR38" s="516"/>
      <c r="AS38" s="12" t="s">
        <v>31</v>
      </c>
      <c r="AT38" s="513" t="s">
        <v>18</v>
      </c>
      <c r="AU38" s="13"/>
      <c r="AV38" s="3"/>
      <c r="AX38" s="3"/>
      <c r="AY38" s="3"/>
      <c r="AZ38" s="3"/>
      <c r="BB38" s="3"/>
      <c r="BC38" s="3"/>
    </row>
    <row r="39" spans="3:55" ht="17.100000000000001" customHeight="1">
      <c r="C39" s="517" t="s">
        <v>3</v>
      </c>
      <c r="D39" s="518"/>
      <c r="E39" s="5">
        <v>43017</v>
      </c>
      <c r="F39" s="526"/>
      <c r="G39" s="517" t="s">
        <v>3</v>
      </c>
      <c r="H39" s="518"/>
      <c r="I39" s="25">
        <v>43017</v>
      </c>
      <c r="J39" s="528"/>
      <c r="K39" s="13"/>
      <c r="L39" s="517" t="s">
        <v>3</v>
      </c>
      <c r="M39" s="518"/>
      <c r="N39" s="5">
        <v>43018</v>
      </c>
      <c r="O39" s="528"/>
      <c r="P39" s="517" t="s">
        <v>3</v>
      </c>
      <c r="Q39" s="518"/>
      <c r="R39" s="25">
        <v>43018</v>
      </c>
      <c r="S39" s="514"/>
      <c r="T39" s="13"/>
      <c r="U39" s="517" t="s">
        <v>3</v>
      </c>
      <c r="V39" s="518"/>
      <c r="W39" s="5">
        <v>43019</v>
      </c>
      <c r="X39" s="514"/>
      <c r="Y39" s="517" t="s">
        <v>3</v>
      </c>
      <c r="Z39" s="518"/>
      <c r="AA39" s="5">
        <v>43019</v>
      </c>
      <c r="AB39" s="514"/>
      <c r="AC39" s="13"/>
      <c r="AD39" s="517" t="s">
        <v>3</v>
      </c>
      <c r="AE39" s="518"/>
      <c r="AF39" s="5">
        <v>43020</v>
      </c>
      <c r="AG39" s="514"/>
      <c r="AH39" s="517" t="s">
        <v>3</v>
      </c>
      <c r="AI39" s="518"/>
      <c r="AJ39" s="5">
        <v>43020</v>
      </c>
      <c r="AK39" s="514"/>
      <c r="AL39" s="13"/>
      <c r="AM39" s="517" t="s">
        <v>3</v>
      </c>
      <c r="AN39" s="518"/>
      <c r="AO39" s="5">
        <v>43021</v>
      </c>
      <c r="AP39" s="514"/>
      <c r="AQ39" s="517" t="s">
        <v>3</v>
      </c>
      <c r="AR39" s="518"/>
      <c r="AS39" s="5">
        <v>43021</v>
      </c>
      <c r="AT39" s="514"/>
      <c r="AU39" s="13"/>
      <c r="AV39" s="3"/>
      <c r="AX39" s="3"/>
      <c r="AY39" s="3"/>
      <c r="AZ39" s="3"/>
      <c r="BB39" s="3"/>
      <c r="BC39" s="3"/>
    </row>
    <row r="40" spans="3:55" ht="17.100000000000001" customHeight="1">
      <c r="C40" s="505" t="s">
        <v>1</v>
      </c>
      <c r="D40" s="506"/>
      <c r="E40" s="5" t="s">
        <v>20</v>
      </c>
      <c r="F40" s="507">
        <f>1000000*2</f>
        <v>2000000</v>
      </c>
      <c r="G40" s="505" t="s">
        <v>1</v>
      </c>
      <c r="H40" s="506"/>
      <c r="I40" s="25" t="s">
        <v>26</v>
      </c>
      <c r="J40" s="510">
        <v>800000</v>
      </c>
      <c r="K40" s="13"/>
      <c r="L40" s="505" t="s">
        <v>1</v>
      </c>
      <c r="M40" s="506"/>
      <c r="N40" s="5" t="s">
        <v>20</v>
      </c>
      <c r="O40" s="510">
        <f>1000000*2</f>
        <v>2000000</v>
      </c>
      <c r="P40" s="505" t="s">
        <v>1</v>
      </c>
      <c r="Q40" s="506"/>
      <c r="R40" s="25" t="s">
        <v>26</v>
      </c>
      <c r="S40" s="502">
        <v>800000</v>
      </c>
      <c r="T40" s="13"/>
      <c r="U40" s="505" t="s">
        <v>1</v>
      </c>
      <c r="V40" s="506"/>
      <c r="W40" s="5" t="s">
        <v>20</v>
      </c>
      <c r="X40" s="502">
        <f>1000000*2</f>
        <v>2000000</v>
      </c>
      <c r="Y40" s="505" t="s">
        <v>1</v>
      </c>
      <c r="Z40" s="506"/>
      <c r="AA40" s="25" t="s">
        <v>26</v>
      </c>
      <c r="AB40" s="502">
        <v>800000</v>
      </c>
      <c r="AC40" s="13"/>
      <c r="AD40" s="505" t="s">
        <v>1</v>
      </c>
      <c r="AE40" s="506"/>
      <c r="AF40" s="5" t="s">
        <v>20</v>
      </c>
      <c r="AG40" s="502">
        <f>1000000*2</f>
        <v>2000000</v>
      </c>
      <c r="AH40" s="505" t="s">
        <v>1</v>
      </c>
      <c r="AI40" s="506"/>
      <c r="AJ40" s="25" t="s">
        <v>26</v>
      </c>
      <c r="AK40" s="502">
        <v>800000</v>
      </c>
      <c r="AL40" s="13"/>
      <c r="AM40" s="505" t="s">
        <v>1</v>
      </c>
      <c r="AN40" s="506"/>
      <c r="AO40" s="5" t="s">
        <v>20</v>
      </c>
      <c r="AP40" s="502">
        <f>1000000*2</f>
        <v>2000000</v>
      </c>
      <c r="AQ40" s="505" t="s">
        <v>1</v>
      </c>
      <c r="AR40" s="506"/>
      <c r="AS40" s="25" t="s">
        <v>26</v>
      </c>
      <c r="AT40" s="502">
        <v>800000</v>
      </c>
      <c r="AU40" s="13"/>
      <c r="AV40" s="3"/>
      <c r="AX40" s="3"/>
      <c r="AY40" s="3"/>
      <c r="AZ40" s="3"/>
      <c r="BB40" s="3"/>
      <c r="BC40" s="3"/>
    </row>
    <row r="41" spans="3:55" ht="17.100000000000001" customHeight="1">
      <c r="C41" s="499" t="s">
        <v>12</v>
      </c>
      <c r="D41" s="6" t="s">
        <v>10</v>
      </c>
      <c r="E41" s="1" t="s">
        <v>24</v>
      </c>
      <c r="F41" s="508"/>
      <c r="G41" s="499" t="s">
        <v>12</v>
      </c>
      <c r="H41" s="6" t="s">
        <v>10</v>
      </c>
      <c r="I41" s="1" t="s">
        <v>24</v>
      </c>
      <c r="J41" s="511"/>
      <c r="K41" s="4"/>
      <c r="L41" s="499" t="s">
        <v>12</v>
      </c>
      <c r="M41" s="6" t="s">
        <v>10</v>
      </c>
      <c r="N41" s="1" t="s">
        <v>24</v>
      </c>
      <c r="O41" s="511"/>
      <c r="P41" s="499" t="s">
        <v>12</v>
      </c>
      <c r="Q41" s="6" t="s">
        <v>10</v>
      </c>
      <c r="R41" s="1" t="s">
        <v>24</v>
      </c>
      <c r="S41" s="503"/>
      <c r="T41" s="4"/>
      <c r="U41" s="499" t="s">
        <v>12</v>
      </c>
      <c r="V41" s="6" t="s">
        <v>10</v>
      </c>
      <c r="W41" s="1" t="s">
        <v>24</v>
      </c>
      <c r="X41" s="503"/>
      <c r="Y41" s="499" t="s">
        <v>12</v>
      </c>
      <c r="Z41" s="6" t="s">
        <v>10</v>
      </c>
      <c r="AA41" s="1" t="s">
        <v>24</v>
      </c>
      <c r="AB41" s="503"/>
      <c r="AC41" s="4"/>
      <c r="AD41" s="499" t="s">
        <v>12</v>
      </c>
      <c r="AE41" s="6" t="s">
        <v>10</v>
      </c>
      <c r="AF41" s="1" t="s">
        <v>24</v>
      </c>
      <c r="AG41" s="503"/>
      <c r="AH41" s="499" t="s">
        <v>12</v>
      </c>
      <c r="AI41" s="6" t="s">
        <v>10</v>
      </c>
      <c r="AJ41" s="1" t="s">
        <v>24</v>
      </c>
      <c r="AK41" s="503"/>
      <c r="AL41" s="4"/>
      <c r="AM41" s="499" t="s">
        <v>12</v>
      </c>
      <c r="AN41" s="6" t="s">
        <v>10</v>
      </c>
      <c r="AO41" s="1" t="s">
        <v>24</v>
      </c>
      <c r="AP41" s="503"/>
      <c r="AQ41" s="499" t="s">
        <v>12</v>
      </c>
      <c r="AR41" s="6" t="s">
        <v>10</v>
      </c>
      <c r="AS41" s="1" t="s">
        <v>24</v>
      </c>
      <c r="AT41" s="503"/>
      <c r="AU41" s="4"/>
      <c r="AV41" s="3"/>
      <c r="AX41" s="3"/>
      <c r="AY41" s="3"/>
      <c r="AZ41" s="3"/>
      <c r="BB41" s="3"/>
      <c r="BC41" s="3"/>
    </row>
    <row r="42" spans="3:55" ht="17.100000000000001" customHeight="1">
      <c r="C42" s="499"/>
      <c r="D42" s="6" t="s">
        <v>6</v>
      </c>
      <c r="E42" s="1" t="s">
        <v>36</v>
      </c>
      <c r="F42" s="508"/>
      <c r="G42" s="499"/>
      <c r="H42" s="6" t="s">
        <v>6</v>
      </c>
      <c r="I42" s="1" t="s">
        <v>35</v>
      </c>
      <c r="J42" s="511"/>
      <c r="K42" s="4"/>
      <c r="L42" s="499"/>
      <c r="M42" s="6" t="s">
        <v>6</v>
      </c>
      <c r="N42" s="1" t="s">
        <v>36</v>
      </c>
      <c r="O42" s="511"/>
      <c r="P42" s="499"/>
      <c r="Q42" s="6" t="s">
        <v>6</v>
      </c>
      <c r="R42" s="1" t="s">
        <v>35</v>
      </c>
      <c r="S42" s="503"/>
      <c r="T42" s="4"/>
      <c r="U42" s="499"/>
      <c r="V42" s="6" t="s">
        <v>6</v>
      </c>
      <c r="W42" s="1" t="s">
        <v>36</v>
      </c>
      <c r="X42" s="503"/>
      <c r="Y42" s="499"/>
      <c r="Z42" s="6" t="s">
        <v>6</v>
      </c>
      <c r="AA42" s="1" t="s">
        <v>7</v>
      </c>
      <c r="AB42" s="503"/>
      <c r="AC42" s="4"/>
      <c r="AD42" s="499"/>
      <c r="AE42" s="6" t="s">
        <v>6</v>
      </c>
      <c r="AF42" s="1" t="s">
        <v>39</v>
      </c>
      <c r="AG42" s="503"/>
      <c r="AH42" s="499"/>
      <c r="AI42" s="6" t="s">
        <v>6</v>
      </c>
      <c r="AJ42" s="1" t="s">
        <v>7</v>
      </c>
      <c r="AK42" s="503"/>
      <c r="AL42" s="4"/>
      <c r="AM42" s="499"/>
      <c r="AN42" s="6" t="s">
        <v>6</v>
      </c>
      <c r="AO42" s="1" t="s">
        <v>36</v>
      </c>
      <c r="AP42" s="503"/>
      <c r="AQ42" s="499"/>
      <c r="AR42" s="6" t="s">
        <v>6</v>
      </c>
      <c r="AS42" s="1" t="s">
        <v>7</v>
      </c>
      <c r="AT42" s="503"/>
      <c r="AU42" s="4"/>
      <c r="AV42" s="3"/>
      <c r="AX42" s="3"/>
      <c r="AY42" s="3"/>
      <c r="AZ42" s="3"/>
      <c r="BB42" s="3"/>
      <c r="BC42" s="3"/>
    </row>
    <row r="43" spans="3:55" ht="17.100000000000001" customHeight="1">
      <c r="C43" s="499"/>
      <c r="D43" s="6" t="s">
        <v>8</v>
      </c>
      <c r="E43" s="7" t="s">
        <v>9</v>
      </c>
      <c r="F43" s="509"/>
      <c r="G43" s="499"/>
      <c r="H43" s="6" t="s">
        <v>8</v>
      </c>
      <c r="I43" s="7" t="s">
        <v>25</v>
      </c>
      <c r="J43" s="512"/>
      <c r="K43" s="4"/>
      <c r="L43" s="499"/>
      <c r="M43" s="6" t="s">
        <v>8</v>
      </c>
      <c r="N43" s="7" t="s">
        <v>9</v>
      </c>
      <c r="O43" s="512"/>
      <c r="P43" s="499"/>
      <c r="Q43" s="6" t="s">
        <v>8</v>
      </c>
      <c r="R43" s="7" t="s">
        <v>25</v>
      </c>
      <c r="S43" s="504"/>
      <c r="T43" s="4"/>
      <c r="U43" s="499"/>
      <c r="V43" s="6" t="s">
        <v>8</v>
      </c>
      <c r="W43" s="7" t="s">
        <v>9</v>
      </c>
      <c r="X43" s="504"/>
      <c r="Y43" s="499"/>
      <c r="Z43" s="6" t="s">
        <v>8</v>
      </c>
      <c r="AA43" s="7" t="s">
        <v>25</v>
      </c>
      <c r="AB43" s="504"/>
      <c r="AC43" s="4"/>
      <c r="AD43" s="499"/>
      <c r="AE43" s="6" t="s">
        <v>8</v>
      </c>
      <c r="AF43" s="7" t="s">
        <v>9</v>
      </c>
      <c r="AG43" s="504"/>
      <c r="AH43" s="499"/>
      <c r="AI43" s="6" t="s">
        <v>8</v>
      </c>
      <c r="AJ43" s="7" t="s">
        <v>25</v>
      </c>
      <c r="AK43" s="504"/>
      <c r="AL43" s="4"/>
      <c r="AM43" s="499"/>
      <c r="AN43" s="6" t="s">
        <v>8</v>
      </c>
      <c r="AO43" s="7" t="s">
        <v>9</v>
      </c>
      <c r="AP43" s="504"/>
      <c r="AQ43" s="499"/>
      <c r="AR43" s="6" t="s">
        <v>8</v>
      </c>
      <c r="AS43" s="7" t="s">
        <v>25</v>
      </c>
      <c r="AT43" s="504"/>
      <c r="AU43" s="4"/>
      <c r="AV43" s="3"/>
      <c r="AX43" s="3"/>
      <c r="AY43" s="3"/>
      <c r="AZ43" s="3"/>
      <c r="BB43" s="3"/>
      <c r="BC43" s="3"/>
    </row>
    <row r="44" spans="3:55" ht="17.100000000000001" customHeight="1">
      <c r="C44" s="499" t="s">
        <v>11</v>
      </c>
      <c r="D44" s="6" t="s">
        <v>10</v>
      </c>
      <c r="E44" s="7"/>
      <c r="F44" s="520">
        <v>0</v>
      </c>
      <c r="G44" s="499" t="s">
        <v>11</v>
      </c>
      <c r="H44" s="6" t="s">
        <v>10</v>
      </c>
      <c r="I44" s="7"/>
      <c r="J44" s="497"/>
      <c r="K44" s="4"/>
      <c r="L44" s="499" t="s">
        <v>11</v>
      </c>
      <c r="M44" s="6" t="s">
        <v>10</v>
      </c>
      <c r="N44" s="7" t="s">
        <v>24</v>
      </c>
      <c r="O44" s="497">
        <v>300000</v>
      </c>
      <c r="P44" s="499" t="s">
        <v>11</v>
      </c>
      <c r="Q44" s="6" t="s">
        <v>10</v>
      </c>
      <c r="R44" s="7"/>
      <c r="S44" s="522" t="s">
        <v>13</v>
      </c>
      <c r="T44" s="4"/>
      <c r="U44" s="499" t="s">
        <v>12</v>
      </c>
      <c r="V44" s="6" t="s">
        <v>10</v>
      </c>
      <c r="W44" s="7" t="s">
        <v>24</v>
      </c>
      <c r="X44" s="497">
        <v>300000</v>
      </c>
      <c r="Y44" s="499" t="s">
        <v>11</v>
      </c>
      <c r="Z44" s="6" t="s">
        <v>10</v>
      </c>
      <c r="AA44" s="7"/>
      <c r="AB44" s="497"/>
      <c r="AC44" s="4"/>
      <c r="AD44" s="499" t="s">
        <v>11</v>
      </c>
      <c r="AE44" s="6" t="s">
        <v>10</v>
      </c>
      <c r="AF44" s="7" t="s">
        <v>24</v>
      </c>
      <c r="AG44" s="497">
        <v>300000</v>
      </c>
      <c r="AH44" s="499" t="s">
        <v>11</v>
      </c>
      <c r="AI44" s="6" t="s">
        <v>10</v>
      </c>
      <c r="AJ44" s="7"/>
      <c r="AK44" s="497"/>
      <c r="AL44" s="4"/>
      <c r="AM44" s="499" t="s">
        <v>11</v>
      </c>
      <c r="AN44" s="6" t="s">
        <v>10</v>
      </c>
      <c r="AO44" s="7" t="s">
        <v>24</v>
      </c>
      <c r="AP44" s="497">
        <v>300000</v>
      </c>
      <c r="AQ44" s="499" t="s">
        <v>11</v>
      </c>
      <c r="AR44" s="6" t="s">
        <v>10</v>
      </c>
      <c r="AS44" s="7"/>
      <c r="AT44" s="497"/>
      <c r="AU44" s="4"/>
      <c r="AV44" s="3"/>
      <c r="AX44" s="3"/>
      <c r="AY44" s="3"/>
      <c r="AZ44" s="3"/>
      <c r="BB44" s="3"/>
      <c r="BC44" s="3"/>
    </row>
    <row r="45" spans="3:55" ht="17.100000000000001" customHeight="1">
      <c r="C45" s="499"/>
      <c r="D45" s="6" t="s">
        <v>6</v>
      </c>
      <c r="E45" s="1"/>
      <c r="F45" s="520"/>
      <c r="G45" s="499"/>
      <c r="H45" s="6" t="s">
        <v>6</v>
      </c>
      <c r="I45" s="1"/>
      <c r="J45" s="497"/>
      <c r="K45" s="4"/>
      <c r="L45" s="499"/>
      <c r="M45" s="6" t="s">
        <v>6</v>
      </c>
      <c r="N45" s="1" t="s">
        <v>37</v>
      </c>
      <c r="O45" s="497"/>
      <c r="P45" s="499"/>
      <c r="Q45" s="6" t="s">
        <v>6</v>
      </c>
      <c r="R45" s="1"/>
      <c r="S45" s="522"/>
      <c r="T45" s="4"/>
      <c r="U45" s="499"/>
      <c r="V45" s="6" t="s">
        <v>6</v>
      </c>
      <c r="W45" s="1" t="s">
        <v>37</v>
      </c>
      <c r="X45" s="497"/>
      <c r="Y45" s="499"/>
      <c r="Z45" s="6" t="s">
        <v>6</v>
      </c>
      <c r="AA45" s="1"/>
      <c r="AB45" s="497"/>
      <c r="AC45" s="4"/>
      <c r="AD45" s="499"/>
      <c r="AE45" s="6" t="s">
        <v>6</v>
      </c>
      <c r="AF45" s="1" t="s">
        <v>37</v>
      </c>
      <c r="AG45" s="497"/>
      <c r="AH45" s="499"/>
      <c r="AI45" s="6" t="s">
        <v>6</v>
      </c>
      <c r="AJ45" s="1"/>
      <c r="AK45" s="497"/>
      <c r="AL45" s="4"/>
      <c r="AM45" s="499"/>
      <c r="AN45" s="6" t="s">
        <v>6</v>
      </c>
      <c r="AO45" s="1" t="s">
        <v>37</v>
      </c>
      <c r="AP45" s="497"/>
      <c r="AQ45" s="499"/>
      <c r="AR45" s="6" t="s">
        <v>6</v>
      </c>
      <c r="AS45" s="1"/>
      <c r="AT45" s="497"/>
      <c r="AU45" s="4"/>
      <c r="AV45" s="3"/>
      <c r="AX45" s="3"/>
      <c r="AY45" s="3"/>
      <c r="AZ45" s="3"/>
      <c r="BB45" s="3"/>
      <c r="BC45" s="3"/>
    </row>
    <row r="46" spans="3:55" ht="17.100000000000001" customHeight="1" thickBot="1">
      <c r="C46" s="500"/>
      <c r="D46" s="9" t="s">
        <v>8</v>
      </c>
      <c r="E46" s="21"/>
      <c r="F46" s="521"/>
      <c r="G46" s="500"/>
      <c r="H46" s="9" t="s">
        <v>8</v>
      </c>
      <c r="I46" s="10"/>
      <c r="J46" s="498"/>
      <c r="K46" s="4"/>
      <c r="L46" s="500"/>
      <c r="M46" s="9" t="s">
        <v>8</v>
      </c>
      <c r="N46" s="21" t="s">
        <v>25</v>
      </c>
      <c r="O46" s="498"/>
      <c r="P46" s="500"/>
      <c r="Q46" s="9" t="s">
        <v>8</v>
      </c>
      <c r="R46" s="10"/>
      <c r="S46" s="523"/>
      <c r="T46" s="4"/>
      <c r="U46" s="500"/>
      <c r="V46" s="9" t="s">
        <v>8</v>
      </c>
      <c r="W46" s="21" t="s">
        <v>25</v>
      </c>
      <c r="X46" s="498"/>
      <c r="Y46" s="500"/>
      <c r="Z46" s="9" t="s">
        <v>8</v>
      </c>
      <c r="AA46" s="21"/>
      <c r="AB46" s="498"/>
      <c r="AC46" s="4"/>
      <c r="AD46" s="500"/>
      <c r="AE46" s="9" t="s">
        <v>8</v>
      </c>
      <c r="AF46" s="21" t="s">
        <v>25</v>
      </c>
      <c r="AG46" s="498"/>
      <c r="AH46" s="500"/>
      <c r="AI46" s="9" t="s">
        <v>8</v>
      </c>
      <c r="AJ46" s="21"/>
      <c r="AK46" s="498"/>
      <c r="AL46" s="4"/>
      <c r="AM46" s="500"/>
      <c r="AN46" s="9" t="s">
        <v>8</v>
      </c>
      <c r="AO46" s="21" t="s">
        <v>25</v>
      </c>
      <c r="AP46" s="498"/>
      <c r="AQ46" s="500"/>
      <c r="AR46" s="9" t="s">
        <v>8</v>
      </c>
      <c r="AS46" s="21"/>
      <c r="AT46" s="498"/>
      <c r="AU46" s="4"/>
      <c r="AV46" s="3"/>
      <c r="AX46" s="3"/>
      <c r="AY46" s="3"/>
      <c r="AZ46" s="3"/>
      <c r="BB46" s="3"/>
      <c r="BC46" s="3"/>
    </row>
    <row r="47" spans="3:55" s="24" customFormat="1" ht="17.100000000000001" customHeight="1">
      <c r="C47" s="519">
        <f>SUM(F40:F46)</f>
        <v>2000000</v>
      </c>
      <c r="D47" s="519"/>
      <c r="E47" s="519"/>
      <c r="F47" s="519"/>
      <c r="G47" s="519">
        <f>SUM(J40:J46)</f>
        <v>800000</v>
      </c>
      <c r="H47" s="519"/>
      <c r="I47" s="519"/>
      <c r="J47" s="519"/>
      <c r="K47" s="27"/>
      <c r="L47" s="519">
        <f>SUM(O40:O46)</f>
        <v>2300000</v>
      </c>
      <c r="M47" s="519"/>
      <c r="N47" s="519"/>
      <c r="O47" s="519"/>
      <c r="P47" s="519">
        <f>SUM(S40:S46)</f>
        <v>800000</v>
      </c>
      <c r="Q47" s="519"/>
      <c r="R47" s="519"/>
      <c r="S47" s="519"/>
      <c r="T47" s="27"/>
      <c r="U47" s="501">
        <f>SUM(X40:X46)</f>
        <v>2300000</v>
      </c>
      <c r="V47" s="501"/>
      <c r="W47" s="501"/>
      <c r="X47" s="501"/>
      <c r="Y47" s="501">
        <f>SUM(AB40:AB46)</f>
        <v>800000</v>
      </c>
      <c r="Z47" s="501"/>
      <c r="AA47" s="501"/>
      <c r="AB47" s="501"/>
      <c r="AC47" s="27"/>
      <c r="AD47" s="501">
        <f>SUM(AG40:AG46)</f>
        <v>2300000</v>
      </c>
      <c r="AE47" s="501"/>
      <c r="AF47" s="501"/>
      <c r="AG47" s="501"/>
      <c r="AH47" s="501">
        <f>SUM(AK40:AK46)</f>
        <v>800000</v>
      </c>
      <c r="AI47" s="501"/>
      <c r="AJ47" s="501"/>
      <c r="AK47" s="501"/>
      <c r="AL47" s="27"/>
      <c r="AM47" s="501">
        <f>SUM(AP40:AP46)</f>
        <v>2300000</v>
      </c>
      <c r="AN47" s="501"/>
      <c r="AO47" s="501"/>
      <c r="AP47" s="501"/>
      <c r="AQ47" s="501">
        <f>SUM(AT40:AT46)</f>
        <v>800000</v>
      </c>
      <c r="AR47" s="501"/>
      <c r="AS47" s="501"/>
      <c r="AT47" s="501"/>
      <c r="AU47" s="27"/>
      <c r="AV47" s="3"/>
      <c r="AW47" s="3"/>
      <c r="AX47" s="3"/>
      <c r="AY47" s="3"/>
      <c r="AZ47" s="3"/>
      <c r="BA47" s="3"/>
      <c r="BB47" s="3"/>
      <c r="BC47" s="3"/>
    </row>
    <row r="48" spans="3:55" s="39" customFormat="1" ht="30" customHeight="1">
      <c r="C48" s="496" t="s">
        <v>45</v>
      </c>
      <c r="D48" s="496"/>
      <c r="E48" s="496"/>
      <c r="F48" s="496"/>
      <c r="G48" s="496"/>
      <c r="H48" s="496"/>
      <c r="I48" s="496"/>
      <c r="J48" s="496"/>
      <c r="K48" s="496"/>
      <c r="L48" s="496"/>
      <c r="M48" s="496"/>
      <c r="N48" s="555">
        <f>SUM(C47:AT47)</f>
        <v>15200000</v>
      </c>
      <c r="O48" s="555"/>
      <c r="P48" s="555"/>
      <c r="Q48" s="555"/>
      <c r="R48" s="555"/>
      <c r="S48" s="555"/>
      <c r="T48" s="555"/>
      <c r="U48" s="555"/>
      <c r="V48" s="555"/>
      <c r="W48" s="555"/>
      <c r="X48" s="555"/>
      <c r="Y48" s="555"/>
      <c r="Z48" s="555"/>
      <c r="AA48" s="555"/>
      <c r="AB48" s="555"/>
      <c r="AC48" s="555"/>
      <c r="AD48" s="555"/>
      <c r="AE48" s="555"/>
      <c r="AF48" s="555"/>
      <c r="AG48" s="555"/>
      <c r="AH48" s="555"/>
      <c r="AI48" s="555"/>
      <c r="AJ48" s="555"/>
      <c r="AK48" s="555"/>
      <c r="AL48" s="555"/>
      <c r="AM48" s="555"/>
      <c r="AN48" s="555"/>
      <c r="AO48" s="555"/>
      <c r="AP48" s="555"/>
      <c r="AQ48" s="555"/>
      <c r="AR48" s="555"/>
      <c r="AS48" s="555"/>
      <c r="AT48" s="555"/>
      <c r="AW48" s="40"/>
      <c r="BA48" s="40"/>
    </row>
    <row r="49" spans="2:55" ht="17.100000000000001" customHeight="1" thickBot="1">
      <c r="C49" s="14"/>
      <c r="D49" s="14"/>
      <c r="E49" s="14"/>
      <c r="F49" s="14"/>
    </row>
    <row r="50" spans="2:55" ht="17.100000000000001" customHeight="1" thickTop="1">
      <c r="B50" s="43"/>
      <c r="C50" s="44"/>
      <c r="D50" s="44"/>
      <c r="E50" s="44"/>
      <c r="F50" s="44"/>
      <c r="G50" s="45"/>
      <c r="H50" s="46"/>
      <c r="I50" s="47"/>
      <c r="J50" s="48"/>
      <c r="K50" s="45"/>
      <c r="L50" s="45"/>
      <c r="M50" s="46"/>
      <c r="N50" s="47"/>
      <c r="O50" s="48"/>
      <c r="P50" s="45"/>
      <c r="Q50" s="46"/>
      <c r="R50" s="47"/>
      <c r="S50" s="45"/>
      <c r="T50" s="45"/>
      <c r="U50" s="45"/>
      <c r="V50" s="46"/>
      <c r="W50" s="47"/>
      <c r="X50" s="45"/>
      <c r="Y50" s="45"/>
      <c r="Z50" s="46"/>
      <c r="AA50" s="47"/>
      <c r="AB50" s="45"/>
      <c r="AC50" s="49"/>
    </row>
    <row r="51" spans="2:55" ht="30" customHeight="1" thickBot="1">
      <c r="B51" s="50"/>
      <c r="C51" s="524" t="s">
        <v>47</v>
      </c>
      <c r="D51" s="524"/>
      <c r="E51" s="524"/>
      <c r="F51" s="524"/>
      <c r="G51" s="524"/>
      <c r="H51" s="524"/>
      <c r="I51" s="524"/>
      <c r="J51" s="524"/>
      <c r="O51" s="38"/>
      <c r="AC51" s="63"/>
    </row>
    <row r="52" spans="2:55" ht="17.100000000000001" customHeight="1">
      <c r="B52" s="50"/>
      <c r="C52" s="515" t="s">
        <v>2</v>
      </c>
      <c r="D52" s="516"/>
      <c r="E52" s="12" t="s">
        <v>4</v>
      </c>
      <c r="F52" s="525" t="s">
        <v>27</v>
      </c>
      <c r="G52" s="515" t="s">
        <v>2</v>
      </c>
      <c r="H52" s="516"/>
      <c r="I52" s="26" t="s">
        <v>4</v>
      </c>
      <c r="J52" s="527" t="s">
        <v>27</v>
      </c>
      <c r="K52" s="13"/>
      <c r="L52" s="515" t="s">
        <v>2</v>
      </c>
      <c r="M52" s="516"/>
      <c r="N52" s="12" t="s">
        <v>23</v>
      </c>
      <c r="O52" s="527" t="s">
        <v>27</v>
      </c>
      <c r="P52" s="515" t="s">
        <v>2</v>
      </c>
      <c r="Q52" s="516"/>
      <c r="R52" s="26" t="s">
        <v>23</v>
      </c>
      <c r="S52" s="513" t="s">
        <v>18</v>
      </c>
      <c r="T52" s="13"/>
      <c r="U52" s="515" t="s">
        <v>2</v>
      </c>
      <c r="V52" s="516"/>
      <c r="W52" s="12" t="s">
        <v>29</v>
      </c>
      <c r="X52" s="513" t="s">
        <v>18</v>
      </c>
      <c r="Y52" s="515" t="s">
        <v>2</v>
      </c>
      <c r="Z52" s="516"/>
      <c r="AA52" s="12" t="s">
        <v>29</v>
      </c>
      <c r="AB52" s="513" t="s">
        <v>18</v>
      </c>
      <c r="AC52" s="51"/>
      <c r="AD52" s="3"/>
      <c r="AF52" s="3"/>
      <c r="AG52" s="3"/>
      <c r="AH52" s="3"/>
      <c r="AJ52" s="3"/>
      <c r="AK52" s="3"/>
      <c r="AL52" s="3"/>
      <c r="AM52" s="3"/>
      <c r="AO52" s="3"/>
      <c r="AP52" s="3"/>
      <c r="AQ52" s="3"/>
      <c r="AS52" s="3"/>
      <c r="AT52" s="3"/>
      <c r="AU52" s="13"/>
      <c r="AV52" s="3"/>
      <c r="AX52" s="3"/>
      <c r="AY52" s="3"/>
      <c r="AZ52" s="3"/>
      <c r="BB52" s="3"/>
      <c r="BC52" s="3"/>
    </row>
    <row r="53" spans="2:55" ht="17.100000000000001" customHeight="1">
      <c r="B53" s="50"/>
      <c r="C53" s="517" t="s">
        <v>3</v>
      </c>
      <c r="D53" s="518"/>
      <c r="E53" s="5">
        <v>43024</v>
      </c>
      <c r="F53" s="526"/>
      <c r="G53" s="517" t="s">
        <v>3</v>
      </c>
      <c r="H53" s="518"/>
      <c r="I53" s="25">
        <v>43024</v>
      </c>
      <c r="J53" s="528"/>
      <c r="K53" s="13"/>
      <c r="L53" s="517" t="s">
        <v>3</v>
      </c>
      <c r="M53" s="518"/>
      <c r="N53" s="5">
        <v>43025</v>
      </c>
      <c r="O53" s="528"/>
      <c r="P53" s="517" t="s">
        <v>3</v>
      </c>
      <c r="Q53" s="518"/>
      <c r="R53" s="25">
        <v>43025</v>
      </c>
      <c r="S53" s="514"/>
      <c r="T53" s="13"/>
      <c r="U53" s="517" t="s">
        <v>3</v>
      </c>
      <c r="V53" s="518"/>
      <c r="W53" s="5">
        <v>43026</v>
      </c>
      <c r="X53" s="514"/>
      <c r="Y53" s="517" t="s">
        <v>3</v>
      </c>
      <c r="Z53" s="518"/>
      <c r="AA53" s="5">
        <v>43026</v>
      </c>
      <c r="AB53" s="514"/>
      <c r="AC53" s="51"/>
      <c r="AD53" s="3"/>
      <c r="AF53" s="3"/>
      <c r="AG53" s="3"/>
      <c r="AH53" s="3"/>
      <c r="AJ53" s="3"/>
      <c r="AK53" s="3"/>
      <c r="AL53" s="3"/>
      <c r="AM53" s="3"/>
      <c r="AO53" s="3"/>
      <c r="AP53" s="3"/>
      <c r="AQ53" s="3"/>
      <c r="AS53" s="3"/>
      <c r="AT53" s="3"/>
      <c r="AU53" s="13"/>
      <c r="AV53" s="3"/>
      <c r="AX53" s="3"/>
      <c r="AY53" s="3"/>
      <c r="AZ53" s="3"/>
      <c r="BB53" s="3"/>
      <c r="BC53" s="3"/>
    </row>
    <row r="54" spans="2:55" ht="17.100000000000001" customHeight="1">
      <c r="B54" s="50"/>
      <c r="C54" s="505" t="s">
        <v>1</v>
      </c>
      <c r="D54" s="506"/>
      <c r="E54" s="5" t="s">
        <v>20</v>
      </c>
      <c r="F54" s="507">
        <f>1000000*2</f>
        <v>2000000</v>
      </c>
      <c r="G54" s="505" t="s">
        <v>1</v>
      </c>
      <c r="H54" s="506"/>
      <c r="I54" s="25" t="s">
        <v>26</v>
      </c>
      <c r="J54" s="510">
        <v>800000</v>
      </c>
      <c r="K54" s="13"/>
      <c r="L54" s="505" t="s">
        <v>1</v>
      </c>
      <c r="M54" s="506"/>
      <c r="N54" s="5" t="s">
        <v>20</v>
      </c>
      <c r="O54" s="510">
        <f>1000000*2</f>
        <v>2000000</v>
      </c>
      <c r="P54" s="505" t="s">
        <v>1</v>
      </c>
      <c r="Q54" s="506"/>
      <c r="R54" s="25" t="s">
        <v>26</v>
      </c>
      <c r="S54" s="502">
        <v>800000</v>
      </c>
      <c r="T54" s="13"/>
      <c r="U54" s="505" t="s">
        <v>1</v>
      </c>
      <c r="V54" s="506"/>
      <c r="W54" s="5" t="s">
        <v>20</v>
      </c>
      <c r="X54" s="502">
        <f>1000000*2</f>
        <v>2000000</v>
      </c>
      <c r="Y54" s="505" t="s">
        <v>1</v>
      </c>
      <c r="Z54" s="506"/>
      <c r="AA54" s="25" t="s">
        <v>26</v>
      </c>
      <c r="AB54" s="502">
        <v>800000</v>
      </c>
      <c r="AC54" s="51"/>
      <c r="AD54" s="3"/>
      <c r="AF54" s="3"/>
      <c r="AG54" s="3"/>
      <c r="AH54" s="3"/>
      <c r="AJ54" s="3"/>
      <c r="AK54" s="3"/>
      <c r="AL54" s="3"/>
      <c r="AM54" s="3"/>
      <c r="AO54" s="3"/>
      <c r="AP54" s="3"/>
      <c r="AQ54" s="3"/>
      <c r="AS54" s="3"/>
      <c r="AT54" s="3"/>
      <c r="AU54" s="13"/>
      <c r="AV54" s="3"/>
      <c r="AX54" s="3"/>
      <c r="AY54" s="3"/>
      <c r="AZ54" s="3"/>
      <c r="BB54" s="3"/>
      <c r="BC54" s="3"/>
    </row>
    <row r="55" spans="2:55" ht="17.100000000000001" customHeight="1">
      <c r="B55" s="50"/>
      <c r="C55" s="499" t="s">
        <v>12</v>
      </c>
      <c r="D55" s="6" t="s">
        <v>10</v>
      </c>
      <c r="E55" s="1" t="s">
        <v>24</v>
      </c>
      <c r="F55" s="508"/>
      <c r="G55" s="499" t="s">
        <v>12</v>
      </c>
      <c r="H55" s="6" t="s">
        <v>10</v>
      </c>
      <c r="I55" s="1" t="s">
        <v>24</v>
      </c>
      <c r="J55" s="511"/>
      <c r="K55" s="4"/>
      <c r="L55" s="499" t="s">
        <v>12</v>
      </c>
      <c r="M55" s="6" t="s">
        <v>10</v>
      </c>
      <c r="N55" s="1" t="s">
        <v>24</v>
      </c>
      <c r="O55" s="511"/>
      <c r="P55" s="499" t="s">
        <v>12</v>
      </c>
      <c r="Q55" s="6" t="s">
        <v>10</v>
      </c>
      <c r="R55" s="1" t="s">
        <v>24</v>
      </c>
      <c r="S55" s="503"/>
      <c r="T55" s="4"/>
      <c r="U55" s="499" t="s">
        <v>12</v>
      </c>
      <c r="V55" s="6" t="s">
        <v>10</v>
      </c>
      <c r="W55" s="1" t="s">
        <v>24</v>
      </c>
      <c r="X55" s="503"/>
      <c r="Y55" s="499" t="s">
        <v>12</v>
      </c>
      <c r="Z55" s="6" t="s">
        <v>10</v>
      </c>
      <c r="AA55" s="1" t="s">
        <v>24</v>
      </c>
      <c r="AB55" s="503"/>
      <c r="AC55" s="52"/>
      <c r="AD55" s="3"/>
      <c r="AF55" s="3"/>
      <c r="AG55" s="3"/>
      <c r="AH55" s="3"/>
      <c r="AJ55" s="3"/>
      <c r="AK55" s="3"/>
      <c r="AL55" s="3"/>
      <c r="AM55" s="3"/>
      <c r="AO55" s="3"/>
      <c r="AP55" s="3"/>
      <c r="AQ55" s="3"/>
      <c r="AS55" s="3"/>
      <c r="AT55" s="3"/>
      <c r="AU55" s="4"/>
      <c r="AV55" s="3"/>
      <c r="AX55" s="3"/>
      <c r="AY55" s="3"/>
      <c r="AZ55" s="3"/>
      <c r="BB55" s="3"/>
      <c r="BC55" s="3"/>
    </row>
    <row r="56" spans="2:55" ht="17.100000000000001" customHeight="1">
      <c r="B56" s="50"/>
      <c r="C56" s="499"/>
      <c r="D56" s="6" t="s">
        <v>6</v>
      </c>
      <c r="E56" s="1" t="s">
        <v>36</v>
      </c>
      <c r="F56" s="508"/>
      <c r="G56" s="499"/>
      <c r="H56" s="6" t="s">
        <v>6</v>
      </c>
      <c r="I56" s="1" t="s">
        <v>35</v>
      </c>
      <c r="J56" s="511"/>
      <c r="K56" s="4"/>
      <c r="L56" s="499"/>
      <c r="M56" s="6" t="s">
        <v>6</v>
      </c>
      <c r="N56" s="1" t="s">
        <v>36</v>
      </c>
      <c r="O56" s="511"/>
      <c r="P56" s="499"/>
      <c r="Q56" s="6" t="s">
        <v>6</v>
      </c>
      <c r="R56" s="1" t="s">
        <v>35</v>
      </c>
      <c r="S56" s="503"/>
      <c r="T56" s="4"/>
      <c r="U56" s="499"/>
      <c r="V56" s="6" t="s">
        <v>6</v>
      </c>
      <c r="W56" s="1" t="s">
        <v>36</v>
      </c>
      <c r="X56" s="503"/>
      <c r="Y56" s="499"/>
      <c r="Z56" s="6" t="s">
        <v>6</v>
      </c>
      <c r="AA56" s="1" t="s">
        <v>7</v>
      </c>
      <c r="AB56" s="503"/>
      <c r="AC56" s="52"/>
      <c r="AD56" s="3"/>
      <c r="AF56" s="3"/>
      <c r="AG56" s="3"/>
      <c r="AH56" s="3"/>
      <c r="AJ56" s="3"/>
      <c r="AK56" s="3"/>
      <c r="AL56" s="3"/>
      <c r="AM56" s="3"/>
      <c r="AO56" s="3"/>
      <c r="AP56" s="3"/>
      <c r="AQ56" s="3"/>
      <c r="AS56" s="3"/>
      <c r="AT56" s="3"/>
      <c r="AU56" s="4"/>
      <c r="AV56" s="3"/>
      <c r="AX56" s="3"/>
      <c r="AY56" s="3"/>
      <c r="AZ56" s="3"/>
      <c r="BB56" s="3"/>
      <c r="BC56" s="3"/>
    </row>
    <row r="57" spans="2:55" ht="17.100000000000001" customHeight="1">
      <c r="B57" s="50"/>
      <c r="C57" s="499"/>
      <c r="D57" s="6" t="s">
        <v>8</v>
      </c>
      <c r="E57" s="7" t="s">
        <v>9</v>
      </c>
      <c r="F57" s="509"/>
      <c r="G57" s="499"/>
      <c r="H57" s="6" t="s">
        <v>8</v>
      </c>
      <c r="I57" s="7" t="s">
        <v>25</v>
      </c>
      <c r="J57" s="512"/>
      <c r="K57" s="4"/>
      <c r="L57" s="499"/>
      <c r="M57" s="6" t="s">
        <v>8</v>
      </c>
      <c r="N57" s="7" t="s">
        <v>9</v>
      </c>
      <c r="O57" s="512"/>
      <c r="P57" s="499"/>
      <c r="Q57" s="6" t="s">
        <v>8</v>
      </c>
      <c r="R57" s="7" t="s">
        <v>25</v>
      </c>
      <c r="S57" s="504"/>
      <c r="T57" s="4"/>
      <c r="U57" s="499"/>
      <c r="V57" s="6" t="s">
        <v>8</v>
      </c>
      <c r="W57" s="7" t="s">
        <v>9</v>
      </c>
      <c r="X57" s="504"/>
      <c r="Y57" s="499"/>
      <c r="Z57" s="6" t="s">
        <v>8</v>
      </c>
      <c r="AA57" s="7" t="s">
        <v>25</v>
      </c>
      <c r="AB57" s="504"/>
      <c r="AC57" s="52"/>
      <c r="AD57" s="3"/>
      <c r="AF57" s="3"/>
      <c r="AG57" s="3"/>
      <c r="AH57" s="3"/>
      <c r="AJ57" s="3"/>
      <c r="AK57" s="3"/>
      <c r="AL57" s="3"/>
      <c r="AM57" s="3"/>
      <c r="AO57" s="3"/>
      <c r="AP57" s="3"/>
      <c r="AQ57" s="3"/>
      <c r="AS57" s="3"/>
      <c r="AT57" s="3"/>
      <c r="AU57" s="4"/>
      <c r="AV57" s="3"/>
      <c r="AX57" s="3"/>
      <c r="AY57" s="3"/>
      <c r="AZ57" s="3"/>
      <c r="BB57" s="3"/>
      <c r="BC57" s="3"/>
    </row>
    <row r="58" spans="2:55" ht="17.100000000000001" customHeight="1">
      <c r="B58" s="50"/>
      <c r="C58" s="499" t="s">
        <v>11</v>
      </c>
      <c r="D58" s="6" t="s">
        <v>10</v>
      </c>
      <c r="E58" s="7" t="s">
        <v>24</v>
      </c>
      <c r="F58" s="520">
        <v>300000</v>
      </c>
      <c r="G58" s="499" t="s">
        <v>11</v>
      </c>
      <c r="H58" s="6" t="s">
        <v>10</v>
      </c>
      <c r="I58" s="7"/>
      <c r="J58" s="497" t="s">
        <v>13</v>
      </c>
      <c r="K58" s="4"/>
      <c r="L58" s="499" t="s">
        <v>11</v>
      </c>
      <c r="M58" s="6" t="s">
        <v>10</v>
      </c>
      <c r="N58" s="7" t="s">
        <v>24</v>
      </c>
      <c r="O58" s="497">
        <v>300000</v>
      </c>
      <c r="P58" s="499" t="s">
        <v>11</v>
      </c>
      <c r="Q58" s="6" t="s">
        <v>10</v>
      </c>
      <c r="R58" s="7"/>
      <c r="S58" s="522" t="s">
        <v>13</v>
      </c>
      <c r="T58" s="4"/>
      <c r="U58" s="499" t="s">
        <v>12</v>
      </c>
      <c r="V58" s="6" t="s">
        <v>10</v>
      </c>
      <c r="W58" s="7" t="s">
        <v>24</v>
      </c>
      <c r="X58" s="497">
        <v>400000</v>
      </c>
      <c r="Y58" s="499" t="s">
        <v>11</v>
      </c>
      <c r="Z58" s="6" t="s">
        <v>10</v>
      </c>
      <c r="AA58" s="7"/>
      <c r="AB58" s="497"/>
      <c r="AC58" s="52"/>
      <c r="AD58" s="3"/>
      <c r="AF58" s="3"/>
      <c r="AG58" s="3"/>
      <c r="AH58" s="3"/>
      <c r="AJ58" s="3"/>
      <c r="AK58" s="3"/>
      <c r="AL58" s="3"/>
      <c r="AM58" s="3"/>
      <c r="AO58" s="3"/>
      <c r="AP58" s="3"/>
      <c r="AQ58" s="3"/>
      <c r="AS58" s="3"/>
      <c r="AT58" s="3"/>
      <c r="AU58" s="4"/>
      <c r="AV58" s="3"/>
      <c r="AX58" s="3"/>
      <c r="AY58" s="3"/>
      <c r="AZ58" s="3"/>
      <c r="BB58" s="3"/>
      <c r="BC58" s="3"/>
    </row>
    <row r="59" spans="2:55" ht="17.100000000000001" customHeight="1">
      <c r="B59" s="50"/>
      <c r="C59" s="499"/>
      <c r="D59" s="6" t="s">
        <v>6</v>
      </c>
      <c r="E59" s="1" t="s">
        <v>37</v>
      </c>
      <c r="F59" s="520"/>
      <c r="G59" s="499"/>
      <c r="H59" s="6" t="s">
        <v>6</v>
      </c>
      <c r="I59" s="1"/>
      <c r="J59" s="497"/>
      <c r="K59" s="4"/>
      <c r="L59" s="499"/>
      <c r="M59" s="6" t="s">
        <v>6</v>
      </c>
      <c r="N59" s="1" t="s">
        <v>37</v>
      </c>
      <c r="O59" s="497"/>
      <c r="P59" s="499"/>
      <c r="Q59" s="6" t="s">
        <v>6</v>
      </c>
      <c r="R59" s="1"/>
      <c r="S59" s="522"/>
      <c r="T59" s="4"/>
      <c r="U59" s="499"/>
      <c r="V59" s="6" t="s">
        <v>6</v>
      </c>
      <c r="W59" s="1" t="s">
        <v>46</v>
      </c>
      <c r="X59" s="497"/>
      <c r="Y59" s="499"/>
      <c r="Z59" s="6" t="s">
        <v>6</v>
      </c>
      <c r="AA59" s="1"/>
      <c r="AB59" s="497"/>
      <c r="AC59" s="52"/>
      <c r="AD59" s="3"/>
      <c r="AF59" s="3"/>
      <c r="AG59" s="3"/>
      <c r="AH59" s="3"/>
      <c r="AJ59" s="3"/>
      <c r="AK59" s="3"/>
      <c r="AL59" s="3"/>
      <c r="AM59" s="3"/>
      <c r="AO59" s="3"/>
      <c r="AP59" s="3"/>
      <c r="AQ59" s="3"/>
      <c r="AS59" s="3"/>
      <c r="AT59" s="3"/>
      <c r="AU59" s="4"/>
      <c r="AV59" s="3"/>
      <c r="AX59" s="3"/>
      <c r="AY59" s="3"/>
      <c r="AZ59" s="3"/>
      <c r="BB59" s="3"/>
      <c r="BC59" s="3"/>
    </row>
    <row r="60" spans="2:55" ht="17.100000000000001" customHeight="1" thickBot="1">
      <c r="B60" s="50"/>
      <c r="C60" s="500"/>
      <c r="D60" s="9" t="s">
        <v>8</v>
      </c>
      <c r="E60" s="21" t="s">
        <v>25</v>
      </c>
      <c r="F60" s="521"/>
      <c r="G60" s="500"/>
      <c r="H60" s="9" t="s">
        <v>8</v>
      </c>
      <c r="I60" s="10"/>
      <c r="J60" s="498"/>
      <c r="K60" s="4"/>
      <c r="L60" s="500"/>
      <c r="M60" s="9" t="s">
        <v>8</v>
      </c>
      <c r="N60" s="21" t="s">
        <v>25</v>
      </c>
      <c r="O60" s="498"/>
      <c r="P60" s="500"/>
      <c r="Q60" s="9" t="s">
        <v>8</v>
      </c>
      <c r="R60" s="10"/>
      <c r="S60" s="523"/>
      <c r="T60" s="4"/>
      <c r="U60" s="500"/>
      <c r="V60" s="9" t="s">
        <v>8</v>
      </c>
      <c r="W60" s="21" t="s">
        <v>25</v>
      </c>
      <c r="X60" s="498"/>
      <c r="Y60" s="500"/>
      <c r="Z60" s="9" t="s">
        <v>8</v>
      </c>
      <c r="AA60" s="21"/>
      <c r="AB60" s="498"/>
      <c r="AC60" s="52"/>
      <c r="AD60" s="3"/>
      <c r="AF60" s="3"/>
      <c r="AG60" s="3"/>
      <c r="AH60" s="3"/>
      <c r="AJ60" s="3"/>
      <c r="AK60" s="3"/>
      <c r="AL60" s="3"/>
      <c r="AM60" s="3"/>
      <c r="AO60" s="3"/>
      <c r="AP60" s="3"/>
      <c r="AQ60" s="3"/>
      <c r="AS60" s="3"/>
      <c r="AT60" s="3"/>
      <c r="AU60" s="4"/>
      <c r="AV60" s="3"/>
      <c r="AX60" s="3"/>
      <c r="AY60" s="3"/>
      <c r="AZ60" s="3"/>
      <c r="BB60" s="3"/>
      <c r="BC60" s="3"/>
    </row>
    <row r="61" spans="2:55" s="24" customFormat="1" ht="17.100000000000001" customHeight="1">
      <c r="B61" s="53"/>
      <c r="C61" s="519">
        <f>SUM(F54:F60)</f>
        <v>2300000</v>
      </c>
      <c r="D61" s="519"/>
      <c r="E61" s="519"/>
      <c r="F61" s="519"/>
      <c r="G61" s="519">
        <f>SUM(J54:J60)</f>
        <v>800000</v>
      </c>
      <c r="H61" s="519"/>
      <c r="I61" s="519"/>
      <c r="J61" s="519"/>
      <c r="K61" s="27"/>
      <c r="L61" s="519">
        <f>SUM(O54:O60)</f>
        <v>2300000</v>
      </c>
      <c r="M61" s="519"/>
      <c r="N61" s="519"/>
      <c r="O61" s="519"/>
      <c r="P61" s="519">
        <f>SUM(S54:S60)</f>
        <v>800000</v>
      </c>
      <c r="Q61" s="519"/>
      <c r="R61" s="519"/>
      <c r="S61" s="519"/>
      <c r="T61" s="27"/>
      <c r="U61" s="501">
        <f>SUM(X54:X60)</f>
        <v>2400000</v>
      </c>
      <c r="V61" s="501"/>
      <c r="W61" s="501"/>
      <c r="X61" s="501"/>
      <c r="Y61" s="501">
        <f>SUM(AB54:AB60)</f>
        <v>800000</v>
      </c>
      <c r="Z61" s="501"/>
      <c r="AA61" s="501"/>
      <c r="AB61" s="501"/>
      <c r="AC61" s="54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27"/>
      <c r="AV61" s="3"/>
      <c r="AW61" s="3"/>
      <c r="AX61" s="3"/>
      <c r="AY61" s="3"/>
      <c r="AZ61" s="3"/>
      <c r="BA61" s="3"/>
      <c r="BB61" s="3"/>
      <c r="BC61" s="3"/>
    </row>
    <row r="62" spans="2:55" s="24" customFormat="1" ht="17.100000000000001" customHeight="1" thickBot="1">
      <c r="B62" s="53"/>
      <c r="C62" s="38"/>
      <c r="D62" s="42"/>
      <c r="E62" s="27"/>
      <c r="F62" s="38"/>
      <c r="G62" s="38"/>
      <c r="H62" s="42"/>
      <c r="I62" s="27"/>
      <c r="J62" s="38"/>
      <c r="K62" s="38"/>
      <c r="L62" s="38"/>
      <c r="M62" s="42"/>
      <c r="N62" s="27"/>
      <c r="O62" s="38"/>
      <c r="P62" s="38"/>
      <c r="Q62" s="42"/>
      <c r="R62" s="27"/>
      <c r="S62" s="38"/>
      <c r="T62" s="38"/>
      <c r="U62" s="38"/>
      <c r="V62" s="42"/>
      <c r="W62" s="27"/>
      <c r="X62" s="38"/>
      <c r="Y62" s="38"/>
      <c r="Z62" s="42"/>
      <c r="AA62" s="27"/>
      <c r="AB62" s="38"/>
      <c r="AC62" s="55"/>
      <c r="AE62" s="37"/>
      <c r="AF62" s="36"/>
      <c r="AI62" s="37"/>
      <c r="AJ62" s="36"/>
      <c r="AL62" s="38"/>
      <c r="AN62" s="37"/>
      <c r="AO62" s="36"/>
      <c r="AR62" s="37"/>
      <c r="AS62" s="36"/>
      <c r="AU62" s="38"/>
      <c r="AW62" s="37"/>
      <c r="AX62" s="36"/>
      <c r="BA62" s="37"/>
      <c r="BB62" s="36"/>
    </row>
    <row r="63" spans="2:55" ht="17.100000000000001" customHeight="1">
      <c r="B63" s="50"/>
      <c r="C63" s="515" t="s">
        <v>2</v>
      </c>
      <c r="D63" s="516"/>
      <c r="E63" s="12" t="s">
        <v>30</v>
      </c>
      <c r="F63" s="513" t="s">
        <v>18</v>
      </c>
      <c r="G63" s="515" t="s">
        <v>2</v>
      </c>
      <c r="H63" s="516"/>
      <c r="I63" s="12" t="s">
        <v>30</v>
      </c>
      <c r="J63" s="513" t="s">
        <v>18</v>
      </c>
      <c r="K63" s="13"/>
      <c r="L63" s="515" t="s">
        <v>2</v>
      </c>
      <c r="M63" s="516"/>
      <c r="N63" s="12" t="s">
        <v>31</v>
      </c>
      <c r="O63" s="513" t="s">
        <v>18</v>
      </c>
      <c r="P63" s="515" t="s">
        <v>2</v>
      </c>
      <c r="Q63" s="516"/>
      <c r="R63" s="12" t="s">
        <v>31</v>
      </c>
      <c r="S63" s="513" t="s">
        <v>18</v>
      </c>
      <c r="T63" s="13"/>
      <c r="U63" s="515" t="s">
        <v>2</v>
      </c>
      <c r="V63" s="516"/>
      <c r="W63" s="12" t="s">
        <v>40</v>
      </c>
      <c r="X63" s="513" t="s">
        <v>18</v>
      </c>
      <c r="Y63" s="515" t="s">
        <v>2</v>
      </c>
      <c r="Z63" s="516"/>
      <c r="AA63" s="12" t="s">
        <v>29</v>
      </c>
      <c r="AB63" s="513" t="s">
        <v>18</v>
      </c>
      <c r="AC63" s="51"/>
      <c r="AD63" s="3"/>
      <c r="AF63" s="3"/>
      <c r="AG63" s="3"/>
      <c r="AH63" s="3"/>
      <c r="AJ63" s="3"/>
      <c r="AK63" s="3"/>
      <c r="AL63" s="3"/>
      <c r="AM63" s="3"/>
      <c r="AO63" s="3"/>
      <c r="AP63" s="3"/>
      <c r="AQ63" s="3"/>
      <c r="AS63" s="3"/>
      <c r="AT63" s="3"/>
      <c r="AU63" s="13"/>
      <c r="AV63" s="3"/>
      <c r="AX63" s="3"/>
      <c r="AY63" s="3"/>
      <c r="AZ63" s="3"/>
      <c r="BB63" s="3"/>
      <c r="BC63" s="3"/>
    </row>
    <row r="64" spans="2:55" ht="17.100000000000001" customHeight="1">
      <c r="B64" s="50"/>
      <c r="C64" s="517" t="s">
        <v>3</v>
      </c>
      <c r="D64" s="518"/>
      <c r="E64" s="5">
        <v>43027</v>
      </c>
      <c r="F64" s="514"/>
      <c r="G64" s="517" t="s">
        <v>3</v>
      </c>
      <c r="H64" s="518"/>
      <c r="I64" s="5">
        <v>43027</v>
      </c>
      <c r="J64" s="514"/>
      <c r="K64" s="13"/>
      <c r="L64" s="517" t="s">
        <v>3</v>
      </c>
      <c r="M64" s="518"/>
      <c r="N64" s="5"/>
      <c r="O64" s="514"/>
      <c r="P64" s="517" t="s">
        <v>3</v>
      </c>
      <c r="Q64" s="518"/>
      <c r="R64" s="5"/>
      <c r="S64" s="514"/>
      <c r="T64" s="13"/>
      <c r="U64" s="517" t="s">
        <v>3</v>
      </c>
      <c r="V64" s="518"/>
      <c r="W64" s="5">
        <v>43028</v>
      </c>
      <c r="X64" s="514"/>
      <c r="Y64" s="517" t="s">
        <v>3</v>
      </c>
      <c r="Z64" s="518"/>
      <c r="AA64" s="5">
        <v>43026</v>
      </c>
      <c r="AB64" s="514"/>
      <c r="AC64" s="51"/>
      <c r="AD64" s="3"/>
      <c r="AF64" s="3"/>
      <c r="AG64" s="3"/>
      <c r="AH64" s="3"/>
      <c r="AJ64" s="3"/>
      <c r="AK64" s="3"/>
      <c r="AL64" s="3"/>
      <c r="AM64" s="3"/>
      <c r="AO64" s="3"/>
      <c r="AP64" s="3"/>
      <c r="AQ64" s="3"/>
      <c r="AS64" s="3"/>
      <c r="AT64" s="3"/>
      <c r="AU64" s="13"/>
      <c r="AV64" s="3"/>
      <c r="AX64" s="3"/>
      <c r="AY64" s="3"/>
      <c r="AZ64" s="3"/>
      <c r="BB64" s="3"/>
      <c r="BC64" s="3"/>
    </row>
    <row r="65" spans="2:55" ht="17.100000000000001" customHeight="1">
      <c r="B65" s="50"/>
      <c r="C65" s="505" t="s">
        <v>1</v>
      </c>
      <c r="D65" s="506"/>
      <c r="E65" s="5" t="s">
        <v>20</v>
      </c>
      <c r="F65" s="502">
        <f>1000000*2</f>
        <v>2000000</v>
      </c>
      <c r="G65" s="505" t="s">
        <v>1</v>
      </c>
      <c r="H65" s="506"/>
      <c r="I65" s="25" t="s">
        <v>26</v>
      </c>
      <c r="J65" s="502">
        <v>800000</v>
      </c>
      <c r="K65" s="13"/>
      <c r="L65" s="505" t="s">
        <v>1</v>
      </c>
      <c r="M65" s="506"/>
      <c r="N65" s="5" t="s">
        <v>20</v>
      </c>
      <c r="O65" s="502">
        <v>2000000</v>
      </c>
      <c r="P65" s="505" t="s">
        <v>1</v>
      </c>
      <c r="Q65" s="506"/>
      <c r="R65" s="25" t="s">
        <v>26</v>
      </c>
      <c r="S65" s="502">
        <v>800000</v>
      </c>
      <c r="T65" s="13"/>
      <c r="U65" s="505" t="s">
        <v>1</v>
      </c>
      <c r="V65" s="506"/>
      <c r="W65" s="5" t="s">
        <v>20</v>
      </c>
      <c r="X65" s="502">
        <v>800000</v>
      </c>
      <c r="Y65" s="505" t="s">
        <v>1</v>
      </c>
      <c r="Z65" s="506"/>
      <c r="AA65" s="25" t="s">
        <v>26</v>
      </c>
      <c r="AB65" s="502"/>
      <c r="AC65" s="51"/>
      <c r="AD65" s="3"/>
      <c r="AF65" s="3"/>
      <c r="AG65" s="3"/>
      <c r="AH65" s="3"/>
      <c r="AJ65" s="3"/>
      <c r="AK65" s="3"/>
      <c r="AL65" s="3"/>
      <c r="AM65" s="3"/>
      <c r="AO65" s="3"/>
      <c r="AP65" s="3"/>
      <c r="AQ65" s="3"/>
      <c r="AS65" s="3"/>
      <c r="AT65" s="3"/>
      <c r="AU65" s="13"/>
      <c r="AV65" s="3"/>
      <c r="AX65" s="3"/>
      <c r="AY65" s="3"/>
      <c r="AZ65" s="3"/>
      <c r="BB65" s="3"/>
      <c r="BC65" s="3"/>
    </row>
    <row r="66" spans="2:55" ht="17.100000000000001" customHeight="1">
      <c r="B66" s="50"/>
      <c r="C66" s="499" t="s">
        <v>12</v>
      </c>
      <c r="D66" s="6" t="s">
        <v>10</v>
      </c>
      <c r="E66" s="1" t="s">
        <v>24</v>
      </c>
      <c r="F66" s="503"/>
      <c r="G66" s="499" t="s">
        <v>12</v>
      </c>
      <c r="H66" s="6" t="s">
        <v>10</v>
      </c>
      <c r="I66" s="1" t="s">
        <v>24</v>
      </c>
      <c r="J66" s="503"/>
      <c r="K66" s="4"/>
      <c r="L66" s="499" t="s">
        <v>12</v>
      </c>
      <c r="M66" s="6" t="s">
        <v>10</v>
      </c>
      <c r="N66" s="1" t="s">
        <v>24</v>
      </c>
      <c r="O66" s="503"/>
      <c r="P66" s="499" t="s">
        <v>12</v>
      </c>
      <c r="Q66" s="6" t="s">
        <v>10</v>
      </c>
      <c r="R66" s="1" t="s">
        <v>24</v>
      </c>
      <c r="S66" s="503"/>
      <c r="T66" s="4"/>
      <c r="U66" s="499" t="s">
        <v>12</v>
      </c>
      <c r="V66" s="6" t="s">
        <v>10</v>
      </c>
      <c r="W66" s="1" t="s">
        <v>24</v>
      </c>
      <c r="X66" s="503"/>
      <c r="Y66" s="499" t="s">
        <v>12</v>
      </c>
      <c r="Z66" s="6" t="s">
        <v>10</v>
      </c>
      <c r="AA66" s="1"/>
      <c r="AB66" s="503"/>
      <c r="AC66" s="52"/>
      <c r="AD66" s="3"/>
      <c r="AF66" s="3"/>
      <c r="AG66" s="3"/>
      <c r="AH66" s="3"/>
      <c r="AJ66" s="3"/>
      <c r="AK66" s="3"/>
      <c r="AL66" s="3"/>
      <c r="AM66" s="3"/>
      <c r="AO66" s="3"/>
      <c r="AP66" s="3"/>
      <c r="AQ66" s="3"/>
      <c r="AS66" s="3"/>
      <c r="AT66" s="3"/>
      <c r="AU66" s="4"/>
      <c r="AV66" s="3"/>
      <c r="AX66" s="3"/>
      <c r="AY66" s="3"/>
      <c r="AZ66" s="3"/>
      <c r="BB66" s="3"/>
      <c r="BC66" s="3"/>
    </row>
    <row r="67" spans="2:55" ht="17.100000000000001" customHeight="1">
      <c r="B67" s="50"/>
      <c r="C67" s="499"/>
      <c r="D67" s="6" t="s">
        <v>6</v>
      </c>
      <c r="E67" s="1" t="s">
        <v>39</v>
      </c>
      <c r="F67" s="503"/>
      <c r="G67" s="499"/>
      <c r="H67" s="6" t="s">
        <v>6</v>
      </c>
      <c r="I67" s="1" t="s">
        <v>7</v>
      </c>
      <c r="J67" s="503"/>
      <c r="K67" s="4"/>
      <c r="L67" s="499"/>
      <c r="M67" s="6" t="s">
        <v>6</v>
      </c>
      <c r="N67" s="1" t="s">
        <v>36</v>
      </c>
      <c r="O67" s="503"/>
      <c r="P67" s="499"/>
      <c r="Q67" s="6" t="s">
        <v>6</v>
      </c>
      <c r="R67" s="1" t="s">
        <v>7</v>
      </c>
      <c r="S67" s="503"/>
      <c r="T67" s="4"/>
      <c r="U67" s="499"/>
      <c r="V67" s="6" t="s">
        <v>6</v>
      </c>
      <c r="W67" s="1" t="s">
        <v>44</v>
      </c>
      <c r="X67" s="503"/>
      <c r="Y67" s="499"/>
      <c r="Z67" s="6" t="s">
        <v>6</v>
      </c>
      <c r="AA67" s="1"/>
      <c r="AB67" s="503"/>
      <c r="AC67" s="52"/>
      <c r="AD67" s="3"/>
      <c r="AF67" s="3"/>
      <c r="AG67" s="3"/>
      <c r="AH67" s="3"/>
      <c r="AJ67" s="3"/>
      <c r="AK67" s="3"/>
      <c r="AL67" s="3"/>
      <c r="AM67" s="3"/>
      <c r="AO67" s="3"/>
      <c r="AP67" s="3"/>
      <c r="AQ67" s="3"/>
      <c r="AS67" s="3"/>
      <c r="AT67" s="3"/>
      <c r="AU67" s="4"/>
      <c r="AV67" s="3"/>
      <c r="AX67" s="3"/>
      <c r="AY67" s="3"/>
      <c r="AZ67" s="3"/>
      <c r="BB67" s="3"/>
      <c r="BC67" s="3"/>
    </row>
    <row r="68" spans="2:55" ht="17.100000000000001" customHeight="1">
      <c r="B68" s="50"/>
      <c r="C68" s="499"/>
      <c r="D68" s="6" t="s">
        <v>8</v>
      </c>
      <c r="E68" s="7" t="s">
        <v>9</v>
      </c>
      <c r="F68" s="504"/>
      <c r="G68" s="499"/>
      <c r="H68" s="6" t="s">
        <v>8</v>
      </c>
      <c r="I68" s="7" t="s">
        <v>25</v>
      </c>
      <c r="J68" s="504"/>
      <c r="K68" s="4"/>
      <c r="L68" s="499"/>
      <c r="M68" s="6" t="s">
        <v>8</v>
      </c>
      <c r="N68" s="7" t="s">
        <v>9</v>
      </c>
      <c r="O68" s="504"/>
      <c r="P68" s="499"/>
      <c r="Q68" s="6" t="s">
        <v>8</v>
      </c>
      <c r="R68" s="7" t="s">
        <v>25</v>
      </c>
      <c r="S68" s="504"/>
      <c r="T68" s="4"/>
      <c r="U68" s="499"/>
      <c r="V68" s="6" t="s">
        <v>8</v>
      </c>
      <c r="W68" s="7" t="s">
        <v>9</v>
      </c>
      <c r="X68" s="504"/>
      <c r="Y68" s="499"/>
      <c r="Z68" s="6" t="s">
        <v>8</v>
      </c>
      <c r="AA68" s="7"/>
      <c r="AB68" s="504"/>
      <c r="AC68" s="52"/>
      <c r="AD68" s="3"/>
      <c r="AF68" s="3"/>
      <c r="AG68" s="3"/>
      <c r="AH68" s="3"/>
      <c r="AJ68" s="3"/>
      <c r="AK68" s="3"/>
      <c r="AL68" s="3"/>
      <c r="AM68" s="3"/>
      <c r="AO68" s="3"/>
      <c r="AP68" s="3"/>
      <c r="AQ68" s="3"/>
      <c r="AS68" s="3"/>
      <c r="AT68" s="3"/>
      <c r="AU68" s="4"/>
      <c r="AV68" s="3"/>
      <c r="AX68" s="3"/>
      <c r="AY68" s="3"/>
      <c r="AZ68" s="3"/>
      <c r="BB68" s="3"/>
      <c r="BC68" s="3"/>
    </row>
    <row r="69" spans="2:55" ht="17.100000000000001" customHeight="1">
      <c r="B69" s="50"/>
      <c r="C69" s="499" t="s">
        <v>11</v>
      </c>
      <c r="D69" s="6" t="s">
        <v>10</v>
      </c>
      <c r="E69" s="7" t="s">
        <v>24</v>
      </c>
      <c r="F69" s="497">
        <v>400000</v>
      </c>
      <c r="G69" s="499" t="s">
        <v>11</v>
      </c>
      <c r="H69" s="6" t="s">
        <v>10</v>
      </c>
      <c r="I69" s="7"/>
      <c r="J69" s="497"/>
      <c r="K69" s="4"/>
      <c r="L69" s="499" t="s">
        <v>11</v>
      </c>
      <c r="M69" s="6" t="s">
        <v>10</v>
      </c>
      <c r="N69" s="7" t="s">
        <v>24</v>
      </c>
      <c r="O69" s="497">
        <v>300000</v>
      </c>
      <c r="P69" s="499" t="s">
        <v>11</v>
      </c>
      <c r="Q69" s="6" t="s">
        <v>10</v>
      </c>
      <c r="R69" s="7"/>
      <c r="S69" s="497"/>
      <c r="T69" s="4"/>
      <c r="U69" s="499" t="s">
        <v>12</v>
      </c>
      <c r="V69" s="6" t="s">
        <v>10</v>
      </c>
      <c r="W69" s="7"/>
      <c r="X69" s="497"/>
      <c r="Y69" s="499" t="s">
        <v>11</v>
      </c>
      <c r="Z69" s="6" t="s">
        <v>10</v>
      </c>
      <c r="AA69" s="7"/>
      <c r="AB69" s="497"/>
      <c r="AC69" s="52"/>
      <c r="AD69" s="3"/>
      <c r="AF69" s="3"/>
      <c r="AG69" s="3"/>
      <c r="AH69" s="3"/>
      <c r="AJ69" s="3"/>
      <c r="AK69" s="3"/>
      <c r="AL69" s="3"/>
      <c r="AM69" s="3"/>
      <c r="AO69" s="3"/>
      <c r="AP69" s="3"/>
      <c r="AQ69" s="3"/>
      <c r="AS69" s="3"/>
      <c r="AT69" s="3"/>
      <c r="AU69" s="4"/>
      <c r="AV69" s="3"/>
      <c r="AX69" s="3"/>
      <c r="AY69" s="3"/>
      <c r="AZ69" s="3"/>
      <c r="BB69" s="3"/>
      <c r="BC69" s="3"/>
    </row>
    <row r="70" spans="2:55" ht="17.100000000000001" customHeight="1">
      <c r="B70" s="50"/>
      <c r="C70" s="499"/>
      <c r="D70" s="6" t="s">
        <v>6</v>
      </c>
      <c r="E70" s="1" t="s">
        <v>46</v>
      </c>
      <c r="F70" s="497"/>
      <c r="G70" s="499"/>
      <c r="H70" s="6" t="s">
        <v>6</v>
      </c>
      <c r="I70" s="1"/>
      <c r="J70" s="497"/>
      <c r="K70" s="4"/>
      <c r="L70" s="499"/>
      <c r="M70" s="6" t="s">
        <v>6</v>
      </c>
      <c r="N70" s="1" t="s">
        <v>37</v>
      </c>
      <c r="O70" s="497"/>
      <c r="P70" s="499"/>
      <c r="Q70" s="6" t="s">
        <v>6</v>
      </c>
      <c r="R70" s="1"/>
      <c r="S70" s="497"/>
      <c r="T70" s="4"/>
      <c r="U70" s="499"/>
      <c r="V70" s="6" t="s">
        <v>6</v>
      </c>
      <c r="W70" s="1"/>
      <c r="X70" s="497"/>
      <c r="Y70" s="499"/>
      <c r="Z70" s="6" t="s">
        <v>6</v>
      </c>
      <c r="AA70" s="1"/>
      <c r="AB70" s="497"/>
      <c r="AC70" s="52"/>
      <c r="AD70" s="3"/>
      <c r="AF70" s="3"/>
      <c r="AG70" s="3"/>
      <c r="AH70" s="3"/>
      <c r="AJ70" s="3"/>
      <c r="AK70" s="3"/>
      <c r="AL70" s="3"/>
      <c r="AM70" s="3"/>
      <c r="AO70" s="3"/>
      <c r="AP70" s="3"/>
      <c r="AQ70" s="3"/>
      <c r="AS70" s="3"/>
      <c r="AT70" s="3"/>
      <c r="AU70" s="4"/>
      <c r="AV70" s="3"/>
      <c r="AX70" s="3"/>
      <c r="AY70" s="3"/>
      <c r="AZ70" s="3"/>
      <c r="BB70" s="3"/>
      <c r="BC70" s="3"/>
    </row>
    <row r="71" spans="2:55" ht="17.100000000000001" customHeight="1" thickBot="1">
      <c r="B71" s="50"/>
      <c r="C71" s="500"/>
      <c r="D71" s="9" t="s">
        <v>8</v>
      </c>
      <c r="E71" s="21" t="s">
        <v>25</v>
      </c>
      <c r="F71" s="498"/>
      <c r="G71" s="500"/>
      <c r="H71" s="9" t="s">
        <v>8</v>
      </c>
      <c r="I71" s="21"/>
      <c r="J71" s="498"/>
      <c r="K71" s="4"/>
      <c r="L71" s="500"/>
      <c r="M71" s="9" t="s">
        <v>8</v>
      </c>
      <c r="N71" s="21" t="s">
        <v>25</v>
      </c>
      <c r="O71" s="498"/>
      <c r="P71" s="500"/>
      <c r="Q71" s="9" t="s">
        <v>8</v>
      </c>
      <c r="R71" s="21"/>
      <c r="S71" s="498"/>
      <c r="T71" s="4"/>
      <c r="U71" s="500"/>
      <c r="V71" s="9" t="s">
        <v>8</v>
      </c>
      <c r="W71" s="21"/>
      <c r="X71" s="498"/>
      <c r="Y71" s="500"/>
      <c r="Z71" s="9" t="s">
        <v>8</v>
      </c>
      <c r="AA71" s="21"/>
      <c r="AB71" s="498"/>
      <c r="AC71" s="52"/>
      <c r="AD71" s="3"/>
      <c r="AF71" s="3"/>
      <c r="AG71" s="3"/>
      <c r="AH71" s="3"/>
      <c r="AJ71" s="3"/>
      <c r="AK71" s="3"/>
      <c r="AL71" s="3"/>
      <c r="AM71" s="3"/>
      <c r="AO71" s="3"/>
      <c r="AP71" s="3"/>
      <c r="AQ71" s="3"/>
      <c r="AS71" s="3"/>
      <c r="AT71" s="3"/>
      <c r="AU71" s="4"/>
      <c r="AV71" s="3"/>
      <c r="AX71" s="3"/>
      <c r="AY71" s="3"/>
      <c r="AZ71" s="3"/>
      <c r="BB71" s="3"/>
      <c r="BC71" s="3"/>
    </row>
    <row r="72" spans="2:55" s="24" customFormat="1" ht="17.100000000000001" customHeight="1">
      <c r="B72" s="53"/>
      <c r="C72" s="501">
        <f>SUM(F65:F71)</f>
        <v>2400000</v>
      </c>
      <c r="D72" s="501"/>
      <c r="E72" s="501"/>
      <c r="F72" s="501"/>
      <c r="G72" s="501">
        <f>SUM(J65:J71)</f>
        <v>800000</v>
      </c>
      <c r="H72" s="501"/>
      <c r="I72" s="501"/>
      <c r="J72" s="501"/>
      <c r="K72" s="27"/>
      <c r="L72" s="501">
        <f>SUM(O65:O71)</f>
        <v>2300000</v>
      </c>
      <c r="M72" s="501"/>
      <c r="N72" s="501"/>
      <c r="O72" s="501"/>
      <c r="P72" s="501">
        <f>SUM(S65:S71)</f>
        <v>800000</v>
      </c>
      <c r="Q72" s="501"/>
      <c r="R72" s="501"/>
      <c r="S72" s="501"/>
      <c r="T72" s="27"/>
      <c r="U72" s="501">
        <f>SUM(X65:X71)</f>
        <v>800000</v>
      </c>
      <c r="V72" s="501"/>
      <c r="W72" s="501"/>
      <c r="X72" s="501"/>
      <c r="Y72" s="501">
        <f>SUM(AB65:AB71)</f>
        <v>0</v>
      </c>
      <c r="Z72" s="501"/>
      <c r="AA72" s="501"/>
      <c r="AB72" s="501"/>
      <c r="AC72" s="54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27"/>
      <c r="AV72" s="3"/>
      <c r="AW72" s="3"/>
      <c r="AX72" s="3"/>
      <c r="AY72" s="3"/>
      <c r="AZ72" s="3"/>
      <c r="BA72" s="3"/>
      <c r="BB72" s="3"/>
      <c r="BC72" s="3"/>
    </row>
    <row r="73" spans="2:55" s="39" customFormat="1" ht="30" customHeight="1">
      <c r="B73" s="56"/>
      <c r="C73" s="496" t="s">
        <v>45</v>
      </c>
      <c r="D73" s="496"/>
      <c r="E73" s="496"/>
      <c r="F73" s="496"/>
      <c r="G73" s="496"/>
      <c r="H73" s="496"/>
      <c r="I73" s="496"/>
      <c r="J73" s="496"/>
      <c r="K73" s="496"/>
      <c r="L73" s="496"/>
      <c r="M73" s="496"/>
      <c r="N73" s="555">
        <f>+SUM(C72:AB72,C61:AB61)</f>
        <v>16500000</v>
      </c>
      <c r="O73" s="555"/>
      <c r="P73" s="555"/>
      <c r="Q73" s="555"/>
      <c r="R73" s="555"/>
      <c r="S73" s="555"/>
      <c r="T73" s="555"/>
      <c r="U73" s="555"/>
      <c r="V73" s="555"/>
      <c r="W73" s="555"/>
      <c r="X73" s="555"/>
      <c r="Y73" s="555"/>
      <c r="Z73" s="555"/>
      <c r="AA73" s="555"/>
      <c r="AB73" s="555"/>
      <c r="AC73" s="57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W73" s="40"/>
      <c r="BA73" s="40"/>
    </row>
    <row r="74" spans="2:55" s="24" customFormat="1" ht="17.100000000000001" customHeight="1" thickBot="1">
      <c r="B74" s="58"/>
      <c r="C74" s="59"/>
      <c r="D74" s="60"/>
      <c r="E74" s="61"/>
      <c r="F74" s="59"/>
      <c r="G74" s="59"/>
      <c r="H74" s="60"/>
      <c r="I74" s="61"/>
      <c r="J74" s="59"/>
      <c r="K74" s="59"/>
      <c r="L74" s="59"/>
      <c r="M74" s="60"/>
      <c r="N74" s="61"/>
      <c r="O74" s="59"/>
      <c r="P74" s="59"/>
      <c r="Q74" s="60"/>
      <c r="R74" s="61"/>
      <c r="S74" s="59"/>
      <c r="T74" s="59"/>
      <c r="U74" s="59"/>
      <c r="V74" s="60"/>
      <c r="W74" s="61"/>
      <c r="X74" s="59"/>
      <c r="Y74" s="59"/>
      <c r="Z74" s="60"/>
      <c r="AA74" s="61"/>
      <c r="AB74" s="59"/>
      <c r="AC74" s="62"/>
      <c r="AE74" s="37"/>
      <c r="AF74" s="36"/>
      <c r="AI74" s="37"/>
      <c r="AJ74" s="36"/>
      <c r="AL74" s="38"/>
      <c r="AN74" s="37"/>
      <c r="AO74" s="36"/>
      <c r="AR74" s="37"/>
      <c r="AS74" s="36"/>
      <c r="AU74" s="38"/>
      <c r="AW74" s="37"/>
      <c r="AX74" s="36"/>
      <c r="BA74" s="37"/>
      <c r="BB74" s="36"/>
    </row>
    <row r="75" spans="2:55" ht="17.100000000000001" customHeight="1" thickTop="1" thickBot="1"/>
    <row r="76" spans="2:55" ht="17.100000000000001" customHeight="1" thickTop="1">
      <c r="B76" s="43"/>
      <c r="C76" s="44"/>
      <c r="D76" s="44"/>
      <c r="E76" s="44"/>
      <c r="F76" s="44"/>
      <c r="G76" s="45"/>
      <c r="H76" s="46"/>
      <c r="I76" s="47"/>
      <c r="J76" s="48"/>
      <c r="K76" s="45"/>
      <c r="L76" s="45"/>
      <c r="M76" s="46"/>
      <c r="N76" s="47"/>
      <c r="O76" s="48"/>
      <c r="P76" s="45"/>
      <c r="Q76" s="46"/>
      <c r="R76" s="47"/>
      <c r="S76" s="45"/>
      <c r="T76" s="45"/>
      <c r="U76" s="45"/>
      <c r="V76" s="46"/>
      <c r="W76" s="47"/>
      <c r="X76" s="45"/>
      <c r="Y76" s="45"/>
      <c r="Z76" s="46"/>
      <c r="AA76" s="47"/>
      <c r="AB76" s="45"/>
      <c r="AC76" s="49"/>
    </row>
    <row r="77" spans="2:55" ht="30" customHeight="1" thickBot="1">
      <c r="B77" s="50"/>
      <c r="C77" s="524" t="s">
        <v>48</v>
      </c>
      <c r="D77" s="524"/>
      <c r="E77" s="524"/>
      <c r="F77" s="524"/>
      <c r="G77" s="524"/>
      <c r="H77" s="524"/>
      <c r="I77" s="524"/>
      <c r="J77" s="524"/>
      <c r="O77" s="38"/>
      <c r="AC77" s="63"/>
    </row>
    <row r="78" spans="2:55" ht="17.100000000000001" customHeight="1">
      <c r="B78" s="50"/>
      <c r="C78" s="515" t="s">
        <v>2</v>
      </c>
      <c r="D78" s="516"/>
      <c r="E78" s="12" t="s">
        <v>4</v>
      </c>
      <c r="F78" s="525" t="s">
        <v>27</v>
      </c>
      <c r="G78" s="515" t="s">
        <v>2</v>
      </c>
      <c r="H78" s="516"/>
      <c r="I78" s="26" t="s">
        <v>4</v>
      </c>
      <c r="J78" s="527" t="s">
        <v>27</v>
      </c>
      <c r="K78" s="13"/>
      <c r="L78" s="515" t="s">
        <v>2</v>
      </c>
      <c r="M78" s="516"/>
      <c r="N78" s="12" t="s">
        <v>23</v>
      </c>
      <c r="O78" s="527" t="s">
        <v>27</v>
      </c>
      <c r="P78" s="515" t="s">
        <v>2</v>
      </c>
      <c r="Q78" s="516"/>
      <c r="R78" s="26" t="s">
        <v>23</v>
      </c>
      <c r="S78" s="513" t="s">
        <v>18</v>
      </c>
      <c r="T78" s="13"/>
      <c r="U78" s="515" t="s">
        <v>2</v>
      </c>
      <c r="V78" s="516"/>
      <c r="W78" s="12" t="s">
        <v>29</v>
      </c>
      <c r="X78" s="513" t="s">
        <v>18</v>
      </c>
      <c r="Y78" s="515" t="s">
        <v>2</v>
      </c>
      <c r="Z78" s="516"/>
      <c r="AA78" s="12" t="s">
        <v>29</v>
      </c>
      <c r="AB78" s="513" t="s">
        <v>18</v>
      </c>
      <c r="AC78" s="51"/>
      <c r="AD78" s="3"/>
      <c r="AF78" s="3"/>
      <c r="AG78" s="3"/>
      <c r="AH78" s="3"/>
      <c r="AJ78" s="3"/>
      <c r="AK78" s="3"/>
      <c r="AL78" s="3"/>
      <c r="AM78" s="3"/>
      <c r="AO78" s="3"/>
      <c r="AP78" s="3"/>
      <c r="AQ78" s="3"/>
      <c r="AS78" s="3"/>
      <c r="AT78" s="3"/>
      <c r="AU78" s="13"/>
      <c r="AV78" s="3"/>
      <c r="AX78" s="3"/>
      <c r="AY78" s="3"/>
      <c r="AZ78" s="3"/>
      <c r="BB78" s="3"/>
      <c r="BC78" s="3"/>
    </row>
    <row r="79" spans="2:55" ht="17.100000000000001" customHeight="1">
      <c r="B79" s="50"/>
      <c r="C79" s="517" t="s">
        <v>3</v>
      </c>
      <c r="D79" s="518"/>
      <c r="E79" s="5">
        <v>43031</v>
      </c>
      <c r="F79" s="526"/>
      <c r="G79" s="517" t="s">
        <v>3</v>
      </c>
      <c r="H79" s="518"/>
      <c r="I79" s="25">
        <v>43031</v>
      </c>
      <c r="J79" s="528"/>
      <c r="K79" s="13"/>
      <c r="L79" s="517" t="s">
        <v>3</v>
      </c>
      <c r="M79" s="518"/>
      <c r="N79" s="5">
        <v>43032</v>
      </c>
      <c r="O79" s="528"/>
      <c r="P79" s="517" t="s">
        <v>3</v>
      </c>
      <c r="Q79" s="518"/>
      <c r="R79" s="25">
        <v>43032</v>
      </c>
      <c r="S79" s="514"/>
      <c r="T79" s="13"/>
      <c r="U79" s="517" t="s">
        <v>3</v>
      </c>
      <c r="V79" s="518"/>
      <c r="W79" s="5">
        <v>43033</v>
      </c>
      <c r="X79" s="514"/>
      <c r="Y79" s="517" t="s">
        <v>3</v>
      </c>
      <c r="Z79" s="518"/>
      <c r="AA79" s="5">
        <v>43033</v>
      </c>
      <c r="AB79" s="514"/>
      <c r="AC79" s="51"/>
      <c r="AD79" s="3"/>
      <c r="AF79" s="3"/>
      <c r="AG79" s="3"/>
      <c r="AH79" s="3"/>
      <c r="AJ79" s="3"/>
      <c r="AK79" s="3"/>
      <c r="AL79" s="3"/>
      <c r="AM79" s="3"/>
      <c r="AO79" s="3"/>
      <c r="AP79" s="3"/>
      <c r="AQ79" s="3"/>
      <c r="AS79" s="3"/>
      <c r="AT79" s="3"/>
      <c r="AU79" s="13"/>
      <c r="AV79" s="3"/>
      <c r="AX79" s="3"/>
      <c r="AY79" s="3"/>
      <c r="AZ79" s="3"/>
      <c r="BB79" s="3"/>
      <c r="BC79" s="3"/>
    </row>
    <row r="80" spans="2:55" ht="17.100000000000001" customHeight="1">
      <c r="B80" s="50"/>
      <c r="C80" s="505" t="s">
        <v>1</v>
      </c>
      <c r="D80" s="506"/>
      <c r="E80" s="5" t="s">
        <v>20</v>
      </c>
      <c r="F80" s="507">
        <f>1000000+800000</f>
        <v>1800000</v>
      </c>
      <c r="G80" s="505" t="s">
        <v>1</v>
      </c>
      <c r="H80" s="506"/>
      <c r="I80" s="25" t="s">
        <v>26</v>
      </c>
      <c r="J80" s="510">
        <v>1000000</v>
      </c>
      <c r="K80" s="13"/>
      <c r="L80" s="505" t="s">
        <v>1</v>
      </c>
      <c r="M80" s="506"/>
      <c r="N80" s="5" t="s">
        <v>20</v>
      </c>
      <c r="O80" s="507">
        <f>1000000+800000</f>
        <v>1800000</v>
      </c>
      <c r="P80" s="505" t="s">
        <v>1</v>
      </c>
      <c r="Q80" s="506"/>
      <c r="R80" s="25" t="s">
        <v>26</v>
      </c>
      <c r="S80" s="510">
        <v>1000000</v>
      </c>
      <c r="T80" s="13"/>
      <c r="U80" s="505" t="s">
        <v>1</v>
      </c>
      <c r="V80" s="506"/>
      <c r="W80" s="5" t="s">
        <v>20</v>
      </c>
      <c r="X80" s="507">
        <f>1000000+800000</f>
        <v>1800000</v>
      </c>
      <c r="Y80" s="505" t="s">
        <v>1</v>
      </c>
      <c r="Z80" s="506"/>
      <c r="AA80" s="25" t="s">
        <v>26</v>
      </c>
      <c r="AB80" s="510">
        <v>1000000</v>
      </c>
      <c r="AC80" s="51"/>
      <c r="AD80" s="3"/>
      <c r="AF80" s="3"/>
      <c r="AG80" s="3"/>
      <c r="AH80" s="3"/>
      <c r="AJ80" s="3"/>
      <c r="AK80" s="3"/>
      <c r="AL80" s="3"/>
      <c r="AM80" s="3"/>
      <c r="AO80" s="3"/>
      <c r="AP80" s="3"/>
      <c r="AQ80" s="3"/>
      <c r="AS80" s="3"/>
      <c r="AT80" s="3"/>
      <c r="AU80" s="13"/>
      <c r="AV80" s="3"/>
      <c r="AX80" s="3"/>
      <c r="AY80" s="3"/>
      <c r="AZ80" s="3"/>
      <c r="BB80" s="3"/>
      <c r="BC80" s="3"/>
    </row>
    <row r="81" spans="2:55" ht="17.100000000000001" customHeight="1">
      <c r="B81" s="50"/>
      <c r="C81" s="499" t="s">
        <v>12</v>
      </c>
      <c r="D81" s="6" t="s">
        <v>10</v>
      </c>
      <c r="E81" s="1" t="s">
        <v>24</v>
      </c>
      <c r="F81" s="508"/>
      <c r="G81" s="499" t="s">
        <v>12</v>
      </c>
      <c r="H81" s="6" t="s">
        <v>10</v>
      </c>
      <c r="I81" s="1" t="s">
        <v>24</v>
      </c>
      <c r="J81" s="511"/>
      <c r="K81" s="4"/>
      <c r="L81" s="499" t="s">
        <v>12</v>
      </c>
      <c r="M81" s="6" t="s">
        <v>10</v>
      </c>
      <c r="N81" s="1" t="s">
        <v>24</v>
      </c>
      <c r="O81" s="508"/>
      <c r="P81" s="499" t="s">
        <v>12</v>
      </c>
      <c r="Q81" s="6" t="s">
        <v>10</v>
      </c>
      <c r="R81" s="1" t="s">
        <v>24</v>
      </c>
      <c r="S81" s="511"/>
      <c r="T81" s="4"/>
      <c r="U81" s="499" t="s">
        <v>12</v>
      </c>
      <c r="V81" s="6" t="s">
        <v>10</v>
      </c>
      <c r="W81" s="1" t="s">
        <v>24</v>
      </c>
      <c r="X81" s="508"/>
      <c r="Y81" s="499" t="s">
        <v>12</v>
      </c>
      <c r="Z81" s="6" t="s">
        <v>10</v>
      </c>
      <c r="AA81" s="1" t="s">
        <v>24</v>
      </c>
      <c r="AB81" s="511"/>
      <c r="AC81" s="52"/>
      <c r="AD81" s="3"/>
      <c r="AF81" s="3"/>
      <c r="AG81" s="3"/>
      <c r="AH81" s="3"/>
      <c r="AJ81" s="3"/>
      <c r="AK81" s="3"/>
      <c r="AL81" s="3"/>
      <c r="AM81" s="3"/>
      <c r="AO81" s="3"/>
      <c r="AP81" s="3"/>
      <c r="AQ81" s="3"/>
      <c r="AS81" s="3"/>
      <c r="AT81" s="3"/>
      <c r="AU81" s="4"/>
      <c r="AV81" s="3"/>
      <c r="AX81" s="3"/>
      <c r="AY81" s="3"/>
      <c r="AZ81" s="3"/>
      <c r="BB81" s="3"/>
      <c r="BC81" s="3"/>
    </row>
    <row r="82" spans="2:55" ht="17.100000000000001" customHeight="1">
      <c r="B82" s="50"/>
      <c r="C82" s="499"/>
      <c r="D82" s="6" t="s">
        <v>6</v>
      </c>
      <c r="E82" s="1" t="s">
        <v>49</v>
      </c>
      <c r="F82" s="508"/>
      <c r="G82" s="499"/>
      <c r="H82" s="6" t="s">
        <v>6</v>
      </c>
      <c r="I82" s="1" t="s">
        <v>7</v>
      </c>
      <c r="J82" s="511"/>
      <c r="K82" s="4"/>
      <c r="L82" s="499"/>
      <c r="M82" s="6" t="s">
        <v>6</v>
      </c>
      <c r="N82" s="1" t="s">
        <v>49</v>
      </c>
      <c r="O82" s="508"/>
      <c r="P82" s="499"/>
      <c r="Q82" s="6" t="s">
        <v>6</v>
      </c>
      <c r="R82" s="1" t="s">
        <v>7</v>
      </c>
      <c r="S82" s="511"/>
      <c r="T82" s="4"/>
      <c r="U82" s="499"/>
      <c r="V82" s="6" t="s">
        <v>6</v>
      </c>
      <c r="W82" s="1" t="s">
        <v>49</v>
      </c>
      <c r="X82" s="508"/>
      <c r="Y82" s="499"/>
      <c r="Z82" s="6" t="s">
        <v>6</v>
      </c>
      <c r="AA82" s="1" t="s">
        <v>7</v>
      </c>
      <c r="AB82" s="511"/>
      <c r="AC82" s="52"/>
      <c r="AD82" s="3"/>
      <c r="AF82" s="3"/>
      <c r="AG82" s="3"/>
      <c r="AH82" s="3"/>
      <c r="AJ82" s="3"/>
      <c r="AK82" s="3"/>
      <c r="AL82" s="3"/>
      <c r="AM82" s="3"/>
      <c r="AO82" s="3"/>
      <c r="AP82" s="3"/>
      <c r="AQ82" s="3"/>
      <c r="AS82" s="3"/>
      <c r="AT82" s="3"/>
      <c r="AU82" s="4"/>
      <c r="AV82" s="3"/>
      <c r="AX82" s="3"/>
      <c r="AY82" s="3"/>
      <c r="AZ82" s="3"/>
      <c r="BB82" s="3"/>
      <c r="BC82" s="3"/>
    </row>
    <row r="83" spans="2:55" ht="17.100000000000001" customHeight="1">
      <c r="B83" s="50"/>
      <c r="C83" s="499"/>
      <c r="D83" s="6" t="s">
        <v>8</v>
      </c>
      <c r="E83" s="7" t="s">
        <v>9</v>
      </c>
      <c r="F83" s="509"/>
      <c r="G83" s="499"/>
      <c r="H83" s="6" t="s">
        <v>8</v>
      </c>
      <c r="I83" s="7" t="s">
        <v>25</v>
      </c>
      <c r="J83" s="512"/>
      <c r="K83" s="4"/>
      <c r="L83" s="499"/>
      <c r="M83" s="6" t="s">
        <v>8</v>
      </c>
      <c r="N83" s="7" t="s">
        <v>9</v>
      </c>
      <c r="O83" s="509"/>
      <c r="P83" s="499"/>
      <c r="Q83" s="6" t="s">
        <v>8</v>
      </c>
      <c r="R83" s="7" t="s">
        <v>25</v>
      </c>
      <c r="S83" s="512"/>
      <c r="T83" s="4"/>
      <c r="U83" s="499"/>
      <c r="V83" s="6" t="s">
        <v>8</v>
      </c>
      <c r="W83" s="7" t="s">
        <v>9</v>
      </c>
      <c r="X83" s="509"/>
      <c r="Y83" s="499"/>
      <c r="Z83" s="6" t="s">
        <v>8</v>
      </c>
      <c r="AA83" s="7" t="s">
        <v>25</v>
      </c>
      <c r="AB83" s="512"/>
      <c r="AC83" s="52"/>
      <c r="AD83" s="3"/>
      <c r="AF83" s="3"/>
      <c r="AG83" s="3"/>
      <c r="AH83" s="3"/>
      <c r="AJ83" s="3"/>
      <c r="AK83" s="3"/>
      <c r="AL83" s="3"/>
      <c r="AM83" s="3"/>
      <c r="AO83" s="3"/>
      <c r="AP83" s="3"/>
      <c r="AQ83" s="3"/>
      <c r="AS83" s="3"/>
      <c r="AT83" s="3"/>
      <c r="AU83" s="4"/>
      <c r="AV83" s="3"/>
      <c r="AX83" s="3"/>
      <c r="AY83" s="3"/>
      <c r="AZ83" s="3"/>
      <c r="BB83" s="3"/>
      <c r="BC83" s="3"/>
    </row>
    <row r="84" spans="2:55" ht="17.100000000000001" customHeight="1">
      <c r="B84" s="50"/>
      <c r="C84" s="499" t="s">
        <v>11</v>
      </c>
      <c r="D84" s="6" t="s">
        <v>10</v>
      </c>
      <c r="E84" s="7"/>
      <c r="F84" s="520"/>
      <c r="G84" s="499" t="s">
        <v>11</v>
      </c>
      <c r="H84" s="6" t="s">
        <v>10</v>
      </c>
      <c r="I84" s="7"/>
      <c r="J84" s="497" t="s">
        <v>13</v>
      </c>
      <c r="K84" s="4"/>
      <c r="L84" s="499" t="s">
        <v>11</v>
      </c>
      <c r="M84" s="6" t="s">
        <v>10</v>
      </c>
      <c r="N84" s="7" t="s">
        <v>24</v>
      </c>
      <c r="O84" s="497">
        <f>300000+400000</f>
        <v>700000</v>
      </c>
      <c r="P84" s="499" t="s">
        <v>11</v>
      </c>
      <c r="Q84" s="6" t="s">
        <v>10</v>
      </c>
      <c r="R84" s="7"/>
      <c r="S84" s="522" t="s">
        <v>13</v>
      </c>
      <c r="T84" s="4"/>
      <c r="U84" s="499" t="s">
        <v>12</v>
      </c>
      <c r="V84" s="6" t="s">
        <v>10</v>
      </c>
      <c r="W84" s="7" t="s">
        <v>24</v>
      </c>
      <c r="X84" s="497">
        <v>300000</v>
      </c>
      <c r="Y84" s="499" t="s">
        <v>11</v>
      </c>
      <c r="Z84" s="6" t="s">
        <v>10</v>
      </c>
      <c r="AA84" s="7" t="s">
        <v>24</v>
      </c>
      <c r="AB84" s="497">
        <v>400000</v>
      </c>
      <c r="AC84" s="52"/>
      <c r="AD84" s="3"/>
      <c r="AF84" s="3"/>
      <c r="AG84" s="3"/>
      <c r="AH84" s="3"/>
      <c r="AJ84" s="3"/>
      <c r="AK84" s="3"/>
      <c r="AL84" s="3"/>
      <c r="AM84" s="3"/>
      <c r="AO84" s="3"/>
      <c r="AP84" s="3"/>
      <c r="AQ84" s="3"/>
      <c r="AS84" s="3"/>
      <c r="AT84" s="3"/>
      <c r="AU84" s="4"/>
      <c r="AV84" s="3"/>
      <c r="AX84" s="3"/>
      <c r="AY84" s="3"/>
      <c r="AZ84" s="3"/>
      <c r="BB84" s="3"/>
      <c r="BC84" s="3"/>
    </row>
    <row r="85" spans="2:55" ht="17.100000000000001" customHeight="1">
      <c r="B85" s="50"/>
      <c r="C85" s="499"/>
      <c r="D85" s="6" t="s">
        <v>6</v>
      </c>
      <c r="E85" s="1"/>
      <c r="F85" s="520"/>
      <c r="G85" s="499"/>
      <c r="H85" s="6" t="s">
        <v>6</v>
      </c>
      <c r="I85" s="1"/>
      <c r="J85" s="497"/>
      <c r="K85" s="4"/>
      <c r="L85" s="499"/>
      <c r="M85" s="6" t="s">
        <v>6</v>
      </c>
      <c r="N85" s="1" t="s">
        <v>50</v>
      </c>
      <c r="O85" s="497"/>
      <c r="P85" s="499"/>
      <c r="Q85" s="6" t="s">
        <v>6</v>
      </c>
      <c r="R85" s="1"/>
      <c r="S85" s="522"/>
      <c r="T85" s="4"/>
      <c r="U85" s="499"/>
      <c r="V85" s="6" t="s">
        <v>6</v>
      </c>
      <c r="W85" s="1" t="s">
        <v>51</v>
      </c>
      <c r="X85" s="497"/>
      <c r="Y85" s="499"/>
      <c r="Z85" s="6" t="s">
        <v>6</v>
      </c>
      <c r="AA85" s="1" t="s">
        <v>44</v>
      </c>
      <c r="AB85" s="497"/>
      <c r="AC85" s="52"/>
      <c r="AD85" s="3"/>
      <c r="AF85" s="3"/>
      <c r="AG85" s="3"/>
      <c r="AH85" s="3"/>
      <c r="AJ85" s="3"/>
      <c r="AK85" s="3"/>
      <c r="AL85" s="3"/>
      <c r="AM85" s="3"/>
      <c r="AO85" s="3"/>
      <c r="AP85" s="3"/>
      <c r="AQ85" s="3"/>
      <c r="AS85" s="3"/>
      <c r="AT85" s="3"/>
      <c r="AU85" s="4"/>
      <c r="AV85" s="3"/>
      <c r="AX85" s="3"/>
      <c r="AY85" s="3"/>
      <c r="AZ85" s="3"/>
      <c r="BB85" s="3"/>
      <c r="BC85" s="3"/>
    </row>
    <row r="86" spans="2:55" ht="17.100000000000001" customHeight="1" thickBot="1">
      <c r="B86" s="50"/>
      <c r="C86" s="500"/>
      <c r="D86" s="9" t="s">
        <v>8</v>
      </c>
      <c r="E86" s="21"/>
      <c r="F86" s="521"/>
      <c r="G86" s="500"/>
      <c r="H86" s="9" t="s">
        <v>8</v>
      </c>
      <c r="I86" s="10"/>
      <c r="J86" s="498"/>
      <c r="K86" s="4"/>
      <c r="L86" s="500"/>
      <c r="M86" s="9" t="s">
        <v>8</v>
      </c>
      <c r="N86" s="21" t="s">
        <v>25</v>
      </c>
      <c r="O86" s="498"/>
      <c r="P86" s="500"/>
      <c r="Q86" s="9" t="s">
        <v>8</v>
      </c>
      <c r="R86" s="10"/>
      <c r="S86" s="523"/>
      <c r="T86" s="4"/>
      <c r="U86" s="500"/>
      <c r="V86" s="9" t="s">
        <v>8</v>
      </c>
      <c r="W86" s="21" t="s">
        <v>25</v>
      </c>
      <c r="X86" s="498"/>
      <c r="Y86" s="500"/>
      <c r="Z86" s="9" t="s">
        <v>8</v>
      </c>
      <c r="AA86" s="21" t="s">
        <v>54</v>
      </c>
      <c r="AB86" s="498"/>
      <c r="AC86" s="52"/>
      <c r="AD86" s="3"/>
      <c r="AF86" s="3"/>
      <c r="AG86" s="3"/>
      <c r="AH86" s="3"/>
      <c r="AJ86" s="3"/>
      <c r="AK86" s="3"/>
      <c r="AL86" s="3"/>
      <c r="AM86" s="3"/>
      <c r="AO86" s="3"/>
      <c r="AP86" s="3"/>
      <c r="AQ86" s="3"/>
      <c r="AS86" s="3"/>
      <c r="AT86" s="3"/>
      <c r="AU86" s="4"/>
      <c r="AV86" s="3"/>
      <c r="AX86" s="3"/>
      <c r="AY86" s="3"/>
      <c r="AZ86" s="3"/>
      <c r="BB86" s="3"/>
      <c r="BC86" s="3"/>
    </row>
    <row r="87" spans="2:55" s="24" customFormat="1" ht="17.100000000000001" customHeight="1">
      <c r="B87" s="53"/>
      <c r="C87" s="519">
        <f>SUM(F80:F86)</f>
        <v>1800000</v>
      </c>
      <c r="D87" s="519"/>
      <c r="E87" s="519"/>
      <c r="F87" s="519"/>
      <c r="G87" s="519">
        <f>SUM(J80:J86)</f>
        <v>1000000</v>
      </c>
      <c r="H87" s="519"/>
      <c r="I87" s="519"/>
      <c r="J87" s="519"/>
      <c r="K87" s="27"/>
      <c r="L87" s="519">
        <f>SUM(O80:O86)</f>
        <v>2500000</v>
      </c>
      <c r="M87" s="519"/>
      <c r="N87" s="519"/>
      <c r="O87" s="519"/>
      <c r="P87" s="519">
        <f>SUM(S80:S86)</f>
        <v>1000000</v>
      </c>
      <c r="Q87" s="519"/>
      <c r="R87" s="519"/>
      <c r="S87" s="519"/>
      <c r="T87" s="27"/>
      <c r="U87" s="501">
        <f>SUM(X80:X86)</f>
        <v>2100000</v>
      </c>
      <c r="V87" s="501"/>
      <c r="W87" s="501"/>
      <c r="X87" s="501"/>
      <c r="Y87" s="501">
        <f>SUM(AB80:AB86)</f>
        <v>1400000</v>
      </c>
      <c r="Z87" s="501"/>
      <c r="AA87" s="501"/>
      <c r="AB87" s="501"/>
      <c r="AC87" s="54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27"/>
      <c r="AV87" s="3"/>
      <c r="AW87" s="3"/>
      <c r="AX87" s="3"/>
      <c r="AY87" s="3"/>
      <c r="AZ87" s="3"/>
      <c r="BA87" s="3"/>
      <c r="BB87" s="3"/>
      <c r="BC87" s="3"/>
    </row>
    <row r="88" spans="2:55" s="24" customFormat="1" ht="17.100000000000001" customHeight="1" thickBot="1">
      <c r="B88" s="53"/>
      <c r="C88" s="38"/>
      <c r="D88" s="42"/>
      <c r="E88" s="27"/>
      <c r="F88" s="38"/>
      <c r="G88" s="38"/>
      <c r="H88" s="42"/>
      <c r="I88" s="27"/>
      <c r="J88" s="38"/>
      <c r="K88" s="38"/>
      <c r="L88" s="38"/>
      <c r="M88" s="42"/>
      <c r="N88" s="27"/>
      <c r="O88" s="38"/>
      <c r="P88" s="38"/>
      <c r="Q88" s="42"/>
      <c r="R88" s="27"/>
      <c r="S88" s="38"/>
      <c r="T88" s="38"/>
      <c r="U88" s="38"/>
      <c r="V88" s="42"/>
      <c r="W88" s="27"/>
      <c r="X88" s="38"/>
      <c r="Y88" s="38"/>
      <c r="Z88" s="42"/>
      <c r="AA88" s="27"/>
      <c r="AB88" s="38"/>
      <c r="AC88" s="55"/>
      <c r="AE88" s="37"/>
      <c r="AF88" s="36"/>
      <c r="AI88" s="37"/>
      <c r="AJ88" s="36"/>
      <c r="AL88" s="38"/>
      <c r="AN88" s="37"/>
      <c r="AO88" s="36"/>
      <c r="AR88" s="37"/>
      <c r="AS88" s="36"/>
      <c r="AU88" s="38"/>
      <c r="AW88" s="37"/>
      <c r="AX88" s="36"/>
      <c r="BA88" s="37"/>
      <c r="BB88" s="36"/>
    </row>
    <row r="89" spans="2:55" ht="17.100000000000001" customHeight="1">
      <c r="B89" s="50"/>
      <c r="C89" s="515" t="s">
        <v>2</v>
      </c>
      <c r="D89" s="516"/>
      <c r="E89" s="12" t="s">
        <v>30</v>
      </c>
      <c r="F89" s="513" t="s">
        <v>18</v>
      </c>
      <c r="G89" s="515" t="s">
        <v>2</v>
      </c>
      <c r="H89" s="516"/>
      <c r="I89" s="12" t="s">
        <v>30</v>
      </c>
      <c r="J89" s="513" t="s">
        <v>18</v>
      </c>
      <c r="K89" s="13"/>
      <c r="L89" s="515" t="s">
        <v>2</v>
      </c>
      <c r="M89" s="516"/>
      <c r="N89" s="12" t="s">
        <v>31</v>
      </c>
      <c r="O89" s="513" t="s">
        <v>18</v>
      </c>
      <c r="P89" s="515" t="s">
        <v>2</v>
      </c>
      <c r="Q89" s="516"/>
      <c r="R89" s="12" t="s">
        <v>31</v>
      </c>
      <c r="S89" s="513" t="s">
        <v>18</v>
      </c>
      <c r="T89" s="13"/>
      <c r="U89" s="515" t="s">
        <v>2</v>
      </c>
      <c r="V89" s="516"/>
      <c r="W89" s="12" t="s">
        <v>40</v>
      </c>
      <c r="X89" s="513" t="s">
        <v>18</v>
      </c>
      <c r="Y89" s="515" t="s">
        <v>2</v>
      </c>
      <c r="Z89" s="516"/>
      <c r="AA89" s="12" t="s">
        <v>29</v>
      </c>
      <c r="AB89" s="513" t="s">
        <v>18</v>
      </c>
      <c r="AC89" s="51"/>
      <c r="AD89" s="3"/>
      <c r="AF89" s="3"/>
      <c r="AG89" s="3"/>
      <c r="AH89" s="3"/>
      <c r="AJ89" s="3"/>
      <c r="AK89" s="3"/>
      <c r="AL89" s="3"/>
      <c r="AM89" s="3"/>
      <c r="AO89" s="3"/>
      <c r="AP89" s="3"/>
      <c r="AQ89" s="3"/>
      <c r="AS89" s="3"/>
      <c r="AT89" s="3"/>
      <c r="AU89" s="13"/>
      <c r="AV89" s="3"/>
      <c r="AX89" s="3"/>
      <c r="AY89" s="3"/>
      <c r="AZ89" s="3"/>
      <c r="BB89" s="3"/>
      <c r="BC89" s="3"/>
    </row>
    <row r="90" spans="2:55" ht="17.100000000000001" customHeight="1">
      <c r="B90" s="50"/>
      <c r="C90" s="517" t="s">
        <v>3</v>
      </c>
      <c r="D90" s="518"/>
      <c r="E90" s="5">
        <v>43034</v>
      </c>
      <c r="F90" s="514"/>
      <c r="G90" s="517" t="s">
        <v>3</v>
      </c>
      <c r="H90" s="518"/>
      <c r="I90" s="5">
        <v>43034</v>
      </c>
      <c r="J90" s="514"/>
      <c r="K90" s="13"/>
      <c r="L90" s="517" t="s">
        <v>3</v>
      </c>
      <c r="M90" s="518"/>
      <c r="N90" s="5">
        <v>43035</v>
      </c>
      <c r="O90" s="514"/>
      <c r="P90" s="517" t="s">
        <v>3</v>
      </c>
      <c r="Q90" s="518"/>
      <c r="R90" s="5">
        <v>43035</v>
      </c>
      <c r="S90" s="514"/>
      <c r="T90" s="13"/>
      <c r="U90" s="517" t="s">
        <v>3</v>
      </c>
      <c r="V90" s="518"/>
      <c r="W90" s="5">
        <v>43036</v>
      </c>
      <c r="X90" s="514"/>
      <c r="Y90" s="517" t="s">
        <v>3</v>
      </c>
      <c r="Z90" s="518"/>
      <c r="AA90" s="5" t="s">
        <v>26</v>
      </c>
      <c r="AB90" s="514"/>
      <c r="AC90" s="51"/>
      <c r="AD90" s="3"/>
      <c r="AF90" s="3"/>
      <c r="AG90" s="3"/>
      <c r="AH90" s="3"/>
      <c r="AJ90" s="3"/>
      <c r="AK90" s="3"/>
      <c r="AL90" s="3"/>
      <c r="AM90" s="3"/>
      <c r="AO90" s="3"/>
      <c r="AP90" s="3"/>
      <c r="AQ90" s="3"/>
      <c r="AS90" s="3"/>
      <c r="AT90" s="3"/>
      <c r="AU90" s="13"/>
      <c r="AV90" s="3"/>
      <c r="AX90" s="3"/>
      <c r="AY90" s="3"/>
      <c r="AZ90" s="3"/>
      <c r="BB90" s="3"/>
      <c r="BC90" s="3"/>
    </row>
    <row r="91" spans="2:55" ht="17.100000000000001" customHeight="1">
      <c r="B91" s="50"/>
      <c r="C91" s="505" t="s">
        <v>1</v>
      </c>
      <c r="D91" s="506"/>
      <c r="E91" s="5" t="s">
        <v>20</v>
      </c>
      <c r="F91" s="507">
        <f>1000000+800000</f>
        <v>1800000</v>
      </c>
      <c r="G91" s="505" t="s">
        <v>1</v>
      </c>
      <c r="H91" s="506"/>
      <c r="I91" s="25" t="s">
        <v>26</v>
      </c>
      <c r="J91" s="510">
        <v>1000000</v>
      </c>
      <c r="K91" s="13"/>
      <c r="L91" s="505" t="s">
        <v>1</v>
      </c>
      <c r="M91" s="506"/>
      <c r="N91" s="5" t="s">
        <v>20</v>
      </c>
      <c r="O91" s="502">
        <v>2000000</v>
      </c>
      <c r="P91" s="505" t="s">
        <v>1</v>
      </c>
      <c r="Q91" s="506"/>
      <c r="R91" s="25" t="s">
        <v>26</v>
      </c>
      <c r="S91" s="502">
        <v>1000000</v>
      </c>
      <c r="T91" s="13"/>
      <c r="U91" s="505" t="s">
        <v>1</v>
      </c>
      <c r="V91" s="506"/>
      <c r="W91" s="5" t="s">
        <v>20</v>
      </c>
      <c r="X91" s="502">
        <v>400000</v>
      </c>
      <c r="Y91" s="505" t="s">
        <v>1</v>
      </c>
      <c r="Z91" s="506"/>
      <c r="AA91" s="25" t="s">
        <v>26</v>
      </c>
      <c r="AB91" s="502"/>
      <c r="AC91" s="51"/>
      <c r="AD91" s="3"/>
      <c r="AF91" s="3"/>
      <c r="AG91" s="3"/>
      <c r="AH91" s="3"/>
      <c r="AJ91" s="3"/>
      <c r="AK91" s="3"/>
      <c r="AL91" s="3"/>
      <c r="AM91" s="3"/>
      <c r="AO91" s="3"/>
      <c r="AP91" s="3"/>
      <c r="AQ91" s="3"/>
      <c r="AS91" s="3"/>
      <c r="AT91" s="3"/>
      <c r="AU91" s="13"/>
      <c r="AV91" s="3"/>
      <c r="AX91" s="3"/>
      <c r="AY91" s="3"/>
      <c r="AZ91" s="3"/>
      <c r="BB91" s="3"/>
      <c r="BC91" s="3"/>
    </row>
    <row r="92" spans="2:55" ht="17.100000000000001" customHeight="1">
      <c r="B92" s="50"/>
      <c r="C92" s="499" t="s">
        <v>12</v>
      </c>
      <c r="D92" s="6" t="s">
        <v>10</v>
      </c>
      <c r="E92" s="1" t="s">
        <v>24</v>
      </c>
      <c r="F92" s="508"/>
      <c r="G92" s="499" t="s">
        <v>12</v>
      </c>
      <c r="H92" s="6" t="s">
        <v>10</v>
      </c>
      <c r="I92" s="1" t="s">
        <v>24</v>
      </c>
      <c r="J92" s="511"/>
      <c r="K92" s="4"/>
      <c r="L92" s="499" t="s">
        <v>12</v>
      </c>
      <c r="M92" s="6" t="s">
        <v>10</v>
      </c>
      <c r="N92" s="1" t="s">
        <v>24</v>
      </c>
      <c r="O92" s="503"/>
      <c r="P92" s="499" t="s">
        <v>12</v>
      </c>
      <c r="Q92" s="6" t="s">
        <v>10</v>
      </c>
      <c r="R92" s="1" t="s">
        <v>24</v>
      </c>
      <c r="S92" s="503"/>
      <c r="T92" s="4"/>
      <c r="U92" s="499" t="s">
        <v>12</v>
      </c>
      <c r="V92" s="6" t="s">
        <v>10</v>
      </c>
      <c r="W92" s="1" t="s">
        <v>24</v>
      </c>
      <c r="X92" s="503"/>
      <c r="Y92" s="499" t="s">
        <v>12</v>
      </c>
      <c r="Z92" s="6" t="s">
        <v>10</v>
      </c>
      <c r="AA92" s="1"/>
      <c r="AB92" s="503"/>
      <c r="AC92" s="52"/>
      <c r="AD92" s="3"/>
      <c r="AF92" s="3"/>
      <c r="AG92" s="3"/>
      <c r="AH92" s="3"/>
      <c r="AJ92" s="3"/>
      <c r="AK92" s="3"/>
      <c r="AL92" s="3"/>
      <c r="AM92" s="3"/>
      <c r="AO92" s="3"/>
      <c r="AP92" s="3"/>
      <c r="AQ92" s="3"/>
      <c r="AS92" s="3"/>
      <c r="AT92" s="3"/>
      <c r="AU92" s="4"/>
      <c r="AV92" s="3"/>
      <c r="AX92" s="3"/>
      <c r="AY92" s="3"/>
      <c r="AZ92" s="3"/>
      <c r="BB92" s="3"/>
      <c r="BC92" s="3"/>
    </row>
    <row r="93" spans="2:55" ht="17.100000000000001" customHeight="1">
      <c r="B93" s="50"/>
      <c r="C93" s="499"/>
      <c r="D93" s="6" t="s">
        <v>6</v>
      </c>
      <c r="E93" s="1" t="s">
        <v>49</v>
      </c>
      <c r="F93" s="508"/>
      <c r="G93" s="499"/>
      <c r="H93" s="6" t="s">
        <v>6</v>
      </c>
      <c r="I93" s="1" t="s">
        <v>7</v>
      </c>
      <c r="J93" s="511"/>
      <c r="K93" s="4"/>
      <c r="L93" s="499"/>
      <c r="M93" s="6" t="s">
        <v>6</v>
      </c>
      <c r="N93" s="1" t="s">
        <v>36</v>
      </c>
      <c r="O93" s="503"/>
      <c r="P93" s="499"/>
      <c r="Q93" s="6" t="s">
        <v>6</v>
      </c>
      <c r="R93" s="1" t="s">
        <v>7</v>
      </c>
      <c r="S93" s="503"/>
      <c r="T93" s="4"/>
      <c r="U93" s="499"/>
      <c r="V93" s="6" t="s">
        <v>6</v>
      </c>
      <c r="W93" s="1" t="s">
        <v>37</v>
      </c>
      <c r="X93" s="503"/>
      <c r="Y93" s="499"/>
      <c r="Z93" s="6" t="s">
        <v>6</v>
      </c>
      <c r="AA93" s="1"/>
      <c r="AB93" s="503"/>
      <c r="AC93" s="52"/>
      <c r="AD93" s="3"/>
      <c r="AF93" s="3"/>
      <c r="AG93" s="3"/>
      <c r="AH93" s="3"/>
      <c r="AJ93" s="3"/>
      <c r="AK93" s="3"/>
      <c r="AL93" s="3"/>
      <c r="AM93" s="3"/>
      <c r="AO93" s="3"/>
      <c r="AP93" s="3"/>
      <c r="AQ93" s="3"/>
      <c r="AS93" s="3"/>
      <c r="AT93" s="3"/>
      <c r="AU93" s="4"/>
      <c r="AV93" s="3"/>
      <c r="AX93" s="3"/>
      <c r="AY93" s="3"/>
      <c r="AZ93" s="3"/>
      <c r="BB93" s="3"/>
      <c r="BC93" s="3"/>
    </row>
    <row r="94" spans="2:55" ht="17.100000000000001" customHeight="1">
      <c r="B94" s="50"/>
      <c r="C94" s="499"/>
      <c r="D94" s="6" t="s">
        <v>8</v>
      </c>
      <c r="E94" s="7" t="s">
        <v>9</v>
      </c>
      <c r="F94" s="509"/>
      <c r="G94" s="499"/>
      <c r="H94" s="6" t="s">
        <v>8</v>
      </c>
      <c r="I94" s="7" t="s">
        <v>25</v>
      </c>
      <c r="J94" s="512"/>
      <c r="K94" s="4"/>
      <c r="L94" s="499"/>
      <c r="M94" s="6" t="s">
        <v>8</v>
      </c>
      <c r="N94" s="7" t="s">
        <v>9</v>
      </c>
      <c r="O94" s="504"/>
      <c r="P94" s="499"/>
      <c r="Q94" s="6" t="s">
        <v>8</v>
      </c>
      <c r="R94" s="7" t="s">
        <v>25</v>
      </c>
      <c r="S94" s="504"/>
      <c r="T94" s="4"/>
      <c r="U94" s="499"/>
      <c r="V94" s="6" t="s">
        <v>8</v>
      </c>
      <c r="W94" s="7" t="s">
        <v>9</v>
      </c>
      <c r="X94" s="504"/>
      <c r="Y94" s="499"/>
      <c r="Z94" s="6" t="s">
        <v>8</v>
      </c>
      <c r="AA94" s="7"/>
      <c r="AB94" s="504"/>
      <c r="AC94" s="52"/>
      <c r="AD94" s="3"/>
      <c r="AF94" s="3"/>
      <c r="AG94" s="3"/>
      <c r="AH94" s="3"/>
      <c r="AJ94" s="3"/>
      <c r="AK94" s="3"/>
      <c r="AL94" s="3"/>
      <c r="AM94" s="3"/>
      <c r="AO94" s="3"/>
      <c r="AP94" s="3"/>
      <c r="AQ94" s="3"/>
      <c r="AS94" s="3"/>
      <c r="AT94" s="3"/>
      <c r="AU94" s="4"/>
      <c r="AV94" s="3"/>
      <c r="AX94" s="3"/>
      <c r="AY94" s="3"/>
      <c r="AZ94" s="3"/>
      <c r="BB94" s="3"/>
      <c r="BC94" s="3"/>
    </row>
    <row r="95" spans="2:55" ht="17.100000000000001" customHeight="1">
      <c r="B95" s="50"/>
      <c r="C95" s="499" t="s">
        <v>11</v>
      </c>
      <c r="D95" s="6" t="s">
        <v>10</v>
      </c>
      <c r="E95" s="7" t="s">
        <v>24</v>
      </c>
      <c r="F95" s="497">
        <v>300000</v>
      </c>
      <c r="G95" s="499" t="s">
        <v>11</v>
      </c>
      <c r="H95" s="6" t="s">
        <v>10</v>
      </c>
      <c r="I95" s="7" t="s">
        <v>24</v>
      </c>
      <c r="J95" s="497">
        <v>400000</v>
      </c>
      <c r="K95" s="4"/>
      <c r="L95" s="499" t="s">
        <v>11</v>
      </c>
      <c r="M95" s="6" t="s">
        <v>10</v>
      </c>
      <c r="N95" s="7" t="s">
        <v>24</v>
      </c>
      <c r="O95" s="497">
        <v>300000</v>
      </c>
      <c r="P95" s="499" t="s">
        <v>11</v>
      </c>
      <c r="Q95" s="6" t="s">
        <v>10</v>
      </c>
      <c r="R95" s="7"/>
      <c r="S95" s="497"/>
      <c r="T95" s="4"/>
      <c r="U95" s="499" t="s">
        <v>12</v>
      </c>
      <c r="V95" s="6" t="s">
        <v>10</v>
      </c>
      <c r="W95" s="7"/>
      <c r="X95" s="497"/>
      <c r="Y95" s="499" t="s">
        <v>11</v>
      </c>
      <c r="Z95" s="6" t="s">
        <v>10</v>
      </c>
      <c r="AA95" s="7"/>
      <c r="AB95" s="497"/>
      <c r="AC95" s="52"/>
      <c r="AD95" s="3"/>
      <c r="AF95" s="3"/>
      <c r="AG95" s="3"/>
      <c r="AH95" s="3"/>
      <c r="AJ95" s="3"/>
      <c r="AK95" s="3"/>
      <c r="AL95" s="3"/>
      <c r="AM95" s="3"/>
      <c r="AO95" s="3"/>
      <c r="AP95" s="3"/>
      <c r="AQ95" s="3"/>
      <c r="AS95" s="3"/>
      <c r="AT95" s="3"/>
      <c r="AU95" s="4"/>
      <c r="AV95" s="3"/>
      <c r="AX95" s="3"/>
      <c r="AY95" s="3"/>
      <c r="AZ95" s="3"/>
      <c r="BB95" s="3"/>
      <c r="BC95" s="3"/>
    </row>
    <row r="96" spans="2:55" ht="17.100000000000001" customHeight="1">
      <c r="B96" s="50"/>
      <c r="C96" s="499"/>
      <c r="D96" s="6" t="s">
        <v>6</v>
      </c>
      <c r="E96" s="1" t="s">
        <v>52</v>
      </c>
      <c r="F96" s="497"/>
      <c r="G96" s="499"/>
      <c r="H96" s="6" t="s">
        <v>6</v>
      </c>
      <c r="I96" s="1" t="s">
        <v>44</v>
      </c>
      <c r="J96" s="497"/>
      <c r="K96" s="4"/>
      <c r="L96" s="499"/>
      <c r="M96" s="6" t="s">
        <v>6</v>
      </c>
      <c r="N96" s="1" t="s">
        <v>37</v>
      </c>
      <c r="O96" s="497"/>
      <c r="P96" s="499"/>
      <c r="Q96" s="6" t="s">
        <v>6</v>
      </c>
      <c r="R96" s="1"/>
      <c r="S96" s="497"/>
      <c r="T96" s="4"/>
      <c r="U96" s="499"/>
      <c r="V96" s="6" t="s">
        <v>6</v>
      </c>
      <c r="W96" s="1"/>
      <c r="X96" s="497"/>
      <c r="Y96" s="499"/>
      <c r="Z96" s="6" t="s">
        <v>6</v>
      </c>
      <c r="AA96" s="1"/>
      <c r="AB96" s="497"/>
      <c r="AC96" s="52"/>
      <c r="AD96" s="3"/>
      <c r="AF96" s="3"/>
      <c r="AG96" s="3"/>
      <c r="AH96" s="3"/>
      <c r="AJ96" s="3"/>
      <c r="AK96" s="3"/>
      <c r="AL96" s="3"/>
      <c r="AM96" s="3"/>
      <c r="AO96" s="3"/>
      <c r="AP96" s="3"/>
      <c r="AQ96" s="3"/>
      <c r="AS96" s="3"/>
      <c r="AT96" s="3"/>
      <c r="AU96" s="4"/>
      <c r="AV96" s="3"/>
      <c r="AX96" s="3"/>
      <c r="AY96" s="3"/>
      <c r="AZ96" s="3"/>
      <c r="BB96" s="3"/>
      <c r="BC96" s="3"/>
    </row>
    <row r="97" spans="2:55" ht="17.100000000000001" customHeight="1" thickBot="1">
      <c r="B97" s="50"/>
      <c r="C97" s="500"/>
      <c r="D97" s="9" t="s">
        <v>8</v>
      </c>
      <c r="E97" s="21" t="s">
        <v>25</v>
      </c>
      <c r="F97" s="498"/>
      <c r="G97" s="500"/>
      <c r="H97" s="9" t="s">
        <v>8</v>
      </c>
      <c r="I97" s="21" t="s">
        <v>53</v>
      </c>
      <c r="J97" s="498"/>
      <c r="K97" s="4"/>
      <c r="L97" s="500"/>
      <c r="M97" s="9" t="s">
        <v>8</v>
      </c>
      <c r="N97" s="21" t="s">
        <v>25</v>
      </c>
      <c r="O97" s="498"/>
      <c r="P97" s="500"/>
      <c r="Q97" s="9" t="s">
        <v>8</v>
      </c>
      <c r="R97" s="21"/>
      <c r="S97" s="498"/>
      <c r="T97" s="4"/>
      <c r="U97" s="500"/>
      <c r="V97" s="9" t="s">
        <v>8</v>
      </c>
      <c r="W97" s="21"/>
      <c r="X97" s="498"/>
      <c r="Y97" s="500"/>
      <c r="Z97" s="9" t="s">
        <v>8</v>
      </c>
      <c r="AA97" s="21"/>
      <c r="AB97" s="498"/>
      <c r="AC97" s="52"/>
      <c r="AD97" s="3"/>
      <c r="AF97" s="3"/>
      <c r="AG97" s="3"/>
      <c r="AH97" s="3"/>
      <c r="AJ97" s="3"/>
      <c r="AK97" s="3"/>
      <c r="AL97" s="3"/>
      <c r="AM97" s="3"/>
      <c r="AO97" s="3"/>
      <c r="AP97" s="3"/>
      <c r="AQ97" s="3"/>
      <c r="AS97" s="3"/>
      <c r="AT97" s="3"/>
      <c r="AU97" s="4"/>
      <c r="AV97" s="3"/>
      <c r="AX97" s="3"/>
      <c r="AY97" s="3"/>
      <c r="AZ97" s="3"/>
      <c r="BB97" s="3"/>
      <c r="BC97" s="3"/>
    </row>
    <row r="98" spans="2:55" s="24" customFormat="1" ht="17.100000000000001" customHeight="1">
      <c r="B98" s="53"/>
      <c r="C98" s="501">
        <f>SUM(F91:F97)</f>
        <v>2100000</v>
      </c>
      <c r="D98" s="501"/>
      <c r="E98" s="501"/>
      <c r="F98" s="501"/>
      <c r="G98" s="501">
        <f>SUM(J91:J97)</f>
        <v>1400000</v>
      </c>
      <c r="H98" s="501"/>
      <c r="I98" s="501"/>
      <c r="J98" s="501"/>
      <c r="K98" s="27"/>
      <c r="L98" s="501">
        <f>SUM(O91:O97)</f>
        <v>2300000</v>
      </c>
      <c r="M98" s="501"/>
      <c r="N98" s="501"/>
      <c r="O98" s="501"/>
      <c r="P98" s="501">
        <f>SUM(S91:S97)</f>
        <v>1000000</v>
      </c>
      <c r="Q98" s="501"/>
      <c r="R98" s="501"/>
      <c r="S98" s="501"/>
      <c r="T98" s="27"/>
      <c r="U98" s="501">
        <f>SUM(X91:X97)</f>
        <v>400000</v>
      </c>
      <c r="V98" s="501"/>
      <c r="W98" s="501"/>
      <c r="X98" s="501"/>
      <c r="Y98" s="501">
        <f>SUM(AB91:AB97)</f>
        <v>0</v>
      </c>
      <c r="Z98" s="501"/>
      <c r="AA98" s="501"/>
      <c r="AB98" s="501"/>
      <c r="AC98" s="54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27"/>
      <c r="AV98" s="3"/>
      <c r="AW98" s="3"/>
      <c r="AX98" s="3"/>
      <c r="AY98" s="3"/>
      <c r="AZ98" s="3"/>
      <c r="BA98" s="3"/>
      <c r="BB98" s="3"/>
      <c r="BC98" s="3"/>
    </row>
    <row r="99" spans="2:55" s="39" customFormat="1" ht="30" customHeight="1">
      <c r="B99" s="56"/>
      <c r="C99" s="496" t="s">
        <v>45</v>
      </c>
      <c r="D99" s="496"/>
      <c r="E99" s="496"/>
      <c r="F99" s="496"/>
      <c r="G99" s="496"/>
      <c r="H99" s="496"/>
      <c r="I99" s="496"/>
      <c r="J99" s="496"/>
      <c r="K99" s="496"/>
      <c r="L99" s="496"/>
      <c r="M99" s="496"/>
      <c r="N99" s="496">
        <f>+SUM(C98:AB98,C87:AB87)</f>
        <v>17000000</v>
      </c>
      <c r="O99" s="496"/>
      <c r="P99" s="496"/>
      <c r="Q99" s="496"/>
      <c r="R99" s="496"/>
      <c r="S99" s="496"/>
      <c r="T99" s="496"/>
      <c r="U99" s="496"/>
      <c r="V99" s="496"/>
      <c r="W99" s="496"/>
      <c r="X99" s="496"/>
      <c r="Y99" s="496"/>
      <c r="Z99" s="496"/>
      <c r="AA99" s="496"/>
      <c r="AB99" s="496"/>
      <c r="AC99" s="57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W99" s="40"/>
      <c r="BA99" s="40"/>
    </row>
    <row r="100" spans="2:55" s="24" customFormat="1" ht="17.100000000000001" customHeight="1" thickBot="1">
      <c r="B100" s="58"/>
      <c r="C100" s="59"/>
      <c r="D100" s="60"/>
      <c r="E100" s="61"/>
      <c r="F100" s="59"/>
      <c r="G100" s="59"/>
      <c r="H100" s="60"/>
      <c r="I100" s="61"/>
      <c r="J100" s="59"/>
      <c r="K100" s="59"/>
      <c r="L100" s="59"/>
      <c r="M100" s="60"/>
      <c r="N100" s="61"/>
      <c r="O100" s="59"/>
      <c r="P100" s="59"/>
      <c r="Q100" s="60"/>
      <c r="R100" s="61"/>
      <c r="S100" s="59"/>
      <c r="T100" s="59"/>
      <c r="U100" s="59"/>
      <c r="V100" s="60"/>
      <c r="W100" s="61"/>
      <c r="X100" s="59"/>
      <c r="Y100" s="59"/>
      <c r="Z100" s="60"/>
      <c r="AA100" s="61"/>
      <c r="AB100" s="59"/>
      <c r="AC100" s="62"/>
      <c r="AE100" s="37"/>
      <c r="AF100" s="36"/>
      <c r="AI100" s="37"/>
      <c r="AJ100" s="36"/>
      <c r="AL100" s="38"/>
      <c r="AN100" s="37"/>
      <c r="AO100" s="36"/>
      <c r="AR100" s="37"/>
      <c r="AS100" s="36"/>
      <c r="AU100" s="38"/>
      <c r="AW100" s="37"/>
      <c r="AX100" s="36"/>
      <c r="BA100" s="37"/>
      <c r="BB100" s="36"/>
    </row>
    <row r="101" spans="2:55" ht="13.5" thickTop="1" thickBot="1"/>
    <row r="102" spans="2:55" ht="17.100000000000001" customHeight="1" thickTop="1">
      <c r="B102" s="43"/>
      <c r="C102" s="44"/>
      <c r="D102" s="44"/>
      <c r="E102" s="44"/>
      <c r="F102" s="44"/>
      <c r="G102" s="45"/>
      <c r="H102" s="46"/>
      <c r="I102" s="47"/>
      <c r="J102" s="48"/>
      <c r="K102" s="45"/>
      <c r="L102" s="45"/>
      <c r="M102" s="46"/>
      <c r="N102" s="47"/>
      <c r="O102" s="48"/>
      <c r="P102" s="45"/>
      <c r="Q102" s="46"/>
      <c r="R102" s="47"/>
      <c r="S102" s="45"/>
      <c r="T102" s="45"/>
      <c r="U102" s="45"/>
      <c r="V102" s="46"/>
      <c r="W102" s="47"/>
      <c r="X102" s="45"/>
      <c r="Y102" s="45"/>
      <c r="Z102" s="46"/>
      <c r="AA102" s="47"/>
      <c r="AB102" s="45"/>
      <c r="AC102" s="49"/>
    </row>
    <row r="103" spans="2:55" ht="30" customHeight="1" thickBot="1">
      <c r="B103" s="50"/>
      <c r="C103" s="524" t="s">
        <v>48</v>
      </c>
      <c r="D103" s="524"/>
      <c r="E103" s="524"/>
      <c r="F103" s="524"/>
      <c r="G103" s="524"/>
      <c r="H103" s="524"/>
      <c r="I103" s="524"/>
      <c r="J103" s="524"/>
      <c r="O103" s="38"/>
      <c r="AC103" s="63"/>
    </row>
    <row r="104" spans="2:55" ht="17.100000000000001" customHeight="1">
      <c r="B104" s="50"/>
      <c r="C104" s="515" t="s">
        <v>2</v>
      </c>
      <c r="D104" s="516"/>
      <c r="E104" s="12" t="s">
        <v>4</v>
      </c>
      <c r="F104" s="525" t="s">
        <v>27</v>
      </c>
      <c r="G104" s="515" t="s">
        <v>2</v>
      </c>
      <c r="H104" s="516"/>
      <c r="I104" s="26" t="s">
        <v>4</v>
      </c>
      <c r="J104" s="527" t="s">
        <v>27</v>
      </c>
      <c r="K104" s="13"/>
      <c r="L104" s="515" t="s">
        <v>2</v>
      </c>
      <c r="M104" s="516"/>
      <c r="N104" s="12" t="s">
        <v>23</v>
      </c>
      <c r="O104" s="527" t="s">
        <v>27</v>
      </c>
      <c r="P104" s="515" t="s">
        <v>2</v>
      </c>
      <c r="Q104" s="516"/>
      <c r="R104" s="26" t="s">
        <v>23</v>
      </c>
      <c r="S104" s="513" t="s">
        <v>18</v>
      </c>
      <c r="T104" s="13"/>
      <c r="U104" s="515" t="s">
        <v>2</v>
      </c>
      <c r="V104" s="516"/>
      <c r="W104" s="12" t="s">
        <v>29</v>
      </c>
      <c r="X104" s="513" t="s">
        <v>18</v>
      </c>
      <c r="Y104" s="515" t="s">
        <v>2</v>
      </c>
      <c r="Z104" s="516"/>
      <c r="AA104" s="12" t="s">
        <v>29</v>
      </c>
      <c r="AB104" s="513" t="s">
        <v>18</v>
      </c>
      <c r="AC104" s="51"/>
      <c r="AD104" s="3"/>
      <c r="AF104" s="3"/>
      <c r="AG104" s="3"/>
      <c r="AH104" s="3"/>
      <c r="AJ104" s="3"/>
      <c r="AK104" s="3"/>
      <c r="AL104" s="3"/>
      <c r="AM104" s="3"/>
      <c r="AO104" s="3"/>
      <c r="AP104" s="3"/>
      <c r="AQ104" s="3"/>
      <c r="AS104" s="3"/>
      <c r="AT104" s="3"/>
      <c r="AU104" s="13"/>
      <c r="AV104" s="3"/>
      <c r="AX104" s="3"/>
      <c r="AY104" s="3"/>
      <c r="AZ104" s="3"/>
      <c r="BB104" s="3"/>
      <c r="BC104" s="3"/>
    </row>
    <row r="105" spans="2:55" ht="17.100000000000001" customHeight="1">
      <c r="B105" s="50"/>
      <c r="C105" s="517" t="s">
        <v>3</v>
      </c>
      <c r="D105" s="518"/>
      <c r="E105" s="5">
        <v>43031</v>
      </c>
      <c r="F105" s="526"/>
      <c r="G105" s="517" t="s">
        <v>3</v>
      </c>
      <c r="H105" s="518"/>
      <c r="I105" s="25">
        <v>43031</v>
      </c>
      <c r="J105" s="528"/>
      <c r="K105" s="13"/>
      <c r="L105" s="517" t="s">
        <v>3</v>
      </c>
      <c r="M105" s="518"/>
      <c r="N105" s="5">
        <v>43032</v>
      </c>
      <c r="O105" s="528"/>
      <c r="P105" s="517" t="s">
        <v>3</v>
      </c>
      <c r="Q105" s="518"/>
      <c r="R105" s="25">
        <v>43032</v>
      </c>
      <c r="S105" s="514"/>
      <c r="T105" s="13"/>
      <c r="U105" s="517" t="s">
        <v>3</v>
      </c>
      <c r="V105" s="518"/>
      <c r="W105" s="5">
        <v>43033</v>
      </c>
      <c r="X105" s="514"/>
      <c r="Y105" s="517" t="s">
        <v>3</v>
      </c>
      <c r="Z105" s="518"/>
      <c r="AA105" s="5">
        <v>43033</v>
      </c>
      <c r="AB105" s="514"/>
      <c r="AC105" s="51"/>
      <c r="AD105" s="3"/>
      <c r="AF105" s="3"/>
      <c r="AG105" s="3"/>
      <c r="AH105" s="3"/>
      <c r="AJ105" s="3"/>
      <c r="AK105" s="3"/>
      <c r="AL105" s="3"/>
      <c r="AM105" s="3"/>
      <c r="AO105" s="3"/>
      <c r="AP105" s="3"/>
      <c r="AQ105" s="3"/>
      <c r="AS105" s="3"/>
      <c r="AT105" s="3"/>
      <c r="AU105" s="13"/>
      <c r="AV105" s="3"/>
      <c r="AX105" s="3"/>
      <c r="AY105" s="3"/>
      <c r="AZ105" s="3"/>
      <c r="BB105" s="3"/>
      <c r="BC105" s="3"/>
    </row>
    <row r="106" spans="2:55" ht="17.100000000000001" customHeight="1">
      <c r="B106" s="50"/>
      <c r="C106" s="505" t="s">
        <v>1</v>
      </c>
      <c r="D106" s="506"/>
      <c r="E106" s="5" t="s">
        <v>20</v>
      </c>
      <c r="F106" s="507">
        <f>1000000+800000</f>
        <v>1800000</v>
      </c>
      <c r="G106" s="505" t="s">
        <v>1</v>
      </c>
      <c r="H106" s="506"/>
      <c r="I106" s="25" t="s">
        <v>26</v>
      </c>
      <c r="J106" s="510">
        <v>1000000</v>
      </c>
      <c r="K106" s="13"/>
      <c r="L106" s="505" t="s">
        <v>1</v>
      </c>
      <c r="M106" s="506"/>
      <c r="N106" s="5" t="s">
        <v>20</v>
      </c>
      <c r="O106" s="507">
        <f>1000000+800000</f>
        <v>1800000</v>
      </c>
      <c r="P106" s="505" t="s">
        <v>1</v>
      </c>
      <c r="Q106" s="506"/>
      <c r="R106" s="25" t="s">
        <v>26</v>
      </c>
      <c r="S106" s="510">
        <v>1000000</v>
      </c>
      <c r="T106" s="13"/>
      <c r="U106" s="505" t="s">
        <v>1</v>
      </c>
      <c r="V106" s="506"/>
      <c r="W106" s="5" t="s">
        <v>20</v>
      </c>
      <c r="X106" s="507">
        <f>1000000+800000</f>
        <v>1800000</v>
      </c>
      <c r="Y106" s="505" t="s">
        <v>1</v>
      </c>
      <c r="Z106" s="506"/>
      <c r="AA106" s="25" t="s">
        <v>26</v>
      </c>
      <c r="AB106" s="510">
        <v>1000000</v>
      </c>
      <c r="AC106" s="51"/>
      <c r="AD106" s="3"/>
      <c r="AF106" s="3"/>
      <c r="AG106" s="3"/>
      <c r="AH106" s="3"/>
      <c r="AJ106" s="3"/>
      <c r="AK106" s="3"/>
      <c r="AL106" s="3"/>
      <c r="AM106" s="3"/>
      <c r="AO106" s="3"/>
      <c r="AP106" s="3"/>
      <c r="AQ106" s="3"/>
      <c r="AS106" s="3"/>
      <c r="AT106" s="3"/>
      <c r="AU106" s="13"/>
      <c r="AV106" s="3"/>
      <c r="AX106" s="3"/>
      <c r="AY106" s="3"/>
      <c r="AZ106" s="3"/>
      <c r="BB106" s="3"/>
      <c r="BC106" s="3"/>
    </row>
    <row r="107" spans="2:55" ht="17.100000000000001" customHeight="1">
      <c r="B107" s="50"/>
      <c r="C107" s="499" t="s">
        <v>12</v>
      </c>
      <c r="D107" s="6" t="s">
        <v>10</v>
      </c>
      <c r="E107" s="1" t="s">
        <v>24</v>
      </c>
      <c r="F107" s="508"/>
      <c r="G107" s="499" t="s">
        <v>12</v>
      </c>
      <c r="H107" s="6" t="s">
        <v>10</v>
      </c>
      <c r="I107" s="1" t="s">
        <v>24</v>
      </c>
      <c r="J107" s="511"/>
      <c r="K107" s="4"/>
      <c r="L107" s="499" t="s">
        <v>12</v>
      </c>
      <c r="M107" s="6" t="s">
        <v>10</v>
      </c>
      <c r="N107" s="1" t="s">
        <v>24</v>
      </c>
      <c r="O107" s="508"/>
      <c r="P107" s="499" t="s">
        <v>12</v>
      </c>
      <c r="Q107" s="6" t="s">
        <v>10</v>
      </c>
      <c r="R107" s="1" t="s">
        <v>24</v>
      </c>
      <c r="S107" s="511"/>
      <c r="T107" s="4"/>
      <c r="U107" s="499" t="s">
        <v>12</v>
      </c>
      <c r="V107" s="6" t="s">
        <v>10</v>
      </c>
      <c r="W107" s="1" t="s">
        <v>24</v>
      </c>
      <c r="X107" s="508"/>
      <c r="Y107" s="499" t="s">
        <v>12</v>
      </c>
      <c r="Z107" s="6" t="s">
        <v>10</v>
      </c>
      <c r="AA107" s="1" t="s">
        <v>24</v>
      </c>
      <c r="AB107" s="511"/>
      <c r="AC107" s="52"/>
      <c r="AD107" s="3"/>
      <c r="AF107" s="3"/>
      <c r="AG107" s="3"/>
      <c r="AH107" s="3"/>
      <c r="AJ107" s="3"/>
      <c r="AK107" s="3"/>
      <c r="AL107" s="3"/>
      <c r="AM107" s="3"/>
      <c r="AO107" s="3"/>
      <c r="AP107" s="3"/>
      <c r="AQ107" s="3"/>
      <c r="AS107" s="3"/>
      <c r="AT107" s="3"/>
      <c r="AU107" s="4"/>
      <c r="AV107" s="3"/>
      <c r="AX107" s="3"/>
      <c r="AY107" s="3"/>
      <c r="AZ107" s="3"/>
      <c r="BB107" s="3"/>
      <c r="BC107" s="3"/>
    </row>
    <row r="108" spans="2:55" ht="17.100000000000001" customHeight="1">
      <c r="B108" s="50"/>
      <c r="C108" s="499"/>
      <c r="D108" s="6" t="s">
        <v>6</v>
      </c>
      <c r="E108" s="1" t="s">
        <v>49</v>
      </c>
      <c r="F108" s="508"/>
      <c r="G108" s="499"/>
      <c r="H108" s="6" t="s">
        <v>6</v>
      </c>
      <c r="I108" s="1" t="s">
        <v>7</v>
      </c>
      <c r="J108" s="511"/>
      <c r="K108" s="4"/>
      <c r="L108" s="499"/>
      <c r="M108" s="6" t="s">
        <v>6</v>
      </c>
      <c r="N108" s="1" t="s">
        <v>49</v>
      </c>
      <c r="O108" s="508"/>
      <c r="P108" s="499"/>
      <c r="Q108" s="6" t="s">
        <v>6</v>
      </c>
      <c r="R108" s="1" t="s">
        <v>7</v>
      </c>
      <c r="S108" s="511"/>
      <c r="T108" s="4"/>
      <c r="U108" s="499"/>
      <c r="V108" s="6" t="s">
        <v>6</v>
      </c>
      <c r="W108" s="1" t="s">
        <v>49</v>
      </c>
      <c r="X108" s="508"/>
      <c r="Y108" s="499"/>
      <c r="Z108" s="6" t="s">
        <v>6</v>
      </c>
      <c r="AA108" s="1" t="s">
        <v>7</v>
      </c>
      <c r="AB108" s="511"/>
      <c r="AC108" s="52"/>
      <c r="AD108" s="3"/>
      <c r="AF108" s="3"/>
      <c r="AG108" s="3"/>
      <c r="AH108" s="3"/>
      <c r="AJ108" s="3"/>
      <c r="AK108" s="3"/>
      <c r="AL108" s="3"/>
      <c r="AM108" s="3"/>
      <c r="AO108" s="3"/>
      <c r="AP108" s="3"/>
      <c r="AQ108" s="3"/>
      <c r="AS108" s="3"/>
      <c r="AT108" s="3"/>
      <c r="AU108" s="4"/>
      <c r="AV108" s="3"/>
      <c r="AX108" s="3"/>
      <c r="AY108" s="3"/>
      <c r="AZ108" s="3"/>
      <c r="BB108" s="3"/>
      <c r="BC108" s="3"/>
    </row>
    <row r="109" spans="2:55" ht="17.100000000000001" customHeight="1">
      <c r="B109" s="50"/>
      <c r="C109" s="499"/>
      <c r="D109" s="6" t="s">
        <v>8</v>
      </c>
      <c r="E109" s="7" t="s">
        <v>9</v>
      </c>
      <c r="F109" s="509"/>
      <c r="G109" s="499"/>
      <c r="H109" s="6" t="s">
        <v>8</v>
      </c>
      <c r="I109" s="7" t="s">
        <v>25</v>
      </c>
      <c r="J109" s="512"/>
      <c r="K109" s="4"/>
      <c r="L109" s="499"/>
      <c r="M109" s="6" t="s">
        <v>8</v>
      </c>
      <c r="N109" s="7" t="s">
        <v>9</v>
      </c>
      <c r="O109" s="509"/>
      <c r="P109" s="499"/>
      <c r="Q109" s="6" t="s">
        <v>8</v>
      </c>
      <c r="R109" s="7" t="s">
        <v>25</v>
      </c>
      <c r="S109" s="512"/>
      <c r="T109" s="4"/>
      <c r="U109" s="499"/>
      <c r="V109" s="6" t="s">
        <v>8</v>
      </c>
      <c r="W109" s="7" t="s">
        <v>9</v>
      </c>
      <c r="X109" s="509"/>
      <c r="Y109" s="499"/>
      <c r="Z109" s="6" t="s">
        <v>8</v>
      </c>
      <c r="AA109" s="7" t="s">
        <v>25</v>
      </c>
      <c r="AB109" s="512"/>
      <c r="AC109" s="52"/>
      <c r="AD109" s="3"/>
      <c r="AF109" s="3"/>
      <c r="AG109" s="3"/>
      <c r="AH109" s="3"/>
      <c r="AJ109" s="3"/>
      <c r="AK109" s="3"/>
      <c r="AL109" s="3"/>
      <c r="AM109" s="3"/>
      <c r="AO109" s="3"/>
      <c r="AP109" s="3"/>
      <c r="AQ109" s="3"/>
      <c r="AS109" s="3"/>
      <c r="AT109" s="3"/>
      <c r="AU109" s="4"/>
      <c r="AV109" s="3"/>
      <c r="AX109" s="3"/>
      <c r="AY109" s="3"/>
      <c r="AZ109" s="3"/>
      <c r="BB109" s="3"/>
      <c r="BC109" s="3"/>
    </row>
    <row r="110" spans="2:55" ht="17.100000000000001" customHeight="1">
      <c r="B110" s="50"/>
      <c r="C110" s="499" t="s">
        <v>11</v>
      </c>
      <c r="D110" s="6" t="s">
        <v>10</v>
      </c>
      <c r="E110" s="7"/>
      <c r="F110" s="520"/>
      <c r="G110" s="499" t="s">
        <v>11</v>
      </c>
      <c r="H110" s="6" t="s">
        <v>10</v>
      </c>
      <c r="I110" s="7"/>
      <c r="J110" s="497" t="s">
        <v>13</v>
      </c>
      <c r="K110" s="4"/>
      <c r="L110" s="499" t="s">
        <v>11</v>
      </c>
      <c r="M110" s="6" t="s">
        <v>10</v>
      </c>
      <c r="N110" s="7" t="s">
        <v>24</v>
      </c>
      <c r="O110" s="497">
        <f>300000+400000</f>
        <v>700000</v>
      </c>
      <c r="P110" s="499" t="s">
        <v>11</v>
      </c>
      <c r="Q110" s="6" t="s">
        <v>10</v>
      </c>
      <c r="R110" s="7"/>
      <c r="S110" s="522" t="s">
        <v>13</v>
      </c>
      <c r="T110" s="4"/>
      <c r="U110" s="499" t="s">
        <v>12</v>
      </c>
      <c r="V110" s="6" t="s">
        <v>10</v>
      </c>
      <c r="W110" s="7" t="s">
        <v>24</v>
      </c>
      <c r="X110" s="497">
        <v>300000</v>
      </c>
      <c r="Y110" s="499" t="s">
        <v>11</v>
      </c>
      <c r="Z110" s="6" t="s">
        <v>10</v>
      </c>
      <c r="AA110" s="7" t="s">
        <v>24</v>
      </c>
      <c r="AB110" s="497">
        <v>400000</v>
      </c>
      <c r="AC110" s="52"/>
      <c r="AD110" s="3"/>
      <c r="AF110" s="3"/>
      <c r="AG110" s="3"/>
      <c r="AH110" s="3"/>
      <c r="AJ110" s="3"/>
      <c r="AK110" s="3"/>
      <c r="AL110" s="3"/>
      <c r="AM110" s="3"/>
      <c r="AO110" s="3"/>
      <c r="AP110" s="3"/>
      <c r="AQ110" s="3"/>
      <c r="AS110" s="3"/>
      <c r="AT110" s="3"/>
      <c r="AU110" s="4"/>
      <c r="AV110" s="3"/>
      <c r="AX110" s="3"/>
      <c r="AY110" s="3"/>
      <c r="AZ110" s="3"/>
      <c r="BB110" s="3"/>
      <c r="BC110" s="3"/>
    </row>
    <row r="111" spans="2:55" ht="17.100000000000001" customHeight="1">
      <c r="B111" s="50"/>
      <c r="C111" s="499"/>
      <c r="D111" s="6" t="s">
        <v>6</v>
      </c>
      <c r="E111" s="1"/>
      <c r="F111" s="520"/>
      <c r="G111" s="499"/>
      <c r="H111" s="6" t="s">
        <v>6</v>
      </c>
      <c r="I111" s="1"/>
      <c r="J111" s="497"/>
      <c r="K111" s="4"/>
      <c r="L111" s="499"/>
      <c r="M111" s="6" t="s">
        <v>6</v>
      </c>
      <c r="N111" s="1" t="s">
        <v>50</v>
      </c>
      <c r="O111" s="497"/>
      <c r="P111" s="499"/>
      <c r="Q111" s="6" t="s">
        <v>6</v>
      </c>
      <c r="R111" s="1"/>
      <c r="S111" s="522"/>
      <c r="T111" s="4"/>
      <c r="U111" s="499"/>
      <c r="V111" s="6" t="s">
        <v>6</v>
      </c>
      <c r="W111" s="1" t="s">
        <v>51</v>
      </c>
      <c r="X111" s="497"/>
      <c r="Y111" s="499"/>
      <c r="Z111" s="6" t="s">
        <v>6</v>
      </c>
      <c r="AA111" s="1" t="s">
        <v>44</v>
      </c>
      <c r="AB111" s="497"/>
      <c r="AC111" s="52"/>
      <c r="AD111" s="3"/>
      <c r="AF111" s="3"/>
      <c r="AG111" s="3"/>
      <c r="AH111" s="3"/>
      <c r="AJ111" s="3"/>
      <c r="AK111" s="3"/>
      <c r="AL111" s="3"/>
      <c r="AM111" s="3"/>
      <c r="AO111" s="3"/>
      <c r="AP111" s="3"/>
      <c r="AQ111" s="3"/>
      <c r="AS111" s="3"/>
      <c r="AT111" s="3"/>
      <c r="AU111" s="4"/>
      <c r="AV111" s="3"/>
      <c r="AX111" s="3"/>
      <c r="AY111" s="3"/>
      <c r="AZ111" s="3"/>
      <c r="BB111" s="3"/>
      <c r="BC111" s="3"/>
    </row>
    <row r="112" spans="2:55" ht="17.100000000000001" customHeight="1" thickBot="1">
      <c r="B112" s="50"/>
      <c r="C112" s="500"/>
      <c r="D112" s="9" t="s">
        <v>8</v>
      </c>
      <c r="E112" s="21"/>
      <c r="F112" s="521"/>
      <c r="G112" s="500"/>
      <c r="H112" s="9" t="s">
        <v>8</v>
      </c>
      <c r="I112" s="10"/>
      <c r="J112" s="498"/>
      <c r="K112" s="4"/>
      <c r="L112" s="500"/>
      <c r="M112" s="9" t="s">
        <v>8</v>
      </c>
      <c r="N112" s="21" t="s">
        <v>25</v>
      </c>
      <c r="O112" s="498"/>
      <c r="P112" s="500"/>
      <c r="Q112" s="9" t="s">
        <v>8</v>
      </c>
      <c r="R112" s="10"/>
      <c r="S112" s="523"/>
      <c r="T112" s="4"/>
      <c r="U112" s="500"/>
      <c r="V112" s="9" t="s">
        <v>8</v>
      </c>
      <c r="W112" s="21" t="s">
        <v>25</v>
      </c>
      <c r="X112" s="498"/>
      <c r="Y112" s="500"/>
      <c r="Z112" s="9" t="s">
        <v>8</v>
      </c>
      <c r="AA112" s="21" t="s">
        <v>54</v>
      </c>
      <c r="AB112" s="498"/>
      <c r="AC112" s="52"/>
      <c r="AD112" s="3"/>
      <c r="AF112" s="3"/>
      <c r="AG112" s="3"/>
      <c r="AH112" s="3"/>
      <c r="AJ112" s="3"/>
      <c r="AK112" s="3"/>
      <c r="AL112" s="3"/>
      <c r="AM112" s="3"/>
      <c r="AO112" s="3"/>
      <c r="AP112" s="3"/>
      <c r="AQ112" s="3"/>
      <c r="AS112" s="3"/>
      <c r="AT112" s="3"/>
      <c r="AU112" s="4"/>
      <c r="AV112" s="3"/>
      <c r="AX112" s="3"/>
      <c r="AY112" s="3"/>
      <c r="AZ112" s="3"/>
      <c r="BB112" s="3"/>
      <c r="BC112" s="3"/>
    </row>
    <row r="113" spans="2:55" s="24" customFormat="1" ht="17.100000000000001" customHeight="1">
      <c r="B113" s="53"/>
      <c r="C113" s="519">
        <f>SUM(F106:F112)</f>
        <v>1800000</v>
      </c>
      <c r="D113" s="519"/>
      <c r="E113" s="519"/>
      <c r="F113" s="519"/>
      <c r="G113" s="519">
        <f>SUM(J106:J112)</f>
        <v>1000000</v>
      </c>
      <c r="H113" s="519"/>
      <c r="I113" s="519"/>
      <c r="J113" s="519"/>
      <c r="K113" s="27"/>
      <c r="L113" s="519">
        <f>SUM(O106:O112)</f>
        <v>2500000</v>
      </c>
      <c r="M113" s="519"/>
      <c r="N113" s="519"/>
      <c r="O113" s="519"/>
      <c r="P113" s="519">
        <f>SUM(S106:S112)</f>
        <v>1000000</v>
      </c>
      <c r="Q113" s="519"/>
      <c r="R113" s="519"/>
      <c r="S113" s="519"/>
      <c r="T113" s="27"/>
      <c r="U113" s="501">
        <f>SUM(X106:X112)</f>
        <v>2100000</v>
      </c>
      <c r="V113" s="501"/>
      <c r="W113" s="501"/>
      <c r="X113" s="501"/>
      <c r="Y113" s="501">
        <f>SUM(AB106:AB112)</f>
        <v>1400000</v>
      </c>
      <c r="Z113" s="501"/>
      <c r="AA113" s="501"/>
      <c r="AB113" s="501"/>
      <c r="AC113" s="54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27"/>
      <c r="AV113" s="3"/>
      <c r="AW113" s="3"/>
      <c r="AX113" s="3"/>
      <c r="AY113" s="3"/>
      <c r="AZ113" s="3"/>
      <c r="BA113" s="3"/>
      <c r="BB113" s="3"/>
      <c r="BC113" s="3"/>
    </row>
    <row r="114" spans="2:55" s="24" customFormat="1" ht="17.100000000000001" customHeight="1" thickBot="1">
      <c r="B114" s="53"/>
      <c r="C114" s="38"/>
      <c r="D114" s="42"/>
      <c r="E114" s="27"/>
      <c r="F114" s="38"/>
      <c r="G114" s="38"/>
      <c r="H114" s="42"/>
      <c r="I114" s="27"/>
      <c r="J114" s="38"/>
      <c r="K114" s="38"/>
      <c r="L114" s="38"/>
      <c r="M114" s="42"/>
      <c r="N114" s="27"/>
      <c r="O114" s="38"/>
      <c r="P114" s="38"/>
      <c r="Q114" s="42"/>
      <c r="R114" s="27"/>
      <c r="S114" s="38"/>
      <c r="T114" s="38"/>
      <c r="U114" s="38"/>
      <c r="V114" s="42"/>
      <c r="W114" s="27"/>
      <c r="X114" s="38"/>
      <c r="Y114" s="38"/>
      <c r="Z114" s="42"/>
      <c r="AA114" s="27"/>
      <c r="AB114" s="38"/>
      <c r="AC114" s="55"/>
      <c r="AE114" s="37"/>
      <c r="AF114" s="36"/>
      <c r="AI114" s="37"/>
      <c r="AJ114" s="36"/>
      <c r="AL114" s="38"/>
      <c r="AN114" s="37"/>
      <c r="AO114" s="36"/>
      <c r="AR114" s="37"/>
      <c r="AS114" s="36"/>
      <c r="AU114" s="38"/>
      <c r="AW114" s="37"/>
      <c r="AX114" s="36"/>
      <c r="BA114" s="37"/>
      <c r="BB114" s="36"/>
    </row>
    <row r="115" spans="2:55" ht="17.100000000000001" customHeight="1">
      <c r="B115" s="50"/>
      <c r="C115" s="515" t="s">
        <v>2</v>
      </c>
      <c r="D115" s="516"/>
      <c r="E115" s="12" t="s">
        <v>30</v>
      </c>
      <c r="F115" s="513" t="s">
        <v>18</v>
      </c>
      <c r="G115" s="515" t="s">
        <v>2</v>
      </c>
      <c r="H115" s="516"/>
      <c r="I115" s="12" t="s">
        <v>30</v>
      </c>
      <c r="J115" s="513" t="s">
        <v>18</v>
      </c>
      <c r="K115" s="13"/>
      <c r="L115" s="515" t="s">
        <v>2</v>
      </c>
      <c r="M115" s="516"/>
      <c r="N115" s="12" t="s">
        <v>31</v>
      </c>
      <c r="O115" s="513" t="s">
        <v>18</v>
      </c>
      <c r="P115" s="515" t="s">
        <v>2</v>
      </c>
      <c r="Q115" s="516"/>
      <c r="R115" s="12" t="s">
        <v>31</v>
      </c>
      <c r="S115" s="513" t="s">
        <v>18</v>
      </c>
      <c r="T115" s="13"/>
      <c r="U115" s="515" t="s">
        <v>2</v>
      </c>
      <c r="V115" s="516"/>
      <c r="W115" s="12" t="s">
        <v>40</v>
      </c>
      <c r="X115" s="513" t="s">
        <v>18</v>
      </c>
      <c r="Y115" s="515" t="s">
        <v>2</v>
      </c>
      <c r="Z115" s="516"/>
      <c r="AA115" s="12" t="s">
        <v>29</v>
      </c>
      <c r="AB115" s="513" t="s">
        <v>18</v>
      </c>
      <c r="AC115" s="51"/>
      <c r="AD115" s="3"/>
      <c r="AF115" s="3"/>
      <c r="AG115" s="3"/>
      <c r="AH115" s="3"/>
      <c r="AJ115" s="3"/>
      <c r="AK115" s="3"/>
      <c r="AL115" s="3"/>
      <c r="AM115" s="3"/>
      <c r="AO115" s="3"/>
      <c r="AP115" s="3"/>
      <c r="AQ115" s="3"/>
      <c r="AS115" s="3"/>
      <c r="AT115" s="3"/>
      <c r="AU115" s="13"/>
      <c r="AV115" s="3"/>
      <c r="AX115" s="3"/>
      <c r="AY115" s="3"/>
      <c r="AZ115" s="3"/>
      <c r="BB115" s="3"/>
      <c r="BC115" s="3"/>
    </row>
    <row r="116" spans="2:55" ht="17.100000000000001" customHeight="1">
      <c r="B116" s="50"/>
      <c r="C116" s="517" t="s">
        <v>3</v>
      </c>
      <c r="D116" s="518"/>
      <c r="E116" s="5">
        <v>43034</v>
      </c>
      <c r="F116" s="514"/>
      <c r="G116" s="517" t="s">
        <v>3</v>
      </c>
      <c r="H116" s="518"/>
      <c r="I116" s="5">
        <v>43034</v>
      </c>
      <c r="J116" s="514"/>
      <c r="K116" s="13"/>
      <c r="L116" s="517" t="s">
        <v>3</v>
      </c>
      <c r="M116" s="518"/>
      <c r="N116" s="5">
        <v>43035</v>
      </c>
      <c r="O116" s="514"/>
      <c r="P116" s="517" t="s">
        <v>3</v>
      </c>
      <c r="Q116" s="518"/>
      <c r="R116" s="5">
        <v>43035</v>
      </c>
      <c r="S116" s="514"/>
      <c r="T116" s="13"/>
      <c r="U116" s="517" t="s">
        <v>3</v>
      </c>
      <c r="V116" s="518"/>
      <c r="W116" s="5">
        <v>43036</v>
      </c>
      <c r="X116" s="514"/>
      <c r="Y116" s="517" t="s">
        <v>3</v>
      </c>
      <c r="Z116" s="518"/>
      <c r="AA116" s="5" t="s">
        <v>26</v>
      </c>
      <c r="AB116" s="514"/>
      <c r="AC116" s="51"/>
      <c r="AD116" s="3"/>
      <c r="AF116" s="3"/>
      <c r="AG116" s="3"/>
      <c r="AH116" s="3"/>
      <c r="AJ116" s="3"/>
      <c r="AK116" s="3"/>
      <c r="AL116" s="3"/>
      <c r="AM116" s="3"/>
      <c r="AO116" s="3"/>
      <c r="AP116" s="3"/>
      <c r="AQ116" s="3"/>
      <c r="AS116" s="3"/>
      <c r="AT116" s="3"/>
      <c r="AU116" s="13"/>
      <c r="AV116" s="3"/>
      <c r="AX116" s="3"/>
      <c r="AY116" s="3"/>
      <c r="AZ116" s="3"/>
      <c r="BB116" s="3"/>
      <c r="BC116" s="3"/>
    </row>
    <row r="117" spans="2:55" ht="17.100000000000001" customHeight="1">
      <c r="B117" s="50"/>
      <c r="C117" s="505" t="s">
        <v>1</v>
      </c>
      <c r="D117" s="506"/>
      <c r="E117" s="5" t="s">
        <v>20</v>
      </c>
      <c r="F117" s="507">
        <f>1000000+800000</f>
        <v>1800000</v>
      </c>
      <c r="G117" s="505" t="s">
        <v>1</v>
      </c>
      <c r="H117" s="506"/>
      <c r="I117" s="25" t="s">
        <v>26</v>
      </c>
      <c r="J117" s="510">
        <v>1000000</v>
      </c>
      <c r="K117" s="13"/>
      <c r="L117" s="505" t="s">
        <v>1</v>
      </c>
      <c r="M117" s="506"/>
      <c r="N117" s="5" t="s">
        <v>20</v>
      </c>
      <c r="O117" s="502">
        <v>2000000</v>
      </c>
      <c r="P117" s="505" t="s">
        <v>1</v>
      </c>
      <c r="Q117" s="506"/>
      <c r="R117" s="25" t="s">
        <v>26</v>
      </c>
      <c r="S117" s="502">
        <v>1000000</v>
      </c>
      <c r="T117" s="13"/>
      <c r="U117" s="505" t="s">
        <v>1</v>
      </c>
      <c r="V117" s="506"/>
      <c r="W117" s="5" t="s">
        <v>20</v>
      </c>
      <c r="X117" s="502">
        <v>400000</v>
      </c>
      <c r="Y117" s="505" t="s">
        <v>1</v>
      </c>
      <c r="Z117" s="506"/>
      <c r="AA117" s="25" t="s">
        <v>26</v>
      </c>
      <c r="AB117" s="502"/>
      <c r="AC117" s="51"/>
      <c r="AD117" s="3"/>
      <c r="AF117" s="3"/>
      <c r="AG117" s="3"/>
      <c r="AH117" s="3"/>
      <c r="AJ117" s="3"/>
      <c r="AK117" s="3"/>
      <c r="AL117" s="3"/>
      <c r="AM117" s="3"/>
      <c r="AO117" s="3"/>
      <c r="AP117" s="3"/>
      <c r="AQ117" s="3"/>
      <c r="AS117" s="3"/>
      <c r="AT117" s="3"/>
      <c r="AU117" s="13"/>
      <c r="AV117" s="3"/>
      <c r="AX117" s="3"/>
      <c r="AY117" s="3"/>
      <c r="AZ117" s="3"/>
      <c r="BB117" s="3"/>
      <c r="BC117" s="3"/>
    </row>
    <row r="118" spans="2:55" ht="17.100000000000001" customHeight="1">
      <c r="B118" s="50"/>
      <c r="C118" s="499" t="s">
        <v>12</v>
      </c>
      <c r="D118" s="6" t="s">
        <v>10</v>
      </c>
      <c r="E118" s="1" t="s">
        <v>24</v>
      </c>
      <c r="F118" s="508"/>
      <c r="G118" s="499" t="s">
        <v>12</v>
      </c>
      <c r="H118" s="6" t="s">
        <v>10</v>
      </c>
      <c r="I118" s="1" t="s">
        <v>24</v>
      </c>
      <c r="J118" s="511"/>
      <c r="K118" s="4"/>
      <c r="L118" s="499" t="s">
        <v>12</v>
      </c>
      <c r="M118" s="6" t="s">
        <v>10</v>
      </c>
      <c r="N118" s="1" t="s">
        <v>24</v>
      </c>
      <c r="O118" s="503"/>
      <c r="P118" s="499" t="s">
        <v>12</v>
      </c>
      <c r="Q118" s="6" t="s">
        <v>10</v>
      </c>
      <c r="R118" s="1" t="s">
        <v>24</v>
      </c>
      <c r="S118" s="503"/>
      <c r="T118" s="4"/>
      <c r="U118" s="499" t="s">
        <v>12</v>
      </c>
      <c r="V118" s="6" t="s">
        <v>10</v>
      </c>
      <c r="W118" s="1" t="s">
        <v>24</v>
      </c>
      <c r="X118" s="503"/>
      <c r="Y118" s="499" t="s">
        <v>12</v>
      </c>
      <c r="Z118" s="6" t="s">
        <v>10</v>
      </c>
      <c r="AA118" s="1"/>
      <c r="AB118" s="503"/>
      <c r="AC118" s="52"/>
      <c r="AD118" s="3"/>
      <c r="AF118" s="3"/>
      <c r="AG118" s="3"/>
      <c r="AH118" s="3"/>
      <c r="AJ118" s="3"/>
      <c r="AK118" s="3"/>
      <c r="AL118" s="3"/>
      <c r="AM118" s="3"/>
      <c r="AO118" s="3"/>
      <c r="AP118" s="3"/>
      <c r="AQ118" s="3"/>
      <c r="AS118" s="3"/>
      <c r="AT118" s="3"/>
      <c r="AU118" s="4"/>
      <c r="AV118" s="3"/>
      <c r="AX118" s="3"/>
      <c r="AY118" s="3"/>
      <c r="AZ118" s="3"/>
      <c r="BB118" s="3"/>
      <c r="BC118" s="3"/>
    </row>
    <row r="119" spans="2:55" ht="17.100000000000001" customHeight="1">
      <c r="B119" s="50"/>
      <c r="C119" s="499"/>
      <c r="D119" s="6" t="s">
        <v>6</v>
      </c>
      <c r="E119" s="1" t="s">
        <v>49</v>
      </c>
      <c r="F119" s="508"/>
      <c r="G119" s="499"/>
      <c r="H119" s="6" t="s">
        <v>6</v>
      </c>
      <c r="I119" s="1" t="s">
        <v>7</v>
      </c>
      <c r="J119" s="511"/>
      <c r="K119" s="4"/>
      <c r="L119" s="499"/>
      <c r="M119" s="6" t="s">
        <v>6</v>
      </c>
      <c r="N119" s="1" t="s">
        <v>36</v>
      </c>
      <c r="O119" s="503"/>
      <c r="P119" s="499"/>
      <c r="Q119" s="6" t="s">
        <v>6</v>
      </c>
      <c r="R119" s="1" t="s">
        <v>7</v>
      </c>
      <c r="S119" s="503"/>
      <c r="T119" s="4"/>
      <c r="U119" s="499"/>
      <c r="V119" s="6" t="s">
        <v>6</v>
      </c>
      <c r="W119" s="1" t="s">
        <v>37</v>
      </c>
      <c r="X119" s="503"/>
      <c r="Y119" s="499"/>
      <c r="Z119" s="6" t="s">
        <v>6</v>
      </c>
      <c r="AA119" s="1"/>
      <c r="AB119" s="503"/>
      <c r="AC119" s="52"/>
      <c r="AD119" s="3"/>
      <c r="AF119" s="3"/>
      <c r="AG119" s="3"/>
      <c r="AH119" s="3"/>
      <c r="AJ119" s="3"/>
      <c r="AK119" s="3"/>
      <c r="AL119" s="3"/>
      <c r="AM119" s="3"/>
      <c r="AO119" s="3"/>
      <c r="AP119" s="3"/>
      <c r="AQ119" s="3"/>
      <c r="AS119" s="3"/>
      <c r="AT119" s="3"/>
      <c r="AU119" s="4"/>
      <c r="AV119" s="3"/>
      <c r="AX119" s="3"/>
      <c r="AY119" s="3"/>
      <c r="AZ119" s="3"/>
      <c r="BB119" s="3"/>
      <c r="BC119" s="3"/>
    </row>
    <row r="120" spans="2:55" ht="17.100000000000001" customHeight="1">
      <c r="B120" s="50"/>
      <c r="C120" s="499"/>
      <c r="D120" s="6" t="s">
        <v>8</v>
      </c>
      <c r="E120" s="7" t="s">
        <v>9</v>
      </c>
      <c r="F120" s="509"/>
      <c r="G120" s="499"/>
      <c r="H120" s="6" t="s">
        <v>8</v>
      </c>
      <c r="I120" s="7" t="s">
        <v>25</v>
      </c>
      <c r="J120" s="512"/>
      <c r="K120" s="4"/>
      <c r="L120" s="499"/>
      <c r="M120" s="6" t="s">
        <v>8</v>
      </c>
      <c r="N120" s="7" t="s">
        <v>9</v>
      </c>
      <c r="O120" s="504"/>
      <c r="P120" s="499"/>
      <c r="Q120" s="6" t="s">
        <v>8</v>
      </c>
      <c r="R120" s="7" t="s">
        <v>25</v>
      </c>
      <c r="S120" s="504"/>
      <c r="T120" s="4"/>
      <c r="U120" s="499"/>
      <c r="V120" s="6" t="s">
        <v>8</v>
      </c>
      <c r="W120" s="7" t="s">
        <v>9</v>
      </c>
      <c r="X120" s="504"/>
      <c r="Y120" s="499"/>
      <c r="Z120" s="6" t="s">
        <v>8</v>
      </c>
      <c r="AA120" s="7"/>
      <c r="AB120" s="504"/>
      <c r="AC120" s="52"/>
      <c r="AD120" s="3"/>
      <c r="AF120" s="3"/>
      <c r="AG120" s="3"/>
      <c r="AH120" s="3"/>
      <c r="AJ120" s="3"/>
      <c r="AK120" s="3"/>
      <c r="AL120" s="3"/>
      <c r="AM120" s="3"/>
      <c r="AO120" s="3"/>
      <c r="AP120" s="3"/>
      <c r="AQ120" s="3"/>
      <c r="AS120" s="3"/>
      <c r="AT120" s="3"/>
      <c r="AU120" s="4"/>
      <c r="AV120" s="3"/>
      <c r="AX120" s="3"/>
      <c r="AY120" s="3"/>
      <c r="AZ120" s="3"/>
      <c r="BB120" s="3"/>
      <c r="BC120" s="3"/>
    </row>
    <row r="121" spans="2:55" ht="17.100000000000001" customHeight="1">
      <c r="B121" s="50"/>
      <c r="C121" s="499" t="s">
        <v>11</v>
      </c>
      <c r="D121" s="6" t="s">
        <v>10</v>
      </c>
      <c r="E121" s="7" t="s">
        <v>24</v>
      </c>
      <c r="F121" s="497">
        <v>300000</v>
      </c>
      <c r="G121" s="499" t="s">
        <v>11</v>
      </c>
      <c r="H121" s="6" t="s">
        <v>10</v>
      </c>
      <c r="I121" s="7" t="s">
        <v>24</v>
      </c>
      <c r="J121" s="497">
        <v>400000</v>
      </c>
      <c r="K121" s="4"/>
      <c r="L121" s="499" t="s">
        <v>11</v>
      </c>
      <c r="M121" s="6" t="s">
        <v>10</v>
      </c>
      <c r="N121" s="7" t="s">
        <v>24</v>
      </c>
      <c r="O121" s="497">
        <v>300000</v>
      </c>
      <c r="P121" s="499" t="s">
        <v>11</v>
      </c>
      <c r="Q121" s="6" t="s">
        <v>10</v>
      </c>
      <c r="R121" s="7"/>
      <c r="S121" s="497"/>
      <c r="T121" s="4"/>
      <c r="U121" s="499" t="s">
        <v>12</v>
      </c>
      <c r="V121" s="6" t="s">
        <v>10</v>
      </c>
      <c r="W121" s="7"/>
      <c r="X121" s="497"/>
      <c r="Y121" s="499" t="s">
        <v>11</v>
      </c>
      <c r="Z121" s="6" t="s">
        <v>10</v>
      </c>
      <c r="AA121" s="7"/>
      <c r="AB121" s="497"/>
      <c r="AC121" s="52"/>
      <c r="AD121" s="3"/>
      <c r="AF121" s="3"/>
      <c r="AG121" s="3"/>
      <c r="AH121" s="3"/>
      <c r="AJ121" s="3"/>
      <c r="AK121" s="3"/>
      <c r="AL121" s="3"/>
      <c r="AM121" s="3"/>
      <c r="AO121" s="3"/>
      <c r="AP121" s="3"/>
      <c r="AQ121" s="3"/>
      <c r="AS121" s="3"/>
      <c r="AT121" s="3"/>
      <c r="AU121" s="4"/>
      <c r="AV121" s="3"/>
      <c r="AX121" s="3"/>
      <c r="AY121" s="3"/>
      <c r="AZ121" s="3"/>
      <c r="BB121" s="3"/>
      <c r="BC121" s="3"/>
    </row>
    <row r="122" spans="2:55" ht="17.100000000000001" customHeight="1">
      <c r="B122" s="50"/>
      <c r="C122" s="499"/>
      <c r="D122" s="6" t="s">
        <v>6</v>
      </c>
      <c r="E122" s="1" t="s">
        <v>52</v>
      </c>
      <c r="F122" s="497"/>
      <c r="G122" s="499"/>
      <c r="H122" s="6" t="s">
        <v>6</v>
      </c>
      <c r="I122" s="1" t="s">
        <v>44</v>
      </c>
      <c r="J122" s="497"/>
      <c r="K122" s="4"/>
      <c r="L122" s="499"/>
      <c r="M122" s="6" t="s">
        <v>6</v>
      </c>
      <c r="N122" s="1" t="s">
        <v>37</v>
      </c>
      <c r="O122" s="497"/>
      <c r="P122" s="499"/>
      <c r="Q122" s="6" t="s">
        <v>6</v>
      </c>
      <c r="R122" s="1"/>
      <c r="S122" s="497"/>
      <c r="T122" s="4"/>
      <c r="U122" s="499"/>
      <c r="V122" s="6" t="s">
        <v>6</v>
      </c>
      <c r="W122" s="1"/>
      <c r="X122" s="497"/>
      <c r="Y122" s="499"/>
      <c r="Z122" s="6" t="s">
        <v>6</v>
      </c>
      <c r="AA122" s="1"/>
      <c r="AB122" s="497"/>
      <c r="AC122" s="52"/>
      <c r="AD122" s="3"/>
      <c r="AF122" s="3"/>
      <c r="AG122" s="3"/>
      <c r="AH122" s="3"/>
      <c r="AJ122" s="3"/>
      <c r="AK122" s="3"/>
      <c r="AL122" s="3"/>
      <c r="AM122" s="3"/>
      <c r="AO122" s="3"/>
      <c r="AP122" s="3"/>
      <c r="AQ122" s="3"/>
      <c r="AS122" s="3"/>
      <c r="AT122" s="3"/>
      <c r="AU122" s="4"/>
      <c r="AV122" s="3"/>
      <c r="AX122" s="3"/>
      <c r="AY122" s="3"/>
      <c r="AZ122" s="3"/>
      <c r="BB122" s="3"/>
      <c r="BC122" s="3"/>
    </row>
    <row r="123" spans="2:55" ht="17.100000000000001" customHeight="1" thickBot="1">
      <c r="B123" s="50"/>
      <c r="C123" s="500"/>
      <c r="D123" s="9" t="s">
        <v>8</v>
      </c>
      <c r="E123" s="21" t="s">
        <v>25</v>
      </c>
      <c r="F123" s="498"/>
      <c r="G123" s="500"/>
      <c r="H123" s="9" t="s">
        <v>8</v>
      </c>
      <c r="I123" s="21" t="s">
        <v>53</v>
      </c>
      <c r="J123" s="498"/>
      <c r="K123" s="4"/>
      <c r="L123" s="500"/>
      <c r="M123" s="9" t="s">
        <v>8</v>
      </c>
      <c r="N123" s="21" t="s">
        <v>25</v>
      </c>
      <c r="O123" s="498"/>
      <c r="P123" s="500"/>
      <c r="Q123" s="9" t="s">
        <v>8</v>
      </c>
      <c r="R123" s="21"/>
      <c r="S123" s="498"/>
      <c r="T123" s="4"/>
      <c r="U123" s="500"/>
      <c r="V123" s="9" t="s">
        <v>8</v>
      </c>
      <c r="W123" s="21"/>
      <c r="X123" s="498"/>
      <c r="Y123" s="500"/>
      <c r="Z123" s="9" t="s">
        <v>8</v>
      </c>
      <c r="AA123" s="21"/>
      <c r="AB123" s="498"/>
      <c r="AC123" s="52"/>
      <c r="AD123" s="3"/>
      <c r="AF123" s="3"/>
      <c r="AG123" s="3"/>
      <c r="AH123" s="3"/>
      <c r="AJ123" s="3"/>
      <c r="AK123" s="3"/>
      <c r="AL123" s="3"/>
      <c r="AM123" s="3"/>
      <c r="AO123" s="3"/>
      <c r="AP123" s="3"/>
      <c r="AQ123" s="3"/>
      <c r="AS123" s="3"/>
      <c r="AT123" s="3"/>
      <c r="AU123" s="4"/>
      <c r="AV123" s="3"/>
      <c r="AX123" s="3"/>
      <c r="AY123" s="3"/>
      <c r="AZ123" s="3"/>
      <c r="BB123" s="3"/>
      <c r="BC123" s="3"/>
    </row>
    <row r="124" spans="2:55" s="24" customFormat="1" ht="17.100000000000001" customHeight="1">
      <c r="B124" s="53"/>
      <c r="C124" s="501">
        <f>SUM(F117:F123)</f>
        <v>2100000</v>
      </c>
      <c r="D124" s="501"/>
      <c r="E124" s="501"/>
      <c r="F124" s="501"/>
      <c r="G124" s="501">
        <f>SUM(J117:J123)</f>
        <v>1400000</v>
      </c>
      <c r="H124" s="501"/>
      <c r="I124" s="501"/>
      <c r="J124" s="501"/>
      <c r="K124" s="27"/>
      <c r="L124" s="501">
        <f>SUM(O117:O123)</f>
        <v>2300000</v>
      </c>
      <c r="M124" s="501"/>
      <c r="N124" s="501"/>
      <c r="O124" s="501"/>
      <c r="P124" s="501">
        <f>SUM(S117:S123)</f>
        <v>1000000</v>
      </c>
      <c r="Q124" s="501"/>
      <c r="R124" s="501"/>
      <c r="S124" s="501"/>
      <c r="T124" s="27"/>
      <c r="U124" s="501">
        <f>SUM(X117:X123)</f>
        <v>400000</v>
      </c>
      <c r="V124" s="501"/>
      <c r="W124" s="501"/>
      <c r="X124" s="501"/>
      <c r="Y124" s="501">
        <f>SUM(AB117:AB123)</f>
        <v>0</v>
      </c>
      <c r="Z124" s="501"/>
      <c r="AA124" s="501"/>
      <c r="AB124" s="501"/>
      <c r="AC124" s="54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27"/>
      <c r="AV124" s="3"/>
      <c r="AW124" s="3"/>
      <c r="AX124" s="3"/>
      <c r="AY124" s="3"/>
      <c r="AZ124" s="3"/>
      <c r="BA124" s="3"/>
      <c r="BB124" s="3"/>
      <c r="BC124" s="3"/>
    </row>
    <row r="125" spans="2:55" s="39" customFormat="1" ht="30" customHeight="1">
      <c r="B125" s="56"/>
      <c r="C125" s="496" t="s">
        <v>45</v>
      </c>
      <c r="D125" s="496"/>
      <c r="E125" s="496"/>
      <c r="F125" s="496"/>
      <c r="G125" s="496"/>
      <c r="H125" s="496"/>
      <c r="I125" s="496"/>
      <c r="J125" s="496"/>
      <c r="K125" s="496"/>
      <c r="L125" s="496"/>
      <c r="M125" s="496"/>
      <c r="N125" s="496">
        <f>+SUM(C124:AB124,C113:AB113)</f>
        <v>17000000</v>
      </c>
      <c r="O125" s="496"/>
      <c r="P125" s="496"/>
      <c r="Q125" s="496"/>
      <c r="R125" s="496"/>
      <c r="S125" s="496"/>
      <c r="T125" s="496"/>
      <c r="U125" s="496"/>
      <c r="V125" s="496"/>
      <c r="W125" s="496"/>
      <c r="X125" s="496"/>
      <c r="Y125" s="496"/>
      <c r="Z125" s="496"/>
      <c r="AA125" s="496"/>
      <c r="AB125" s="496"/>
      <c r="AC125" s="57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W125" s="40"/>
      <c r="BA125" s="40"/>
    </row>
    <row r="126" spans="2:55" s="24" customFormat="1" ht="17.100000000000001" customHeight="1" thickBot="1">
      <c r="B126" s="58"/>
      <c r="C126" s="59"/>
      <c r="D126" s="60"/>
      <c r="E126" s="61"/>
      <c r="F126" s="59"/>
      <c r="G126" s="59"/>
      <c r="H126" s="60"/>
      <c r="I126" s="61"/>
      <c r="J126" s="59"/>
      <c r="K126" s="59"/>
      <c r="L126" s="59"/>
      <c r="M126" s="60"/>
      <c r="N126" s="61"/>
      <c r="O126" s="59"/>
      <c r="P126" s="59"/>
      <c r="Q126" s="60"/>
      <c r="R126" s="61"/>
      <c r="S126" s="59"/>
      <c r="T126" s="59"/>
      <c r="U126" s="59"/>
      <c r="V126" s="60"/>
      <c r="W126" s="61"/>
      <c r="X126" s="59"/>
      <c r="Y126" s="59"/>
      <c r="Z126" s="60"/>
      <c r="AA126" s="61"/>
      <c r="AB126" s="59"/>
      <c r="AC126" s="62"/>
      <c r="AE126" s="37"/>
      <c r="AF126" s="36"/>
      <c r="AI126" s="37"/>
      <c r="AJ126" s="36"/>
      <c r="AL126" s="38"/>
      <c r="AN126" s="37"/>
      <c r="AO126" s="36"/>
      <c r="AR126" s="37"/>
      <c r="AS126" s="36"/>
      <c r="AU126" s="38"/>
      <c r="AW126" s="37"/>
      <c r="AX126" s="36"/>
      <c r="BA126" s="37"/>
      <c r="BB126" s="36"/>
    </row>
    <row r="127" spans="2:55" ht="12.75" thickTop="1"/>
    <row r="132" spans="14:14">
      <c r="N132" s="36"/>
    </row>
    <row r="133" spans="14:14">
      <c r="N133" s="36"/>
    </row>
    <row r="134" spans="14:14">
      <c r="N134" s="36"/>
    </row>
  </sheetData>
  <mergeCells count="645">
    <mergeCell ref="C73:M73"/>
    <mergeCell ref="N73:AB73"/>
    <mergeCell ref="C51:J51"/>
    <mergeCell ref="C72:F72"/>
    <mergeCell ref="G72:J72"/>
    <mergeCell ref="L72:O72"/>
    <mergeCell ref="P72:S72"/>
    <mergeCell ref="U72:X72"/>
    <mergeCell ref="Y72:AB72"/>
    <mergeCell ref="X69:X71"/>
    <mergeCell ref="Y69:Y71"/>
    <mergeCell ref="AB69:AB71"/>
    <mergeCell ref="C69:C71"/>
    <mergeCell ref="F69:F71"/>
    <mergeCell ref="G69:G71"/>
    <mergeCell ref="J69:J71"/>
    <mergeCell ref="L69:L71"/>
    <mergeCell ref="O69:O71"/>
    <mergeCell ref="P69:P71"/>
    <mergeCell ref="S69:S71"/>
    <mergeCell ref="U69:U71"/>
    <mergeCell ref="C66:C68"/>
    <mergeCell ref="G66:G68"/>
    <mergeCell ref="L66:L68"/>
    <mergeCell ref="P66:P68"/>
    <mergeCell ref="U66:U68"/>
    <mergeCell ref="Y66:Y68"/>
    <mergeCell ref="X65:X68"/>
    <mergeCell ref="Y65:Z65"/>
    <mergeCell ref="AB65:AB68"/>
    <mergeCell ref="C65:D65"/>
    <mergeCell ref="F65:F68"/>
    <mergeCell ref="G65:H65"/>
    <mergeCell ref="J65:J68"/>
    <mergeCell ref="L65:M65"/>
    <mergeCell ref="O65:O68"/>
    <mergeCell ref="P65:Q65"/>
    <mergeCell ref="S65:S68"/>
    <mergeCell ref="U65:V65"/>
    <mergeCell ref="C64:D64"/>
    <mergeCell ref="G64:H64"/>
    <mergeCell ref="L64:M64"/>
    <mergeCell ref="P64:Q64"/>
    <mergeCell ref="U64:V64"/>
    <mergeCell ref="Y64:Z64"/>
    <mergeCell ref="X63:X64"/>
    <mergeCell ref="Y63:Z63"/>
    <mergeCell ref="AB63:AB64"/>
    <mergeCell ref="C63:D63"/>
    <mergeCell ref="F63:F64"/>
    <mergeCell ref="G63:H63"/>
    <mergeCell ref="J63:J64"/>
    <mergeCell ref="L63:M63"/>
    <mergeCell ref="O63:O64"/>
    <mergeCell ref="P63:Q63"/>
    <mergeCell ref="S63:S64"/>
    <mergeCell ref="U63:V63"/>
    <mergeCell ref="C47:F47"/>
    <mergeCell ref="N48:AT48"/>
    <mergeCell ref="C48:M48"/>
    <mergeCell ref="AQ44:AQ46"/>
    <mergeCell ref="AT44:AT46"/>
    <mergeCell ref="G47:J47"/>
    <mergeCell ref="L47:O47"/>
    <mergeCell ref="P47:S47"/>
    <mergeCell ref="U47:X47"/>
    <mergeCell ref="Y47:AB47"/>
    <mergeCell ref="AD47:AG47"/>
    <mergeCell ref="AH47:AK47"/>
    <mergeCell ref="AM47:AP47"/>
    <mergeCell ref="AQ47:AT47"/>
    <mergeCell ref="X44:X46"/>
    <mergeCell ref="Y44:Y46"/>
    <mergeCell ref="AB44:AB46"/>
    <mergeCell ref="AD44:AD46"/>
    <mergeCell ref="AG44:AG46"/>
    <mergeCell ref="AH44:AH46"/>
    <mergeCell ref="AK44:AK46"/>
    <mergeCell ref="AM44:AM46"/>
    <mergeCell ref="AP44:AP46"/>
    <mergeCell ref="C44:C46"/>
    <mergeCell ref="F44:F46"/>
    <mergeCell ref="G44:G46"/>
    <mergeCell ref="J44:J46"/>
    <mergeCell ref="L44:L46"/>
    <mergeCell ref="O44:O46"/>
    <mergeCell ref="P44:P46"/>
    <mergeCell ref="S44:S46"/>
    <mergeCell ref="U44:U46"/>
    <mergeCell ref="AQ40:AR40"/>
    <mergeCell ref="L40:M40"/>
    <mergeCell ref="O40:O43"/>
    <mergeCell ref="P40:Q40"/>
    <mergeCell ref="S40:S43"/>
    <mergeCell ref="U40:V40"/>
    <mergeCell ref="AT40:AT43"/>
    <mergeCell ref="C41:C43"/>
    <mergeCell ref="G41:G43"/>
    <mergeCell ref="L41:L43"/>
    <mergeCell ref="P41:P43"/>
    <mergeCell ref="U41:U43"/>
    <mergeCell ref="Y41:Y43"/>
    <mergeCell ref="AD41:AD43"/>
    <mergeCell ref="AH41:AH43"/>
    <mergeCell ref="AM41:AM43"/>
    <mergeCell ref="AQ41:AQ43"/>
    <mergeCell ref="X40:X43"/>
    <mergeCell ref="Y40:Z40"/>
    <mergeCell ref="AB40:AB43"/>
    <mergeCell ref="AD40:AE40"/>
    <mergeCell ref="AG40:AG43"/>
    <mergeCell ref="AH40:AI40"/>
    <mergeCell ref="AK40:AK43"/>
    <mergeCell ref="AM40:AN40"/>
    <mergeCell ref="AP40:AP43"/>
    <mergeCell ref="C40:D40"/>
    <mergeCell ref="F40:F43"/>
    <mergeCell ref="G40:H40"/>
    <mergeCell ref="J40:J43"/>
    <mergeCell ref="AQ38:AR38"/>
    <mergeCell ref="AT38:AT39"/>
    <mergeCell ref="C39:D39"/>
    <mergeCell ref="G39:H39"/>
    <mergeCell ref="L39:M39"/>
    <mergeCell ref="P39:Q39"/>
    <mergeCell ref="U39:V39"/>
    <mergeCell ref="Y39:Z39"/>
    <mergeCell ref="AD39:AE39"/>
    <mergeCell ref="AH39:AI39"/>
    <mergeCell ref="AM39:AN39"/>
    <mergeCell ref="AQ39:AR39"/>
    <mergeCell ref="X38:X39"/>
    <mergeCell ref="Y38:Z38"/>
    <mergeCell ref="AB38:AB39"/>
    <mergeCell ref="AD38:AE38"/>
    <mergeCell ref="AG38:AG39"/>
    <mergeCell ref="AH38:AI38"/>
    <mergeCell ref="AK38:AK39"/>
    <mergeCell ref="AM38:AN38"/>
    <mergeCell ref="AP38:AP39"/>
    <mergeCell ref="C38:D38"/>
    <mergeCell ref="F38:F39"/>
    <mergeCell ref="G38:H38"/>
    <mergeCell ref="L38:M38"/>
    <mergeCell ref="O38:O39"/>
    <mergeCell ref="P38:Q38"/>
    <mergeCell ref="S38:S39"/>
    <mergeCell ref="U38:V38"/>
    <mergeCell ref="AG19:AG21"/>
    <mergeCell ref="AH19:AH21"/>
    <mergeCell ref="AK19:AK21"/>
    <mergeCell ref="AD22:AG22"/>
    <mergeCell ref="AH22:AK22"/>
    <mergeCell ref="Y19:Y21"/>
    <mergeCell ref="AB19:AB21"/>
    <mergeCell ref="U22:X22"/>
    <mergeCell ref="Y22:AB22"/>
    <mergeCell ref="X19:X21"/>
    <mergeCell ref="U19:U21"/>
    <mergeCell ref="AH25:AI25"/>
    <mergeCell ref="AH34:AK34"/>
    <mergeCell ref="P31:P33"/>
    <mergeCell ref="S31:S33"/>
    <mergeCell ref="U31:U33"/>
    <mergeCell ref="X31:X33"/>
    <mergeCell ref="AD13:AE13"/>
    <mergeCell ref="AD15:AE15"/>
    <mergeCell ref="AD19:AD21"/>
    <mergeCell ref="Y13:Z13"/>
    <mergeCell ref="AB13:AB14"/>
    <mergeCell ref="Y14:Z14"/>
    <mergeCell ref="Y15:Z15"/>
    <mergeCell ref="AB15:AB18"/>
    <mergeCell ref="Y16:Y18"/>
    <mergeCell ref="AD14:AE14"/>
    <mergeCell ref="AD16:AD18"/>
    <mergeCell ref="C22:F22"/>
    <mergeCell ref="G22:J22"/>
    <mergeCell ref="L22:O22"/>
    <mergeCell ref="P22:S22"/>
    <mergeCell ref="F3:F4"/>
    <mergeCell ref="F9:F11"/>
    <mergeCell ref="O13:O14"/>
    <mergeCell ref="L14:M14"/>
    <mergeCell ref="L16:L18"/>
    <mergeCell ref="L19:L21"/>
    <mergeCell ref="O19:O21"/>
    <mergeCell ref="C16:C18"/>
    <mergeCell ref="C19:C21"/>
    <mergeCell ref="F19:F21"/>
    <mergeCell ref="G13:H13"/>
    <mergeCell ref="J13:J14"/>
    <mergeCell ref="C13:D13"/>
    <mergeCell ref="F13:F14"/>
    <mergeCell ref="C14:D14"/>
    <mergeCell ref="C4:D4"/>
    <mergeCell ref="C3:D3"/>
    <mergeCell ref="C6:C8"/>
    <mergeCell ref="C9:C11"/>
    <mergeCell ref="C5:D5"/>
    <mergeCell ref="F5:F8"/>
    <mergeCell ref="S13:S14"/>
    <mergeCell ref="P14:Q14"/>
    <mergeCell ref="P16:P18"/>
    <mergeCell ref="U13:V13"/>
    <mergeCell ref="U14:V14"/>
    <mergeCell ref="U16:U18"/>
    <mergeCell ref="C15:D15"/>
    <mergeCell ref="F15:F18"/>
    <mergeCell ref="G15:H15"/>
    <mergeCell ref="H2:S11"/>
    <mergeCell ref="J15:J18"/>
    <mergeCell ref="L13:M13"/>
    <mergeCell ref="C2:F2"/>
    <mergeCell ref="G19:G21"/>
    <mergeCell ref="AP13:AP14"/>
    <mergeCell ref="AQ13:AR13"/>
    <mergeCell ref="L15:M15"/>
    <mergeCell ref="O15:O18"/>
    <mergeCell ref="P15:Q15"/>
    <mergeCell ref="S15:S18"/>
    <mergeCell ref="X13:X14"/>
    <mergeCell ref="AG13:AG14"/>
    <mergeCell ref="AH13:AI13"/>
    <mergeCell ref="AK13:AK14"/>
    <mergeCell ref="AH14:AI14"/>
    <mergeCell ref="AG15:AG18"/>
    <mergeCell ref="AH15:AI15"/>
    <mergeCell ref="AK15:AK18"/>
    <mergeCell ref="P19:P21"/>
    <mergeCell ref="S19:S21"/>
    <mergeCell ref="G14:H14"/>
    <mergeCell ref="G16:G18"/>
    <mergeCell ref="J19:J21"/>
    <mergeCell ref="U15:V15"/>
    <mergeCell ref="X15:X18"/>
    <mergeCell ref="P13:Q13"/>
    <mergeCell ref="AM15:AN15"/>
    <mergeCell ref="AH16:AH18"/>
    <mergeCell ref="AM22:AP22"/>
    <mergeCell ref="AP15:AP18"/>
    <mergeCell ref="AQ15:AR15"/>
    <mergeCell ref="AT15:AT18"/>
    <mergeCell ref="AM16:AM18"/>
    <mergeCell ref="AQ16:AQ18"/>
    <mergeCell ref="AP19:AP21"/>
    <mergeCell ref="AM19:AM21"/>
    <mergeCell ref="AQ19:AQ21"/>
    <mergeCell ref="AT25:AT26"/>
    <mergeCell ref="AT19:AT21"/>
    <mergeCell ref="AQ22:AT22"/>
    <mergeCell ref="O25:O26"/>
    <mergeCell ref="P25:Q25"/>
    <mergeCell ref="S25:S26"/>
    <mergeCell ref="U25:V25"/>
    <mergeCell ref="X25:X26"/>
    <mergeCell ref="Y25:Z25"/>
    <mergeCell ref="AB25:AB26"/>
    <mergeCell ref="AD25:AE25"/>
    <mergeCell ref="AG25:AG26"/>
    <mergeCell ref="AT13:AT14"/>
    <mergeCell ref="AM14:AN14"/>
    <mergeCell ref="AQ14:AR14"/>
    <mergeCell ref="Y26:Z26"/>
    <mergeCell ref="AD26:AE26"/>
    <mergeCell ref="AH26:AI26"/>
    <mergeCell ref="AM26:AN26"/>
    <mergeCell ref="AQ26:AR26"/>
    <mergeCell ref="C26:D26"/>
    <mergeCell ref="G26:H26"/>
    <mergeCell ref="L26:M26"/>
    <mergeCell ref="P26:Q26"/>
    <mergeCell ref="U26:V26"/>
    <mergeCell ref="AK25:AK26"/>
    <mergeCell ref="AM25:AN25"/>
    <mergeCell ref="AP25:AP26"/>
    <mergeCell ref="AQ25:AR25"/>
    <mergeCell ref="G23:AT23"/>
    <mergeCell ref="AM13:AN13"/>
    <mergeCell ref="C25:D25"/>
    <mergeCell ref="F25:F26"/>
    <mergeCell ref="G25:H25"/>
    <mergeCell ref="J25:J26"/>
    <mergeCell ref="L25:M25"/>
    <mergeCell ref="AP27:AP30"/>
    <mergeCell ref="O27:O30"/>
    <mergeCell ref="P27:Q27"/>
    <mergeCell ref="S27:S30"/>
    <mergeCell ref="U27:V27"/>
    <mergeCell ref="X27:X30"/>
    <mergeCell ref="P28:P30"/>
    <mergeCell ref="U28:U30"/>
    <mergeCell ref="AT27:AT30"/>
    <mergeCell ref="AM28:AM30"/>
    <mergeCell ref="AQ28:AQ30"/>
    <mergeCell ref="Y27:Z27"/>
    <mergeCell ref="AB27:AB30"/>
    <mergeCell ref="AD27:AE27"/>
    <mergeCell ref="AG27:AG30"/>
    <mergeCell ref="AH27:AI27"/>
    <mergeCell ref="Y28:Y30"/>
    <mergeCell ref="AD28:AD30"/>
    <mergeCell ref="AH28:AH30"/>
    <mergeCell ref="C31:C33"/>
    <mergeCell ref="F31:F33"/>
    <mergeCell ref="G31:G33"/>
    <mergeCell ref="J31:J33"/>
    <mergeCell ref="L31:L33"/>
    <mergeCell ref="O31:O33"/>
    <mergeCell ref="AZ25:BA25"/>
    <mergeCell ref="BC25:BC26"/>
    <mergeCell ref="AV26:AW26"/>
    <mergeCell ref="AY31:AY33"/>
    <mergeCell ref="AV27:AW27"/>
    <mergeCell ref="AY27:AY30"/>
    <mergeCell ref="AZ27:BA27"/>
    <mergeCell ref="C27:D27"/>
    <mergeCell ref="F27:F30"/>
    <mergeCell ref="G27:H27"/>
    <mergeCell ref="J27:J30"/>
    <mergeCell ref="L27:M27"/>
    <mergeCell ref="C28:C30"/>
    <mergeCell ref="G28:G30"/>
    <mergeCell ref="L28:L30"/>
    <mergeCell ref="AQ27:AR27"/>
    <mergeCell ref="AK27:AK30"/>
    <mergeCell ref="AM27:AN27"/>
    <mergeCell ref="AY19:AY21"/>
    <mergeCell ref="AZ26:BA26"/>
    <mergeCell ref="BC27:BC30"/>
    <mergeCell ref="AV28:AV30"/>
    <mergeCell ref="AZ28:AZ30"/>
    <mergeCell ref="AV31:AV33"/>
    <mergeCell ref="AZ31:AZ33"/>
    <mergeCell ref="BC31:BC33"/>
    <mergeCell ref="AV13:AW13"/>
    <mergeCell ref="AY13:AY14"/>
    <mergeCell ref="AV14:AW14"/>
    <mergeCell ref="AV15:AW15"/>
    <mergeCell ref="AY15:AY18"/>
    <mergeCell ref="AV16:AV18"/>
    <mergeCell ref="AV19:AV21"/>
    <mergeCell ref="AV22:AY22"/>
    <mergeCell ref="AV25:AW25"/>
    <mergeCell ref="AY25:AY26"/>
    <mergeCell ref="AV34:AY34"/>
    <mergeCell ref="AZ34:BC34"/>
    <mergeCell ref="AK31:AK33"/>
    <mergeCell ref="AM31:AM33"/>
    <mergeCell ref="AP31:AP33"/>
    <mergeCell ref="AQ31:AQ33"/>
    <mergeCell ref="AT31:AT33"/>
    <mergeCell ref="Y31:Y33"/>
    <mergeCell ref="AB31:AB33"/>
    <mergeCell ref="AD31:AD33"/>
    <mergeCell ref="AG31:AG33"/>
    <mergeCell ref="AH31:AH33"/>
    <mergeCell ref="AM34:AP34"/>
    <mergeCell ref="AQ34:AT34"/>
    <mergeCell ref="C34:C36"/>
    <mergeCell ref="F34:F36"/>
    <mergeCell ref="C37:F37"/>
    <mergeCell ref="Y34:AB34"/>
    <mergeCell ref="AD34:AG34"/>
    <mergeCell ref="C52:D52"/>
    <mergeCell ref="F52:F53"/>
    <mergeCell ref="G52:H52"/>
    <mergeCell ref="J52:J53"/>
    <mergeCell ref="L52:M52"/>
    <mergeCell ref="O52:O53"/>
    <mergeCell ref="P52:Q52"/>
    <mergeCell ref="S52:S53"/>
    <mergeCell ref="U52:V52"/>
    <mergeCell ref="X52:X53"/>
    <mergeCell ref="Y52:Z52"/>
    <mergeCell ref="AB52:AB53"/>
    <mergeCell ref="G34:J34"/>
    <mergeCell ref="L34:O34"/>
    <mergeCell ref="P34:S34"/>
    <mergeCell ref="U34:X34"/>
    <mergeCell ref="J38:J39"/>
    <mergeCell ref="C53:D53"/>
    <mergeCell ref="G53:H53"/>
    <mergeCell ref="L53:M53"/>
    <mergeCell ref="P53:Q53"/>
    <mergeCell ref="U53:V53"/>
    <mergeCell ref="Y53:Z53"/>
    <mergeCell ref="C55:C57"/>
    <mergeCell ref="G55:G57"/>
    <mergeCell ref="L55:L57"/>
    <mergeCell ref="P55:P57"/>
    <mergeCell ref="U55:U57"/>
    <mergeCell ref="Y55:Y57"/>
    <mergeCell ref="X54:X57"/>
    <mergeCell ref="Y54:Z54"/>
    <mergeCell ref="AB54:AB57"/>
    <mergeCell ref="C54:D54"/>
    <mergeCell ref="F54:F57"/>
    <mergeCell ref="G54:H54"/>
    <mergeCell ref="J54:J57"/>
    <mergeCell ref="F58:F60"/>
    <mergeCell ref="G58:G60"/>
    <mergeCell ref="J58:J60"/>
    <mergeCell ref="L58:L60"/>
    <mergeCell ref="O58:O60"/>
    <mergeCell ref="P58:P60"/>
    <mergeCell ref="S58:S60"/>
    <mergeCell ref="U58:U60"/>
    <mergeCell ref="L54:M54"/>
    <mergeCell ref="O54:O57"/>
    <mergeCell ref="P54:Q54"/>
    <mergeCell ref="S54:S57"/>
    <mergeCell ref="U54:V54"/>
    <mergeCell ref="C61:F61"/>
    <mergeCell ref="G61:J61"/>
    <mergeCell ref="L61:O61"/>
    <mergeCell ref="P61:S61"/>
    <mergeCell ref="U61:X61"/>
    <mergeCell ref="Y61:AB61"/>
    <mergeCell ref="X58:X60"/>
    <mergeCell ref="Y58:Y60"/>
    <mergeCell ref="AB58:AB60"/>
    <mergeCell ref="C58:C60"/>
    <mergeCell ref="AB84:AB86"/>
    <mergeCell ref="Y79:Z79"/>
    <mergeCell ref="C79:D79"/>
    <mergeCell ref="G79:H79"/>
    <mergeCell ref="L79:M79"/>
    <mergeCell ref="P79:Q79"/>
    <mergeCell ref="U79:V79"/>
    <mergeCell ref="C78:D78"/>
    <mergeCell ref="G78:H78"/>
    <mergeCell ref="L78:M78"/>
    <mergeCell ref="P78:Q78"/>
    <mergeCell ref="U78:V78"/>
    <mergeCell ref="Y78:Z78"/>
    <mergeCell ref="Y81:Y83"/>
    <mergeCell ref="C84:C86"/>
    <mergeCell ref="F84:F86"/>
    <mergeCell ref="G84:G86"/>
    <mergeCell ref="J84:J86"/>
    <mergeCell ref="L84:L86"/>
    <mergeCell ref="O84:O86"/>
    <mergeCell ref="P84:P86"/>
    <mergeCell ref="S84:S86"/>
    <mergeCell ref="U84:U86"/>
    <mergeCell ref="X84:X86"/>
    <mergeCell ref="Y84:Y86"/>
    <mergeCell ref="Y91:Z91"/>
    <mergeCell ref="AB91:AB94"/>
    <mergeCell ref="C92:C94"/>
    <mergeCell ref="G92:G94"/>
    <mergeCell ref="L92:L94"/>
    <mergeCell ref="P92:P94"/>
    <mergeCell ref="U92:U94"/>
    <mergeCell ref="C95:C97"/>
    <mergeCell ref="F95:F97"/>
    <mergeCell ref="G95:G97"/>
    <mergeCell ref="J95:J97"/>
    <mergeCell ref="L95:L97"/>
    <mergeCell ref="O95:O97"/>
    <mergeCell ref="P95:P97"/>
    <mergeCell ref="S95:S97"/>
    <mergeCell ref="U95:U97"/>
    <mergeCell ref="C91:D91"/>
    <mergeCell ref="Y92:Y94"/>
    <mergeCell ref="F91:F94"/>
    <mergeCell ref="G91:H91"/>
    <mergeCell ref="J91:J94"/>
    <mergeCell ref="L91:M91"/>
    <mergeCell ref="O91:O94"/>
    <mergeCell ref="P91:Q91"/>
    <mergeCell ref="S91:S94"/>
    <mergeCell ref="U91:V91"/>
    <mergeCell ref="X91:X94"/>
    <mergeCell ref="C77:J77"/>
    <mergeCell ref="F78:F79"/>
    <mergeCell ref="J78:J79"/>
    <mergeCell ref="O78:O79"/>
    <mergeCell ref="S78:S79"/>
    <mergeCell ref="X78:X79"/>
    <mergeCell ref="C87:F87"/>
    <mergeCell ref="G87:J87"/>
    <mergeCell ref="L87:O87"/>
    <mergeCell ref="P87:S87"/>
    <mergeCell ref="U87:X87"/>
    <mergeCell ref="AB78:AB79"/>
    <mergeCell ref="C80:D80"/>
    <mergeCell ref="F80:F83"/>
    <mergeCell ref="G80:H80"/>
    <mergeCell ref="J80:J83"/>
    <mergeCell ref="L80:M80"/>
    <mergeCell ref="O80:O83"/>
    <mergeCell ref="P80:Q80"/>
    <mergeCell ref="S80:S83"/>
    <mergeCell ref="U80:V80"/>
    <mergeCell ref="X80:X83"/>
    <mergeCell ref="Y80:Z80"/>
    <mergeCell ref="AB80:AB83"/>
    <mergeCell ref="C81:C83"/>
    <mergeCell ref="G81:G83"/>
    <mergeCell ref="L81:L83"/>
    <mergeCell ref="P81:P83"/>
    <mergeCell ref="U81:U83"/>
    <mergeCell ref="Y87:AB87"/>
    <mergeCell ref="F89:F90"/>
    <mergeCell ref="J89:J90"/>
    <mergeCell ref="O89:O90"/>
    <mergeCell ref="S89:S90"/>
    <mergeCell ref="X89:X90"/>
    <mergeCell ref="AB89:AB90"/>
    <mergeCell ref="Y90:Z90"/>
    <mergeCell ref="C90:D90"/>
    <mergeCell ref="G90:H90"/>
    <mergeCell ref="L90:M90"/>
    <mergeCell ref="P90:Q90"/>
    <mergeCell ref="U90:V90"/>
    <mergeCell ref="C89:D89"/>
    <mergeCell ref="G89:H89"/>
    <mergeCell ref="L89:M89"/>
    <mergeCell ref="P89:Q89"/>
    <mergeCell ref="U89:V89"/>
    <mergeCell ref="Y89:Z89"/>
    <mergeCell ref="C99:M99"/>
    <mergeCell ref="N99:AB99"/>
    <mergeCell ref="X95:X97"/>
    <mergeCell ref="Y95:Y97"/>
    <mergeCell ref="AB95:AB97"/>
    <mergeCell ref="C98:F98"/>
    <mergeCell ref="G98:J98"/>
    <mergeCell ref="L98:O98"/>
    <mergeCell ref="P98:S98"/>
    <mergeCell ref="U98:X98"/>
    <mergeCell ref="Y98:AB98"/>
    <mergeCell ref="C103:J103"/>
    <mergeCell ref="C104:D104"/>
    <mergeCell ref="F104:F105"/>
    <mergeCell ref="G104:H104"/>
    <mergeCell ref="J104:J105"/>
    <mergeCell ref="L104:M104"/>
    <mergeCell ref="O104:O105"/>
    <mergeCell ref="P104:Q104"/>
    <mergeCell ref="S104:S105"/>
    <mergeCell ref="U104:V104"/>
    <mergeCell ref="X104:X105"/>
    <mergeCell ref="Y104:Z104"/>
    <mergeCell ref="AB104:AB105"/>
    <mergeCell ref="C105:D105"/>
    <mergeCell ref="G105:H105"/>
    <mergeCell ref="L105:M105"/>
    <mergeCell ref="P105:Q105"/>
    <mergeCell ref="U105:V105"/>
    <mergeCell ref="Y105:Z105"/>
    <mergeCell ref="X106:X109"/>
    <mergeCell ref="Y106:Z106"/>
    <mergeCell ref="AB106:AB109"/>
    <mergeCell ref="C107:C109"/>
    <mergeCell ref="G107:G109"/>
    <mergeCell ref="L107:L109"/>
    <mergeCell ref="P107:P109"/>
    <mergeCell ref="U107:U109"/>
    <mergeCell ref="Y107:Y109"/>
    <mergeCell ref="C106:D106"/>
    <mergeCell ref="F106:F109"/>
    <mergeCell ref="G106:H106"/>
    <mergeCell ref="J106:J109"/>
    <mergeCell ref="L106:M106"/>
    <mergeCell ref="O106:O109"/>
    <mergeCell ref="P106:Q106"/>
    <mergeCell ref="S106:S109"/>
    <mergeCell ref="U106:V106"/>
    <mergeCell ref="X110:X112"/>
    <mergeCell ref="Y110:Y112"/>
    <mergeCell ref="AB110:AB112"/>
    <mergeCell ref="C113:F113"/>
    <mergeCell ref="G113:J113"/>
    <mergeCell ref="L113:O113"/>
    <mergeCell ref="P113:S113"/>
    <mergeCell ref="U113:X113"/>
    <mergeCell ref="Y113:AB113"/>
    <mergeCell ref="C110:C112"/>
    <mergeCell ref="F110:F112"/>
    <mergeCell ref="G110:G112"/>
    <mergeCell ref="J110:J112"/>
    <mergeCell ref="L110:L112"/>
    <mergeCell ref="O110:O112"/>
    <mergeCell ref="P110:P112"/>
    <mergeCell ref="S110:S112"/>
    <mergeCell ref="U110:U112"/>
    <mergeCell ref="X115:X116"/>
    <mergeCell ref="Y115:Z115"/>
    <mergeCell ref="AB115:AB116"/>
    <mergeCell ref="C116:D116"/>
    <mergeCell ref="G116:H116"/>
    <mergeCell ref="L116:M116"/>
    <mergeCell ref="P116:Q116"/>
    <mergeCell ref="U116:V116"/>
    <mergeCell ref="Y116:Z116"/>
    <mergeCell ref="C115:D115"/>
    <mergeCell ref="F115:F116"/>
    <mergeCell ref="G115:H115"/>
    <mergeCell ref="J115:J116"/>
    <mergeCell ref="L115:M115"/>
    <mergeCell ref="O115:O116"/>
    <mergeCell ref="P115:Q115"/>
    <mergeCell ref="S115:S116"/>
    <mergeCell ref="U115:V115"/>
    <mergeCell ref="X117:X120"/>
    <mergeCell ref="Y117:Z117"/>
    <mergeCell ref="AB117:AB120"/>
    <mergeCell ref="C118:C120"/>
    <mergeCell ref="G118:G120"/>
    <mergeCell ref="L118:L120"/>
    <mergeCell ref="P118:P120"/>
    <mergeCell ref="U118:U120"/>
    <mergeCell ref="Y118:Y120"/>
    <mergeCell ref="C117:D117"/>
    <mergeCell ref="F117:F120"/>
    <mergeCell ref="G117:H117"/>
    <mergeCell ref="J117:J120"/>
    <mergeCell ref="L117:M117"/>
    <mergeCell ref="O117:O120"/>
    <mergeCell ref="P117:Q117"/>
    <mergeCell ref="S117:S120"/>
    <mergeCell ref="U117:V117"/>
    <mergeCell ref="C125:M125"/>
    <mergeCell ref="N125:AB125"/>
    <mergeCell ref="X121:X123"/>
    <mergeCell ref="Y121:Y123"/>
    <mergeCell ref="AB121:AB123"/>
    <mergeCell ref="C124:F124"/>
    <mergeCell ref="G124:J124"/>
    <mergeCell ref="L124:O124"/>
    <mergeCell ref="P124:S124"/>
    <mergeCell ref="U124:X124"/>
    <mergeCell ref="Y124:AB124"/>
    <mergeCell ref="C121:C123"/>
    <mergeCell ref="F121:F123"/>
    <mergeCell ref="G121:G123"/>
    <mergeCell ref="J121:J123"/>
    <mergeCell ref="L121:L123"/>
    <mergeCell ref="O121:O123"/>
    <mergeCell ref="P121:P123"/>
    <mergeCell ref="S121:S123"/>
    <mergeCell ref="U121:U123"/>
  </mergeCells>
  <pageMargins left="0.59" right="0.25" top="1.1100000000000001" bottom="0.21" header="0.12" footer="0.12"/>
  <pageSetup paperSize="9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25"/>
  <sheetViews>
    <sheetView topLeftCell="A133" workbookViewId="0">
      <selection activeCell="R157" sqref="R157"/>
    </sheetView>
  </sheetViews>
  <sheetFormatPr defaultRowHeight="15"/>
  <cols>
    <col min="1" max="1" width="2.28515625" style="65" customWidth="1"/>
    <col min="2" max="2" width="2.7109375" style="65" customWidth="1"/>
    <col min="3" max="3" width="10.7109375" style="65" customWidth="1"/>
    <col min="4" max="4" width="15.7109375" style="65" customWidth="1"/>
    <col min="5" max="11" width="12.7109375" style="66" customWidth="1"/>
    <col min="12" max="12" width="12.7109375" style="65" customWidth="1"/>
    <col min="13" max="13" width="2.7109375" style="65" customWidth="1"/>
    <col min="14" max="14" width="9.140625" style="65"/>
    <col min="15" max="15" width="10.7109375" style="109" customWidth="1"/>
    <col min="16" max="16384" width="9.140625" style="65"/>
  </cols>
  <sheetData>
    <row r="1" spans="2:15" ht="15.75" thickBot="1"/>
    <row r="2" spans="2:15" ht="12" customHeight="1" thickTop="1">
      <c r="B2" s="69"/>
      <c r="C2" s="70"/>
      <c r="D2" s="70"/>
      <c r="E2" s="71"/>
      <c r="F2" s="71"/>
      <c r="G2" s="71"/>
      <c r="H2" s="71"/>
      <c r="I2" s="71"/>
      <c r="J2" s="71"/>
      <c r="K2" s="71"/>
      <c r="L2" s="70"/>
      <c r="M2" s="72"/>
    </row>
    <row r="3" spans="2:15" s="2" customFormat="1" ht="20.100000000000001" customHeight="1">
      <c r="B3" s="73"/>
      <c r="D3" s="74" t="s">
        <v>66</v>
      </c>
      <c r="E3" s="4"/>
      <c r="F3" s="4"/>
      <c r="G3" s="4"/>
      <c r="H3" s="4"/>
      <c r="I3" s="4"/>
      <c r="J3" s="4"/>
      <c r="K3" s="4"/>
      <c r="M3" s="75"/>
      <c r="O3" s="108"/>
    </row>
    <row r="4" spans="2:15" s="2" customFormat="1" ht="20.100000000000001" customHeight="1" thickBot="1">
      <c r="B4" s="73"/>
      <c r="D4" s="76" t="s">
        <v>60</v>
      </c>
      <c r="E4" s="4"/>
      <c r="F4" s="4"/>
      <c r="G4" s="4"/>
      <c r="H4" s="4"/>
      <c r="I4" s="4"/>
      <c r="J4" s="4"/>
      <c r="K4" s="4"/>
      <c r="M4" s="75"/>
      <c r="O4" s="108"/>
    </row>
    <row r="5" spans="2:15" s="67" customFormat="1" ht="20.100000000000001" customHeight="1">
      <c r="B5" s="77"/>
      <c r="D5" s="87" t="s">
        <v>3</v>
      </c>
      <c r="E5" s="88">
        <v>43045</v>
      </c>
      <c r="F5" s="88">
        <v>43046</v>
      </c>
      <c r="G5" s="88">
        <v>43047</v>
      </c>
      <c r="H5" s="88">
        <v>43048</v>
      </c>
      <c r="I5" s="88">
        <v>43049</v>
      </c>
      <c r="J5" s="88">
        <v>43050</v>
      </c>
      <c r="K5" s="88">
        <v>43051</v>
      </c>
      <c r="L5" s="567" t="s">
        <v>62</v>
      </c>
      <c r="M5" s="78"/>
      <c r="O5" s="110"/>
    </row>
    <row r="6" spans="2:15" s="67" customFormat="1" ht="20.100000000000001" customHeight="1" thickBot="1">
      <c r="B6" s="77"/>
      <c r="D6" s="89" t="s">
        <v>2</v>
      </c>
      <c r="E6" s="90" t="s">
        <v>4</v>
      </c>
      <c r="F6" s="90" t="s">
        <v>23</v>
      </c>
      <c r="G6" s="90" t="s">
        <v>29</v>
      </c>
      <c r="H6" s="90" t="s">
        <v>30</v>
      </c>
      <c r="I6" s="90" t="s">
        <v>59</v>
      </c>
      <c r="J6" s="90" t="s">
        <v>40</v>
      </c>
      <c r="K6" s="90" t="s">
        <v>43</v>
      </c>
      <c r="L6" s="568"/>
      <c r="M6" s="78"/>
      <c r="O6" s="110"/>
    </row>
    <row r="7" spans="2:15" s="64" customFormat="1" ht="20.100000000000001" customHeight="1">
      <c r="B7" s="79"/>
      <c r="C7" s="574" t="s">
        <v>70</v>
      </c>
      <c r="D7" s="91" t="s">
        <v>58</v>
      </c>
      <c r="E7" s="92" t="s">
        <v>56</v>
      </c>
      <c r="F7" s="92" t="s">
        <v>56</v>
      </c>
      <c r="G7" s="92" t="s">
        <v>56</v>
      </c>
      <c r="H7" s="92" t="s">
        <v>56</v>
      </c>
      <c r="I7" s="92" t="s">
        <v>56</v>
      </c>
      <c r="J7" s="92"/>
      <c r="K7" s="92"/>
      <c r="L7" s="570">
        <f>SUM(E8:K8)</f>
        <v>5000000</v>
      </c>
      <c r="M7" s="80"/>
      <c r="O7" s="111"/>
    </row>
    <row r="8" spans="2:15" s="24" customFormat="1" ht="20.100000000000001" customHeight="1" thickBot="1">
      <c r="B8" s="81"/>
      <c r="C8" s="575"/>
      <c r="D8" s="93" t="s">
        <v>55</v>
      </c>
      <c r="E8" s="94">
        <v>1000000</v>
      </c>
      <c r="F8" s="94">
        <v>1000000</v>
      </c>
      <c r="G8" s="94">
        <v>1000000</v>
      </c>
      <c r="H8" s="94">
        <v>1000000</v>
      </c>
      <c r="I8" s="94">
        <v>1000000</v>
      </c>
      <c r="J8" s="94"/>
      <c r="K8" s="94"/>
      <c r="L8" s="498"/>
      <c r="M8" s="82"/>
      <c r="O8" s="108"/>
    </row>
    <row r="9" spans="2:15" s="64" customFormat="1" ht="20.100000000000001" customHeight="1">
      <c r="B9" s="79"/>
      <c r="C9" s="576" t="s">
        <v>71</v>
      </c>
      <c r="D9" s="91" t="s">
        <v>58</v>
      </c>
      <c r="E9" s="92" t="s">
        <v>44</v>
      </c>
      <c r="F9" s="577" t="s">
        <v>67</v>
      </c>
      <c r="G9" s="578"/>
      <c r="H9" s="92" t="s">
        <v>44</v>
      </c>
      <c r="I9" s="92" t="s">
        <v>44</v>
      </c>
      <c r="J9" s="92"/>
      <c r="K9" s="92"/>
      <c r="L9" s="570">
        <f>SUM(E10:K10)</f>
        <v>4400000</v>
      </c>
      <c r="M9" s="80"/>
      <c r="O9" s="111"/>
    </row>
    <row r="10" spans="2:15" s="24" customFormat="1" ht="20.100000000000001" customHeight="1" thickBot="1">
      <c r="B10" s="81"/>
      <c r="C10" s="575"/>
      <c r="D10" s="93" t="s">
        <v>55</v>
      </c>
      <c r="E10" s="94">
        <v>800000</v>
      </c>
      <c r="F10" s="94">
        <v>1000000</v>
      </c>
      <c r="G10" s="94">
        <v>1000000</v>
      </c>
      <c r="H10" s="94">
        <v>800000</v>
      </c>
      <c r="I10" s="94">
        <v>800000</v>
      </c>
      <c r="J10" s="94"/>
      <c r="K10" s="94"/>
      <c r="L10" s="498"/>
      <c r="M10" s="82"/>
      <c r="O10" s="108"/>
    </row>
    <row r="11" spans="2:15" s="2" customFormat="1" ht="20.100000000000001" customHeight="1">
      <c r="B11" s="73"/>
      <c r="D11" s="556" t="s">
        <v>57</v>
      </c>
      <c r="E11" s="557"/>
      <c r="F11" s="557"/>
      <c r="G11" s="557"/>
      <c r="H11" s="557"/>
      <c r="I11" s="557"/>
      <c r="J11" s="557"/>
      <c r="K11" s="557"/>
      <c r="L11" s="558"/>
      <c r="M11" s="75"/>
      <c r="O11" s="108"/>
    </row>
    <row r="12" spans="2:15" s="2" customFormat="1" ht="20.100000000000001" customHeight="1">
      <c r="B12" s="73"/>
      <c r="D12" s="95" t="s">
        <v>58</v>
      </c>
      <c r="E12" s="1"/>
      <c r="F12" s="1"/>
      <c r="G12" s="1"/>
      <c r="H12" s="1"/>
      <c r="I12" s="1"/>
      <c r="J12" s="1"/>
      <c r="K12" s="1"/>
      <c r="L12" s="522">
        <f>SUM(E13:K13)</f>
        <v>0</v>
      </c>
      <c r="M12" s="75"/>
      <c r="O12" s="108"/>
    </row>
    <row r="13" spans="2:15" s="2" customFormat="1" ht="20.100000000000001" customHeight="1" thickBot="1">
      <c r="B13" s="73"/>
      <c r="D13" s="96" t="s">
        <v>55</v>
      </c>
      <c r="E13" s="10"/>
      <c r="F13" s="10"/>
      <c r="G13" s="10"/>
      <c r="H13" s="10"/>
      <c r="I13" s="10"/>
      <c r="J13" s="10"/>
      <c r="K13" s="10"/>
      <c r="L13" s="523"/>
      <c r="M13" s="75"/>
      <c r="O13" s="108">
        <f>SUM(E13:K13)</f>
        <v>0</v>
      </c>
    </row>
    <row r="14" spans="2:15" s="2" customFormat="1" ht="30" customHeight="1">
      <c r="B14" s="73"/>
      <c r="E14" s="4"/>
      <c r="F14" s="4"/>
      <c r="G14" s="4"/>
      <c r="H14" s="4"/>
      <c r="I14" s="4"/>
      <c r="J14" s="4"/>
      <c r="K14" s="4"/>
      <c r="L14" s="68">
        <f>SUM(L7:L13)</f>
        <v>9400000</v>
      </c>
      <c r="M14" s="75"/>
      <c r="O14" s="108"/>
    </row>
    <row r="15" spans="2:15" s="2" customFormat="1" ht="20.100000000000001" customHeight="1" thickBot="1">
      <c r="B15" s="73"/>
      <c r="D15" s="76" t="s">
        <v>61</v>
      </c>
      <c r="E15" s="4"/>
      <c r="F15" s="4"/>
      <c r="G15" s="4"/>
      <c r="H15" s="4"/>
      <c r="I15" s="4"/>
      <c r="J15" s="4"/>
      <c r="K15" s="4"/>
      <c r="M15" s="75"/>
      <c r="O15" s="108"/>
    </row>
    <row r="16" spans="2:15" s="67" customFormat="1" ht="20.100000000000001" customHeight="1">
      <c r="B16" s="77"/>
      <c r="D16" s="87" t="s">
        <v>3</v>
      </c>
      <c r="E16" s="88">
        <v>43045</v>
      </c>
      <c r="F16" s="88">
        <v>43046</v>
      </c>
      <c r="G16" s="88">
        <v>43047</v>
      </c>
      <c r="H16" s="88">
        <v>43048</v>
      </c>
      <c r="I16" s="88">
        <v>43049</v>
      </c>
      <c r="J16" s="88">
        <v>43050</v>
      </c>
      <c r="K16" s="88">
        <v>43051</v>
      </c>
      <c r="L16" s="567" t="s">
        <v>62</v>
      </c>
      <c r="M16" s="78"/>
      <c r="O16" s="110"/>
    </row>
    <row r="17" spans="2:15" s="67" customFormat="1" ht="20.100000000000001" customHeight="1" thickBot="1">
      <c r="B17" s="77"/>
      <c r="D17" s="89" t="s">
        <v>2</v>
      </c>
      <c r="E17" s="90" t="s">
        <v>4</v>
      </c>
      <c r="F17" s="90" t="s">
        <v>23</v>
      </c>
      <c r="G17" s="90" t="s">
        <v>29</v>
      </c>
      <c r="H17" s="90" t="s">
        <v>30</v>
      </c>
      <c r="I17" s="90" t="s">
        <v>59</v>
      </c>
      <c r="J17" s="90" t="s">
        <v>40</v>
      </c>
      <c r="K17" s="90" t="s">
        <v>43</v>
      </c>
      <c r="L17" s="568"/>
      <c r="M17" s="78"/>
      <c r="O17" s="110"/>
    </row>
    <row r="18" spans="2:15" s="64" customFormat="1" ht="20.100000000000001" customHeight="1">
      <c r="B18" s="79"/>
      <c r="D18" s="91" t="s">
        <v>58</v>
      </c>
      <c r="E18" s="92" t="s">
        <v>56</v>
      </c>
      <c r="F18" s="92" t="s">
        <v>56</v>
      </c>
      <c r="G18" s="92" t="s">
        <v>56</v>
      </c>
      <c r="H18" s="92" t="s">
        <v>56</v>
      </c>
      <c r="I18" s="92" t="s">
        <v>56</v>
      </c>
      <c r="J18" s="92"/>
      <c r="K18" s="92"/>
      <c r="L18" s="570">
        <f>SUM(E19:K19)</f>
        <v>5000000</v>
      </c>
      <c r="M18" s="80"/>
      <c r="O18" s="111"/>
    </row>
    <row r="19" spans="2:15" s="24" customFormat="1" ht="20.100000000000001" customHeight="1" thickBot="1">
      <c r="B19" s="81"/>
      <c r="C19" s="38"/>
      <c r="D19" s="93" t="s">
        <v>55</v>
      </c>
      <c r="E19" s="94">
        <v>1000000</v>
      </c>
      <c r="F19" s="94">
        <v>1000000</v>
      </c>
      <c r="G19" s="94">
        <v>1000000</v>
      </c>
      <c r="H19" s="94">
        <v>1000000</v>
      </c>
      <c r="I19" s="94">
        <v>1000000</v>
      </c>
      <c r="J19" s="94"/>
      <c r="K19" s="94"/>
      <c r="L19" s="498"/>
      <c r="M19" s="82"/>
      <c r="O19" s="108"/>
    </row>
    <row r="20" spans="2:15" s="2" customFormat="1" ht="20.100000000000001" customHeight="1">
      <c r="B20" s="73"/>
      <c r="D20" s="556" t="s">
        <v>57</v>
      </c>
      <c r="E20" s="557"/>
      <c r="F20" s="557"/>
      <c r="G20" s="557"/>
      <c r="H20" s="557"/>
      <c r="I20" s="557"/>
      <c r="J20" s="557"/>
      <c r="K20" s="557"/>
      <c r="L20" s="558"/>
      <c r="M20" s="75"/>
      <c r="O20" s="108"/>
    </row>
    <row r="21" spans="2:15" s="2" customFormat="1" ht="20.100000000000001" customHeight="1">
      <c r="B21" s="73"/>
      <c r="D21" s="95" t="s">
        <v>58</v>
      </c>
      <c r="E21" s="1"/>
      <c r="F21" s="1"/>
      <c r="G21" s="1"/>
      <c r="H21" s="1"/>
      <c r="I21" s="1" t="s">
        <v>44</v>
      </c>
      <c r="J21" s="1"/>
      <c r="K21" s="1"/>
      <c r="L21" s="522">
        <f>SUM(E22:K22)</f>
        <v>400000</v>
      </c>
      <c r="M21" s="75"/>
      <c r="O21" s="108"/>
    </row>
    <row r="22" spans="2:15" s="24" customFormat="1" ht="20.100000000000001" customHeight="1" thickBot="1">
      <c r="B22" s="81"/>
      <c r="C22" s="38"/>
      <c r="D22" s="93" t="s">
        <v>55</v>
      </c>
      <c r="E22" s="94"/>
      <c r="F22" s="94"/>
      <c r="G22" s="94"/>
      <c r="H22" s="94"/>
      <c r="I22" s="94">
        <v>400000</v>
      </c>
      <c r="J22" s="94"/>
      <c r="K22" s="94"/>
      <c r="L22" s="523"/>
      <c r="M22" s="82"/>
      <c r="O22" s="108">
        <f>SUM(E22:K22)</f>
        <v>400000</v>
      </c>
    </row>
    <row r="23" spans="2:15" s="2" customFormat="1" ht="20.100000000000001" customHeight="1">
      <c r="B23" s="73"/>
      <c r="E23" s="4"/>
      <c r="F23" s="4"/>
      <c r="G23" s="4"/>
      <c r="H23" s="4"/>
      <c r="I23" s="4"/>
      <c r="J23" s="4"/>
      <c r="K23" s="4"/>
      <c r="L23" s="68">
        <f>SUM(L16:L22)</f>
        <v>5400000</v>
      </c>
      <c r="M23" s="75"/>
      <c r="O23" s="108"/>
    </row>
    <row r="24" spans="2:15" s="2" customFormat="1" ht="20.100000000000001" customHeight="1">
      <c r="B24" s="73"/>
      <c r="D24" s="564" t="s">
        <v>63</v>
      </c>
      <c r="E24" s="564"/>
      <c r="F24" s="4"/>
      <c r="G24" s="4"/>
      <c r="H24" s="4"/>
      <c r="I24" s="4"/>
      <c r="J24" s="4"/>
      <c r="K24" s="4"/>
      <c r="M24" s="75"/>
      <c r="O24" s="108"/>
    </row>
    <row r="25" spans="2:15" s="2" customFormat="1" ht="20.100000000000001" customHeight="1">
      <c r="B25" s="73"/>
      <c r="D25" s="565" t="s">
        <v>64</v>
      </c>
      <c r="E25" s="565"/>
      <c r="F25" s="566">
        <f>+L14</f>
        <v>9400000</v>
      </c>
      <c r="G25" s="566"/>
      <c r="H25" s="4"/>
      <c r="I25" s="4"/>
      <c r="J25" s="4"/>
      <c r="K25" s="4"/>
      <c r="M25" s="75"/>
      <c r="O25" s="108"/>
    </row>
    <row r="26" spans="2:15" s="2" customFormat="1" ht="20.100000000000001" customHeight="1">
      <c r="B26" s="73"/>
      <c r="D26" s="565" t="s">
        <v>65</v>
      </c>
      <c r="E26" s="565"/>
      <c r="F26" s="566">
        <f>+L23</f>
        <v>5400000</v>
      </c>
      <c r="G26" s="566"/>
      <c r="H26" s="4"/>
      <c r="I26" s="99" t="s">
        <v>76</v>
      </c>
      <c r="J26" s="100" t="s">
        <v>77</v>
      </c>
      <c r="K26" s="100" t="s">
        <v>78</v>
      </c>
      <c r="M26" s="75"/>
      <c r="O26" s="108"/>
    </row>
    <row r="27" spans="2:15" s="2" customFormat="1" ht="20.100000000000001" customHeight="1">
      <c r="B27" s="73"/>
      <c r="E27" s="4"/>
      <c r="F27" s="559">
        <f>+F26+F25</f>
        <v>14800000</v>
      </c>
      <c r="G27" s="559"/>
      <c r="H27" s="4"/>
      <c r="I27" s="98">
        <f>100*F27/96</f>
        <v>15416666.666666666</v>
      </c>
      <c r="J27" s="98">
        <f>4%*I27</f>
        <v>616666.66666666663</v>
      </c>
      <c r="K27" s="98">
        <f>+I27-J27</f>
        <v>14800000</v>
      </c>
      <c r="M27" s="75"/>
      <c r="O27" s="108"/>
    </row>
    <row r="28" spans="2:15" s="2" customFormat="1" ht="12.95" customHeight="1" thickBot="1">
      <c r="B28" s="83"/>
      <c r="C28" s="84"/>
      <c r="D28" s="84"/>
      <c r="E28" s="85"/>
      <c r="F28" s="85"/>
      <c r="G28" s="85"/>
      <c r="H28" s="85"/>
      <c r="I28" s="85"/>
      <c r="J28" s="85"/>
      <c r="K28" s="85"/>
      <c r="L28" s="84"/>
      <c r="M28" s="86"/>
      <c r="O28" s="108"/>
    </row>
    <row r="29" spans="2:15" s="2" customFormat="1" ht="20.100000000000001" customHeight="1" thickTop="1" thickBot="1">
      <c r="E29" s="4"/>
      <c r="F29" s="4"/>
      <c r="G29" s="4"/>
      <c r="H29" s="4"/>
      <c r="I29" s="4"/>
      <c r="J29" s="4"/>
      <c r="K29" s="4"/>
      <c r="O29" s="108"/>
    </row>
    <row r="30" spans="2:15" ht="12" customHeight="1" thickTop="1">
      <c r="B30" s="69"/>
      <c r="C30" s="70"/>
      <c r="D30" s="70"/>
      <c r="E30" s="71"/>
      <c r="F30" s="71"/>
      <c r="G30" s="71"/>
      <c r="H30" s="71"/>
      <c r="I30" s="71"/>
      <c r="J30" s="71"/>
      <c r="K30" s="71"/>
      <c r="L30" s="70"/>
      <c r="M30" s="72"/>
    </row>
    <row r="31" spans="2:15" s="2" customFormat="1" ht="20.100000000000001" customHeight="1">
      <c r="B31" s="73"/>
      <c r="D31" s="74" t="s">
        <v>68</v>
      </c>
      <c r="E31" s="4"/>
      <c r="F31" s="4"/>
      <c r="G31" s="4"/>
      <c r="H31" s="4"/>
      <c r="I31" s="4"/>
      <c r="J31" s="4"/>
      <c r="K31" s="4"/>
      <c r="M31" s="75"/>
      <c r="O31" s="108"/>
    </row>
    <row r="32" spans="2:15" s="2" customFormat="1" ht="20.100000000000001" customHeight="1" thickBot="1">
      <c r="B32" s="73"/>
      <c r="D32" s="76" t="s">
        <v>60</v>
      </c>
      <c r="E32" s="4"/>
      <c r="F32" s="4"/>
      <c r="G32" s="4"/>
      <c r="H32" s="4"/>
      <c r="I32" s="4"/>
      <c r="J32" s="4"/>
      <c r="K32" s="4"/>
      <c r="M32" s="75"/>
      <c r="O32" s="108"/>
    </row>
    <row r="33" spans="2:15" s="67" customFormat="1" ht="20.100000000000001" customHeight="1">
      <c r="B33" s="77"/>
      <c r="D33" s="87" t="s">
        <v>3</v>
      </c>
      <c r="E33" s="88">
        <v>43052</v>
      </c>
      <c r="F33" s="88">
        <v>43053</v>
      </c>
      <c r="G33" s="88">
        <v>43054</v>
      </c>
      <c r="H33" s="88">
        <v>43055</v>
      </c>
      <c r="I33" s="88">
        <v>43056</v>
      </c>
      <c r="J33" s="88">
        <v>43057</v>
      </c>
      <c r="K33" s="88">
        <v>43058</v>
      </c>
      <c r="L33" s="567" t="s">
        <v>62</v>
      </c>
      <c r="M33" s="78"/>
      <c r="O33" s="110"/>
    </row>
    <row r="34" spans="2:15" s="67" customFormat="1" ht="20.100000000000001" customHeight="1" thickBot="1">
      <c r="B34" s="77"/>
      <c r="D34" s="89" t="s">
        <v>2</v>
      </c>
      <c r="E34" s="90" t="s">
        <v>4</v>
      </c>
      <c r="F34" s="90" t="s">
        <v>23</v>
      </c>
      <c r="G34" s="90" t="s">
        <v>29</v>
      </c>
      <c r="H34" s="90" t="s">
        <v>30</v>
      </c>
      <c r="I34" s="90" t="s">
        <v>59</v>
      </c>
      <c r="J34" s="90" t="s">
        <v>40</v>
      </c>
      <c r="K34" s="90" t="s">
        <v>43</v>
      </c>
      <c r="L34" s="568"/>
      <c r="M34" s="78"/>
      <c r="O34" s="110"/>
    </row>
    <row r="35" spans="2:15" s="64" customFormat="1" ht="20.100000000000001" customHeight="1">
      <c r="B35" s="79"/>
      <c r="C35" s="571" t="s">
        <v>70</v>
      </c>
      <c r="D35" s="91" t="s">
        <v>58</v>
      </c>
      <c r="E35" s="92" t="s">
        <v>56</v>
      </c>
      <c r="F35" s="92" t="s">
        <v>56</v>
      </c>
      <c r="G35" s="92" t="s">
        <v>56</v>
      </c>
      <c r="H35" s="92" t="s">
        <v>56</v>
      </c>
      <c r="I35" s="92" t="s">
        <v>56</v>
      </c>
      <c r="J35" s="92" t="s">
        <v>44</v>
      </c>
      <c r="K35" s="92"/>
      <c r="L35" s="570">
        <f>SUM(E36:K36)</f>
        <v>5800000</v>
      </c>
      <c r="M35" s="80"/>
      <c r="O35" s="111"/>
    </row>
    <row r="36" spans="2:15" s="24" customFormat="1" ht="20.100000000000001" customHeight="1" thickBot="1">
      <c r="B36" s="81"/>
      <c r="C36" s="572"/>
      <c r="D36" s="93" t="s">
        <v>55</v>
      </c>
      <c r="E36" s="94">
        <v>1000000</v>
      </c>
      <c r="F36" s="94">
        <v>1000000</v>
      </c>
      <c r="G36" s="94">
        <v>1000000</v>
      </c>
      <c r="H36" s="94">
        <v>1000000</v>
      </c>
      <c r="I36" s="94">
        <v>1000000</v>
      </c>
      <c r="J36" s="94">
        <v>800000</v>
      </c>
      <c r="K36" s="94"/>
      <c r="L36" s="498"/>
      <c r="M36" s="82"/>
      <c r="O36" s="108"/>
    </row>
    <row r="37" spans="2:15" s="64" customFormat="1" ht="20.100000000000001" customHeight="1">
      <c r="B37" s="79"/>
      <c r="C37" s="573" t="s">
        <v>71</v>
      </c>
      <c r="D37" s="91" t="s">
        <v>58</v>
      </c>
      <c r="E37" s="92" t="s">
        <v>44</v>
      </c>
      <c r="F37" s="92" t="s">
        <v>44</v>
      </c>
      <c r="G37" s="92" t="s">
        <v>44</v>
      </c>
      <c r="H37" s="92" t="s">
        <v>44</v>
      </c>
      <c r="I37" s="92" t="s">
        <v>44</v>
      </c>
      <c r="J37" s="92"/>
      <c r="K37" s="92"/>
      <c r="L37" s="570">
        <f>SUM(E38:K38)</f>
        <v>4000000</v>
      </c>
      <c r="M37" s="80"/>
      <c r="O37" s="111"/>
    </row>
    <row r="38" spans="2:15" s="24" customFormat="1" ht="20.100000000000001" customHeight="1" thickBot="1">
      <c r="B38" s="81"/>
      <c r="C38" s="572"/>
      <c r="D38" s="93" t="s">
        <v>55</v>
      </c>
      <c r="E38" s="94">
        <v>800000</v>
      </c>
      <c r="F38" s="94">
        <v>800000</v>
      </c>
      <c r="G38" s="94">
        <v>800000</v>
      </c>
      <c r="H38" s="94">
        <v>800000</v>
      </c>
      <c r="I38" s="94">
        <v>800000</v>
      </c>
      <c r="J38" s="94"/>
      <c r="K38" s="94"/>
      <c r="L38" s="498"/>
      <c r="M38" s="82"/>
      <c r="O38" s="108"/>
    </row>
    <row r="39" spans="2:15" s="2" customFormat="1" ht="20.100000000000001" customHeight="1">
      <c r="B39" s="73"/>
      <c r="D39" s="556" t="s">
        <v>57</v>
      </c>
      <c r="E39" s="557"/>
      <c r="F39" s="557"/>
      <c r="G39" s="557"/>
      <c r="H39" s="557"/>
      <c r="I39" s="557"/>
      <c r="J39" s="557"/>
      <c r="K39" s="557"/>
      <c r="L39" s="558"/>
      <c r="M39" s="75"/>
      <c r="O39" s="108"/>
    </row>
    <row r="40" spans="2:15" s="2" customFormat="1" ht="20.100000000000001" customHeight="1">
      <c r="B40" s="73"/>
      <c r="D40" s="95" t="s">
        <v>58</v>
      </c>
      <c r="E40" s="1" t="s">
        <v>69</v>
      </c>
      <c r="F40" s="1"/>
      <c r="G40" s="1"/>
      <c r="H40" s="1"/>
      <c r="I40" s="1"/>
      <c r="J40" s="1"/>
      <c r="K40" s="1"/>
      <c r="L40" s="522">
        <f>SUM(E41:K41)</f>
        <v>400000</v>
      </c>
      <c r="M40" s="75"/>
      <c r="O40" s="108"/>
    </row>
    <row r="41" spans="2:15" s="2" customFormat="1" ht="20.100000000000001" customHeight="1" thickBot="1">
      <c r="B41" s="73"/>
      <c r="D41" s="96" t="s">
        <v>55</v>
      </c>
      <c r="E41" s="94">
        <v>400000</v>
      </c>
      <c r="F41" s="94"/>
      <c r="G41" s="94"/>
      <c r="H41" s="94"/>
      <c r="I41" s="94"/>
      <c r="J41" s="94"/>
      <c r="K41" s="94"/>
      <c r="L41" s="523"/>
      <c r="M41" s="75"/>
      <c r="O41" s="108">
        <f>SUM(E41:K41)</f>
        <v>400000</v>
      </c>
    </row>
    <row r="42" spans="2:15" s="2" customFormat="1" ht="30" customHeight="1">
      <c r="B42" s="73"/>
      <c r="E42" s="4"/>
      <c r="F42" s="4"/>
      <c r="G42" s="4"/>
      <c r="H42" s="4"/>
      <c r="I42" s="4"/>
      <c r="J42" s="4"/>
      <c r="K42" s="4"/>
      <c r="L42" s="97">
        <f>SUM(L35:L41)</f>
        <v>10200000</v>
      </c>
      <c r="M42" s="75"/>
      <c r="O42" s="108"/>
    </row>
    <row r="43" spans="2:15" s="2" customFormat="1" ht="20.100000000000001" customHeight="1" thickBot="1">
      <c r="B43" s="73"/>
      <c r="D43" s="76" t="s">
        <v>61</v>
      </c>
      <c r="E43" s="4"/>
      <c r="F43" s="4"/>
      <c r="G43" s="4"/>
      <c r="H43" s="4"/>
      <c r="I43" s="4"/>
      <c r="J43" s="4"/>
      <c r="K43" s="4"/>
      <c r="M43" s="75"/>
      <c r="O43" s="108"/>
    </row>
    <row r="44" spans="2:15" s="67" customFormat="1" ht="20.100000000000001" customHeight="1">
      <c r="B44" s="77"/>
      <c r="D44" s="87" t="s">
        <v>3</v>
      </c>
      <c r="E44" s="88">
        <v>43052</v>
      </c>
      <c r="F44" s="88">
        <v>43053</v>
      </c>
      <c r="G44" s="88">
        <v>43054</v>
      </c>
      <c r="H44" s="88">
        <v>43055</v>
      </c>
      <c r="I44" s="88">
        <v>43056</v>
      </c>
      <c r="J44" s="88">
        <v>43057</v>
      </c>
      <c r="K44" s="88">
        <v>43058</v>
      </c>
      <c r="L44" s="567" t="s">
        <v>62</v>
      </c>
      <c r="M44" s="78"/>
      <c r="O44" s="110"/>
    </row>
    <row r="45" spans="2:15" s="67" customFormat="1" ht="20.100000000000001" customHeight="1" thickBot="1">
      <c r="B45" s="77"/>
      <c r="D45" s="89" t="s">
        <v>2</v>
      </c>
      <c r="E45" s="90" t="s">
        <v>4</v>
      </c>
      <c r="F45" s="90" t="s">
        <v>23</v>
      </c>
      <c r="G45" s="90" t="s">
        <v>29</v>
      </c>
      <c r="H45" s="90" t="s">
        <v>30</v>
      </c>
      <c r="I45" s="90" t="s">
        <v>59</v>
      </c>
      <c r="J45" s="90" t="s">
        <v>40</v>
      </c>
      <c r="K45" s="90" t="s">
        <v>43</v>
      </c>
      <c r="L45" s="568"/>
      <c r="M45" s="78"/>
      <c r="O45" s="110"/>
    </row>
    <row r="46" spans="2:15" s="64" customFormat="1" ht="20.100000000000001" customHeight="1">
      <c r="B46" s="79"/>
      <c r="D46" s="91" t="s">
        <v>58</v>
      </c>
      <c r="E46" s="92" t="s">
        <v>56</v>
      </c>
      <c r="F46" s="92" t="s">
        <v>56</v>
      </c>
      <c r="G46" s="92" t="s">
        <v>56</v>
      </c>
      <c r="H46" s="92" t="s">
        <v>56</v>
      </c>
      <c r="I46" s="92" t="s">
        <v>56</v>
      </c>
      <c r="J46" s="92"/>
      <c r="K46" s="92"/>
      <c r="L46" s="570">
        <f>SUM(E47:K47)</f>
        <v>5000000</v>
      </c>
      <c r="M46" s="80"/>
      <c r="O46" s="111"/>
    </row>
    <row r="47" spans="2:15" s="24" customFormat="1" ht="20.100000000000001" customHeight="1" thickBot="1">
      <c r="B47" s="81"/>
      <c r="C47" s="38"/>
      <c r="D47" s="93" t="s">
        <v>55</v>
      </c>
      <c r="E47" s="94">
        <v>1000000</v>
      </c>
      <c r="F47" s="94">
        <v>1000000</v>
      </c>
      <c r="G47" s="94">
        <v>1000000</v>
      </c>
      <c r="H47" s="94">
        <v>1000000</v>
      </c>
      <c r="I47" s="94">
        <v>1000000</v>
      </c>
      <c r="J47" s="94"/>
      <c r="K47" s="94"/>
      <c r="L47" s="498"/>
      <c r="M47" s="82"/>
      <c r="O47" s="108"/>
    </row>
    <row r="48" spans="2:15" s="2" customFormat="1" ht="20.100000000000001" customHeight="1">
      <c r="B48" s="73"/>
      <c r="D48" s="556" t="s">
        <v>57</v>
      </c>
      <c r="E48" s="557"/>
      <c r="F48" s="557"/>
      <c r="G48" s="557"/>
      <c r="H48" s="557"/>
      <c r="I48" s="557"/>
      <c r="J48" s="557"/>
      <c r="K48" s="557"/>
      <c r="L48" s="558"/>
      <c r="M48" s="75"/>
      <c r="O48" s="108"/>
    </row>
    <row r="49" spans="2:15" s="2" customFormat="1" ht="20.100000000000001" customHeight="1">
      <c r="B49" s="73"/>
      <c r="D49" s="95" t="s">
        <v>58</v>
      </c>
      <c r="E49" s="1"/>
      <c r="F49" s="1"/>
      <c r="G49" s="1"/>
      <c r="H49" s="1"/>
      <c r="I49" s="1"/>
      <c r="J49" s="1"/>
      <c r="K49" s="1"/>
      <c r="L49" s="522">
        <f>SUM(E50:K50)</f>
        <v>0</v>
      </c>
      <c r="M49" s="75"/>
      <c r="O49" s="108"/>
    </row>
    <row r="50" spans="2:15" s="24" customFormat="1" ht="20.100000000000001" customHeight="1" thickBot="1">
      <c r="B50" s="81"/>
      <c r="C50" s="38"/>
      <c r="D50" s="93" t="s">
        <v>55</v>
      </c>
      <c r="E50" s="94"/>
      <c r="F50" s="94"/>
      <c r="G50" s="94"/>
      <c r="H50" s="94"/>
      <c r="I50" s="94"/>
      <c r="J50" s="94"/>
      <c r="K50" s="94"/>
      <c r="L50" s="523"/>
      <c r="M50" s="82"/>
      <c r="O50" s="108">
        <f>SUM(E50:K50)</f>
        <v>0</v>
      </c>
    </row>
    <row r="51" spans="2:15" s="2" customFormat="1" ht="20.100000000000001" customHeight="1">
      <c r="B51" s="73"/>
      <c r="E51" s="4"/>
      <c r="F51" s="4"/>
      <c r="G51" s="4"/>
      <c r="H51" s="4"/>
      <c r="I51" s="4"/>
      <c r="J51" s="4"/>
      <c r="K51" s="4"/>
      <c r="L51" s="68">
        <f>SUM(L44:L50)</f>
        <v>5000000</v>
      </c>
      <c r="M51" s="75"/>
      <c r="O51" s="108"/>
    </row>
    <row r="52" spans="2:15" s="2" customFormat="1" ht="20.100000000000001" customHeight="1">
      <c r="B52" s="73"/>
      <c r="D52" s="564" t="s">
        <v>63</v>
      </c>
      <c r="E52" s="564"/>
      <c r="F52" s="4"/>
      <c r="G52" s="4"/>
      <c r="H52" s="4"/>
      <c r="I52" s="4"/>
      <c r="J52" s="4"/>
      <c r="K52" s="4"/>
      <c r="M52" s="75"/>
      <c r="O52" s="108"/>
    </row>
    <row r="53" spans="2:15" s="2" customFormat="1" ht="20.100000000000001" customHeight="1">
      <c r="B53" s="73"/>
      <c r="D53" s="565" t="s">
        <v>64</v>
      </c>
      <c r="E53" s="565"/>
      <c r="F53" s="566">
        <f>+L42</f>
        <v>10200000</v>
      </c>
      <c r="G53" s="566"/>
      <c r="H53" s="4"/>
      <c r="I53" s="4"/>
      <c r="J53" s="4"/>
      <c r="K53" s="4"/>
      <c r="M53" s="75"/>
      <c r="O53" s="108"/>
    </row>
    <row r="54" spans="2:15" s="2" customFormat="1" ht="20.100000000000001" customHeight="1">
      <c r="B54" s="73"/>
      <c r="D54" s="565" t="s">
        <v>65</v>
      </c>
      <c r="E54" s="565"/>
      <c r="F54" s="566">
        <f>+L51</f>
        <v>5000000</v>
      </c>
      <c r="G54" s="566"/>
      <c r="H54" s="4"/>
      <c r="I54" s="99" t="s">
        <v>76</v>
      </c>
      <c r="J54" s="100" t="s">
        <v>77</v>
      </c>
      <c r="K54" s="100" t="s">
        <v>78</v>
      </c>
      <c r="M54" s="75"/>
      <c r="O54" s="108"/>
    </row>
    <row r="55" spans="2:15" s="2" customFormat="1" ht="20.100000000000001" customHeight="1">
      <c r="B55" s="73"/>
      <c r="E55" s="4"/>
      <c r="F55" s="559">
        <f>+F54+F53</f>
        <v>15200000</v>
      </c>
      <c r="G55" s="559"/>
      <c r="H55" s="4"/>
      <c r="I55" s="98">
        <f>100*F55/96</f>
        <v>15833333.333333334</v>
      </c>
      <c r="J55" s="98">
        <f>4%*I55</f>
        <v>633333.33333333337</v>
      </c>
      <c r="K55" s="98">
        <f>+I55-J55</f>
        <v>15200000</v>
      </c>
      <c r="M55" s="75"/>
      <c r="O55" s="108"/>
    </row>
    <row r="56" spans="2:15" s="2" customFormat="1" ht="12.95" customHeight="1" thickBot="1">
      <c r="B56" s="83"/>
      <c r="C56" s="84"/>
      <c r="D56" s="84"/>
      <c r="E56" s="85"/>
      <c r="F56" s="85"/>
      <c r="G56" s="85"/>
      <c r="H56" s="85"/>
      <c r="I56" s="85"/>
      <c r="J56" s="85"/>
      <c r="K56" s="85"/>
      <c r="L56" s="84"/>
      <c r="M56" s="86"/>
      <c r="O56" s="108"/>
    </row>
    <row r="57" spans="2:15" s="2" customFormat="1" ht="20.100000000000001" customHeight="1" thickTop="1" thickBot="1">
      <c r="E57" s="4"/>
      <c r="F57" s="4"/>
      <c r="G57" s="4"/>
      <c r="H57" s="4"/>
      <c r="I57" s="4"/>
      <c r="J57" s="4"/>
      <c r="K57" s="4"/>
      <c r="O57" s="108"/>
    </row>
    <row r="58" spans="2:15" ht="12" customHeight="1" thickTop="1">
      <c r="B58" s="69"/>
      <c r="C58" s="70"/>
      <c r="D58" s="70"/>
      <c r="E58" s="71"/>
      <c r="F58" s="71"/>
      <c r="G58" s="71"/>
      <c r="H58" s="71"/>
      <c r="I58" s="71"/>
      <c r="J58" s="71"/>
      <c r="K58" s="71"/>
      <c r="L58" s="70"/>
      <c r="M58" s="72"/>
    </row>
    <row r="59" spans="2:15" s="2" customFormat="1" ht="20.100000000000001" customHeight="1">
      <c r="B59" s="73"/>
      <c r="D59" s="74" t="s">
        <v>72</v>
      </c>
      <c r="E59" s="4"/>
      <c r="F59" s="4"/>
      <c r="G59" s="4"/>
      <c r="H59" s="4"/>
      <c r="I59" s="4"/>
      <c r="J59" s="4"/>
      <c r="K59" s="4"/>
      <c r="M59" s="75"/>
      <c r="O59" s="108"/>
    </row>
    <row r="60" spans="2:15" s="2" customFormat="1" ht="20.100000000000001" customHeight="1" thickBot="1">
      <c r="B60" s="73"/>
      <c r="D60" s="76" t="s">
        <v>60</v>
      </c>
      <c r="E60" s="4"/>
      <c r="F60" s="4"/>
      <c r="G60" s="4"/>
      <c r="H60" s="4"/>
      <c r="I60" s="4"/>
      <c r="J60" s="4"/>
      <c r="K60" s="4"/>
      <c r="M60" s="75"/>
      <c r="O60" s="108"/>
    </row>
    <row r="61" spans="2:15" s="67" customFormat="1" ht="20.100000000000001" customHeight="1">
      <c r="B61" s="77"/>
      <c r="D61" s="87" t="s">
        <v>3</v>
      </c>
      <c r="E61" s="88">
        <v>43059</v>
      </c>
      <c r="F61" s="88">
        <v>43060</v>
      </c>
      <c r="G61" s="88">
        <v>43061</v>
      </c>
      <c r="H61" s="88">
        <v>43062</v>
      </c>
      <c r="I61" s="88">
        <v>43063</v>
      </c>
      <c r="J61" s="88">
        <v>43064</v>
      </c>
      <c r="K61" s="88">
        <v>43065</v>
      </c>
      <c r="L61" s="567" t="s">
        <v>62</v>
      </c>
      <c r="M61" s="78"/>
      <c r="O61" s="110"/>
    </row>
    <row r="62" spans="2:15" s="67" customFormat="1" ht="20.100000000000001" customHeight="1" thickBot="1">
      <c r="B62" s="77"/>
      <c r="D62" s="89" t="s">
        <v>2</v>
      </c>
      <c r="E62" s="90" t="s">
        <v>4</v>
      </c>
      <c r="F62" s="90" t="s">
        <v>23</v>
      </c>
      <c r="G62" s="90" t="s">
        <v>29</v>
      </c>
      <c r="H62" s="90" t="s">
        <v>30</v>
      </c>
      <c r="I62" s="90" t="s">
        <v>59</v>
      </c>
      <c r="J62" s="90" t="s">
        <v>40</v>
      </c>
      <c r="K62" s="90" t="s">
        <v>43</v>
      </c>
      <c r="L62" s="568"/>
      <c r="M62" s="78"/>
      <c r="O62" s="110"/>
    </row>
    <row r="63" spans="2:15" s="64" customFormat="1" ht="20.100000000000001" customHeight="1">
      <c r="B63" s="79"/>
      <c r="C63" s="571" t="s">
        <v>70</v>
      </c>
      <c r="D63" s="91" t="s">
        <v>58</v>
      </c>
      <c r="E63" s="92" t="s">
        <v>56</v>
      </c>
      <c r="F63" s="92" t="s">
        <v>56</v>
      </c>
      <c r="G63" s="92" t="s">
        <v>56</v>
      </c>
      <c r="H63" s="92" t="s">
        <v>56</v>
      </c>
      <c r="I63" s="92" t="s">
        <v>56</v>
      </c>
      <c r="J63" s="92"/>
      <c r="K63" s="92"/>
      <c r="L63" s="570">
        <f>SUM(E64:K64)</f>
        <v>5000000</v>
      </c>
      <c r="M63" s="80"/>
      <c r="O63" s="111"/>
    </row>
    <row r="64" spans="2:15" s="24" customFormat="1" ht="20.100000000000001" customHeight="1" thickBot="1">
      <c r="B64" s="81"/>
      <c r="C64" s="572"/>
      <c r="D64" s="93" t="s">
        <v>55</v>
      </c>
      <c r="E64" s="94">
        <v>1000000</v>
      </c>
      <c r="F64" s="94">
        <v>1000000</v>
      </c>
      <c r="G64" s="94">
        <v>1000000</v>
      </c>
      <c r="H64" s="94">
        <v>1000000</v>
      </c>
      <c r="I64" s="94">
        <v>1000000</v>
      </c>
      <c r="J64" s="94"/>
      <c r="K64" s="94"/>
      <c r="L64" s="498"/>
      <c r="M64" s="82"/>
      <c r="O64" s="108"/>
    </row>
    <row r="65" spans="2:15" s="64" customFormat="1" ht="20.100000000000001" customHeight="1">
      <c r="B65" s="79"/>
      <c r="C65" s="573" t="s">
        <v>71</v>
      </c>
      <c r="D65" s="91" t="s">
        <v>58</v>
      </c>
      <c r="E65" s="92" t="s">
        <v>44</v>
      </c>
      <c r="F65" s="92"/>
      <c r="G65" s="92"/>
      <c r="H65" s="92"/>
      <c r="I65" s="92"/>
      <c r="J65" s="92"/>
      <c r="K65" s="92"/>
      <c r="L65" s="570">
        <f>SUM(E66:K66)</f>
        <v>500000</v>
      </c>
      <c r="M65" s="80"/>
      <c r="O65" s="111"/>
    </row>
    <row r="66" spans="2:15" s="24" customFormat="1" ht="20.100000000000001" customHeight="1" thickBot="1">
      <c r="B66" s="81"/>
      <c r="C66" s="572"/>
      <c r="D66" s="93" t="s">
        <v>55</v>
      </c>
      <c r="E66" s="94">
        <v>500000</v>
      </c>
      <c r="F66" s="94"/>
      <c r="G66" s="94"/>
      <c r="H66" s="94"/>
      <c r="I66" s="94"/>
      <c r="J66" s="94"/>
      <c r="K66" s="94"/>
      <c r="L66" s="498"/>
      <c r="M66" s="82"/>
      <c r="O66" s="108"/>
    </row>
    <row r="67" spans="2:15" s="2" customFormat="1" ht="20.100000000000001" customHeight="1">
      <c r="B67" s="73"/>
      <c r="D67" s="556" t="s">
        <v>57</v>
      </c>
      <c r="E67" s="557"/>
      <c r="F67" s="557"/>
      <c r="G67" s="557"/>
      <c r="H67" s="557"/>
      <c r="I67" s="557"/>
      <c r="J67" s="557"/>
      <c r="K67" s="557"/>
      <c r="L67" s="558"/>
      <c r="M67" s="75"/>
      <c r="O67" s="108"/>
    </row>
    <row r="68" spans="2:15" s="2" customFormat="1" ht="20.100000000000001" customHeight="1">
      <c r="B68" s="73"/>
      <c r="D68" s="95" t="s">
        <v>58</v>
      </c>
      <c r="E68" s="1"/>
      <c r="F68" s="1"/>
      <c r="G68" s="1"/>
      <c r="H68" s="1"/>
      <c r="I68" s="1"/>
      <c r="J68" s="1"/>
      <c r="K68" s="1"/>
      <c r="L68" s="522">
        <f>SUM(E69:K69)</f>
        <v>0</v>
      </c>
      <c r="M68" s="75"/>
      <c r="O68" s="108"/>
    </row>
    <row r="69" spans="2:15" s="2" customFormat="1" ht="20.100000000000001" customHeight="1" thickBot="1">
      <c r="B69" s="73"/>
      <c r="D69" s="96" t="s">
        <v>55</v>
      </c>
      <c r="E69" s="94"/>
      <c r="F69" s="94"/>
      <c r="G69" s="94"/>
      <c r="H69" s="94"/>
      <c r="I69" s="94"/>
      <c r="J69" s="94"/>
      <c r="K69" s="94"/>
      <c r="L69" s="523"/>
      <c r="M69" s="75"/>
      <c r="O69" s="108">
        <f>SUM(E69:K69)</f>
        <v>0</v>
      </c>
    </row>
    <row r="70" spans="2:15" s="2" customFormat="1" ht="30" customHeight="1">
      <c r="B70" s="73"/>
      <c r="E70" s="4"/>
      <c r="F70" s="4"/>
      <c r="G70" s="4"/>
      <c r="H70" s="4"/>
      <c r="I70" s="4"/>
      <c r="J70" s="4"/>
      <c r="K70" s="4"/>
      <c r="L70" s="97">
        <f>SUM(L63:L69)</f>
        <v>5500000</v>
      </c>
      <c r="M70" s="75"/>
      <c r="O70" s="108"/>
    </row>
    <row r="71" spans="2:15" s="2" customFormat="1" ht="20.100000000000001" customHeight="1" thickBot="1">
      <c r="B71" s="73"/>
      <c r="D71" s="76" t="s">
        <v>61</v>
      </c>
      <c r="E71" s="4"/>
      <c r="F71" s="4"/>
      <c r="G71" s="4"/>
      <c r="H71" s="4"/>
      <c r="I71" s="4"/>
      <c r="J71" s="4"/>
      <c r="K71" s="4"/>
      <c r="M71" s="75"/>
      <c r="O71" s="108"/>
    </row>
    <row r="72" spans="2:15" s="67" customFormat="1" ht="20.100000000000001" customHeight="1">
      <c r="B72" s="77"/>
      <c r="D72" s="87" t="s">
        <v>3</v>
      </c>
      <c r="E72" s="88">
        <v>43059</v>
      </c>
      <c r="F72" s="88">
        <v>43060</v>
      </c>
      <c r="G72" s="88">
        <v>43061</v>
      </c>
      <c r="H72" s="88">
        <v>43062</v>
      </c>
      <c r="I72" s="88">
        <v>43063</v>
      </c>
      <c r="J72" s="88">
        <v>43064</v>
      </c>
      <c r="K72" s="88">
        <v>43065</v>
      </c>
      <c r="L72" s="567" t="s">
        <v>62</v>
      </c>
      <c r="M72" s="78"/>
      <c r="O72" s="110"/>
    </row>
    <row r="73" spans="2:15" s="67" customFormat="1" ht="20.100000000000001" customHeight="1" thickBot="1">
      <c r="B73" s="77"/>
      <c r="D73" s="89" t="s">
        <v>2</v>
      </c>
      <c r="E73" s="90" t="s">
        <v>4</v>
      </c>
      <c r="F73" s="90" t="s">
        <v>23</v>
      </c>
      <c r="G73" s="90" t="s">
        <v>29</v>
      </c>
      <c r="H73" s="90" t="s">
        <v>30</v>
      </c>
      <c r="I73" s="90" t="s">
        <v>59</v>
      </c>
      <c r="J73" s="90" t="s">
        <v>40</v>
      </c>
      <c r="K73" s="90" t="s">
        <v>43</v>
      </c>
      <c r="L73" s="568"/>
      <c r="M73" s="78"/>
      <c r="O73" s="110"/>
    </row>
    <row r="74" spans="2:15" s="64" customFormat="1" ht="20.100000000000001" customHeight="1">
      <c r="B74" s="79"/>
      <c r="D74" s="91" t="s">
        <v>58</v>
      </c>
      <c r="E74" s="92" t="s">
        <v>56</v>
      </c>
      <c r="F74" s="92" t="s">
        <v>56</v>
      </c>
      <c r="G74" s="92" t="s">
        <v>56</v>
      </c>
      <c r="H74" s="92" t="s">
        <v>56</v>
      </c>
      <c r="I74" s="92" t="s">
        <v>56</v>
      </c>
      <c r="J74" s="92"/>
      <c r="K74" s="92"/>
      <c r="L74" s="570">
        <f>SUM(E75:K75)</f>
        <v>5000000</v>
      </c>
      <c r="M74" s="80"/>
      <c r="O74" s="111"/>
    </row>
    <row r="75" spans="2:15" s="24" customFormat="1" ht="20.100000000000001" customHeight="1" thickBot="1">
      <c r="B75" s="81"/>
      <c r="C75" s="38"/>
      <c r="D75" s="93" t="s">
        <v>55</v>
      </c>
      <c r="E75" s="94">
        <v>1000000</v>
      </c>
      <c r="F75" s="94">
        <v>1000000</v>
      </c>
      <c r="G75" s="94">
        <v>1000000</v>
      </c>
      <c r="H75" s="94">
        <v>1000000</v>
      </c>
      <c r="I75" s="94">
        <v>1000000</v>
      </c>
      <c r="J75" s="94"/>
      <c r="K75" s="94"/>
      <c r="L75" s="498"/>
      <c r="M75" s="82"/>
      <c r="O75" s="108"/>
    </row>
    <row r="76" spans="2:15" s="2" customFormat="1" ht="20.100000000000001" customHeight="1">
      <c r="B76" s="73"/>
      <c r="D76" s="556" t="s">
        <v>57</v>
      </c>
      <c r="E76" s="557"/>
      <c r="F76" s="557"/>
      <c r="G76" s="557"/>
      <c r="H76" s="557"/>
      <c r="I76" s="557"/>
      <c r="J76" s="557"/>
      <c r="K76" s="557"/>
      <c r="L76" s="558"/>
      <c r="M76" s="75"/>
      <c r="O76" s="108"/>
    </row>
    <row r="77" spans="2:15" s="2" customFormat="1" ht="20.100000000000001" customHeight="1">
      <c r="B77" s="73"/>
      <c r="D77" s="95" t="s">
        <v>58</v>
      </c>
      <c r="E77" s="1"/>
      <c r="F77" s="1"/>
      <c r="G77" s="1"/>
      <c r="H77" s="1"/>
      <c r="I77" s="1"/>
      <c r="J77" s="1"/>
      <c r="K77" s="1"/>
      <c r="L77" s="522">
        <f>SUM(E78:K78)</f>
        <v>0</v>
      </c>
      <c r="M77" s="75"/>
      <c r="O77" s="108"/>
    </row>
    <row r="78" spans="2:15" s="24" customFormat="1" ht="20.100000000000001" customHeight="1" thickBot="1">
      <c r="B78" s="81"/>
      <c r="C78" s="38"/>
      <c r="D78" s="93" t="s">
        <v>55</v>
      </c>
      <c r="E78" s="94"/>
      <c r="F78" s="94"/>
      <c r="G78" s="94"/>
      <c r="H78" s="94"/>
      <c r="I78" s="94"/>
      <c r="J78" s="94"/>
      <c r="K78" s="94"/>
      <c r="L78" s="523"/>
      <c r="M78" s="82"/>
      <c r="O78" s="108">
        <f>SUM(E78:K78)</f>
        <v>0</v>
      </c>
    </row>
    <row r="79" spans="2:15" s="2" customFormat="1" ht="20.100000000000001" customHeight="1">
      <c r="B79" s="73"/>
      <c r="E79" s="4"/>
      <c r="F79" s="4"/>
      <c r="G79" s="4"/>
      <c r="H79" s="4"/>
      <c r="I79" s="4"/>
      <c r="J79" s="4"/>
      <c r="K79" s="4"/>
      <c r="L79" s="68">
        <f>SUM(L72:L78)</f>
        <v>5000000</v>
      </c>
      <c r="M79" s="75"/>
      <c r="O79" s="108"/>
    </row>
    <row r="80" spans="2:15" s="2" customFormat="1" ht="20.100000000000001" customHeight="1">
      <c r="B80" s="73"/>
      <c r="D80" s="564" t="s">
        <v>63</v>
      </c>
      <c r="E80" s="564"/>
      <c r="F80" s="4"/>
      <c r="G80" s="4"/>
      <c r="H80" s="4"/>
      <c r="I80" s="4"/>
      <c r="J80" s="4"/>
      <c r="K80" s="4"/>
      <c r="M80" s="75"/>
      <c r="O80" s="108"/>
    </row>
    <row r="81" spans="2:15" s="2" customFormat="1" ht="20.100000000000001" customHeight="1">
      <c r="B81" s="73"/>
      <c r="D81" s="565" t="s">
        <v>64</v>
      </c>
      <c r="E81" s="565"/>
      <c r="F81" s="566">
        <f>+L70</f>
        <v>5500000</v>
      </c>
      <c r="G81" s="566"/>
      <c r="H81" s="4"/>
      <c r="I81" s="4"/>
      <c r="J81" s="4"/>
      <c r="K81" s="4"/>
      <c r="M81" s="75"/>
      <c r="O81" s="108"/>
    </row>
    <row r="82" spans="2:15" s="2" customFormat="1" ht="20.100000000000001" customHeight="1">
      <c r="B82" s="73"/>
      <c r="D82" s="565" t="s">
        <v>65</v>
      </c>
      <c r="E82" s="565"/>
      <c r="F82" s="566">
        <f>+L79</f>
        <v>5000000</v>
      </c>
      <c r="G82" s="566"/>
      <c r="H82" s="4"/>
      <c r="I82" s="99" t="s">
        <v>76</v>
      </c>
      <c r="J82" s="100" t="s">
        <v>77</v>
      </c>
      <c r="K82" s="100" t="s">
        <v>78</v>
      </c>
      <c r="M82" s="75"/>
      <c r="O82" s="108"/>
    </row>
    <row r="83" spans="2:15" s="2" customFormat="1" ht="20.100000000000001" customHeight="1">
      <c r="B83" s="73"/>
      <c r="E83" s="4"/>
      <c r="F83" s="559">
        <f>+F82+F81</f>
        <v>10500000</v>
      </c>
      <c r="G83" s="559"/>
      <c r="H83" s="4"/>
      <c r="I83" s="98">
        <f>100*F83/96</f>
        <v>10937500</v>
      </c>
      <c r="J83" s="98">
        <f>4%*I83</f>
        <v>437500</v>
      </c>
      <c r="K83" s="98">
        <f>+I83-J83</f>
        <v>10500000</v>
      </c>
      <c r="M83" s="75"/>
      <c r="O83" s="108"/>
    </row>
    <row r="84" spans="2:15" s="2" customFormat="1" ht="12.95" customHeight="1" thickBot="1">
      <c r="B84" s="83"/>
      <c r="C84" s="84"/>
      <c r="D84" s="84"/>
      <c r="E84" s="85"/>
      <c r="F84" s="85"/>
      <c r="G84" s="85"/>
      <c r="H84" s="85"/>
      <c r="I84" s="85"/>
      <c r="J84" s="85"/>
      <c r="K84" s="85"/>
      <c r="L84" s="84"/>
      <c r="M84" s="86"/>
      <c r="O84" s="108"/>
    </row>
    <row r="85" spans="2:15" ht="16.5" thickTop="1" thickBot="1"/>
    <row r="86" spans="2:15" ht="15.75" thickTop="1">
      <c r="B86" s="69"/>
      <c r="C86" s="70"/>
      <c r="D86" s="70"/>
      <c r="E86" s="71"/>
      <c r="F86" s="71"/>
      <c r="G86" s="71"/>
      <c r="H86" s="71"/>
      <c r="I86" s="71"/>
      <c r="J86" s="71"/>
      <c r="K86" s="71"/>
      <c r="L86" s="70"/>
      <c r="M86" s="72"/>
    </row>
    <row r="87" spans="2:15" ht="21">
      <c r="B87" s="73"/>
      <c r="C87" s="2"/>
      <c r="D87" s="74" t="s">
        <v>73</v>
      </c>
      <c r="E87" s="4"/>
      <c r="F87" s="4"/>
      <c r="G87" s="4"/>
      <c r="H87" s="4"/>
      <c r="I87" s="4"/>
      <c r="J87" s="4"/>
      <c r="K87" s="4"/>
      <c r="L87" s="2"/>
      <c r="M87" s="75"/>
    </row>
    <row r="88" spans="2:15" ht="19.5" thickBot="1">
      <c r="B88" s="73"/>
      <c r="C88" s="2"/>
      <c r="D88" s="76" t="s">
        <v>60</v>
      </c>
      <c r="E88" s="4"/>
      <c r="F88" s="4"/>
      <c r="G88" s="4"/>
      <c r="H88" s="4"/>
      <c r="I88" s="4"/>
      <c r="J88" s="4"/>
      <c r="K88" s="4"/>
      <c r="L88" s="2"/>
      <c r="M88" s="75"/>
    </row>
    <row r="89" spans="2:15">
      <c r="B89" s="77"/>
      <c r="C89" s="67"/>
      <c r="D89" s="87" t="s">
        <v>3</v>
      </c>
      <c r="E89" s="88">
        <v>43066</v>
      </c>
      <c r="F89" s="88">
        <v>43067</v>
      </c>
      <c r="G89" s="88">
        <v>43068</v>
      </c>
      <c r="H89" s="88">
        <v>43069</v>
      </c>
      <c r="I89" s="88">
        <v>43070</v>
      </c>
      <c r="J89" s="88">
        <v>43071</v>
      </c>
      <c r="K89" s="88">
        <v>43072</v>
      </c>
      <c r="L89" s="567" t="s">
        <v>62</v>
      </c>
      <c r="M89" s="78"/>
    </row>
    <row r="90" spans="2:15" ht="15.75" thickBot="1">
      <c r="B90" s="77"/>
      <c r="C90" s="67"/>
      <c r="D90" s="89" t="s">
        <v>2</v>
      </c>
      <c r="E90" s="90" t="s">
        <v>4</v>
      </c>
      <c r="F90" s="90" t="s">
        <v>23</v>
      </c>
      <c r="G90" s="90" t="s">
        <v>29</v>
      </c>
      <c r="H90" s="90" t="s">
        <v>30</v>
      </c>
      <c r="I90" s="90" t="s">
        <v>59</v>
      </c>
      <c r="J90" s="90" t="s">
        <v>40</v>
      </c>
      <c r="K90" s="90" t="s">
        <v>43</v>
      </c>
      <c r="L90" s="568"/>
      <c r="M90" s="78"/>
    </row>
    <row r="91" spans="2:15">
      <c r="B91" s="79"/>
      <c r="C91" s="571" t="s">
        <v>70</v>
      </c>
      <c r="D91" s="91" t="s">
        <v>58</v>
      </c>
      <c r="E91" s="92" t="s">
        <v>56</v>
      </c>
      <c r="F91" s="92" t="s">
        <v>56</v>
      </c>
      <c r="G91" s="92" t="s">
        <v>56</v>
      </c>
      <c r="H91" s="92" t="s">
        <v>56</v>
      </c>
      <c r="I91" s="92"/>
      <c r="J91" s="92"/>
      <c r="K91" s="92" t="s">
        <v>37</v>
      </c>
      <c r="L91" s="570">
        <f>SUM(E92:K92)</f>
        <v>4500000</v>
      </c>
      <c r="M91" s="80"/>
    </row>
    <row r="92" spans="2:15" ht="15.75" thickBot="1">
      <c r="B92" s="81"/>
      <c r="C92" s="572"/>
      <c r="D92" s="93" t="s">
        <v>55</v>
      </c>
      <c r="E92" s="94">
        <v>1000000</v>
      </c>
      <c r="F92" s="94">
        <v>1000000</v>
      </c>
      <c r="G92" s="94">
        <v>1000000</v>
      </c>
      <c r="H92" s="94">
        <v>1000000</v>
      </c>
      <c r="I92" s="94"/>
      <c r="J92" s="94"/>
      <c r="K92" s="94">
        <v>500000</v>
      </c>
      <c r="L92" s="498"/>
      <c r="M92" s="82"/>
    </row>
    <row r="93" spans="2:15">
      <c r="B93" s="79"/>
      <c r="C93" s="573" t="s">
        <v>71</v>
      </c>
      <c r="D93" s="91" t="s">
        <v>58</v>
      </c>
      <c r="E93" s="92"/>
      <c r="F93" s="92"/>
      <c r="G93" s="92"/>
      <c r="H93" s="92"/>
      <c r="I93" s="92"/>
      <c r="J93" s="92"/>
      <c r="K93" s="92"/>
      <c r="L93" s="570">
        <f>SUM(E94:K94)</f>
        <v>0</v>
      </c>
      <c r="M93" s="80"/>
    </row>
    <row r="94" spans="2:15" ht="15.75" thickBot="1">
      <c r="B94" s="81"/>
      <c r="C94" s="572"/>
      <c r="D94" s="93" t="s">
        <v>55</v>
      </c>
      <c r="E94" s="94"/>
      <c r="F94" s="94"/>
      <c r="G94" s="94"/>
      <c r="H94" s="94"/>
      <c r="I94" s="94"/>
      <c r="J94" s="94"/>
      <c r="K94" s="94"/>
      <c r="L94" s="498"/>
      <c r="M94" s="82"/>
    </row>
    <row r="95" spans="2:15">
      <c r="B95" s="73"/>
      <c r="C95" s="2"/>
      <c r="D95" s="556" t="s">
        <v>57</v>
      </c>
      <c r="E95" s="557"/>
      <c r="F95" s="557"/>
      <c r="G95" s="557"/>
      <c r="H95" s="557"/>
      <c r="I95" s="557"/>
      <c r="J95" s="557"/>
      <c r="K95" s="557"/>
      <c r="L95" s="558"/>
      <c r="M95" s="75"/>
    </row>
    <row r="96" spans="2:15">
      <c r="B96" s="73"/>
      <c r="C96" s="2"/>
      <c r="D96" s="95" t="s">
        <v>58</v>
      </c>
      <c r="E96" s="1"/>
      <c r="F96" s="1"/>
      <c r="G96" s="1"/>
      <c r="H96" s="1"/>
      <c r="I96" s="1"/>
      <c r="J96" s="1"/>
      <c r="K96" s="1"/>
      <c r="L96" s="522">
        <f>SUM(E97:K97)</f>
        <v>0</v>
      </c>
      <c r="M96" s="75"/>
    </row>
    <row r="97" spans="2:15" ht="15.75" thickBot="1">
      <c r="B97" s="73"/>
      <c r="C97" s="2"/>
      <c r="D97" s="96" t="s">
        <v>55</v>
      </c>
      <c r="E97" s="94"/>
      <c r="F97" s="94"/>
      <c r="G97" s="94"/>
      <c r="H97" s="94"/>
      <c r="I97" s="94"/>
      <c r="J97" s="94"/>
      <c r="K97" s="94"/>
      <c r="L97" s="523"/>
      <c r="M97" s="75"/>
      <c r="O97" s="108">
        <f>SUM(E97:K97)</f>
        <v>0</v>
      </c>
    </row>
    <row r="98" spans="2:15" ht="17.25">
      <c r="B98" s="73"/>
      <c r="C98" s="2"/>
      <c r="D98" s="2"/>
      <c r="E98" s="4"/>
      <c r="F98" s="4"/>
      <c r="G98" s="4"/>
      <c r="H98" s="4"/>
      <c r="I98" s="4"/>
      <c r="J98" s="4"/>
      <c r="K98" s="4"/>
      <c r="L98" s="97">
        <f>SUM(L91:L97)</f>
        <v>4500000</v>
      </c>
      <c r="M98" s="75"/>
    </row>
    <row r="99" spans="2:15" ht="19.5" thickBot="1">
      <c r="B99" s="73"/>
      <c r="C99" s="2"/>
      <c r="D99" s="76" t="s">
        <v>61</v>
      </c>
      <c r="E99" s="4"/>
      <c r="F99" s="4"/>
      <c r="G99" s="4"/>
      <c r="H99" s="4"/>
      <c r="I99" s="4"/>
      <c r="J99" s="4"/>
      <c r="K99" s="4"/>
      <c r="L99" s="2"/>
      <c r="M99" s="75"/>
    </row>
    <row r="100" spans="2:15">
      <c r="B100" s="77"/>
      <c r="C100" s="67"/>
      <c r="D100" s="87" t="s">
        <v>3</v>
      </c>
      <c r="E100" s="88">
        <v>43066</v>
      </c>
      <c r="F100" s="88">
        <v>43067</v>
      </c>
      <c r="G100" s="88">
        <v>43068</v>
      </c>
      <c r="H100" s="88">
        <v>43069</v>
      </c>
      <c r="I100" s="88">
        <v>43070</v>
      </c>
      <c r="J100" s="88">
        <v>43071</v>
      </c>
      <c r="K100" s="88">
        <v>43072</v>
      </c>
      <c r="L100" s="567" t="s">
        <v>62</v>
      </c>
      <c r="M100" s="78"/>
    </row>
    <row r="101" spans="2:15" ht="15.75" thickBot="1">
      <c r="B101" s="77"/>
      <c r="C101" s="67"/>
      <c r="D101" s="89" t="s">
        <v>2</v>
      </c>
      <c r="E101" s="90" t="s">
        <v>4</v>
      </c>
      <c r="F101" s="90" t="s">
        <v>23</v>
      </c>
      <c r="G101" s="90" t="s">
        <v>29</v>
      </c>
      <c r="H101" s="90" t="s">
        <v>30</v>
      </c>
      <c r="I101" s="90" t="s">
        <v>59</v>
      </c>
      <c r="J101" s="90" t="s">
        <v>40</v>
      </c>
      <c r="K101" s="90" t="s">
        <v>43</v>
      </c>
      <c r="L101" s="568"/>
      <c r="M101" s="78"/>
    </row>
    <row r="102" spans="2:15">
      <c r="B102" s="79"/>
      <c r="C102" s="64"/>
      <c r="D102" s="91" t="s">
        <v>58</v>
      </c>
      <c r="E102" s="92" t="s">
        <v>56</v>
      </c>
      <c r="F102" s="92" t="s">
        <v>56</v>
      </c>
      <c r="G102" s="92" t="s">
        <v>56</v>
      </c>
      <c r="H102" s="92" t="s">
        <v>56</v>
      </c>
      <c r="I102" s="92"/>
      <c r="J102" s="92"/>
      <c r="K102" s="92"/>
      <c r="L102" s="570">
        <f>SUM(E103:K103)</f>
        <v>4000000</v>
      </c>
      <c r="M102" s="80"/>
    </row>
    <row r="103" spans="2:15" ht="15.75" thickBot="1">
      <c r="B103" s="81"/>
      <c r="C103" s="38"/>
      <c r="D103" s="93" t="s">
        <v>55</v>
      </c>
      <c r="E103" s="94">
        <v>1000000</v>
      </c>
      <c r="F103" s="94">
        <v>1000000</v>
      </c>
      <c r="G103" s="94">
        <v>1000000</v>
      </c>
      <c r="H103" s="94">
        <v>1000000</v>
      </c>
      <c r="I103" s="94"/>
      <c r="J103" s="94"/>
      <c r="K103" s="94"/>
      <c r="L103" s="498"/>
      <c r="M103" s="82"/>
    </row>
    <row r="104" spans="2:15">
      <c r="B104" s="73"/>
      <c r="C104" s="2"/>
      <c r="D104" s="556" t="s">
        <v>57</v>
      </c>
      <c r="E104" s="557"/>
      <c r="F104" s="557"/>
      <c r="G104" s="557"/>
      <c r="H104" s="557"/>
      <c r="I104" s="557"/>
      <c r="J104" s="557"/>
      <c r="K104" s="557"/>
      <c r="L104" s="558"/>
      <c r="M104" s="75"/>
    </row>
    <row r="105" spans="2:15">
      <c r="B105" s="73"/>
      <c r="C105" s="2"/>
      <c r="D105" s="95" t="s">
        <v>58</v>
      </c>
      <c r="E105" s="1"/>
      <c r="F105" s="1"/>
      <c r="G105" s="1"/>
      <c r="H105" s="1"/>
      <c r="I105" s="1"/>
      <c r="J105" s="1"/>
      <c r="K105" s="1"/>
      <c r="L105" s="522">
        <f>SUM(E106:K106)</f>
        <v>0</v>
      </c>
      <c r="M105" s="75"/>
    </row>
    <row r="106" spans="2:15" ht="15.75" thickBot="1">
      <c r="B106" s="81"/>
      <c r="C106" s="38"/>
      <c r="D106" s="93" t="s">
        <v>55</v>
      </c>
      <c r="E106" s="94"/>
      <c r="F106" s="94"/>
      <c r="G106" s="94"/>
      <c r="H106" s="94"/>
      <c r="I106" s="94"/>
      <c r="J106" s="94"/>
      <c r="K106" s="94"/>
      <c r="L106" s="523"/>
      <c r="M106" s="82"/>
      <c r="O106" s="108">
        <f>SUM(E106:K106)</f>
        <v>0</v>
      </c>
    </row>
    <row r="107" spans="2:15" ht="18">
      <c r="B107" s="73"/>
      <c r="C107" s="2"/>
      <c r="D107" s="2"/>
      <c r="E107" s="4"/>
      <c r="F107" s="4"/>
      <c r="G107" s="4"/>
      <c r="H107" s="4"/>
      <c r="I107" s="4"/>
      <c r="J107" s="4"/>
      <c r="K107" s="4"/>
      <c r="L107" s="68">
        <f>SUM(L100:L106)</f>
        <v>4000000</v>
      </c>
      <c r="M107" s="75"/>
    </row>
    <row r="108" spans="2:15" ht="21">
      <c r="B108" s="73"/>
      <c r="C108" s="2"/>
      <c r="D108" s="564" t="s">
        <v>63</v>
      </c>
      <c r="E108" s="564"/>
      <c r="F108" s="4"/>
      <c r="G108" s="4"/>
      <c r="H108" s="4"/>
      <c r="I108" s="4"/>
      <c r="J108" s="4"/>
      <c r="K108" s="4"/>
      <c r="L108" s="2"/>
      <c r="M108" s="75"/>
    </row>
    <row r="109" spans="2:15" ht="15.75">
      <c r="B109" s="73"/>
      <c r="C109" s="2"/>
      <c r="D109" s="565" t="s">
        <v>64</v>
      </c>
      <c r="E109" s="565"/>
      <c r="F109" s="566">
        <f>+L98</f>
        <v>4500000</v>
      </c>
      <c r="G109" s="566"/>
      <c r="H109" s="4"/>
      <c r="I109" s="4"/>
      <c r="J109" s="4"/>
      <c r="K109" s="4"/>
      <c r="L109" s="2"/>
      <c r="M109" s="75"/>
    </row>
    <row r="110" spans="2:15" ht="15.75">
      <c r="B110" s="73"/>
      <c r="C110" s="2"/>
      <c r="D110" s="565" t="s">
        <v>65</v>
      </c>
      <c r="E110" s="565"/>
      <c r="F110" s="566">
        <f>+L107</f>
        <v>4000000</v>
      </c>
      <c r="G110" s="566"/>
      <c r="H110" s="4"/>
      <c r="I110" s="99" t="s">
        <v>76</v>
      </c>
      <c r="J110" s="100" t="s">
        <v>77</v>
      </c>
      <c r="K110" s="100" t="s">
        <v>78</v>
      </c>
      <c r="L110" s="2"/>
      <c r="M110" s="75"/>
    </row>
    <row r="111" spans="2:15" ht="18">
      <c r="B111" s="73"/>
      <c r="C111" s="2"/>
      <c r="D111" s="2"/>
      <c r="E111" s="4"/>
      <c r="F111" s="559">
        <f>+F110+F109</f>
        <v>8500000</v>
      </c>
      <c r="G111" s="559"/>
      <c r="H111" s="4"/>
      <c r="I111" s="98">
        <f>100*F111/96</f>
        <v>8854166.666666666</v>
      </c>
      <c r="J111" s="98">
        <f>4%*I111</f>
        <v>354166.66666666663</v>
      </c>
      <c r="K111" s="98">
        <f>+I111-J111</f>
        <v>8500000</v>
      </c>
      <c r="L111" s="2"/>
      <c r="M111" s="75"/>
    </row>
    <row r="112" spans="2:15" ht="15.75" thickBot="1">
      <c r="B112" s="83"/>
      <c r="C112" s="84"/>
      <c r="D112" s="84"/>
      <c r="E112" s="85"/>
      <c r="F112" s="85"/>
      <c r="G112" s="85"/>
      <c r="H112" s="85"/>
      <c r="I112" s="85"/>
      <c r="J112" s="85"/>
      <c r="K112" s="85"/>
      <c r="L112" s="84"/>
      <c r="M112" s="86"/>
    </row>
    <row r="113" spans="2:19" ht="18.75" thickTop="1" thickBot="1">
      <c r="O113" s="113">
        <f>SUM(O1:O112)</f>
        <v>800000</v>
      </c>
      <c r="S113" s="112"/>
    </row>
    <row r="114" spans="2:19" ht="15.75" thickTop="1">
      <c r="B114" s="69"/>
      <c r="C114" s="70"/>
      <c r="D114" s="70"/>
      <c r="E114" s="71"/>
      <c r="F114" s="71"/>
      <c r="G114" s="71"/>
      <c r="H114" s="71"/>
      <c r="I114" s="71"/>
      <c r="J114" s="71"/>
      <c r="K114" s="71"/>
      <c r="L114" s="70"/>
      <c r="M114" s="72"/>
    </row>
    <row r="115" spans="2:19" ht="21">
      <c r="B115" s="73"/>
      <c r="C115" s="2"/>
      <c r="D115" s="74" t="s">
        <v>74</v>
      </c>
      <c r="E115" s="4"/>
      <c r="F115" s="4"/>
      <c r="G115" s="4"/>
      <c r="H115" s="4"/>
      <c r="I115" s="4"/>
      <c r="J115" s="4"/>
      <c r="K115" s="4"/>
      <c r="L115" s="2"/>
      <c r="M115" s="75"/>
    </row>
    <row r="116" spans="2:19" ht="19.5" thickBot="1">
      <c r="B116" s="73"/>
      <c r="C116" s="2"/>
      <c r="D116" s="76" t="s">
        <v>60</v>
      </c>
      <c r="E116" s="4"/>
      <c r="F116" s="4"/>
      <c r="G116" s="4"/>
      <c r="H116" s="4"/>
      <c r="I116" s="4"/>
      <c r="J116" s="4"/>
      <c r="K116" s="4"/>
      <c r="L116" s="2"/>
      <c r="M116" s="75"/>
    </row>
    <row r="117" spans="2:19">
      <c r="B117" s="77"/>
      <c r="C117" s="67"/>
      <c r="D117" s="87" t="s">
        <v>3</v>
      </c>
      <c r="E117" s="88">
        <v>43073</v>
      </c>
      <c r="F117" s="88">
        <v>43074</v>
      </c>
      <c r="G117" s="88">
        <v>43075</v>
      </c>
      <c r="H117" s="88">
        <v>43076</v>
      </c>
      <c r="I117" s="88">
        <v>43077</v>
      </c>
      <c r="J117" s="88">
        <v>43078</v>
      </c>
      <c r="K117" s="88">
        <v>43079</v>
      </c>
      <c r="L117" s="567" t="s">
        <v>62</v>
      </c>
      <c r="M117" s="78"/>
    </row>
    <row r="118" spans="2:19" ht="15.75" thickBot="1">
      <c r="B118" s="77"/>
      <c r="C118" s="67"/>
      <c r="D118" s="89" t="s">
        <v>2</v>
      </c>
      <c r="E118" s="90" t="s">
        <v>4</v>
      </c>
      <c r="F118" s="90" t="s">
        <v>23</v>
      </c>
      <c r="G118" s="90" t="s">
        <v>29</v>
      </c>
      <c r="H118" s="90" t="s">
        <v>30</v>
      </c>
      <c r="I118" s="90" t="s">
        <v>59</v>
      </c>
      <c r="J118" s="90" t="s">
        <v>40</v>
      </c>
      <c r="K118" s="90" t="s">
        <v>43</v>
      </c>
      <c r="L118" s="568"/>
      <c r="M118" s="78"/>
    </row>
    <row r="119" spans="2:19">
      <c r="B119" s="79"/>
      <c r="C119" s="569" t="s">
        <v>70</v>
      </c>
      <c r="D119" s="91" t="s">
        <v>58</v>
      </c>
      <c r="E119" s="92" t="s">
        <v>56</v>
      </c>
      <c r="F119" s="92" t="s">
        <v>56</v>
      </c>
      <c r="G119" s="92" t="s">
        <v>56</v>
      </c>
      <c r="H119" s="92" t="s">
        <v>56</v>
      </c>
      <c r="I119" s="92" t="s">
        <v>75</v>
      </c>
      <c r="J119" s="92"/>
      <c r="K119" s="92"/>
      <c r="L119" s="570">
        <f>SUM(E120:K120)</f>
        <v>5000000</v>
      </c>
      <c r="M119" s="80"/>
    </row>
    <row r="120" spans="2:19" ht="15.75" thickBot="1">
      <c r="B120" s="81"/>
      <c r="C120" s="569"/>
      <c r="D120" s="93" t="s">
        <v>55</v>
      </c>
      <c r="E120" s="94">
        <v>1000000</v>
      </c>
      <c r="F120" s="94">
        <v>1000000</v>
      </c>
      <c r="G120" s="94">
        <v>1000000</v>
      </c>
      <c r="H120" s="94">
        <v>1000000</v>
      </c>
      <c r="I120" s="94">
        <v>1000000</v>
      </c>
      <c r="J120" s="94"/>
      <c r="K120" s="94"/>
      <c r="L120" s="498"/>
      <c r="M120" s="82"/>
    </row>
    <row r="121" spans="2:19">
      <c r="B121" s="79"/>
      <c r="C121" s="569" t="s">
        <v>71</v>
      </c>
      <c r="D121" s="91" t="s">
        <v>58</v>
      </c>
      <c r="E121" s="92"/>
      <c r="F121" s="92"/>
      <c r="G121" s="92"/>
      <c r="H121" s="92"/>
      <c r="I121" s="92" t="s">
        <v>79</v>
      </c>
      <c r="J121" s="92"/>
      <c r="K121" s="92"/>
      <c r="L121" s="570">
        <f>SUM(E122:K122)</f>
        <v>400000</v>
      </c>
      <c r="M121" s="80"/>
    </row>
    <row r="122" spans="2:19" ht="15.75" thickBot="1">
      <c r="B122" s="81"/>
      <c r="C122" s="569"/>
      <c r="D122" s="93" t="s">
        <v>55</v>
      </c>
      <c r="E122" s="94"/>
      <c r="F122" s="94"/>
      <c r="G122" s="94"/>
      <c r="H122" s="94"/>
      <c r="I122" s="94">
        <v>400000</v>
      </c>
      <c r="J122" s="94"/>
      <c r="K122" s="94"/>
      <c r="L122" s="498"/>
      <c r="M122" s="82"/>
      <c r="O122" s="108">
        <f>SUM(E122:K122)</f>
        <v>400000</v>
      </c>
    </row>
    <row r="123" spans="2:19">
      <c r="B123" s="73"/>
      <c r="C123" s="2"/>
      <c r="D123" s="556" t="s">
        <v>57</v>
      </c>
      <c r="E123" s="557"/>
      <c r="F123" s="557"/>
      <c r="G123" s="557"/>
      <c r="H123" s="557"/>
      <c r="I123" s="557"/>
      <c r="J123" s="557"/>
      <c r="K123" s="557"/>
      <c r="L123" s="558"/>
      <c r="M123" s="75"/>
    </row>
    <row r="124" spans="2:19">
      <c r="B124" s="73"/>
      <c r="C124" s="562" t="s">
        <v>11</v>
      </c>
      <c r="D124" s="103" t="s">
        <v>58</v>
      </c>
      <c r="E124" s="1"/>
      <c r="F124" s="1"/>
      <c r="G124" s="1"/>
      <c r="H124" s="1"/>
      <c r="I124" s="1"/>
      <c r="J124" s="1"/>
      <c r="K124" s="1"/>
      <c r="L124" s="522">
        <f>SUM(E125:K125)</f>
        <v>0</v>
      </c>
      <c r="M124" s="75"/>
    </row>
    <row r="125" spans="2:19" ht="15.75" thickBot="1">
      <c r="B125" s="73"/>
      <c r="C125" s="563"/>
      <c r="D125" s="104" t="s">
        <v>55</v>
      </c>
      <c r="E125" s="94"/>
      <c r="F125" s="94"/>
      <c r="G125" s="94"/>
      <c r="H125" s="94"/>
      <c r="I125" s="94"/>
      <c r="J125" s="94"/>
      <c r="K125" s="94"/>
      <c r="L125" s="523"/>
      <c r="M125" s="75"/>
    </row>
    <row r="126" spans="2:19" ht="17.25">
      <c r="B126" s="73"/>
      <c r="C126" s="2"/>
      <c r="D126" s="2"/>
      <c r="E126" s="4"/>
      <c r="F126" s="4"/>
      <c r="G126" s="4"/>
      <c r="H126" s="4"/>
      <c r="I126" s="4"/>
      <c r="J126" s="4"/>
      <c r="K126" s="4"/>
      <c r="L126" s="97">
        <f>SUM(L119:L125)</f>
        <v>5400000</v>
      </c>
      <c r="M126" s="75"/>
    </row>
    <row r="127" spans="2:19" ht="19.5" thickBot="1">
      <c r="B127" s="73"/>
      <c r="C127" s="2"/>
      <c r="D127" s="76" t="s">
        <v>61</v>
      </c>
      <c r="E127" s="4"/>
      <c r="F127" s="4"/>
      <c r="G127" s="4"/>
      <c r="H127" s="4"/>
      <c r="I127" s="4"/>
      <c r="J127" s="4"/>
      <c r="K127" s="4"/>
      <c r="L127" s="2"/>
      <c r="M127" s="75"/>
    </row>
    <row r="128" spans="2:19">
      <c r="B128" s="77"/>
      <c r="C128" s="67"/>
      <c r="D128" s="87" t="s">
        <v>3</v>
      </c>
      <c r="E128" s="88">
        <v>43073</v>
      </c>
      <c r="F128" s="88">
        <v>43074</v>
      </c>
      <c r="G128" s="88">
        <v>43075</v>
      </c>
      <c r="H128" s="88">
        <v>43076</v>
      </c>
      <c r="I128" s="88">
        <v>43077</v>
      </c>
      <c r="J128" s="88">
        <v>43078</v>
      </c>
      <c r="K128" s="88">
        <v>43079</v>
      </c>
      <c r="L128" s="567" t="s">
        <v>62</v>
      </c>
      <c r="M128" s="78"/>
    </row>
    <row r="129" spans="2:15" ht="15.75" thickBot="1">
      <c r="B129" s="77"/>
      <c r="C129" s="67"/>
      <c r="D129" s="89" t="s">
        <v>2</v>
      </c>
      <c r="E129" s="90" t="s">
        <v>4</v>
      </c>
      <c r="F129" s="90" t="s">
        <v>23</v>
      </c>
      <c r="G129" s="90" t="s">
        <v>29</v>
      </c>
      <c r="H129" s="90" t="s">
        <v>30</v>
      </c>
      <c r="I129" s="90" t="s">
        <v>59</v>
      </c>
      <c r="J129" s="90" t="s">
        <v>40</v>
      </c>
      <c r="K129" s="90" t="s">
        <v>43</v>
      </c>
      <c r="L129" s="568"/>
      <c r="M129" s="78"/>
    </row>
    <row r="130" spans="2:15">
      <c r="B130" s="79"/>
      <c r="C130" s="560" t="s">
        <v>70</v>
      </c>
      <c r="D130" s="101" t="s">
        <v>58</v>
      </c>
      <c r="E130" s="92" t="s">
        <v>56</v>
      </c>
      <c r="F130" s="92" t="s">
        <v>56</v>
      </c>
      <c r="G130" s="92" t="s">
        <v>56</v>
      </c>
      <c r="H130" s="92" t="s">
        <v>56</v>
      </c>
      <c r="I130" s="92" t="s">
        <v>56</v>
      </c>
      <c r="J130" s="92"/>
      <c r="K130" s="92"/>
      <c r="L130" s="570">
        <f>SUM(E131:K131)</f>
        <v>5000000</v>
      </c>
      <c r="M130" s="80"/>
    </row>
    <row r="131" spans="2:15" ht="15.75" thickBot="1">
      <c r="B131" s="81"/>
      <c r="C131" s="561"/>
      <c r="D131" s="102" t="s">
        <v>55</v>
      </c>
      <c r="E131" s="94">
        <v>1000000</v>
      </c>
      <c r="F131" s="94">
        <v>1000000</v>
      </c>
      <c r="G131" s="94">
        <v>1000000</v>
      </c>
      <c r="H131" s="94">
        <v>1000000</v>
      </c>
      <c r="I131" s="94">
        <v>1000000</v>
      </c>
      <c r="J131" s="94"/>
      <c r="K131" s="94"/>
      <c r="L131" s="498"/>
      <c r="M131" s="82"/>
    </row>
    <row r="132" spans="2:15">
      <c r="B132" s="73"/>
      <c r="C132" s="2"/>
      <c r="D132" s="556" t="s">
        <v>57</v>
      </c>
      <c r="E132" s="557"/>
      <c r="F132" s="557"/>
      <c r="G132" s="557"/>
      <c r="H132" s="557"/>
      <c r="I132" s="557"/>
      <c r="J132" s="557"/>
      <c r="K132" s="557"/>
      <c r="L132" s="558"/>
      <c r="M132" s="75"/>
    </row>
    <row r="133" spans="2:15">
      <c r="B133" s="73"/>
      <c r="C133" s="562" t="s">
        <v>11</v>
      </c>
      <c r="D133" s="103" t="s">
        <v>58</v>
      </c>
      <c r="E133" s="1"/>
      <c r="F133" s="1"/>
      <c r="G133" s="1"/>
      <c r="H133" s="1"/>
      <c r="I133" s="1"/>
      <c r="J133" s="1"/>
      <c r="K133" s="1"/>
      <c r="L133" s="522">
        <f>SUM(E134:K134)</f>
        <v>0</v>
      </c>
      <c r="M133" s="75"/>
    </row>
    <row r="134" spans="2:15" ht="15.75" thickBot="1">
      <c r="B134" s="81"/>
      <c r="C134" s="563"/>
      <c r="D134" s="102" t="s">
        <v>55</v>
      </c>
      <c r="E134" s="94"/>
      <c r="F134" s="94"/>
      <c r="G134" s="94"/>
      <c r="H134" s="94"/>
      <c r="I134" s="94"/>
      <c r="J134" s="94"/>
      <c r="K134" s="94"/>
      <c r="L134" s="523"/>
      <c r="M134" s="82"/>
      <c r="O134" s="108">
        <f>SUM(E134:K134)</f>
        <v>0</v>
      </c>
    </row>
    <row r="135" spans="2:15" ht="18">
      <c r="B135" s="73"/>
      <c r="C135" s="2"/>
      <c r="D135" s="2"/>
      <c r="E135" s="4"/>
      <c r="F135" s="4"/>
      <c r="G135" s="4"/>
      <c r="H135" s="4"/>
      <c r="I135" s="4"/>
      <c r="J135" s="4"/>
      <c r="K135" s="4"/>
      <c r="L135" s="68">
        <f>SUM(L128:L134)</f>
        <v>5000000</v>
      </c>
      <c r="M135" s="75"/>
    </row>
    <row r="136" spans="2:15" ht="21">
      <c r="B136" s="73"/>
      <c r="C136" s="2"/>
      <c r="D136" s="564" t="s">
        <v>63</v>
      </c>
      <c r="E136" s="564"/>
      <c r="F136" s="4"/>
      <c r="G136" s="4"/>
      <c r="H136" s="4"/>
      <c r="I136" s="4"/>
      <c r="J136" s="4"/>
      <c r="K136" s="4"/>
      <c r="L136" s="2"/>
      <c r="M136" s="75"/>
    </row>
    <row r="137" spans="2:15" ht="15.75">
      <c r="B137" s="73"/>
      <c r="C137" s="2"/>
      <c r="D137" s="565" t="s">
        <v>64</v>
      </c>
      <c r="E137" s="565"/>
      <c r="F137" s="566">
        <f>+L126</f>
        <v>5400000</v>
      </c>
      <c r="G137" s="566"/>
      <c r="H137" s="4"/>
      <c r="I137" s="4"/>
      <c r="J137" s="4"/>
      <c r="K137" s="4"/>
      <c r="L137" s="2"/>
      <c r="M137" s="75"/>
    </row>
    <row r="138" spans="2:15" ht="15.75">
      <c r="B138" s="73"/>
      <c r="C138" s="2"/>
      <c r="D138" s="565" t="s">
        <v>65</v>
      </c>
      <c r="E138" s="565"/>
      <c r="F138" s="566">
        <f>+L135</f>
        <v>5000000</v>
      </c>
      <c r="G138" s="566"/>
      <c r="H138" s="4"/>
      <c r="I138" s="99" t="s">
        <v>76</v>
      </c>
      <c r="J138" s="100" t="s">
        <v>77</v>
      </c>
      <c r="K138" s="100" t="s">
        <v>78</v>
      </c>
      <c r="L138" s="2"/>
      <c r="M138" s="75"/>
    </row>
    <row r="139" spans="2:15" ht="18">
      <c r="B139" s="73"/>
      <c r="C139" s="2"/>
      <c r="D139" s="2"/>
      <c r="E139" s="4"/>
      <c r="F139" s="559">
        <f>+F138+F137</f>
        <v>10400000</v>
      </c>
      <c r="G139" s="559"/>
      <c r="H139" s="4"/>
      <c r="I139" s="105">
        <f>100*F139/96</f>
        <v>10833333.333333334</v>
      </c>
      <c r="J139" s="105">
        <f>4%*I139</f>
        <v>433333.33333333337</v>
      </c>
      <c r="K139" s="105">
        <f>+I139-J139</f>
        <v>10400000</v>
      </c>
      <c r="L139" s="2"/>
      <c r="M139" s="75"/>
    </row>
    <row r="140" spans="2:15" ht="15.75" thickBot="1">
      <c r="B140" s="83"/>
      <c r="C140" s="84"/>
      <c r="D140" s="84"/>
      <c r="E140" s="85"/>
      <c r="F140" s="85"/>
      <c r="G140" s="85"/>
      <c r="H140" s="85"/>
      <c r="I140" s="85"/>
      <c r="J140" s="85"/>
      <c r="K140" s="85"/>
      <c r="L140" s="84"/>
      <c r="M140" s="86"/>
    </row>
    <row r="141" spans="2:15" ht="16.5" thickTop="1" thickBot="1"/>
    <row r="142" spans="2:15" ht="15.75" thickTop="1">
      <c r="B142" s="69"/>
      <c r="C142" s="70"/>
      <c r="D142" s="70"/>
      <c r="E142" s="71"/>
      <c r="F142" s="71"/>
      <c r="G142" s="71"/>
      <c r="H142" s="71"/>
      <c r="I142" s="71"/>
      <c r="J142" s="71"/>
      <c r="K142" s="71"/>
      <c r="L142" s="70"/>
      <c r="M142" s="72"/>
    </row>
    <row r="143" spans="2:15" ht="21">
      <c r="B143" s="73"/>
      <c r="C143" s="2"/>
      <c r="D143" s="74" t="s">
        <v>80</v>
      </c>
      <c r="E143" s="4"/>
      <c r="F143" s="4"/>
      <c r="G143" s="4"/>
      <c r="H143" s="4"/>
      <c r="I143" s="4"/>
      <c r="J143" s="4"/>
      <c r="K143" s="4"/>
      <c r="L143" s="2"/>
      <c r="M143" s="75"/>
    </row>
    <row r="144" spans="2:15" ht="19.5" thickBot="1">
      <c r="B144" s="73"/>
      <c r="C144" s="2"/>
      <c r="D144" s="76" t="s">
        <v>60</v>
      </c>
      <c r="E144" s="4"/>
      <c r="F144" s="4"/>
      <c r="G144" s="4"/>
      <c r="H144" s="4"/>
      <c r="I144" s="4"/>
      <c r="J144" s="4"/>
      <c r="K144" s="4"/>
      <c r="L144" s="2"/>
      <c r="M144" s="75"/>
    </row>
    <row r="145" spans="2:15">
      <c r="B145" s="77"/>
      <c r="C145" s="67"/>
      <c r="D145" s="87" t="s">
        <v>3</v>
      </c>
      <c r="E145" s="88">
        <v>43080</v>
      </c>
      <c r="F145" s="88">
        <v>43081</v>
      </c>
      <c r="G145" s="88">
        <v>43082</v>
      </c>
      <c r="H145" s="88">
        <v>43083</v>
      </c>
      <c r="I145" s="88">
        <v>43084</v>
      </c>
      <c r="J145" s="88">
        <v>43085</v>
      </c>
      <c r="K145" s="88">
        <v>43086</v>
      </c>
      <c r="L145" s="567" t="s">
        <v>62</v>
      </c>
      <c r="M145" s="78"/>
    </row>
    <row r="146" spans="2:15" ht="15.75" thickBot="1">
      <c r="B146" s="77"/>
      <c r="C146" s="67"/>
      <c r="D146" s="89" t="s">
        <v>2</v>
      </c>
      <c r="E146" s="90" t="s">
        <v>4</v>
      </c>
      <c r="F146" s="90" t="s">
        <v>23</v>
      </c>
      <c r="G146" s="90" t="s">
        <v>29</v>
      </c>
      <c r="H146" s="90" t="s">
        <v>30</v>
      </c>
      <c r="I146" s="90" t="s">
        <v>59</v>
      </c>
      <c r="J146" s="90" t="s">
        <v>40</v>
      </c>
      <c r="K146" s="90" t="s">
        <v>43</v>
      </c>
      <c r="L146" s="568"/>
      <c r="M146" s="78"/>
    </row>
    <row r="147" spans="2:15">
      <c r="B147" s="79"/>
      <c r="C147" s="569" t="s">
        <v>70</v>
      </c>
      <c r="D147" s="91" t="s">
        <v>58</v>
      </c>
      <c r="E147" s="92" t="s">
        <v>56</v>
      </c>
      <c r="F147" s="92" t="s">
        <v>81</v>
      </c>
      <c r="G147" s="92" t="s">
        <v>81</v>
      </c>
      <c r="H147" s="92" t="s">
        <v>81</v>
      </c>
      <c r="I147" s="92" t="s">
        <v>81</v>
      </c>
      <c r="J147" s="92"/>
      <c r="K147" s="92"/>
      <c r="L147" s="570">
        <f>SUM(E148:K148)</f>
        <v>5500000</v>
      </c>
      <c r="M147" s="80"/>
    </row>
    <row r="148" spans="2:15" ht="15.75" thickBot="1">
      <c r="B148" s="81"/>
      <c r="C148" s="569"/>
      <c r="D148" s="93" t="s">
        <v>55</v>
      </c>
      <c r="E148" s="94">
        <v>1500000</v>
      </c>
      <c r="F148" s="94">
        <v>1000000</v>
      </c>
      <c r="G148" s="94">
        <v>1000000</v>
      </c>
      <c r="H148" s="94">
        <v>1000000</v>
      </c>
      <c r="I148" s="94">
        <v>1000000</v>
      </c>
      <c r="J148" s="94"/>
      <c r="K148" s="94"/>
      <c r="L148" s="498"/>
      <c r="M148" s="82"/>
    </row>
    <row r="149" spans="2:15">
      <c r="B149" s="79"/>
      <c r="C149" s="569" t="s">
        <v>71</v>
      </c>
      <c r="D149" s="91" t="s">
        <v>58</v>
      </c>
      <c r="E149" s="92"/>
      <c r="F149" s="92" t="s">
        <v>37</v>
      </c>
      <c r="G149" s="92"/>
      <c r="H149" s="92"/>
      <c r="I149" s="92"/>
      <c r="J149" s="92"/>
      <c r="K149" s="92"/>
      <c r="L149" s="570">
        <f>SUM(E150:K150)</f>
        <v>300000</v>
      </c>
      <c r="M149" s="80"/>
    </row>
    <row r="150" spans="2:15" ht="15.75" thickBot="1">
      <c r="B150" s="81"/>
      <c r="C150" s="569"/>
      <c r="D150" s="93" t="s">
        <v>55</v>
      </c>
      <c r="E150" s="94"/>
      <c r="F150" s="94">
        <v>300000</v>
      </c>
      <c r="G150" s="94"/>
      <c r="H150" s="94"/>
      <c r="I150" s="94"/>
      <c r="J150" s="94"/>
      <c r="K150" s="94"/>
      <c r="L150" s="498"/>
      <c r="M150" s="82"/>
      <c r="O150" s="108"/>
    </row>
    <row r="151" spans="2:15">
      <c r="B151" s="73"/>
      <c r="C151" s="2"/>
      <c r="D151" s="556" t="s">
        <v>57</v>
      </c>
      <c r="E151" s="557"/>
      <c r="F151" s="557"/>
      <c r="G151" s="557"/>
      <c r="H151" s="557"/>
      <c r="I151" s="557"/>
      <c r="J151" s="557"/>
      <c r="K151" s="557"/>
      <c r="L151" s="558"/>
      <c r="M151" s="75"/>
    </row>
    <row r="152" spans="2:15">
      <c r="B152" s="73"/>
      <c r="C152" s="562" t="s">
        <v>11</v>
      </c>
      <c r="D152" s="103" t="s">
        <v>58</v>
      </c>
      <c r="E152" s="1"/>
      <c r="F152" s="1"/>
      <c r="G152" s="1"/>
      <c r="H152" s="1"/>
      <c r="I152" s="1"/>
      <c r="J152" s="1"/>
      <c r="K152" s="1"/>
      <c r="L152" s="522">
        <f>SUM(E153:K153)</f>
        <v>0</v>
      </c>
      <c r="M152" s="75"/>
    </row>
    <row r="153" spans="2:15" ht="15.75" thickBot="1">
      <c r="B153" s="73"/>
      <c r="C153" s="563"/>
      <c r="D153" s="104" t="s">
        <v>55</v>
      </c>
      <c r="E153" s="94"/>
      <c r="F153" s="94"/>
      <c r="G153" s="94"/>
      <c r="H153" s="94"/>
      <c r="I153" s="94"/>
      <c r="J153" s="94"/>
      <c r="K153" s="94"/>
      <c r="L153" s="523"/>
      <c r="M153" s="75"/>
      <c r="O153" s="108">
        <f>SUM(E153:K153)</f>
        <v>0</v>
      </c>
    </row>
    <row r="154" spans="2:15" ht="17.25">
      <c r="B154" s="73"/>
      <c r="C154" s="2"/>
      <c r="D154" s="2"/>
      <c r="E154" s="4"/>
      <c r="F154" s="4"/>
      <c r="G154" s="4"/>
      <c r="H154" s="4"/>
      <c r="I154" s="4"/>
      <c r="J154" s="4"/>
      <c r="K154" s="4"/>
      <c r="L154" s="97">
        <f>SUM(L147:L153)</f>
        <v>5800000</v>
      </c>
      <c r="M154" s="75"/>
    </row>
    <row r="155" spans="2:15" ht="19.5" thickBot="1">
      <c r="B155" s="73"/>
      <c r="C155" s="2"/>
      <c r="D155" s="76" t="s">
        <v>61</v>
      </c>
      <c r="E155" s="4"/>
      <c r="F155" s="4"/>
      <c r="G155" s="4"/>
      <c r="H155" s="4"/>
      <c r="I155" s="4"/>
      <c r="J155" s="4"/>
      <c r="K155" s="4"/>
      <c r="L155" s="2"/>
      <c r="M155" s="75"/>
    </row>
    <row r="156" spans="2:15">
      <c r="B156" s="77"/>
      <c r="C156" s="67"/>
      <c r="D156" s="87" t="s">
        <v>3</v>
      </c>
      <c r="E156" s="88">
        <v>43080</v>
      </c>
      <c r="F156" s="88">
        <v>43081</v>
      </c>
      <c r="G156" s="88">
        <v>43082</v>
      </c>
      <c r="H156" s="88">
        <v>43083</v>
      </c>
      <c r="I156" s="88">
        <v>43084</v>
      </c>
      <c r="J156" s="88">
        <v>43085</v>
      </c>
      <c r="K156" s="88">
        <v>43086</v>
      </c>
      <c r="L156" s="567" t="s">
        <v>62</v>
      </c>
      <c r="M156" s="78"/>
    </row>
    <row r="157" spans="2:15" ht="15.75" thickBot="1">
      <c r="B157" s="77"/>
      <c r="C157" s="67"/>
      <c r="D157" s="89" t="s">
        <v>2</v>
      </c>
      <c r="E157" s="90" t="s">
        <v>4</v>
      </c>
      <c r="F157" s="90" t="s">
        <v>23</v>
      </c>
      <c r="G157" s="90" t="s">
        <v>29</v>
      </c>
      <c r="H157" s="90" t="s">
        <v>30</v>
      </c>
      <c r="I157" s="90" t="s">
        <v>59</v>
      </c>
      <c r="J157" s="90" t="s">
        <v>40</v>
      </c>
      <c r="K157" s="90" t="s">
        <v>43</v>
      </c>
      <c r="L157" s="568"/>
      <c r="M157" s="78"/>
    </row>
    <row r="158" spans="2:15">
      <c r="B158" s="79"/>
      <c r="C158" s="560" t="s">
        <v>70</v>
      </c>
      <c r="D158" s="101" t="s">
        <v>58</v>
      </c>
      <c r="E158" s="92" t="s">
        <v>81</v>
      </c>
      <c r="F158" s="92" t="s">
        <v>81</v>
      </c>
      <c r="G158" s="92" t="s">
        <v>81</v>
      </c>
      <c r="H158" s="92" t="s">
        <v>81</v>
      </c>
      <c r="I158" s="92" t="s">
        <v>81</v>
      </c>
      <c r="J158" s="92"/>
      <c r="K158" s="92"/>
      <c r="L158" s="570">
        <f>SUM(E159:K159)</f>
        <v>5000000</v>
      </c>
      <c r="M158" s="80"/>
    </row>
    <row r="159" spans="2:15" ht="15.75" thickBot="1">
      <c r="B159" s="81"/>
      <c r="C159" s="561"/>
      <c r="D159" s="102" t="s">
        <v>55</v>
      </c>
      <c r="E159" s="94">
        <v>1000000</v>
      </c>
      <c r="F159" s="94">
        <v>1000000</v>
      </c>
      <c r="G159" s="94">
        <v>1000000</v>
      </c>
      <c r="H159" s="94">
        <v>1000000</v>
      </c>
      <c r="I159" s="94">
        <v>1000000</v>
      </c>
      <c r="J159" s="94"/>
      <c r="K159" s="94"/>
      <c r="L159" s="498"/>
      <c r="M159" s="82"/>
    </row>
    <row r="160" spans="2:15">
      <c r="B160" s="73"/>
      <c r="C160" s="2"/>
      <c r="D160" s="556" t="s">
        <v>57</v>
      </c>
      <c r="E160" s="557"/>
      <c r="F160" s="557"/>
      <c r="G160" s="557"/>
      <c r="H160" s="557"/>
      <c r="I160" s="557"/>
      <c r="J160" s="557"/>
      <c r="K160" s="557"/>
      <c r="L160" s="558"/>
      <c r="M160" s="75"/>
    </row>
    <row r="161" spans="2:15">
      <c r="B161" s="73"/>
      <c r="C161" s="562" t="s">
        <v>11</v>
      </c>
      <c r="D161" s="103" t="s">
        <v>58</v>
      </c>
      <c r="E161" s="1"/>
      <c r="F161" s="1"/>
      <c r="G161" s="1"/>
      <c r="H161" s="1"/>
      <c r="I161" s="1"/>
      <c r="J161" s="1"/>
      <c r="K161" s="1"/>
      <c r="L161" s="522">
        <f>SUM(E162:K162)</f>
        <v>0</v>
      </c>
      <c r="M161" s="75"/>
    </row>
    <row r="162" spans="2:15" ht="15.75" thickBot="1">
      <c r="B162" s="81"/>
      <c r="C162" s="563"/>
      <c r="D162" s="102" t="s">
        <v>55</v>
      </c>
      <c r="E162" s="94"/>
      <c r="F162" s="94"/>
      <c r="G162" s="94"/>
      <c r="H162" s="94"/>
      <c r="I162" s="94"/>
      <c r="J162" s="94"/>
      <c r="K162" s="94"/>
      <c r="L162" s="523"/>
      <c r="M162" s="82"/>
      <c r="O162" s="108">
        <f>SUM(E162:K162)</f>
        <v>0</v>
      </c>
    </row>
    <row r="163" spans="2:15" ht="18">
      <c r="B163" s="73"/>
      <c r="C163" s="2"/>
      <c r="D163" s="2"/>
      <c r="E163" s="4"/>
      <c r="F163" s="4"/>
      <c r="G163" s="4"/>
      <c r="H163" s="4"/>
      <c r="I163" s="4"/>
      <c r="J163" s="4"/>
      <c r="K163" s="4"/>
      <c r="L163" s="68">
        <f>SUM(L156:L162)</f>
        <v>5000000</v>
      </c>
      <c r="M163" s="75"/>
    </row>
    <row r="164" spans="2:15" ht="21">
      <c r="B164" s="73"/>
      <c r="C164" s="2"/>
      <c r="D164" s="564" t="s">
        <v>63</v>
      </c>
      <c r="E164" s="564"/>
      <c r="F164" s="4"/>
      <c r="G164" s="4"/>
      <c r="H164" s="4"/>
      <c r="I164" s="4"/>
      <c r="J164" s="4"/>
      <c r="K164" s="4"/>
      <c r="L164" s="2"/>
      <c r="M164" s="75"/>
    </row>
    <row r="165" spans="2:15" ht="15.75">
      <c r="B165" s="73"/>
      <c r="C165" s="2"/>
      <c r="D165" s="565" t="s">
        <v>64</v>
      </c>
      <c r="E165" s="565"/>
      <c r="F165" s="566">
        <f>+L154</f>
        <v>5800000</v>
      </c>
      <c r="G165" s="566"/>
      <c r="H165" s="4"/>
      <c r="I165" s="4"/>
      <c r="J165" s="4"/>
      <c r="K165" s="4"/>
      <c r="L165" s="2"/>
      <c r="M165" s="75"/>
    </row>
    <row r="166" spans="2:15" ht="15.75">
      <c r="B166" s="73"/>
      <c r="C166" s="2"/>
      <c r="D166" s="565" t="s">
        <v>65</v>
      </c>
      <c r="E166" s="565"/>
      <c r="F166" s="566">
        <f>+L163</f>
        <v>5000000</v>
      </c>
      <c r="G166" s="566"/>
      <c r="H166" s="4"/>
      <c r="I166" s="99" t="s">
        <v>76</v>
      </c>
      <c r="J166" s="100" t="s">
        <v>77</v>
      </c>
      <c r="K166" s="100" t="s">
        <v>78</v>
      </c>
      <c r="L166" s="2"/>
      <c r="M166" s="75"/>
    </row>
    <row r="167" spans="2:15" ht="18">
      <c r="B167" s="73"/>
      <c r="C167" s="2"/>
      <c r="D167" s="2"/>
      <c r="E167" s="4"/>
      <c r="F167" s="559">
        <f>+F166+F165</f>
        <v>10800000</v>
      </c>
      <c r="G167" s="559"/>
      <c r="H167" s="4"/>
      <c r="I167" s="105">
        <f>100*F167/96</f>
        <v>11250000</v>
      </c>
      <c r="J167" s="105">
        <f>4%*I167</f>
        <v>450000</v>
      </c>
      <c r="K167" s="105">
        <f>+I167-J167</f>
        <v>10800000</v>
      </c>
      <c r="L167" s="2"/>
      <c r="M167" s="75"/>
    </row>
    <row r="168" spans="2:15" ht="15.75" thickBot="1">
      <c r="B168" s="83"/>
      <c r="C168" s="84"/>
      <c r="D168" s="84"/>
      <c r="E168" s="85"/>
      <c r="F168" s="85"/>
      <c r="G168" s="85"/>
      <c r="H168" s="85"/>
      <c r="I168" s="85"/>
      <c r="J168" s="85"/>
      <c r="K168" s="85"/>
      <c r="L168" s="84"/>
      <c r="M168" s="86"/>
    </row>
    <row r="169" spans="2:15" ht="16.5" thickTop="1" thickBot="1"/>
    <row r="170" spans="2:15" ht="15.75" thickTop="1">
      <c r="B170" s="69"/>
      <c r="C170" s="70"/>
      <c r="D170" s="70"/>
      <c r="E170" s="71"/>
      <c r="F170" s="71"/>
      <c r="G170" s="71"/>
      <c r="H170" s="71"/>
      <c r="I170" s="71"/>
      <c r="J170" s="71"/>
      <c r="K170" s="71"/>
      <c r="L170" s="70"/>
      <c r="M170" s="72"/>
    </row>
    <row r="171" spans="2:15" ht="21">
      <c r="B171" s="73"/>
      <c r="C171" s="2"/>
      <c r="D171" s="74" t="s">
        <v>82</v>
      </c>
      <c r="E171" s="4"/>
      <c r="F171" s="4"/>
      <c r="G171" s="4"/>
      <c r="H171" s="4"/>
      <c r="I171" s="4"/>
      <c r="J171" s="4"/>
      <c r="K171" s="4"/>
      <c r="L171" s="2"/>
      <c r="M171" s="75"/>
    </row>
    <row r="172" spans="2:15" ht="19.5" thickBot="1">
      <c r="B172" s="73"/>
      <c r="C172" s="2"/>
      <c r="D172" s="76" t="s">
        <v>60</v>
      </c>
      <c r="E172" s="4"/>
      <c r="F172" s="4"/>
      <c r="G172" s="4"/>
      <c r="H172" s="4"/>
      <c r="I172" s="4"/>
      <c r="J172" s="4"/>
      <c r="K172" s="4"/>
      <c r="L172" s="2"/>
      <c r="M172" s="75"/>
    </row>
    <row r="173" spans="2:15">
      <c r="B173" s="77"/>
      <c r="C173" s="67"/>
      <c r="D173" s="87" t="s">
        <v>3</v>
      </c>
      <c r="E173" s="88">
        <v>43087</v>
      </c>
      <c r="F173" s="88">
        <v>43088</v>
      </c>
      <c r="G173" s="88">
        <v>43089</v>
      </c>
      <c r="H173" s="88">
        <v>43090</v>
      </c>
      <c r="I173" s="88">
        <v>43091</v>
      </c>
      <c r="J173" s="88">
        <v>43092</v>
      </c>
      <c r="K173" s="88">
        <v>43093</v>
      </c>
      <c r="L173" s="567" t="s">
        <v>62</v>
      </c>
      <c r="M173" s="78"/>
    </row>
    <row r="174" spans="2:15" ht="15.75" thickBot="1">
      <c r="B174" s="77"/>
      <c r="C174" s="67"/>
      <c r="D174" s="89" t="s">
        <v>2</v>
      </c>
      <c r="E174" s="90" t="s">
        <v>4</v>
      </c>
      <c r="F174" s="90" t="s">
        <v>23</v>
      </c>
      <c r="G174" s="90" t="s">
        <v>29</v>
      </c>
      <c r="H174" s="90" t="s">
        <v>30</v>
      </c>
      <c r="I174" s="90" t="s">
        <v>59</v>
      </c>
      <c r="J174" s="90" t="s">
        <v>40</v>
      </c>
      <c r="K174" s="90" t="s">
        <v>43</v>
      </c>
      <c r="L174" s="568"/>
      <c r="M174" s="78"/>
    </row>
    <row r="175" spans="2:15">
      <c r="B175" s="79"/>
      <c r="C175" s="569" t="s">
        <v>70</v>
      </c>
      <c r="D175" s="91" t="s">
        <v>58</v>
      </c>
      <c r="E175" s="92" t="s">
        <v>81</v>
      </c>
      <c r="F175" s="92" t="s">
        <v>81</v>
      </c>
      <c r="G175" s="92" t="s">
        <v>81</v>
      </c>
      <c r="H175" s="92" t="s">
        <v>81</v>
      </c>
      <c r="I175" s="92" t="s">
        <v>81</v>
      </c>
      <c r="J175" s="92"/>
      <c r="K175" s="92"/>
      <c r="L175" s="570">
        <f>SUM(E176:K176)</f>
        <v>5000000</v>
      </c>
      <c r="M175" s="80"/>
    </row>
    <row r="176" spans="2:15" ht="15.75" thickBot="1">
      <c r="B176" s="81"/>
      <c r="C176" s="569"/>
      <c r="D176" s="93" t="s">
        <v>55</v>
      </c>
      <c r="E176" s="94">
        <v>1000000</v>
      </c>
      <c r="F176" s="94">
        <v>1000000</v>
      </c>
      <c r="G176" s="94">
        <v>1000000</v>
      </c>
      <c r="H176" s="94">
        <v>1000000</v>
      </c>
      <c r="I176" s="94">
        <v>1000000</v>
      </c>
      <c r="J176" s="94"/>
      <c r="K176" s="94"/>
      <c r="L176" s="498"/>
      <c r="M176" s="82"/>
    </row>
    <row r="177" spans="2:15">
      <c r="B177" s="79"/>
      <c r="C177" s="569" t="s">
        <v>71</v>
      </c>
      <c r="D177" s="91" t="s">
        <v>58</v>
      </c>
      <c r="E177" s="92"/>
      <c r="F177" s="92"/>
      <c r="G177" s="92"/>
      <c r="H177" s="92"/>
      <c r="I177" s="92"/>
      <c r="J177" s="92"/>
      <c r="K177" s="92"/>
      <c r="L177" s="570">
        <f>SUM(E178:K178)</f>
        <v>0</v>
      </c>
      <c r="M177" s="80"/>
    </row>
    <row r="178" spans="2:15" ht="15.75" thickBot="1">
      <c r="B178" s="81"/>
      <c r="C178" s="569"/>
      <c r="D178" s="93" t="s">
        <v>55</v>
      </c>
      <c r="E178" s="94"/>
      <c r="F178" s="94"/>
      <c r="G178" s="94"/>
      <c r="H178" s="94"/>
      <c r="I178" s="94"/>
      <c r="J178" s="94"/>
      <c r="K178" s="94"/>
      <c r="L178" s="498"/>
      <c r="M178" s="82"/>
    </row>
    <row r="179" spans="2:15">
      <c r="B179" s="73"/>
      <c r="C179" s="2"/>
      <c r="D179" s="556" t="s">
        <v>57</v>
      </c>
      <c r="E179" s="557"/>
      <c r="F179" s="557"/>
      <c r="G179" s="557"/>
      <c r="H179" s="557"/>
      <c r="I179" s="557"/>
      <c r="J179" s="557"/>
      <c r="K179" s="557"/>
      <c r="L179" s="558"/>
      <c r="M179" s="75"/>
    </row>
    <row r="180" spans="2:15">
      <c r="B180" s="73"/>
      <c r="C180" s="562" t="s">
        <v>11</v>
      </c>
      <c r="D180" s="103" t="s">
        <v>58</v>
      </c>
      <c r="E180" s="1"/>
      <c r="F180" s="1"/>
      <c r="G180" s="1"/>
      <c r="H180" s="1"/>
      <c r="I180" s="1"/>
      <c r="J180" s="1"/>
      <c r="K180" s="1"/>
      <c r="L180" s="522">
        <f>SUM(E181:K181)</f>
        <v>0</v>
      </c>
      <c r="M180" s="75"/>
    </row>
    <row r="181" spans="2:15" ht="15.75" thickBot="1">
      <c r="B181" s="73"/>
      <c r="C181" s="563"/>
      <c r="D181" s="104" t="s">
        <v>55</v>
      </c>
      <c r="E181" s="94"/>
      <c r="F181" s="94"/>
      <c r="G181" s="94"/>
      <c r="H181" s="94"/>
      <c r="I181" s="94"/>
      <c r="J181" s="94"/>
      <c r="K181" s="94"/>
      <c r="L181" s="523"/>
      <c r="M181" s="75"/>
      <c r="O181" s="108">
        <f>SUM(E181:K181)</f>
        <v>0</v>
      </c>
    </row>
    <row r="182" spans="2:15" ht="17.25">
      <c r="B182" s="73"/>
      <c r="C182" s="2"/>
      <c r="D182" s="2"/>
      <c r="E182" s="4"/>
      <c r="F182" s="4"/>
      <c r="G182" s="4"/>
      <c r="H182" s="4"/>
      <c r="I182" s="4"/>
      <c r="J182" s="4"/>
      <c r="K182" s="4"/>
      <c r="L182" s="97">
        <f>SUM(L175:L181)</f>
        <v>5000000</v>
      </c>
      <c r="M182" s="75"/>
    </row>
    <row r="183" spans="2:15" ht="19.5" thickBot="1">
      <c r="B183" s="73"/>
      <c r="C183" s="2"/>
      <c r="D183" s="76" t="s">
        <v>61</v>
      </c>
      <c r="E183" s="4"/>
      <c r="F183" s="4"/>
      <c r="G183" s="4"/>
      <c r="H183" s="4"/>
      <c r="I183" s="4"/>
      <c r="J183" s="4"/>
      <c r="K183" s="4"/>
      <c r="L183" s="2"/>
      <c r="M183" s="75"/>
    </row>
    <row r="184" spans="2:15">
      <c r="B184" s="77"/>
      <c r="C184" s="67"/>
      <c r="D184" s="87" t="s">
        <v>3</v>
      </c>
      <c r="E184" s="88">
        <v>43087</v>
      </c>
      <c r="F184" s="88">
        <v>43088</v>
      </c>
      <c r="G184" s="88">
        <v>43089</v>
      </c>
      <c r="H184" s="88">
        <v>43090</v>
      </c>
      <c r="I184" s="88">
        <v>43091</v>
      </c>
      <c r="J184" s="88">
        <v>43092</v>
      </c>
      <c r="K184" s="88">
        <v>43093</v>
      </c>
      <c r="L184" s="567" t="s">
        <v>62</v>
      </c>
      <c r="M184" s="78"/>
    </row>
    <row r="185" spans="2:15" ht="15.75" thickBot="1">
      <c r="B185" s="77"/>
      <c r="C185" s="67"/>
      <c r="D185" s="89" t="s">
        <v>2</v>
      </c>
      <c r="E185" s="90" t="s">
        <v>4</v>
      </c>
      <c r="F185" s="90" t="s">
        <v>23</v>
      </c>
      <c r="G185" s="90" t="s">
        <v>29</v>
      </c>
      <c r="H185" s="90" t="s">
        <v>30</v>
      </c>
      <c r="I185" s="90" t="s">
        <v>59</v>
      </c>
      <c r="J185" s="90" t="s">
        <v>40</v>
      </c>
      <c r="K185" s="90" t="s">
        <v>43</v>
      </c>
      <c r="L185" s="568"/>
      <c r="M185" s="78"/>
    </row>
    <row r="186" spans="2:15">
      <c r="B186" s="79"/>
      <c r="C186" s="560" t="s">
        <v>70</v>
      </c>
      <c r="D186" s="101" t="s">
        <v>58</v>
      </c>
      <c r="E186" s="92" t="s">
        <v>81</v>
      </c>
      <c r="F186" s="92" t="s">
        <v>81</v>
      </c>
      <c r="G186" s="92" t="s">
        <v>81</v>
      </c>
      <c r="H186" s="92" t="s">
        <v>81</v>
      </c>
      <c r="I186" s="92" t="s">
        <v>81</v>
      </c>
      <c r="J186" s="92"/>
      <c r="K186" s="92"/>
      <c r="L186" s="570">
        <f>SUM(E187:K187)</f>
        <v>5000000</v>
      </c>
      <c r="M186" s="80"/>
    </row>
    <row r="187" spans="2:15" ht="15.75" thickBot="1">
      <c r="B187" s="81"/>
      <c r="C187" s="561"/>
      <c r="D187" s="102" t="s">
        <v>55</v>
      </c>
      <c r="E187" s="94">
        <v>1000000</v>
      </c>
      <c r="F187" s="94">
        <v>1000000</v>
      </c>
      <c r="G187" s="94">
        <v>1000000</v>
      </c>
      <c r="H187" s="94">
        <v>1000000</v>
      </c>
      <c r="I187" s="94">
        <v>1000000</v>
      </c>
      <c r="J187" s="94"/>
      <c r="K187" s="94"/>
      <c r="L187" s="498"/>
      <c r="M187" s="82"/>
    </row>
    <row r="188" spans="2:15">
      <c r="B188" s="73"/>
      <c r="C188" s="2"/>
      <c r="D188" s="556" t="s">
        <v>57</v>
      </c>
      <c r="E188" s="557"/>
      <c r="F188" s="557"/>
      <c r="G188" s="557"/>
      <c r="H188" s="557"/>
      <c r="I188" s="557"/>
      <c r="J188" s="557"/>
      <c r="K188" s="557"/>
      <c r="L188" s="558"/>
      <c r="M188" s="75"/>
    </row>
    <row r="189" spans="2:15">
      <c r="B189" s="73"/>
      <c r="C189" s="562" t="s">
        <v>11</v>
      </c>
      <c r="D189" s="103" t="s">
        <v>58</v>
      </c>
      <c r="E189" s="1"/>
      <c r="F189" s="1"/>
      <c r="G189" s="1"/>
      <c r="H189" s="1"/>
      <c r="I189" s="1"/>
      <c r="J189" s="1"/>
      <c r="K189" s="1"/>
      <c r="L189" s="522">
        <f>SUM(E190:K190)</f>
        <v>0</v>
      </c>
      <c r="M189" s="75"/>
    </row>
    <row r="190" spans="2:15" ht="15.75" thickBot="1">
      <c r="B190" s="81"/>
      <c r="C190" s="563"/>
      <c r="D190" s="102" t="s">
        <v>55</v>
      </c>
      <c r="E190" s="94"/>
      <c r="F190" s="94"/>
      <c r="G190" s="94"/>
      <c r="H190" s="94"/>
      <c r="I190" s="94"/>
      <c r="J190" s="94"/>
      <c r="K190" s="94"/>
      <c r="L190" s="523"/>
      <c r="M190" s="82"/>
      <c r="O190" s="108">
        <f>SUM(E190:K190)</f>
        <v>0</v>
      </c>
    </row>
    <row r="191" spans="2:15" ht="18">
      <c r="B191" s="73"/>
      <c r="C191" s="2"/>
      <c r="D191" s="2"/>
      <c r="E191" s="4"/>
      <c r="F191" s="4"/>
      <c r="G191" s="4"/>
      <c r="H191" s="4"/>
      <c r="I191" s="4"/>
      <c r="J191" s="4"/>
      <c r="K191" s="4"/>
      <c r="L191" s="68">
        <f>SUM(L184:L190)</f>
        <v>5000000</v>
      </c>
      <c r="M191" s="75"/>
    </row>
    <row r="192" spans="2:15" ht="21">
      <c r="B192" s="73"/>
      <c r="C192" s="2"/>
      <c r="D192" s="564" t="s">
        <v>63</v>
      </c>
      <c r="E192" s="564"/>
      <c r="F192" s="4"/>
      <c r="G192" s="4"/>
      <c r="H192" s="4"/>
      <c r="I192" s="4"/>
      <c r="J192" s="4"/>
      <c r="K192" s="4"/>
      <c r="L192" s="2"/>
      <c r="M192" s="75"/>
    </row>
    <row r="193" spans="2:13" ht="15.75">
      <c r="B193" s="73"/>
      <c r="C193" s="2"/>
      <c r="D193" s="565" t="s">
        <v>64</v>
      </c>
      <c r="E193" s="565"/>
      <c r="F193" s="566">
        <f>+L182</f>
        <v>5000000</v>
      </c>
      <c r="G193" s="566"/>
      <c r="H193" s="4"/>
      <c r="I193" s="4"/>
      <c r="J193" s="4"/>
      <c r="K193" s="4"/>
      <c r="L193" s="2"/>
      <c r="M193" s="75"/>
    </row>
    <row r="194" spans="2:13" ht="15.75">
      <c r="B194" s="73"/>
      <c r="C194" s="2"/>
      <c r="D194" s="565" t="s">
        <v>65</v>
      </c>
      <c r="E194" s="565"/>
      <c r="F194" s="566">
        <f>+L191</f>
        <v>5000000</v>
      </c>
      <c r="G194" s="566"/>
      <c r="H194" s="4"/>
      <c r="I194" s="99" t="s">
        <v>76</v>
      </c>
      <c r="J194" s="100" t="s">
        <v>77</v>
      </c>
      <c r="K194" s="100" t="s">
        <v>78</v>
      </c>
      <c r="L194" s="2"/>
      <c r="M194" s="75"/>
    </row>
    <row r="195" spans="2:13" ht="18">
      <c r="B195" s="73"/>
      <c r="C195" s="2"/>
      <c r="D195" s="2"/>
      <c r="E195" s="4"/>
      <c r="F195" s="559">
        <f>+F194+F193</f>
        <v>10000000</v>
      </c>
      <c r="G195" s="559"/>
      <c r="H195" s="4"/>
      <c r="I195" s="105">
        <f>100*F195/96</f>
        <v>10416666.666666666</v>
      </c>
      <c r="J195" s="105">
        <f>4%*I195</f>
        <v>416666.66666666663</v>
      </c>
      <c r="K195" s="105">
        <f>+I195-J195</f>
        <v>10000000</v>
      </c>
      <c r="L195" s="2"/>
      <c r="M195" s="75"/>
    </row>
    <row r="196" spans="2:13" ht="15.75" thickBot="1">
      <c r="B196" s="83"/>
      <c r="C196" s="84"/>
      <c r="D196" s="84"/>
      <c r="E196" s="85"/>
      <c r="F196" s="85"/>
      <c r="G196" s="85"/>
      <c r="H196" s="85"/>
      <c r="I196" s="85"/>
      <c r="J196" s="85"/>
      <c r="K196" s="85"/>
      <c r="L196" s="84"/>
      <c r="M196" s="86"/>
    </row>
    <row r="197" spans="2:13" ht="16.5" thickTop="1" thickBot="1"/>
    <row r="198" spans="2:13" ht="15.75" thickTop="1">
      <c r="B198" s="69"/>
      <c r="C198" s="70"/>
      <c r="D198" s="70"/>
      <c r="E198" s="71"/>
      <c r="F198" s="71"/>
      <c r="G198" s="71"/>
      <c r="H198" s="71"/>
      <c r="I198" s="71"/>
      <c r="J198" s="71"/>
      <c r="K198" s="71"/>
      <c r="L198" s="70"/>
      <c r="M198" s="72"/>
    </row>
    <row r="199" spans="2:13" ht="21">
      <c r="B199" s="73"/>
      <c r="C199" s="2"/>
      <c r="D199" s="74" t="s">
        <v>83</v>
      </c>
      <c r="E199" s="4"/>
      <c r="F199" s="4"/>
      <c r="G199" s="4"/>
      <c r="H199" s="4"/>
      <c r="I199" s="4"/>
      <c r="J199" s="4"/>
      <c r="K199" s="4"/>
      <c r="L199" s="2"/>
      <c r="M199" s="75"/>
    </row>
    <row r="200" spans="2:13" ht="19.5" thickBot="1">
      <c r="B200" s="73"/>
      <c r="C200" s="2"/>
      <c r="D200" s="76" t="s">
        <v>60</v>
      </c>
      <c r="E200" s="4"/>
      <c r="F200" s="4"/>
      <c r="G200" s="4"/>
      <c r="H200" s="4"/>
      <c r="I200" s="4"/>
      <c r="J200" s="4"/>
      <c r="K200" s="4"/>
      <c r="L200" s="2"/>
      <c r="M200" s="75"/>
    </row>
    <row r="201" spans="2:13">
      <c r="B201" s="77"/>
      <c r="C201" s="67"/>
      <c r="D201" s="87" t="s">
        <v>3</v>
      </c>
      <c r="E201" s="106">
        <v>43459</v>
      </c>
      <c r="F201" s="106">
        <v>43460</v>
      </c>
      <c r="G201" s="88">
        <v>43461</v>
      </c>
      <c r="H201" s="88">
        <v>43462</v>
      </c>
      <c r="I201" s="88">
        <v>43463</v>
      </c>
      <c r="J201" s="88">
        <v>43464</v>
      </c>
      <c r="K201" s="88">
        <v>43465</v>
      </c>
      <c r="L201" s="567" t="s">
        <v>62</v>
      </c>
      <c r="M201" s="78"/>
    </row>
    <row r="202" spans="2:13" ht="15.75" thickBot="1">
      <c r="B202" s="77"/>
      <c r="C202" s="67"/>
      <c r="D202" s="89" t="s">
        <v>2</v>
      </c>
      <c r="E202" s="107" t="s">
        <v>4</v>
      </c>
      <c r="F202" s="107" t="s">
        <v>23</v>
      </c>
      <c r="G202" s="90" t="s">
        <v>29</v>
      </c>
      <c r="H202" s="90" t="s">
        <v>30</v>
      </c>
      <c r="I202" s="90" t="s">
        <v>59</v>
      </c>
      <c r="J202" s="90" t="s">
        <v>40</v>
      </c>
      <c r="K202" s="90" t="s">
        <v>43</v>
      </c>
      <c r="L202" s="568"/>
      <c r="M202" s="78"/>
    </row>
    <row r="203" spans="2:13">
      <c r="B203" s="79"/>
      <c r="C203" s="569" t="s">
        <v>70</v>
      </c>
      <c r="D203" s="91" t="s">
        <v>58</v>
      </c>
      <c r="E203" s="92"/>
      <c r="F203" s="92"/>
      <c r="G203" s="92" t="s">
        <v>81</v>
      </c>
      <c r="H203" s="92" t="s">
        <v>81</v>
      </c>
      <c r="I203" s="92" t="s">
        <v>81</v>
      </c>
      <c r="J203" s="92" t="s">
        <v>81</v>
      </c>
      <c r="K203" s="92"/>
      <c r="L203" s="570">
        <f>SUM(E204:K204)</f>
        <v>4000000</v>
      </c>
      <c r="M203" s="80"/>
    </row>
    <row r="204" spans="2:13" ht="15.75" thickBot="1">
      <c r="B204" s="81"/>
      <c r="C204" s="569"/>
      <c r="D204" s="93" t="s">
        <v>55</v>
      </c>
      <c r="E204" s="94"/>
      <c r="F204" s="94"/>
      <c r="G204" s="94">
        <v>1000000</v>
      </c>
      <c r="H204" s="94">
        <v>1000000</v>
      </c>
      <c r="I204" s="94">
        <v>1000000</v>
      </c>
      <c r="J204" s="94">
        <v>1000000</v>
      </c>
      <c r="K204" s="94"/>
      <c r="L204" s="498"/>
      <c r="M204" s="82"/>
    </row>
    <row r="205" spans="2:13">
      <c r="B205" s="79"/>
      <c r="C205" s="569" t="s">
        <v>71</v>
      </c>
      <c r="D205" s="91" t="s">
        <v>58</v>
      </c>
      <c r="E205" s="92"/>
      <c r="F205" s="92"/>
      <c r="G205" s="92"/>
      <c r="H205" s="92"/>
      <c r="I205" s="92"/>
      <c r="J205" s="92"/>
      <c r="K205" s="92"/>
      <c r="L205" s="570">
        <f>SUM(E206:K206)</f>
        <v>0</v>
      </c>
      <c r="M205" s="80"/>
    </row>
    <row r="206" spans="2:13" ht="15.75" thickBot="1">
      <c r="B206" s="81"/>
      <c r="C206" s="569"/>
      <c r="D206" s="93" t="s">
        <v>55</v>
      </c>
      <c r="E206" s="94"/>
      <c r="F206" s="94"/>
      <c r="G206" s="94"/>
      <c r="H206" s="94"/>
      <c r="I206" s="94"/>
      <c r="J206" s="94"/>
      <c r="K206" s="94"/>
      <c r="L206" s="498"/>
      <c r="M206" s="82"/>
    </row>
    <row r="207" spans="2:13">
      <c r="B207" s="73"/>
      <c r="C207" s="2"/>
      <c r="D207" s="556" t="s">
        <v>57</v>
      </c>
      <c r="E207" s="557"/>
      <c r="F207" s="557"/>
      <c r="G207" s="557"/>
      <c r="H207" s="557"/>
      <c r="I207" s="557"/>
      <c r="J207" s="557"/>
      <c r="K207" s="557"/>
      <c r="L207" s="558"/>
      <c r="M207" s="75"/>
    </row>
    <row r="208" spans="2:13">
      <c r="B208" s="73"/>
      <c r="C208" s="562" t="s">
        <v>11</v>
      </c>
      <c r="D208" s="103" t="s">
        <v>58</v>
      </c>
      <c r="E208" s="1"/>
      <c r="F208" s="1"/>
      <c r="G208" s="1"/>
      <c r="H208" s="1"/>
      <c r="I208" s="1"/>
      <c r="J208" s="1"/>
      <c r="K208" s="1"/>
      <c r="L208" s="522">
        <f>SUM(E209:K209)</f>
        <v>0</v>
      </c>
      <c r="M208" s="75"/>
    </row>
    <row r="209" spans="2:15" ht="15.75" thickBot="1">
      <c r="B209" s="73"/>
      <c r="C209" s="563"/>
      <c r="D209" s="104" t="s">
        <v>55</v>
      </c>
      <c r="E209" s="94"/>
      <c r="F209" s="94"/>
      <c r="G209" s="94"/>
      <c r="H209" s="94"/>
      <c r="I209" s="94"/>
      <c r="J209" s="94"/>
      <c r="K209" s="94"/>
      <c r="L209" s="523"/>
      <c r="M209" s="75"/>
      <c r="O209" s="108">
        <f>SUM(E209:K209)</f>
        <v>0</v>
      </c>
    </row>
    <row r="210" spans="2:15" ht="17.25">
      <c r="B210" s="73"/>
      <c r="C210" s="2"/>
      <c r="D210" s="2"/>
      <c r="E210" s="4"/>
      <c r="F210" s="4"/>
      <c r="G210" s="4"/>
      <c r="H210" s="4"/>
      <c r="I210" s="4"/>
      <c r="J210" s="4"/>
      <c r="K210" s="4"/>
      <c r="L210" s="97">
        <f>SUM(L203:L209)</f>
        <v>4000000</v>
      </c>
      <c r="M210" s="75"/>
    </row>
    <row r="211" spans="2:15" ht="19.5" thickBot="1">
      <c r="B211" s="73"/>
      <c r="C211" s="2"/>
      <c r="D211" s="76" t="s">
        <v>61</v>
      </c>
      <c r="E211" s="4"/>
      <c r="F211" s="4"/>
      <c r="G211" s="4"/>
      <c r="H211" s="4"/>
      <c r="I211" s="4"/>
      <c r="J211" s="4"/>
      <c r="K211" s="4"/>
      <c r="L211" s="2"/>
      <c r="M211" s="75"/>
    </row>
    <row r="212" spans="2:15">
      <c r="B212" s="77"/>
      <c r="C212" s="67"/>
      <c r="D212" s="87" t="s">
        <v>3</v>
      </c>
      <c r="E212" s="106">
        <v>43459</v>
      </c>
      <c r="F212" s="106">
        <v>43460</v>
      </c>
      <c r="G212" s="88">
        <v>43461</v>
      </c>
      <c r="H212" s="88">
        <v>43462</v>
      </c>
      <c r="I212" s="88">
        <v>43463</v>
      </c>
      <c r="J212" s="88">
        <v>43464</v>
      </c>
      <c r="K212" s="88">
        <v>43465</v>
      </c>
      <c r="L212" s="567" t="s">
        <v>62</v>
      </c>
      <c r="M212" s="78"/>
    </row>
    <row r="213" spans="2:15" ht="15.75" thickBot="1">
      <c r="B213" s="77"/>
      <c r="C213" s="67"/>
      <c r="D213" s="89" t="s">
        <v>2</v>
      </c>
      <c r="E213" s="107" t="s">
        <v>4</v>
      </c>
      <c r="F213" s="107" t="s">
        <v>23</v>
      </c>
      <c r="G213" s="90" t="s">
        <v>29</v>
      </c>
      <c r="H213" s="90" t="s">
        <v>30</v>
      </c>
      <c r="I213" s="90" t="s">
        <v>59</v>
      </c>
      <c r="J213" s="90" t="s">
        <v>40</v>
      </c>
      <c r="K213" s="90" t="s">
        <v>43</v>
      </c>
      <c r="L213" s="568"/>
      <c r="M213" s="78"/>
    </row>
    <row r="214" spans="2:15">
      <c r="B214" s="79"/>
      <c r="C214" s="560" t="s">
        <v>70</v>
      </c>
      <c r="D214" s="101" t="s">
        <v>58</v>
      </c>
      <c r="E214" s="92"/>
      <c r="F214" s="92"/>
      <c r="G214" s="92" t="s">
        <v>81</v>
      </c>
      <c r="H214" s="92" t="s">
        <v>81</v>
      </c>
      <c r="I214" s="92" t="s">
        <v>81</v>
      </c>
      <c r="J214" s="92" t="s">
        <v>81</v>
      </c>
      <c r="K214" s="92"/>
      <c r="L214" s="570">
        <f>SUM(E215:K215)</f>
        <v>4000000</v>
      </c>
      <c r="M214" s="80"/>
    </row>
    <row r="215" spans="2:15" ht="15.75" thickBot="1">
      <c r="B215" s="81"/>
      <c r="C215" s="561"/>
      <c r="D215" s="102" t="s">
        <v>55</v>
      </c>
      <c r="E215" s="94"/>
      <c r="F215" s="94"/>
      <c r="G215" s="94">
        <v>1000000</v>
      </c>
      <c r="H215" s="94">
        <v>1000000</v>
      </c>
      <c r="I215" s="94">
        <v>1000000</v>
      </c>
      <c r="J215" s="94">
        <v>1000000</v>
      </c>
      <c r="K215" s="94"/>
      <c r="L215" s="498"/>
      <c r="M215" s="82"/>
    </row>
    <row r="216" spans="2:15">
      <c r="B216" s="73"/>
      <c r="C216" s="2"/>
      <c r="D216" s="556" t="s">
        <v>57</v>
      </c>
      <c r="E216" s="557"/>
      <c r="F216" s="557"/>
      <c r="G216" s="557"/>
      <c r="H216" s="557"/>
      <c r="I216" s="557"/>
      <c r="J216" s="557"/>
      <c r="K216" s="557"/>
      <c r="L216" s="558"/>
      <c r="M216" s="75"/>
    </row>
    <row r="217" spans="2:15">
      <c r="B217" s="73"/>
      <c r="C217" s="562" t="s">
        <v>11</v>
      </c>
      <c r="D217" s="103" t="s">
        <v>58</v>
      </c>
      <c r="E217" s="1"/>
      <c r="F217" s="1"/>
      <c r="G217" s="1"/>
      <c r="H217" s="1"/>
      <c r="I217" s="1"/>
      <c r="J217" s="1"/>
      <c r="K217" s="1"/>
      <c r="L217" s="522">
        <f>SUM(E218:K218)</f>
        <v>0</v>
      </c>
      <c r="M217" s="75"/>
    </row>
    <row r="218" spans="2:15" ht="15.75" thickBot="1">
      <c r="B218" s="81"/>
      <c r="C218" s="563"/>
      <c r="D218" s="102" t="s">
        <v>55</v>
      </c>
      <c r="E218" s="94"/>
      <c r="F218" s="94"/>
      <c r="G218" s="94"/>
      <c r="H218" s="94"/>
      <c r="I218" s="94"/>
      <c r="J218" s="94"/>
      <c r="K218" s="94"/>
      <c r="L218" s="523"/>
      <c r="M218" s="82"/>
      <c r="O218" s="108">
        <f>SUM(E218:K218)</f>
        <v>0</v>
      </c>
    </row>
    <row r="219" spans="2:15" ht="18">
      <c r="B219" s="73"/>
      <c r="C219" s="2"/>
      <c r="D219" s="2"/>
      <c r="E219" s="4"/>
      <c r="F219" s="4"/>
      <c r="G219" s="4"/>
      <c r="H219" s="4"/>
      <c r="I219" s="4"/>
      <c r="J219" s="4"/>
      <c r="K219" s="4"/>
      <c r="L219" s="68">
        <f>SUM(L212:L218)</f>
        <v>4000000</v>
      </c>
      <c r="M219" s="75"/>
    </row>
    <row r="220" spans="2:15" ht="21">
      <c r="B220" s="73"/>
      <c r="C220" s="2"/>
      <c r="D220" s="564" t="s">
        <v>63</v>
      </c>
      <c r="E220" s="564"/>
      <c r="F220" s="4"/>
      <c r="G220" s="4"/>
      <c r="H220" s="4"/>
      <c r="I220" s="4"/>
      <c r="J220" s="4"/>
      <c r="K220" s="4"/>
      <c r="L220" s="2"/>
      <c r="M220" s="75"/>
    </row>
    <row r="221" spans="2:15" ht="15.75">
      <c r="B221" s="73"/>
      <c r="C221" s="2"/>
      <c r="D221" s="565" t="s">
        <v>64</v>
      </c>
      <c r="E221" s="565"/>
      <c r="F221" s="566">
        <f>+L210</f>
        <v>4000000</v>
      </c>
      <c r="G221" s="566"/>
      <c r="H221" s="4"/>
      <c r="I221" s="4"/>
      <c r="J221" s="4"/>
      <c r="K221" s="4"/>
      <c r="L221" s="2"/>
      <c r="M221" s="75"/>
    </row>
    <row r="222" spans="2:15" ht="15.75">
      <c r="B222" s="73"/>
      <c r="C222" s="2"/>
      <c r="D222" s="565" t="s">
        <v>65</v>
      </c>
      <c r="E222" s="565"/>
      <c r="F222" s="566">
        <f>+L219</f>
        <v>4000000</v>
      </c>
      <c r="G222" s="566"/>
      <c r="H222" s="4"/>
      <c r="I222" s="99" t="s">
        <v>76</v>
      </c>
      <c r="J222" s="100" t="s">
        <v>77</v>
      </c>
      <c r="K222" s="100" t="s">
        <v>78</v>
      </c>
      <c r="L222" s="2"/>
      <c r="M222" s="75"/>
    </row>
    <row r="223" spans="2:15" ht="18">
      <c r="B223" s="73"/>
      <c r="C223" s="2"/>
      <c r="D223" s="2"/>
      <c r="E223" s="4"/>
      <c r="F223" s="559">
        <f>+F222+F221</f>
        <v>8000000</v>
      </c>
      <c r="G223" s="559"/>
      <c r="H223" s="4"/>
      <c r="I223" s="105">
        <f>100*F223/96</f>
        <v>8333333.333333333</v>
      </c>
      <c r="J223" s="105">
        <f>4%*I223</f>
        <v>333333.33333333331</v>
      </c>
      <c r="K223" s="105">
        <f>+I223-J223</f>
        <v>8000000</v>
      </c>
      <c r="L223" s="2"/>
      <c r="M223" s="75"/>
    </row>
    <row r="224" spans="2:15" ht="15.75" thickBot="1">
      <c r="B224" s="83"/>
      <c r="C224" s="84"/>
      <c r="D224" s="84"/>
      <c r="E224" s="85"/>
      <c r="F224" s="85"/>
      <c r="G224" s="85"/>
      <c r="H224" s="85"/>
      <c r="I224" s="85"/>
      <c r="J224" s="85"/>
      <c r="K224" s="85"/>
      <c r="L224" s="84"/>
      <c r="M224" s="86"/>
    </row>
    <row r="225" spans="15:15" ht="18.75" thickTop="1" thickBot="1">
      <c r="O225" s="113">
        <f>SUM(O114:O224)</f>
        <v>400000</v>
      </c>
    </row>
  </sheetData>
  <mergeCells count="149">
    <mergeCell ref="F223:G223"/>
    <mergeCell ref="C214:C215"/>
    <mergeCell ref="L214:L215"/>
    <mergeCell ref="D216:L216"/>
    <mergeCell ref="C217:C218"/>
    <mergeCell ref="L217:L218"/>
    <mergeCell ref="D220:E220"/>
    <mergeCell ref="D221:E221"/>
    <mergeCell ref="F221:G221"/>
    <mergeCell ref="D222:E222"/>
    <mergeCell ref="F222:G222"/>
    <mergeCell ref="L201:L202"/>
    <mergeCell ref="C203:C204"/>
    <mergeCell ref="L203:L204"/>
    <mergeCell ref="C205:C206"/>
    <mergeCell ref="L205:L206"/>
    <mergeCell ref="D207:L207"/>
    <mergeCell ref="C208:C209"/>
    <mergeCell ref="L208:L209"/>
    <mergeCell ref="L212:L213"/>
    <mergeCell ref="F195:G195"/>
    <mergeCell ref="C186:C187"/>
    <mergeCell ref="L186:L187"/>
    <mergeCell ref="D188:L188"/>
    <mergeCell ref="C189:C190"/>
    <mergeCell ref="L189:L190"/>
    <mergeCell ref="D192:E192"/>
    <mergeCell ref="D193:E193"/>
    <mergeCell ref="F193:G193"/>
    <mergeCell ref="D194:E194"/>
    <mergeCell ref="F194:G194"/>
    <mergeCell ref="L173:L174"/>
    <mergeCell ref="C175:C176"/>
    <mergeCell ref="L175:L176"/>
    <mergeCell ref="C177:C178"/>
    <mergeCell ref="L177:L178"/>
    <mergeCell ref="D179:L179"/>
    <mergeCell ref="C180:C181"/>
    <mergeCell ref="L180:L181"/>
    <mergeCell ref="L184:L185"/>
    <mergeCell ref="D166:E166"/>
    <mergeCell ref="F166:G166"/>
    <mergeCell ref="F167:G167"/>
    <mergeCell ref="D160:L160"/>
    <mergeCell ref="C161:C162"/>
    <mergeCell ref="L161:L162"/>
    <mergeCell ref="D164:E164"/>
    <mergeCell ref="D165:E165"/>
    <mergeCell ref="F165:G165"/>
    <mergeCell ref="D151:L151"/>
    <mergeCell ref="C152:C153"/>
    <mergeCell ref="L152:L153"/>
    <mergeCell ref="L156:L157"/>
    <mergeCell ref="C158:C159"/>
    <mergeCell ref="L158:L159"/>
    <mergeCell ref="L145:L146"/>
    <mergeCell ref="C147:C148"/>
    <mergeCell ref="L147:L148"/>
    <mergeCell ref="C149:C150"/>
    <mergeCell ref="L149:L150"/>
    <mergeCell ref="F111:G111"/>
    <mergeCell ref="L89:L90"/>
    <mergeCell ref="C91:C92"/>
    <mergeCell ref="L91:L92"/>
    <mergeCell ref="C93:C94"/>
    <mergeCell ref="L93:L94"/>
    <mergeCell ref="D95:L95"/>
    <mergeCell ref="L96:L97"/>
    <mergeCell ref="L100:L101"/>
    <mergeCell ref="L102:L103"/>
    <mergeCell ref="D104:L104"/>
    <mergeCell ref="L105:L106"/>
    <mergeCell ref="D108:E108"/>
    <mergeCell ref="D109:E109"/>
    <mergeCell ref="F109:G109"/>
    <mergeCell ref="D110:E110"/>
    <mergeCell ref="F110:G110"/>
    <mergeCell ref="D53:E53"/>
    <mergeCell ref="D11:L11"/>
    <mergeCell ref="F9:G9"/>
    <mergeCell ref="F53:G53"/>
    <mergeCell ref="D54:E54"/>
    <mergeCell ref="F54:G54"/>
    <mergeCell ref="L18:L19"/>
    <mergeCell ref="D20:L20"/>
    <mergeCell ref="L33:L34"/>
    <mergeCell ref="L21:L22"/>
    <mergeCell ref="D26:E26"/>
    <mergeCell ref="D25:E25"/>
    <mergeCell ref="D24:E24"/>
    <mergeCell ref="F27:G27"/>
    <mergeCell ref="F26:G26"/>
    <mergeCell ref="F25:G25"/>
    <mergeCell ref="L5:L6"/>
    <mergeCell ref="L7:L8"/>
    <mergeCell ref="L9:L10"/>
    <mergeCell ref="L12:L13"/>
    <mergeCell ref="L16:L17"/>
    <mergeCell ref="L61:L62"/>
    <mergeCell ref="C63:C64"/>
    <mergeCell ref="L63:L64"/>
    <mergeCell ref="C65:C66"/>
    <mergeCell ref="L65:L66"/>
    <mergeCell ref="F55:G55"/>
    <mergeCell ref="L44:L45"/>
    <mergeCell ref="L46:L47"/>
    <mergeCell ref="D48:L48"/>
    <mergeCell ref="L49:L50"/>
    <mergeCell ref="D52:E52"/>
    <mergeCell ref="L35:L36"/>
    <mergeCell ref="L37:L38"/>
    <mergeCell ref="D39:L39"/>
    <mergeCell ref="L40:L41"/>
    <mergeCell ref="C35:C36"/>
    <mergeCell ref="C37:C38"/>
    <mergeCell ref="C7:C8"/>
    <mergeCell ref="C9:C10"/>
    <mergeCell ref="D67:L67"/>
    <mergeCell ref="L68:L69"/>
    <mergeCell ref="L72:L73"/>
    <mergeCell ref="L74:L75"/>
    <mergeCell ref="D76:L76"/>
    <mergeCell ref="F83:G83"/>
    <mergeCell ref="L77:L78"/>
    <mergeCell ref="D80:E80"/>
    <mergeCell ref="D81:E81"/>
    <mergeCell ref="F81:G81"/>
    <mergeCell ref="D82:E82"/>
    <mergeCell ref="F82:G82"/>
    <mergeCell ref="L117:L118"/>
    <mergeCell ref="C119:C120"/>
    <mergeCell ref="L119:L120"/>
    <mergeCell ref="C121:C122"/>
    <mergeCell ref="L121:L122"/>
    <mergeCell ref="D123:L123"/>
    <mergeCell ref="L124:L125"/>
    <mergeCell ref="L128:L129"/>
    <mergeCell ref="L130:L131"/>
    <mergeCell ref="D132:L132"/>
    <mergeCell ref="F139:G139"/>
    <mergeCell ref="C130:C131"/>
    <mergeCell ref="C124:C125"/>
    <mergeCell ref="C133:C134"/>
    <mergeCell ref="L133:L134"/>
    <mergeCell ref="D136:E136"/>
    <mergeCell ref="D137:E137"/>
    <mergeCell ref="F137:G137"/>
    <mergeCell ref="D138:E138"/>
    <mergeCell ref="F138:G138"/>
  </mergeCells>
  <pageMargins left="0.3" right="0.16" top="0.68" bottom="0.41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79"/>
  <sheetViews>
    <sheetView topLeftCell="A58" zoomScale="115" zoomScaleNormal="115" workbookViewId="0">
      <selection activeCell="O122" sqref="O122"/>
    </sheetView>
  </sheetViews>
  <sheetFormatPr defaultRowHeight="14.25"/>
  <cols>
    <col min="1" max="1" width="2.28515625" style="115" customWidth="1"/>
    <col min="2" max="2" width="2.7109375" style="115" customWidth="1"/>
    <col min="3" max="3" width="10.7109375" style="115" customWidth="1"/>
    <col min="4" max="4" width="15.7109375" style="115" customWidth="1"/>
    <col min="5" max="11" width="13.7109375" style="122" customWidth="1"/>
    <col min="12" max="12" width="13.7109375" style="115" customWidth="1"/>
    <col min="13" max="13" width="2.7109375" style="115" customWidth="1"/>
    <col min="14" max="14" width="9.140625" style="115"/>
    <col min="15" max="15" width="15.140625" style="115" bestFit="1" customWidth="1"/>
    <col min="16" max="16384" width="9.140625" style="115"/>
  </cols>
  <sheetData>
    <row r="1" spans="2:13" ht="15" thickTop="1">
      <c r="B1" s="116"/>
      <c r="C1" s="117"/>
      <c r="D1" s="117"/>
      <c r="E1" s="118"/>
      <c r="F1" s="118"/>
      <c r="G1" s="118"/>
      <c r="H1" s="118"/>
      <c r="I1" s="118"/>
      <c r="J1" s="118"/>
      <c r="K1" s="118"/>
      <c r="L1" s="117"/>
      <c r="M1" s="119"/>
    </row>
    <row r="2" spans="2:13" ht="20.100000000000001" customHeight="1">
      <c r="B2" s="120"/>
      <c r="C2" s="608" t="s">
        <v>90</v>
      </c>
      <c r="D2" s="608"/>
      <c r="E2" s="608"/>
      <c r="F2" s="608"/>
      <c r="G2" s="608"/>
      <c r="H2" s="608"/>
      <c r="I2" s="608"/>
      <c r="J2" s="608"/>
      <c r="K2" s="608"/>
      <c r="L2" s="608"/>
      <c r="M2" s="121"/>
    </row>
    <row r="3" spans="2:13" ht="20.100000000000001" customHeight="1">
      <c r="B3" s="120"/>
      <c r="D3" s="115" t="s">
        <v>87</v>
      </c>
      <c r="E3" s="600" t="s">
        <v>88</v>
      </c>
      <c r="F3" s="600"/>
      <c r="L3" s="123" t="s">
        <v>92</v>
      </c>
      <c r="M3" s="121"/>
    </row>
    <row r="4" spans="2:13" ht="20.100000000000001" customHeight="1">
      <c r="B4" s="124"/>
      <c r="C4" s="125"/>
      <c r="D4" s="126" t="s">
        <v>89</v>
      </c>
      <c r="E4" s="127"/>
      <c r="F4" s="127"/>
      <c r="G4" s="127"/>
      <c r="H4" s="127"/>
      <c r="I4" s="127"/>
      <c r="J4" s="127"/>
      <c r="K4" s="127"/>
      <c r="L4" s="125"/>
      <c r="M4" s="128"/>
    </row>
    <row r="5" spans="2:13" ht="5.0999999999999996" customHeight="1">
      <c r="B5" s="124"/>
      <c r="C5" s="125"/>
      <c r="D5" s="126"/>
      <c r="E5" s="127"/>
      <c r="F5" s="127"/>
      <c r="G5" s="127"/>
      <c r="H5" s="127"/>
      <c r="I5" s="127"/>
      <c r="J5" s="127"/>
      <c r="K5" s="127"/>
      <c r="L5" s="125"/>
      <c r="M5" s="128"/>
    </row>
    <row r="6" spans="2:13" ht="16.5" thickBot="1">
      <c r="B6" s="124"/>
      <c r="C6" s="125"/>
      <c r="D6" s="129" t="s">
        <v>60</v>
      </c>
      <c r="E6" s="127"/>
      <c r="F6" s="127"/>
      <c r="G6" s="127"/>
      <c r="H6" s="127"/>
      <c r="I6" s="127"/>
      <c r="J6" s="127"/>
      <c r="K6" s="127"/>
      <c r="L6" s="125"/>
      <c r="M6" s="128"/>
    </row>
    <row r="7" spans="2:13" ht="15">
      <c r="B7" s="130"/>
      <c r="C7" s="131"/>
      <c r="D7" s="132" t="s">
        <v>3</v>
      </c>
      <c r="E7" s="133">
        <v>43248</v>
      </c>
      <c r="F7" s="134">
        <v>43249</v>
      </c>
      <c r="G7" s="133">
        <v>43250</v>
      </c>
      <c r="H7" s="133">
        <v>43251</v>
      </c>
      <c r="I7" s="134">
        <v>43252</v>
      </c>
      <c r="J7" s="134">
        <v>43253</v>
      </c>
      <c r="K7" s="134">
        <v>43254</v>
      </c>
      <c r="L7" s="584" t="s">
        <v>62</v>
      </c>
      <c r="M7" s="135"/>
    </row>
    <row r="8" spans="2:13" ht="15.75" thickBot="1">
      <c r="B8" s="130"/>
      <c r="C8" s="131"/>
      <c r="D8" s="136" t="s">
        <v>2</v>
      </c>
      <c r="E8" s="137" t="s">
        <v>4</v>
      </c>
      <c r="F8" s="138" t="s">
        <v>23</v>
      </c>
      <c r="G8" s="137" t="s">
        <v>29</v>
      </c>
      <c r="H8" s="137" t="s">
        <v>30</v>
      </c>
      <c r="I8" s="138" t="s">
        <v>59</v>
      </c>
      <c r="J8" s="138" t="s">
        <v>40</v>
      </c>
      <c r="K8" s="138" t="s">
        <v>43</v>
      </c>
      <c r="L8" s="585"/>
      <c r="M8" s="135"/>
    </row>
    <row r="9" spans="2:13">
      <c r="B9" s="139"/>
      <c r="C9" s="602" t="s">
        <v>70</v>
      </c>
      <c r="D9" s="140" t="s">
        <v>58</v>
      </c>
      <c r="E9" s="141" t="s">
        <v>81</v>
      </c>
      <c r="F9" s="141"/>
      <c r="G9" s="141" t="s">
        <v>81</v>
      </c>
      <c r="H9" s="141" t="s">
        <v>81</v>
      </c>
      <c r="I9" s="141"/>
      <c r="J9" s="142"/>
      <c r="K9" s="142"/>
      <c r="L9" s="588">
        <f>SUM(E10:K10)</f>
        <v>3000000</v>
      </c>
      <c r="M9" s="143"/>
    </row>
    <row r="10" spans="2:13" ht="15" thickBot="1">
      <c r="B10" s="144"/>
      <c r="C10" s="602"/>
      <c r="D10" s="145" t="s">
        <v>55</v>
      </c>
      <c r="E10" s="146">
        <v>1000000</v>
      </c>
      <c r="F10" s="146"/>
      <c r="G10" s="146">
        <v>1000000</v>
      </c>
      <c r="H10" s="146">
        <v>1000000</v>
      </c>
      <c r="I10" s="146"/>
      <c r="J10" s="147"/>
      <c r="K10" s="147"/>
      <c r="L10" s="589"/>
      <c r="M10" s="148"/>
    </row>
    <row r="11" spans="2:13">
      <c r="B11" s="139"/>
      <c r="C11" s="603" t="s">
        <v>71</v>
      </c>
      <c r="D11" s="140" t="s">
        <v>58</v>
      </c>
      <c r="E11" s="141"/>
      <c r="F11" s="141"/>
      <c r="G11" s="141"/>
      <c r="H11" s="141"/>
      <c r="I11" s="141"/>
      <c r="J11" s="142"/>
      <c r="K11" s="142"/>
      <c r="L11" s="588">
        <f>SUM(E12:K12)</f>
        <v>0</v>
      </c>
      <c r="M11" s="143"/>
    </row>
    <row r="12" spans="2:13" ht="15" thickBot="1">
      <c r="B12" s="144"/>
      <c r="C12" s="603"/>
      <c r="D12" s="145" t="s">
        <v>55</v>
      </c>
      <c r="E12" s="146"/>
      <c r="F12" s="146"/>
      <c r="G12" s="146"/>
      <c r="H12" s="146"/>
      <c r="I12" s="146"/>
      <c r="J12" s="147"/>
      <c r="K12" s="147"/>
      <c r="L12" s="589"/>
      <c r="M12" s="148"/>
    </row>
    <row r="13" spans="2:13" ht="15" thickBot="1">
      <c r="B13" s="124"/>
      <c r="C13" s="125"/>
      <c r="D13" s="604" t="s">
        <v>57</v>
      </c>
      <c r="E13" s="592"/>
      <c r="F13" s="592"/>
      <c r="G13" s="592"/>
      <c r="H13" s="592"/>
      <c r="I13" s="592"/>
      <c r="J13" s="592"/>
      <c r="K13" s="592"/>
      <c r="L13" s="605"/>
      <c r="M13" s="128"/>
    </row>
    <row r="14" spans="2:13">
      <c r="B14" s="124"/>
      <c r="C14" s="606" t="s">
        <v>11</v>
      </c>
      <c r="D14" s="149" t="s">
        <v>58</v>
      </c>
      <c r="E14" s="141" t="s">
        <v>86</v>
      </c>
      <c r="F14" s="141"/>
      <c r="G14" s="141"/>
      <c r="H14" s="141" t="s">
        <v>86</v>
      </c>
      <c r="I14" s="141"/>
      <c r="J14" s="150"/>
      <c r="K14" s="150"/>
      <c r="L14" s="588">
        <f>SUM(E15:K15)</f>
        <v>600000</v>
      </c>
      <c r="M14" s="128"/>
    </row>
    <row r="15" spans="2:13" ht="15" thickBot="1">
      <c r="B15" s="124"/>
      <c r="C15" s="607"/>
      <c r="D15" s="151" t="s">
        <v>55</v>
      </c>
      <c r="E15" s="146">
        <v>300000</v>
      </c>
      <c r="F15" s="146"/>
      <c r="G15" s="146"/>
      <c r="H15" s="146">
        <v>300000</v>
      </c>
      <c r="I15" s="146"/>
      <c r="J15" s="146"/>
      <c r="K15" s="146"/>
      <c r="L15" s="589"/>
      <c r="M15" s="128"/>
    </row>
    <row r="16" spans="2:13" ht="16.5">
      <c r="B16" s="124"/>
      <c r="C16" s="125"/>
      <c r="D16" s="152"/>
      <c r="E16" s="153"/>
      <c r="F16" s="153"/>
      <c r="G16" s="153"/>
      <c r="H16" s="153"/>
      <c r="I16" s="153"/>
      <c r="J16" s="153"/>
      <c r="K16" s="153"/>
      <c r="L16" s="154">
        <f>SUM(L9:L15)</f>
        <v>3600000</v>
      </c>
      <c r="M16" s="128"/>
    </row>
    <row r="17" spans="2:13" ht="16.5" thickBot="1">
      <c r="B17" s="124"/>
      <c r="C17" s="125"/>
      <c r="D17" s="155" t="s">
        <v>61</v>
      </c>
      <c r="E17" s="153"/>
      <c r="F17" s="153"/>
      <c r="G17" s="153"/>
      <c r="H17" s="153"/>
      <c r="I17" s="153"/>
      <c r="J17" s="153"/>
      <c r="K17" s="153"/>
      <c r="L17" s="152"/>
      <c r="M17" s="128"/>
    </row>
    <row r="18" spans="2:13" ht="15">
      <c r="B18" s="130"/>
      <c r="C18" s="131"/>
      <c r="D18" s="132" t="s">
        <v>3</v>
      </c>
      <c r="E18" s="133">
        <v>43248</v>
      </c>
      <c r="F18" s="134">
        <v>43249</v>
      </c>
      <c r="G18" s="133">
        <v>43250</v>
      </c>
      <c r="H18" s="133">
        <v>43251</v>
      </c>
      <c r="I18" s="134">
        <v>43252</v>
      </c>
      <c r="J18" s="134">
        <v>43253</v>
      </c>
      <c r="K18" s="134">
        <v>43254</v>
      </c>
      <c r="L18" s="584" t="s">
        <v>62</v>
      </c>
      <c r="M18" s="135"/>
    </row>
    <row r="19" spans="2:13" ht="15.75" thickBot="1">
      <c r="B19" s="130"/>
      <c r="C19" s="131"/>
      <c r="D19" s="136" t="s">
        <v>2</v>
      </c>
      <c r="E19" s="137" t="s">
        <v>4</v>
      </c>
      <c r="F19" s="138" t="s">
        <v>23</v>
      </c>
      <c r="G19" s="137" t="s">
        <v>29</v>
      </c>
      <c r="H19" s="137" t="s">
        <v>30</v>
      </c>
      <c r="I19" s="138" t="s">
        <v>59</v>
      </c>
      <c r="J19" s="138" t="s">
        <v>40</v>
      </c>
      <c r="K19" s="138" t="s">
        <v>43</v>
      </c>
      <c r="L19" s="585"/>
      <c r="M19" s="135"/>
    </row>
    <row r="20" spans="2:13">
      <c r="B20" s="139"/>
      <c r="C20" s="586" t="s">
        <v>70</v>
      </c>
      <c r="D20" s="156" t="s">
        <v>58</v>
      </c>
      <c r="E20" s="141" t="s">
        <v>81</v>
      </c>
      <c r="F20" s="141"/>
      <c r="G20" s="141" t="s">
        <v>81</v>
      </c>
      <c r="H20" s="141" t="s">
        <v>81</v>
      </c>
      <c r="I20" s="141"/>
      <c r="J20" s="141"/>
      <c r="K20" s="141"/>
      <c r="L20" s="588">
        <f>SUM(E21:K21)</f>
        <v>3000000</v>
      </c>
      <c r="M20" s="143"/>
    </row>
    <row r="21" spans="2:13" ht="15" thickBot="1">
      <c r="B21" s="144"/>
      <c r="C21" s="587"/>
      <c r="D21" s="157" t="s">
        <v>55</v>
      </c>
      <c r="E21" s="146">
        <v>1000000</v>
      </c>
      <c r="F21" s="146"/>
      <c r="G21" s="146">
        <v>1000000</v>
      </c>
      <c r="H21" s="146">
        <v>1000000</v>
      </c>
      <c r="I21" s="146"/>
      <c r="J21" s="146"/>
      <c r="K21" s="146"/>
      <c r="L21" s="589"/>
      <c r="M21" s="148"/>
    </row>
    <row r="22" spans="2:13">
      <c r="B22" s="124"/>
      <c r="C22" s="125"/>
      <c r="D22" s="590" t="s">
        <v>57</v>
      </c>
      <c r="E22" s="591"/>
      <c r="F22" s="592"/>
      <c r="G22" s="591"/>
      <c r="H22" s="591"/>
      <c r="I22" s="591"/>
      <c r="J22" s="591"/>
      <c r="K22" s="591"/>
      <c r="L22" s="593"/>
      <c r="M22" s="128"/>
    </row>
    <row r="23" spans="2:13">
      <c r="B23" s="124"/>
      <c r="C23" s="594" t="s">
        <v>11</v>
      </c>
      <c r="D23" s="158" t="s">
        <v>58</v>
      </c>
      <c r="E23" s="159"/>
      <c r="F23" s="160"/>
      <c r="G23" s="159"/>
      <c r="H23" s="159"/>
      <c r="I23" s="159"/>
      <c r="J23" s="159"/>
      <c r="K23" s="159"/>
      <c r="L23" s="596">
        <f>SUM(E24:K24)</f>
        <v>0</v>
      </c>
      <c r="M23" s="128"/>
    </row>
    <row r="24" spans="2:13" ht="15" thickBot="1">
      <c r="B24" s="144"/>
      <c r="C24" s="595"/>
      <c r="D24" s="161" t="s">
        <v>55</v>
      </c>
      <c r="E24" s="162"/>
      <c r="F24" s="146"/>
      <c r="G24" s="162"/>
      <c r="H24" s="162"/>
      <c r="I24" s="162"/>
      <c r="J24" s="162"/>
      <c r="K24" s="162"/>
      <c r="L24" s="597"/>
      <c r="M24" s="148"/>
    </row>
    <row r="25" spans="2:13" ht="17.25">
      <c r="B25" s="124"/>
      <c r="C25" s="125"/>
      <c r="D25" s="125"/>
      <c r="E25" s="127"/>
      <c r="F25" s="163"/>
      <c r="G25" s="127"/>
      <c r="H25" s="127"/>
      <c r="I25" s="127"/>
      <c r="J25" s="127"/>
      <c r="K25" s="127"/>
      <c r="L25" s="164">
        <f>SUM(L18:L24)</f>
        <v>3000000</v>
      </c>
      <c r="M25" s="128"/>
    </row>
    <row r="26" spans="2:13" ht="20.25">
      <c r="B26" s="124"/>
      <c r="C26" s="125"/>
      <c r="D26" s="599" t="s">
        <v>63</v>
      </c>
      <c r="E26" s="599"/>
      <c r="F26" s="127"/>
      <c r="G26" s="127"/>
      <c r="H26" s="127"/>
      <c r="I26" s="127"/>
      <c r="J26" s="127"/>
      <c r="K26" s="127"/>
      <c r="L26" s="125"/>
      <c r="M26" s="128"/>
    </row>
    <row r="27" spans="2:13" ht="15">
      <c r="B27" s="124"/>
      <c r="C27" s="125"/>
      <c r="D27" s="579" t="s">
        <v>64</v>
      </c>
      <c r="E27" s="579"/>
      <c r="F27" s="580">
        <f>+L16</f>
        <v>3600000</v>
      </c>
      <c r="G27" s="580"/>
      <c r="H27" s="127"/>
      <c r="I27" s="127"/>
      <c r="J27" s="127"/>
      <c r="K27" s="127"/>
      <c r="L27" s="125"/>
      <c r="M27" s="128"/>
    </row>
    <row r="28" spans="2:13" ht="15">
      <c r="B28" s="124"/>
      <c r="C28" s="125"/>
      <c r="D28" s="579" t="s">
        <v>65</v>
      </c>
      <c r="E28" s="579"/>
      <c r="F28" s="580">
        <f>+L25</f>
        <v>3000000</v>
      </c>
      <c r="G28" s="580"/>
      <c r="H28" s="127"/>
      <c r="I28" s="165" t="s">
        <v>76</v>
      </c>
      <c r="J28" s="166" t="s">
        <v>77</v>
      </c>
      <c r="K28" s="166" t="s">
        <v>78</v>
      </c>
      <c r="L28" s="125"/>
      <c r="M28" s="128"/>
    </row>
    <row r="29" spans="2:13" ht="17.25">
      <c r="B29" s="124"/>
      <c r="C29" s="125"/>
      <c r="D29" s="125"/>
      <c r="E29" s="127"/>
      <c r="F29" s="609">
        <f>+F28+F27</f>
        <v>6600000</v>
      </c>
      <c r="G29" s="609"/>
      <c r="H29" s="127"/>
      <c r="I29" s="167">
        <f>100*F29/96</f>
        <v>6875000</v>
      </c>
      <c r="J29" s="167">
        <f>4%*I29</f>
        <v>275000</v>
      </c>
      <c r="K29" s="167">
        <f>+I29-J29</f>
        <v>6600000</v>
      </c>
      <c r="L29" s="125"/>
      <c r="M29" s="128"/>
    </row>
    <row r="30" spans="2:13" ht="15" thickBot="1">
      <c r="B30" s="168"/>
      <c r="C30" s="169"/>
      <c r="D30" s="169"/>
      <c r="E30" s="170"/>
      <c r="F30" s="170"/>
      <c r="G30" s="170"/>
      <c r="H30" s="170"/>
      <c r="I30" s="170"/>
      <c r="J30" s="170"/>
      <c r="K30" s="170"/>
      <c r="L30" s="169"/>
      <c r="M30" s="171"/>
    </row>
    <row r="31" spans="2:13" ht="15.75" thickTop="1" thickBot="1"/>
    <row r="32" spans="2:13" ht="15" thickTop="1">
      <c r="B32" s="116"/>
      <c r="C32" s="117"/>
      <c r="D32" s="117"/>
      <c r="E32" s="118"/>
      <c r="F32" s="118"/>
      <c r="G32" s="118"/>
      <c r="H32" s="118"/>
      <c r="I32" s="118"/>
      <c r="J32" s="118"/>
      <c r="K32" s="118"/>
      <c r="L32" s="117"/>
      <c r="M32" s="119"/>
    </row>
    <row r="33" spans="2:13" ht="20.100000000000001" customHeight="1">
      <c r="B33" s="120"/>
      <c r="C33" s="608" t="s">
        <v>90</v>
      </c>
      <c r="D33" s="608"/>
      <c r="E33" s="608"/>
      <c r="F33" s="608"/>
      <c r="G33" s="608"/>
      <c r="H33" s="608"/>
      <c r="I33" s="608"/>
      <c r="J33" s="608"/>
      <c r="K33" s="608"/>
      <c r="L33" s="608"/>
      <c r="M33" s="121"/>
    </row>
    <row r="34" spans="2:13" ht="20.100000000000001" customHeight="1">
      <c r="B34" s="120"/>
      <c r="D34" s="115" t="s">
        <v>87</v>
      </c>
      <c r="E34" s="600" t="s">
        <v>88</v>
      </c>
      <c r="F34" s="600"/>
      <c r="L34" s="123" t="s">
        <v>91</v>
      </c>
      <c r="M34" s="121"/>
    </row>
    <row r="35" spans="2:13" ht="20.100000000000001" customHeight="1">
      <c r="B35" s="124"/>
      <c r="C35" s="125"/>
      <c r="D35" s="126" t="s">
        <v>89</v>
      </c>
      <c r="E35" s="127"/>
      <c r="F35" s="127"/>
      <c r="G35" s="127"/>
      <c r="H35" s="127"/>
      <c r="I35" s="127"/>
      <c r="J35" s="127"/>
      <c r="K35" s="127"/>
      <c r="L35" s="125"/>
      <c r="M35" s="128"/>
    </row>
    <row r="36" spans="2:13" ht="5.0999999999999996" customHeight="1">
      <c r="B36" s="124"/>
      <c r="C36" s="125"/>
      <c r="D36" s="126"/>
      <c r="E36" s="127"/>
      <c r="F36" s="127"/>
      <c r="G36" s="127"/>
      <c r="H36" s="127"/>
      <c r="I36" s="127"/>
      <c r="J36" s="127"/>
      <c r="K36" s="127"/>
      <c r="L36" s="125"/>
      <c r="M36" s="128"/>
    </row>
    <row r="37" spans="2:13" ht="16.5" thickBot="1">
      <c r="B37" s="124"/>
      <c r="C37" s="125"/>
      <c r="D37" s="129" t="s">
        <v>60</v>
      </c>
      <c r="E37" s="127"/>
      <c r="F37" s="127"/>
      <c r="G37" s="127"/>
      <c r="H37" s="127"/>
      <c r="I37" s="127"/>
      <c r="J37" s="127"/>
      <c r="K37" s="127"/>
      <c r="L37" s="125"/>
      <c r="M37" s="128"/>
    </row>
    <row r="38" spans="2:13" ht="15">
      <c r="B38" s="130"/>
      <c r="C38" s="131"/>
      <c r="D38" s="132" t="s">
        <v>3</v>
      </c>
      <c r="E38" s="133">
        <v>43255</v>
      </c>
      <c r="F38" s="133">
        <v>43256</v>
      </c>
      <c r="G38" s="133">
        <v>43257</v>
      </c>
      <c r="H38" s="133">
        <v>43258</v>
      </c>
      <c r="I38" s="133">
        <v>43259</v>
      </c>
      <c r="J38" s="133">
        <v>43260</v>
      </c>
      <c r="K38" s="133">
        <v>43261</v>
      </c>
      <c r="L38" s="584" t="s">
        <v>62</v>
      </c>
      <c r="M38" s="135"/>
    </row>
    <row r="39" spans="2:13" ht="15.75" thickBot="1">
      <c r="B39" s="130"/>
      <c r="C39" s="131"/>
      <c r="D39" s="136" t="s">
        <v>2</v>
      </c>
      <c r="E39" s="137" t="s">
        <v>4</v>
      </c>
      <c r="F39" s="137" t="s">
        <v>23</v>
      </c>
      <c r="G39" s="137" t="s">
        <v>29</v>
      </c>
      <c r="H39" s="137" t="s">
        <v>30</v>
      </c>
      <c r="I39" s="137" t="s">
        <v>59</v>
      </c>
      <c r="J39" s="137" t="s">
        <v>40</v>
      </c>
      <c r="K39" s="137" t="s">
        <v>43</v>
      </c>
      <c r="L39" s="585"/>
      <c r="M39" s="135"/>
    </row>
    <row r="40" spans="2:13">
      <c r="B40" s="139"/>
      <c r="C40" s="602" t="s">
        <v>70</v>
      </c>
      <c r="D40" s="140" t="s">
        <v>58</v>
      </c>
      <c r="E40" s="141" t="s">
        <v>81</v>
      </c>
      <c r="F40" s="141" t="s">
        <v>81</v>
      </c>
      <c r="G40" s="141" t="s">
        <v>81</v>
      </c>
      <c r="H40" s="141" t="s">
        <v>81</v>
      </c>
      <c r="I40" s="141" t="s">
        <v>81</v>
      </c>
      <c r="J40" s="141"/>
      <c r="K40" s="141"/>
      <c r="L40" s="588">
        <f>SUM(E41:K41)</f>
        <v>5000000</v>
      </c>
      <c r="M40" s="143"/>
    </row>
    <row r="41" spans="2:13" ht="15" thickBot="1">
      <c r="B41" s="144"/>
      <c r="C41" s="602"/>
      <c r="D41" s="145" t="s">
        <v>55</v>
      </c>
      <c r="E41" s="146">
        <v>1000000</v>
      </c>
      <c r="F41" s="146">
        <v>1000000</v>
      </c>
      <c r="G41" s="146">
        <v>1000000</v>
      </c>
      <c r="H41" s="146">
        <v>1000000</v>
      </c>
      <c r="I41" s="146">
        <v>1000000</v>
      </c>
      <c r="J41" s="146"/>
      <c r="K41" s="146"/>
      <c r="L41" s="589"/>
      <c r="M41" s="148"/>
    </row>
    <row r="42" spans="2:13">
      <c r="B42" s="139"/>
      <c r="C42" s="603" t="s">
        <v>71</v>
      </c>
      <c r="D42" s="140" t="s">
        <v>58</v>
      </c>
      <c r="E42" s="141"/>
      <c r="F42" s="141" t="s">
        <v>86</v>
      </c>
      <c r="G42" s="141" t="s">
        <v>86</v>
      </c>
      <c r="H42" s="141" t="s">
        <v>86</v>
      </c>
      <c r="I42" s="141" t="s">
        <v>86</v>
      </c>
      <c r="J42" s="142"/>
      <c r="K42" s="142"/>
      <c r="L42" s="588">
        <f>SUM(E43:K43)</f>
        <v>1200000</v>
      </c>
      <c r="M42" s="143"/>
    </row>
    <row r="43" spans="2:13" ht="15" thickBot="1">
      <c r="B43" s="144"/>
      <c r="C43" s="603"/>
      <c r="D43" s="145" t="s">
        <v>55</v>
      </c>
      <c r="E43" s="146"/>
      <c r="F43" s="146">
        <v>300000</v>
      </c>
      <c r="G43" s="146">
        <v>300000</v>
      </c>
      <c r="H43" s="146">
        <v>300000</v>
      </c>
      <c r="I43" s="146">
        <v>300000</v>
      </c>
      <c r="J43" s="147"/>
      <c r="K43" s="147"/>
      <c r="L43" s="589"/>
      <c r="M43" s="148"/>
    </row>
    <row r="44" spans="2:13" ht="15" thickBot="1">
      <c r="B44" s="124"/>
      <c r="C44" s="125"/>
      <c r="D44" s="604" t="s">
        <v>57</v>
      </c>
      <c r="E44" s="592"/>
      <c r="F44" s="592"/>
      <c r="G44" s="592"/>
      <c r="H44" s="592"/>
      <c r="I44" s="592"/>
      <c r="J44" s="592"/>
      <c r="K44" s="592"/>
      <c r="L44" s="605"/>
      <c r="M44" s="128"/>
    </row>
    <row r="45" spans="2:13">
      <c r="B45" s="124"/>
      <c r="C45" s="606" t="s">
        <v>11</v>
      </c>
      <c r="D45" s="149" t="s">
        <v>58</v>
      </c>
      <c r="E45" s="141"/>
      <c r="F45" s="141" t="s">
        <v>81</v>
      </c>
      <c r="G45" s="141" t="s">
        <v>86</v>
      </c>
      <c r="H45" s="141" t="s">
        <v>44</v>
      </c>
      <c r="I45" s="141" t="s">
        <v>44</v>
      </c>
      <c r="J45" s="150"/>
      <c r="K45" s="150"/>
      <c r="L45" s="588">
        <f>SUM(E46:K46)</f>
        <v>1600000</v>
      </c>
      <c r="M45" s="128"/>
    </row>
    <row r="46" spans="2:13" ht="15" thickBot="1">
      <c r="B46" s="124"/>
      <c r="C46" s="607"/>
      <c r="D46" s="151" t="s">
        <v>55</v>
      </c>
      <c r="E46" s="146"/>
      <c r="F46" s="146">
        <v>500000</v>
      </c>
      <c r="G46" s="146">
        <v>300000</v>
      </c>
      <c r="H46" s="146">
        <v>400000</v>
      </c>
      <c r="I46" s="146">
        <v>400000</v>
      </c>
      <c r="J46" s="146"/>
      <c r="K46" s="146"/>
      <c r="L46" s="589"/>
      <c r="M46" s="128"/>
    </row>
    <row r="47" spans="2:13" ht="16.5">
      <c r="B47" s="124"/>
      <c r="C47" s="125"/>
      <c r="D47" s="152"/>
      <c r="E47" s="153"/>
      <c r="F47" s="153"/>
      <c r="G47" s="153"/>
      <c r="H47" s="153"/>
      <c r="I47" s="153"/>
      <c r="J47" s="153"/>
      <c r="K47" s="153"/>
      <c r="L47" s="154">
        <f>SUM(L40:L46)</f>
        <v>7800000</v>
      </c>
      <c r="M47" s="128"/>
    </row>
    <row r="48" spans="2:13" ht="16.5" thickBot="1">
      <c r="B48" s="124"/>
      <c r="C48" s="125"/>
      <c r="D48" s="155" t="s">
        <v>61</v>
      </c>
      <c r="E48" s="153"/>
      <c r="F48" s="153"/>
      <c r="G48" s="153"/>
      <c r="H48" s="153"/>
      <c r="I48" s="153"/>
      <c r="J48" s="153"/>
      <c r="K48" s="153"/>
      <c r="L48" s="152"/>
      <c r="M48" s="128"/>
    </row>
    <row r="49" spans="2:13" ht="15">
      <c r="B49" s="130"/>
      <c r="C49" s="131"/>
      <c r="D49" s="132" t="s">
        <v>3</v>
      </c>
      <c r="E49" s="133">
        <v>43255</v>
      </c>
      <c r="F49" s="133">
        <v>43256</v>
      </c>
      <c r="G49" s="133">
        <v>43257</v>
      </c>
      <c r="H49" s="133">
        <v>43258</v>
      </c>
      <c r="I49" s="133">
        <v>43259</v>
      </c>
      <c r="J49" s="133">
        <v>43260</v>
      </c>
      <c r="K49" s="133">
        <v>43261</v>
      </c>
      <c r="L49" s="584" t="s">
        <v>62</v>
      </c>
      <c r="M49" s="135"/>
    </row>
    <row r="50" spans="2:13" ht="15.75" thickBot="1">
      <c r="B50" s="130"/>
      <c r="C50" s="131"/>
      <c r="D50" s="136" t="s">
        <v>2</v>
      </c>
      <c r="E50" s="137" t="s">
        <v>4</v>
      </c>
      <c r="F50" s="137" t="s">
        <v>23</v>
      </c>
      <c r="G50" s="137" t="s">
        <v>29</v>
      </c>
      <c r="H50" s="137" t="s">
        <v>30</v>
      </c>
      <c r="I50" s="137" t="s">
        <v>59</v>
      </c>
      <c r="J50" s="137" t="s">
        <v>40</v>
      </c>
      <c r="K50" s="137" t="s">
        <v>43</v>
      </c>
      <c r="L50" s="585"/>
      <c r="M50" s="135"/>
    </row>
    <row r="51" spans="2:13">
      <c r="B51" s="139"/>
      <c r="C51" s="586" t="s">
        <v>70</v>
      </c>
      <c r="D51" s="156" t="s">
        <v>58</v>
      </c>
      <c r="E51" s="141" t="s">
        <v>81</v>
      </c>
      <c r="F51" s="141" t="s">
        <v>81</v>
      </c>
      <c r="G51" s="141" t="s">
        <v>81</v>
      </c>
      <c r="H51" s="141" t="s">
        <v>81</v>
      </c>
      <c r="I51" s="141" t="s">
        <v>81</v>
      </c>
      <c r="J51" s="141"/>
      <c r="K51" s="141"/>
      <c r="L51" s="588">
        <f>SUM(E52:K52)</f>
        <v>5000000</v>
      </c>
      <c r="M51" s="143"/>
    </row>
    <row r="52" spans="2:13" ht="15" thickBot="1">
      <c r="B52" s="144"/>
      <c r="C52" s="587"/>
      <c r="D52" s="157" t="s">
        <v>55</v>
      </c>
      <c r="E52" s="146">
        <v>1000000</v>
      </c>
      <c r="F52" s="146">
        <v>1000000</v>
      </c>
      <c r="G52" s="146">
        <v>1000000</v>
      </c>
      <c r="H52" s="146">
        <v>1000000</v>
      </c>
      <c r="I52" s="146">
        <v>1000000</v>
      </c>
      <c r="J52" s="146"/>
      <c r="K52" s="146"/>
      <c r="L52" s="589"/>
      <c r="M52" s="148"/>
    </row>
    <row r="53" spans="2:13">
      <c r="B53" s="124"/>
      <c r="C53" s="125"/>
      <c r="D53" s="590" t="s">
        <v>57</v>
      </c>
      <c r="E53" s="591"/>
      <c r="F53" s="592"/>
      <c r="G53" s="591"/>
      <c r="H53" s="591"/>
      <c r="I53" s="591"/>
      <c r="J53" s="591"/>
      <c r="K53" s="591"/>
      <c r="L53" s="593"/>
      <c r="M53" s="128"/>
    </row>
    <row r="54" spans="2:13">
      <c r="B54" s="124"/>
      <c r="C54" s="594" t="s">
        <v>11</v>
      </c>
      <c r="D54" s="158" t="s">
        <v>58</v>
      </c>
      <c r="E54" s="159"/>
      <c r="F54" s="160"/>
      <c r="G54" s="159"/>
      <c r="H54" s="159"/>
      <c r="I54" s="159"/>
      <c r="J54" s="159"/>
      <c r="K54" s="159"/>
      <c r="L54" s="596">
        <f>SUM(E55:K55)</f>
        <v>0</v>
      </c>
      <c r="M54" s="128"/>
    </row>
    <row r="55" spans="2:13" ht="15" thickBot="1">
      <c r="B55" s="144"/>
      <c r="C55" s="595"/>
      <c r="D55" s="161" t="s">
        <v>55</v>
      </c>
      <c r="E55" s="162"/>
      <c r="F55" s="146"/>
      <c r="G55" s="162"/>
      <c r="H55" s="162"/>
      <c r="I55" s="162"/>
      <c r="J55" s="162"/>
      <c r="K55" s="162"/>
      <c r="L55" s="597"/>
      <c r="M55" s="148"/>
    </row>
    <row r="56" spans="2:13" ht="17.25">
      <c r="B56" s="124"/>
      <c r="C56" s="125"/>
      <c r="D56" s="125"/>
      <c r="E56" s="127"/>
      <c r="F56" s="163"/>
      <c r="G56" s="127"/>
      <c r="H56" s="127"/>
      <c r="I56" s="127"/>
      <c r="J56" s="127"/>
      <c r="K56" s="127"/>
      <c r="L56" s="164">
        <f>SUM(L49:L55)</f>
        <v>5000000</v>
      </c>
      <c r="M56" s="128"/>
    </row>
    <row r="57" spans="2:13" ht="20.25">
      <c r="B57" s="124"/>
      <c r="C57" s="125"/>
      <c r="D57" s="599" t="s">
        <v>63</v>
      </c>
      <c r="E57" s="599"/>
      <c r="F57" s="127"/>
      <c r="G57" s="127"/>
      <c r="H57" s="127"/>
      <c r="I57" s="127"/>
      <c r="J57" s="127"/>
      <c r="K57" s="127"/>
      <c r="L57" s="125"/>
      <c r="M57" s="128"/>
    </row>
    <row r="58" spans="2:13" ht="15">
      <c r="B58" s="124"/>
      <c r="C58" s="125"/>
      <c r="D58" s="579" t="s">
        <v>64</v>
      </c>
      <c r="E58" s="579"/>
      <c r="F58" s="580">
        <f>+L47</f>
        <v>7800000</v>
      </c>
      <c r="G58" s="580"/>
      <c r="H58" s="127"/>
      <c r="I58" s="127"/>
      <c r="J58" s="127"/>
      <c r="K58" s="127"/>
      <c r="L58" s="125"/>
      <c r="M58" s="128"/>
    </row>
    <row r="59" spans="2:13" ht="15">
      <c r="B59" s="124"/>
      <c r="C59" s="125"/>
      <c r="D59" s="579" t="s">
        <v>65</v>
      </c>
      <c r="E59" s="579"/>
      <c r="F59" s="580">
        <f>+L56</f>
        <v>5000000</v>
      </c>
      <c r="G59" s="580"/>
      <c r="H59" s="127"/>
      <c r="I59" s="165" t="s">
        <v>76</v>
      </c>
      <c r="J59" s="166" t="s">
        <v>77</v>
      </c>
      <c r="K59" s="166" t="s">
        <v>78</v>
      </c>
      <c r="L59" s="125"/>
      <c r="M59" s="128"/>
    </row>
    <row r="60" spans="2:13" ht="17.25">
      <c r="B60" s="124"/>
      <c r="C60" s="125"/>
      <c r="D60" s="125"/>
      <c r="E60" s="127"/>
      <c r="F60" s="609">
        <f>+F59+F58</f>
        <v>12800000</v>
      </c>
      <c r="G60" s="609"/>
      <c r="H60" s="127"/>
      <c r="I60" s="167">
        <f>100*F60/96</f>
        <v>13333333.333333334</v>
      </c>
      <c r="J60" s="167">
        <f>4%*I60</f>
        <v>533333.33333333337</v>
      </c>
      <c r="K60" s="167">
        <f>+I60-J60</f>
        <v>12800000</v>
      </c>
      <c r="L60" s="125"/>
      <c r="M60" s="128"/>
    </row>
    <row r="61" spans="2:13" ht="15" thickBot="1">
      <c r="B61" s="168"/>
      <c r="C61" s="169"/>
      <c r="D61" s="169"/>
      <c r="E61" s="170"/>
      <c r="F61" s="170"/>
      <c r="G61" s="170"/>
      <c r="H61" s="170"/>
      <c r="I61" s="170"/>
      <c r="J61" s="170"/>
      <c r="K61" s="170"/>
      <c r="L61" s="169"/>
      <c r="M61" s="171"/>
    </row>
    <row r="62" spans="2:13" ht="15.75" thickTop="1" thickBot="1"/>
    <row r="63" spans="2:13" ht="15" thickTop="1">
      <c r="B63" s="116"/>
      <c r="C63" s="117"/>
      <c r="D63" s="117"/>
      <c r="E63" s="118"/>
      <c r="F63" s="118"/>
      <c r="G63" s="118"/>
      <c r="H63" s="118"/>
      <c r="I63" s="118"/>
      <c r="J63" s="118"/>
      <c r="K63" s="118"/>
      <c r="L63" s="117"/>
      <c r="M63" s="119"/>
    </row>
    <row r="64" spans="2:13" ht="20.100000000000001" customHeight="1">
      <c r="B64" s="120"/>
      <c r="D64" s="115" t="s">
        <v>87</v>
      </c>
      <c r="E64" s="600" t="s">
        <v>88</v>
      </c>
      <c r="F64" s="600"/>
      <c r="H64" s="601" t="s">
        <v>90</v>
      </c>
      <c r="I64" s="601"/>
      <c r="J64" s="601"/>
      <c r="K64" s="601"/>
      <c r="L64" s="601"/>
      <c r="M64" s="121"/>
    </row>
    <row r="65" spans="2:13" ht="20.100000000000001" customHeight="1">
      <c r="B65" s="124"/>
      <c r="C65" s="125"/>
      <c r="D65" s="126" t="s">
        <v>93</v>
      </c>
      <c r="E65" s="127"/>
      <c r="F65" s="127"/>
      <c r="G65" s="127"/>
      <c r="H65" s="127"/>
      <c r="I65" s="127"/>
      <c r="J65" s="127"/>
      <c r="K65" s="127"/>
      <c r="L65" s="182" t="s">
        <v>102</v>
      </c>
      <c r="M65" s="128"/>
    </row>
    <row r="66" spans="2:13" ht="9.9499999999999993" customHeight="1" thickBot="1">
      <c r="B66" s="124"/>
      <c r="C66" s="125"/>
      <c r="D66" s="126"/>
      <c r="E66" s="127"/>
      <c r="F66" s="127"/>
      <c r="G66" s="127"/>
      <c r="H66" s="127"/>
      <c r="I66" s="127"/>
      <c r="J66" s="127"/>
      <c r="K66" s="127"/>
      <c r="L66" s="125"/>
      <c r="M66" s="128"/>
    </row>
    <row r="67" spans="2:13" s="131" customFormat="1" ht="18" customHeight="1">
      <c r="B67" s="130"/>
      <c r="C67" s="178" t="s">
        <v>60</v>
      </c>
      <c r="D67" s="132" t="s">
        <v>3</v>
      </c>
      <c r="E67" s="133">
        <v>43262</v>
      </c>
      <c r="F67" s="133">
        <v>43263</v>
      </c>
      <c r="G67" s="134">
        <v>43264</v>
      </c>
      <c r="H67" s="134">
        <v>43265</v>
      </c>
      <c r="I67" s="134">
        <v>43266</v>
      </c>
      <c r="J67" s="134">
        <v>43267</v>
      </c>
      <c r="K67" s="134">
        <v>43268</v>
      </c>
      <c r="L67" s="584" t="s">
        <v>62</v>
      </c>
      <c r="M67" s="135"/>
    </row>
    <row r="68" spans="2:13" s="131" customFormat="1" ht="18" customHeight="1" thickBot="1">
      <c r="B68" s="130"/>
      <c r="D68" s="136" t="s">
        <v>2</v>
      </c>
      <c r="E68" s="137" t="s">
        <v>4</v>
      </c>
      <c r="F68" s="137" t="s">
        <v>23</v>
      </c>
      <c r="G68" s="138" t="s">
        <v>29</v>
      </c>
      <c r="H68" s="138" t="s">
        <v>30</v>
      </c>
      <c r="I68" s="138" t="s">
        <v>59</v>
      </c>
      <c r="J68" s="138" t="s">
        <v>40</v>
      </c>
      <c r="K68" s="138" t="s">
        <v>43</v>
      </c>
      <c r="L68" s="585"/>
      <c r="M68" s="135"/>
    </row>
    <row r="69" spans="2:13" ht="17.100000000000001" customHeight="1">
      <c r="B69" s="139"/>
      <c r="C69" s="602" t="s">
        <v>70</v>
      </c>
      <c r="D69" s="140" t="s">
        <v>58</v>
      </c>
      <c r="E69" s="141" t="s">
        <v>81</v>
      </c>
      <c r="F69" s="141" t="s">
        <v>81</v>
      </c>
      <c r="G69" s="141"/>
      <c r="H69" s="141"/>
      <c r="I69" s="141"/>
      <c r="J69" s="141"/>
      <c r="K69" s="141"/>
      <c r="L69" s="588">
        <f>SUM(E70:K70)</f>
        <v>2000000</v>
      </c>
      <c r="M69" s="143"/>
    </row>
    <row r="70" spans="2:13" ht="17.100000000000001" customHeight="1" thickBot="1">
      <c r="B70" s="144"/>
      <c r="C70" s="602"/>
      <c r="D70" s="145" t="s">
        <v>55</v>
      </c>
      <c r="E70" s="146">
        <v>1000000</v>
      </c>
      <c r="F70" s="146">
        <v>1000000</v>
      </c>
      <c r="G70" s="146"/>
      <c r="H70" s="146"/>
      <c r="I70" s="146"/>
      <c r="J70" s="146"/>
      <c r="K70" s="146"/>
      <c r="L70" s="589"/>
      <c r="M70" s="148"/>
    </row>
    <row r="71" spans="2:13" ht="17.100000000000001" customHeight="1">
      <c r="B71" s="139"/>
      <c r="C71" s="603" t="s">
        <v>71</v>
      </c>
      <c r="D71" s="140" t="s">
        <v>58</v>
      </c>
      <c r="E71" s="141" t="s">
        <v>94</v>
      </c>
      <c r="F71" s="141" t="s">
        <v>94</v>
      </c>
      <c r="G71" s="141"/>
      <c r="H71" s="141"/>
      <c r="I71" s="141"/>
      <c r="J71" s="142"/>
      <c r="K71" s="142"/>
      <c r="L71" s="588">
        <f>SUM(E72:K72)</f>
        <v>600000</v>
      </c>
      <c r="M71" s="143"/>
    </row>
    <row r="72" spans="2:13" ht="17.100000000000001" customHeight="1" thickBot="1">
      <c r="B72" s="144"/>
      <c r="C72" s="603"/>
      <c r="D72" s="145" t="s">
        <v>55</v>
      </c>
      <c r="E72" s="146">
        <v>300000</v>
      </c>
      <c r="F72" s="146">
        <v>300000</v>
      </c>
      <c r="G72" s="146"/>
      <c r="H72" s="146"/>
      <c r="I72" s="146"/>
      <c r="J72" s="147"/>
      <c r="K72" s="147"/>
      <c r="L72" s="589"/>
      <c r="M72" s="148"/>
    </row>
    <row r="73" spans="2:13" ht="17.100000000000001" customHeight="1" thickBot="1">
      <c r="B73" s="124"/>
      <c r="C73" s="125"/>
      <c r="D73" s="604" t="s">
        <v>57</v>
      </c>
      <c r="E73" s="592"/>
      <c r="F73" s="592"/>
      <c r="G73" s="592"/>
      <c r="H73" s="592"/>
      <c r="I73" s="592"/>
      <c r="J73" s="592"/>
      <c r="K73" s="592"/>
      <c r="L73" s="605"/>
      <c r="M73" s="128"/>
    </row>
    <row r="74" spans="2:13" ht="17.100000000000001" customHeight="1">
      <c r="B74" s="124"/>
      <c r="C74" s="606" t="s">
        <v>11</v>
      </c>
      <c r="D74" s="149" t="s">
        <v>58</v>
      </c>
      <c r="E74" s="141"/>
      <c r="F74" s="141"/>
      <c r="G74" s="141"/>
      <c r="H74" s="141"/>
      <c r="I74" s="141"/>
      <c r="J74" s="150"/>
      <c r="K74" s="150"/>
      <c r="L74" s="588">
        <f>SUM(E75:K75)</f>
        <v>0</v>
      </c>
      <c r="M74" s="128"/>
    </row>
    <row r="75" spans="2:13" ht="17.100000000000001" customHeight="1" thickBot="1">
      <c r="B75" s="124"/>
      <c r="C75" s="607"/>
      <c r="D75" s="151" t="s">
        <v>55</v>
      </c>
      <c r="E75" s="146"/>
      <c r="F75" s="146"/>
      <c r="G75" s="146"/>
      <c r="H75" s="146"/>
      <c r="I75" s="146"/>
      <c r="J75" s="146"/>
      <c r="K75" s="146"/>
      <c r="L75" s="589"/>
      <c r="M75" s="128"/>
    </row>
    <row r="76" spans="2:13" ht="9.9499999999999993" customHeight="1" thickBot="1">
      <c r="B76" s="124"/>
      <c r="C76" s="125"/>
      <c r="D76" s="152"/>
      <c r="E76" s="153"/>
      <c r="F76" s="153"/>
      <c r="G76" s="153"/>
      <c r="H76" s="153"/>
      <c r="I76" s="153"/>
      <c r="J76" s="153"/>
      <c r="K76" s="583">
        <f>SUM(L69:L75)</f>
        <v>2600000</v>
      </c>
      <c r="L76" s="583"/>
      <c r="M76" s="128"/>
    </row>
    <row r="77" spans="2:13" s="131" customFormat="1" ht="18" customHeight="1">
      <c r="B77" s="130"/>
      <c r="C77" s="179" t="s">
        <v>61</v>
      </c>
      <c r="D77" s="132" t="s">
        <v>3</v>
      </c>
      <c r="E77" s="133">
        <v>43262</v>
      </c>
      <c r="F77" s="133">
        <v>43263</v>
      </c>
      <c r="G77" s="134">
        <v>43264</v>
      </c>
      <c r="H77" s="134">
        <v>43265</v>
      </c>
      <c r="I77" s="134">
        <v>43266</v>
      </c>
      <c r="J77" s="134">
        <v>43267</v>
      </c>
      <c r="K77" s="134">
        <v>43268</v>
      </c>
      <c r="L77" s="584" t="s">
        <v>62</v>
      </c>
      <c r="M77" s="135"/>
    </row>
    <row r="78" spans="2:13" s="131" customFormat="1" ht="18" customHeight="1" thickBot="1">
      <c r="B78" s="130"/>
      <c r="D78" s="136" t="s">
        <v>2</v>
      </c>
      <c r="E78" s="137" t="s">
        <v>4</v>
      </c>
      <c r="F78" s="137" t="s">
        <v>23</v>
      </c>
      <c r="G78" s="138" t="s">
        <v>29</v>
      </c>
      <c r="H78" s="138" t="s">
        <v>30</v>
      </c>
      <c r="I78" s="138" t="s">
        <v>59</v>
      </c>
      <c r="J78" s="138" t="s">
        <v>40</v>
      </c>
      <c r="K78" s="138" t="s">
        <v>43</v>
      </c>
      <c r="L78" s="585"/>
      <c r="M78" s="135"/>
    </row>
    <row r="79" spans="2:13" ht="17.100000000000001" customHeight="1">
      <c r="B79" s="139"/>
      <c r="C79" s="586" t="s">
        <v>70</v>
      </c>
      <c r="D79" s="156" t="s">
        <v>58</v>
      </c>
      <c r="E79" s="141" t="s">
        <v>81</v>
      </c>
      <c r="F79" s="141" t="s">
        <v>81</v>
      </c>
      <c r="G79" s="141"/>
      <c r="H79" s="141"/>
      <c r="I79" s="141"/>
      <c r="J79" s="141"/>
      <c r="K79" s="141"/>
      <c r="L79" s="588">
        <f>SUM(E80:K80)</f>
        <v>2000000</v>
      </c>
      <c r="M79" s="143"/>
    </row>
    <row r="80" spans="2:13" ht="17.100000000000001" customHeight="1" thickBot="1">
      <c r="B80" s="144"/>
      <c r="C80" s="587"/>
      <c r="D80" s="157" t="s">
        <v>55</v>
      </c>
      <c r="E80" s="146">
        <v>1000000</v>
      </c>
      <c r="F80" s="146">
        <v>1000000</v>
      </c>
      <c r="G80" s="146"/>
      <c r="H80" s="146"/>
      <c r="I80" s="146"/>
      <c r="J80" s="146"/>
      <c r="K80" s="146"/>
      <c r="L80" s="589"/>
      <c r="M80" s="148"/>
    </row>
    <row r="81" spans="2:13" ht="17.100000000000001" customHeight="1">
      <c r="B81" s="124"/>
      <c r="C81" s="125"/>
      <c r="D81" s="590" t="s">
        <v>57</v>
      </c>
      <c r="E81" s="591"/>
      <c r="F81" s="592"/>
      <c r="G81" s="591"/>
      <c r="H81" s="591"/>
      <c r="I81" s="591"/>
      <c r="J81" s="591"/>
      <c r="K81" s="591"/>
      <c r="L81" s="593"/>
      <c r="M81" s="128"/>
    </row>
    <row r="82" spans="2:13" ht="17.100000000000001" customHeight="1">
      <c r="B82" s="124"/>
      <c r="C82" s="594" t="s">
        <v>11</v>
      </c>
      <c r="D82" s="158" t="s">
        <v>58</v>
      </c>
      <c r="E82" s="159"/>
      <c r="F82" s="160"/>
      <c r="G82" s="159"/>
      <c r="H82" s="159"/>
      <c r="I82" s="159"/>
      <c r="J82" s="159"/>
      <c r="K82" s="159"/>
      <c r="L82" s="596">
        <f>SUM(E83:K83)</f>
        <v>0</v>
      </c>
      <c r="M82" s="128"/>
    </row>
    <row r="83" spans="2:13" ht="17.100000000000001" customHeight="1" thickBot="1">
      <c r="B83" s="144"/>
      <c r="C83" s="595"/>
      <c r="D83" s="161" t="s">
        <v>55</v>
      </c>
      <c r="E83" s="162"/>
      <c r="F83" s="146"/>
      <c r="G83" s="162"/>
      <c r="H83" s="162"/>
      <c r="I83" s="162"/>
      <c r="J83" s="162"/>
      <c r="K83" s="162"/>
      <c r="L83" s="597"/>
      <c r="M83" s="148"/>
    </row>
    <row r="84" spans="2:13" ht="18" customHeight="1">
      <c r="B84" s="124"/>
      <c r="C84" s="125"/>
      <c r="D84" s="125"/>
      <c r="E84" s="127"/>
      <c r="F84" s="163"/>
      <c r="G84" s="127"/>
      <c r="H84" s="127"/>
      <c r="I84" s="127"/>
      <c r="J84" s="127"/>
      <c r="K84" s="598">
        <f>SUM(L77:L83)</f>
        <v>2000000</v>
      </c>
      <c r="L84" s="598"/>
      <c r="M84" s="128"/>
    </row>
    <row r="85" spans="2:13" ht="20.25">
      <c r="B85" s="124"/>
      <c r="C85" s="125"/>
      <c r="D85" s="599" t="s">
        <v>63</v>
      </c>
      <c r="E85" s="599"/>
      <c r="F85" s="127"/>
      <c r="G85" s="127"/>
      <c r="H85" s="127"/>
      <c r="I85" s="127"/>
      <c r="J85" s="127"/>
      <c r="K85" s="127"/>
      <c r="L85" s="125"/>
      <c r="M85" s="128"/>
    </row>
    <row r="86" spans="2:13" ht="15">
      <c r="B86" s="124"/>
      <c r="C86" s="125"/>
      <c r="D86" s="579" t="s">
        <v>64</v>
      </c>
      <c r="E86" s="579"/>
      <c r="F86" s="580">
        <f>+K76</f>
        <v>2600000</v>
      </c>
      <c r="G86" s="580"/>
      <c r="H86" s="127"/>
      <c r="I86" s="127"/>
      <c r="J86" s="127"/>
      <c r="K86" s="127"/>
      <c r="L86" s="125"/>
      <c r="M86" s="128"/>
    </row>
    <row r="87" spans="2:13" ht="15.75" thickBot="1">
      <c r="B87" s="124"/>
      <c r="C87" s="125"/>
      <c r="D87" s="579" t="s">
        <v>65</v>
      </c>
      <c r="E87" s="579"/>
      <c r="F87" s="581">
        <f>+K84</f>
        <v>2000000</v>
      </c>
      <c r="G87" s="581"/>
      <c r="H87" s="127"/>
      <c r="I87" s="172" t="s">
        <v>76</v>
      </c>
      <c r="J87" s="173" t="s">
        <v>77</v>
      </c>
      <c r="K87" s="174" t="s">
        <v>78</v>
      </c>
      <c r="L87" s="125"/>
      <c r="M87" s="128"/>
    </row>
    <row r="88" spans="2:13" ht="20.100000000000001" customHeight="1" thickTop="1" thickBot="1">
      <c r="B88" s="124"/>
      <c r="C88" s="125"/>
      <c r="D88" s="125"/>
      <c r="E88" s="127"/>
      <c r="F88" s="582">
        <f>+F87+F86</f>
        <v>4600000</v>
      </c>
      <c r="G88" s="582"/>
      <c r="H88" s="127"/>
      <c r="I88" s="175">
        <f>100*F88/96</f>
        <v>4791666.666666667</v>
      </c>
      <c r="J88" s="176">
        <f>4%*I88</f>
        <v>191666.66666666669</v>
      </c>
      <c r="K88" s="177">
        <f>+I88-J88</f>
        <v>4600000</v>
      </c>
      <c r="L88" s="125"/>
      <c r="M88" s="128"/>
    </row>
    <row r="89" spans="2:13" ht="15.75" thickTop="1" thickBot="1">
      <c r="B89" s="168"/>
      <c r="C89" s="169"/>
      <c r="D89" s="169"/>
      <c r="E89" s="170"/>
      <c r="F89" s="170"/>
      <c r="G89" s="170"/>
      <c r="H89" s="170"/>
      <c r="I89" s="170"/>
      <c r="J89" s="170"/>
      <c r="K89" s="170"/>
      <c r="L89" s="169"/>
      <c r="M89" s="171"/>
    </row>
    <row r="90" spans="2:13" ht="15.75" thickTop="1" thickBot="1"/>
    <row r="91" spans="2:13" ht="15" thickTop="1">
      <c r="B91" s="116"/>
      <c r="C91" s="117"/>
      <c r="D91" s="117"/>
      <c r="E91" s="118"/>
      <c r="F91" s="118"/>
      <c r="G91" s="118"/>
      <c r="H91" s="118"/>
      <c r="I91" s="118"/>
      <c r="J91" s="118"/>
      <c r="K91" s="118"/>
      <c r="L91" s="117"/>
      <c r="M91" s="119"/>
    </row>
    <row r="92" spans="2:13" ht="20.100000000000001" customHeight="1">
      <c r="B92" s="120"/>
      <c r="D92" s="115" t="s">
        <v>87</v>
      </c>
      <c r="E92" s="600" t="s">
        <v>88</v>
      </c>
      <c r="F92" s="600"/>
      <c r="H92" s="601" t="s">
        <v>90</v>
      </c>
      <c r="I92" s="601"/>
      <c r="J92" s="601"/>
      <c r="K92" s="601"/>
      <c r="L92" s="601"/>
      <c r="M92" s="121"/>
    </row>
    <row r="93" spans="2:13" ht="20.100000000000001" customHeight="1">
      <c r="B93" s="124"/>
      <c r="C93" s="125"/>
      <c r="D93" s="126" t="s">
        <v>101</v>
      </c>
      <c r="E93" s="127"/>
      <c r="F93" s="127"/>
      <c r="G93" s="127"/>
      <c r="H93" s="127"/>
      <c r="I93" s="127"/>
      <c r="J93" s="127"/>
      <c r="K93" s="127"/>
      <c r="L93" s="182" t="s">
        <v>102</v>
      </c>
      <c r="M93" s="128"/>
    </row>
    <row r="94" spans="2:13" ht="9.9499999999999993" customHeight="1" thickBot="1">
      <c r="B94" s="124"/>
      <c r="C94" s="125"/>
      <c r="D94" s="126"/>
      <c r="E94" s="127"/>
      <c r="F94" s="127"/>
      <c r="G94" s="127"/>
      <c r="H94" s="127"/>
      <c r="I94" s="127"/>
      <c r="J94" s="127"/>
      <c r="K94" s="127"/>
      <c r="L94" s="125"/>
      <c r="M94" s="128"/>
    </row>
    <row r="95" spans="2:13" s="131" customFormat="1" ht="18" customHeight="1">
      <c r="B95" s="130"/>
      <c r="C95" s="178" t="s">
        <v>60</v>
      </c>
      <c r="D95" s="132" t="s">
        <v>3</v>
      </c>
      <c r="E95" s="133">
        <v>43276</v>
      </c>
      <c r="F95" s="133">
        <v>43277</v>
      </c>
      <c r="G95" s="134">
        <v>43278</v>
      </c>
      <c r="H95" s="133">
        <v>43279</v>
      </c>
      <c r="I95" s="133">
        <v>43280</v>
      </c>
      <c r="J95" s="133">
        <v>43281</v>
      </c>
      <c r="K95" s="134">
        <v>43282</v>
      </c>
      <c r="L95" s="584" t="s">
        <v>62</v>
      </c>
      <c r="M95" s="135"/>
    </row>
    <row r="96" spans="2:13" s="131" customFormat="1" ht="18" customHeight="1" thickBot="1">
      <c r="B96" s="130"/>
      <c r="D96" s="136" t="s">
        <v>2</v>
      </c>
      <c r="E96" s="137" t="s">
        <v>4</v>
      </c>
      <c r="F96" s="137" t="s">
        <v>23</v>
      </c>
      <c r="G96" s="138" t="s">
        <v>29</v>
      </c>
      <c r="H96" s="137" t="s">
        <v>30</v>
      </c>
      <c r="I96" s="137" t="s">
        <v>59</v>
      </c>
      <c r="J96" s="137" t="s">
        <v>40</v>
      </c>
      <c r="K96" s="138" t="s">
        <v>43</v>
      </c>
      <c r="L96" s="585"/>
      <c r="M96" s="135"/>
    </row>
    <row r="97" spans="2:13" ht="17.100000000000001" customHeight="1">
      <c r="B97" s="139"/>
      <c r="C97" s="602" t="s">
        <v>70</v>
      </c>
      <c r="D97" s="140" t="s">
        <v>58</v>
      </c>
      <c r="E97" s="141" t="s">
        <v>81</v>
      </c>
      <c r="F97" s="141" t="s">
        <v>81</v>
      </c>
      <c r="G97" s="141"/>
      <c r="H97" s="141" t="s">
        <v>81</v>
      </c>
      <c r="I97" s="141" t="s">
        <v>95</v>
      </c>
      <c r="J97" s="141" t="s">
        <v>96</v>
      </c>
      <c r="K97" s="141"/>
      <c r="L97" s="588">
        <f>SUM(E98:K98)</f>
        <v>5000000</v>
      </c>
      <c r="M97" s="143"/>
    </row>
    <row r="98" spans="2:13" ht="17.100000000000001" customHeight="1" thickBot="1">
      <c r="B98" s="144"/>
      <c r="C98" s="602"/>
      <c r="D98" s="145" t="s">
        <v>55</v>
      </c>
      <c r="E98" s="146">
        <v>1000000</v>
      </c>
      <c r="F98" s="146">
        <v>1000000</v>
      </c>
      <c r="G98" s="146"/>
      <c r="H98" s="146">
        <v>1000000</v>
      </c>
      <c r="I98" s="146">
        <v>1000000</v>
      </c>
      <c r="J98" s="146">
        <v>1000000</v>
      </c>
      <c r="K98" s="146"/>
      <c r="L98" s="589"/>
      <c r="M98" s="148"/>
    </row>
    <row r="99" spans="2:13" ht="17.100000000000001" customHeight="1">
      <c r="B99" s="139"/>
      <c r="C99" s="603" t="s">
        <v>71</v>
      </c>
      <c r="D99" s="140" t="s">
        <v>58</v>
      </c>
      <c r="E99" s="141"/>
      <c r="F99" s="141" t="s">
        <v>94</v>
      </c>
      <c r="G99" s="141"/>
      <c r="H99" s="180" t="s">
        <v>94</v>
      </c>
      <c r="I99" s="180" t="s">
        <v>97</v>
      </c>
      <c r="J99" s="180" t="s">
        <v>98</v>
      </c>
      <c r="K99" s="142"/>
      <c r="L99" s="588">
        <f>SUM(E100:K100)</f>
        <v>2000000</v>
      </c>
      <c r="M99" s="143"/>
    </row>
    <row r="100" spans="2:13" ht="17.100000000000001" customHeight="1" thickBot="1">
      <c r="B100" s="144"/>
      <c r="C100" s="603"/>
      <c r="D100" s="145" t="s">
        <v>55</v>
      </c>
      <c r="E100" s="146"/>
      <c r="F100" s="146">
        <v>500000</v>
      </c>
      <c r="G100" s="146"/>
      <c r="H100" s="181">
        <v>500000</v>
      </c>
      <c r="I100" s="181">
        <v>500000</v>
      </c>
      <c r="J100" s="181">
        <v>500000</v>
      </c>
      <c r="K100" s="147"/>
      <c r="L100" s="589"/>
      <c r="M100" s="148"/>
    </row>
    <row r="101" spans="2:13" ht="17.100000000000001" customHeight="1" thickBot="1">
      <c r="B101" s="124"/>
      <c r="C101" s="125"/>
      <c r="D101" s="604" t="s">
        <v>57</v>
      </c>
      <c r="E101" s="592"/>
      <c r="F101" s="592"/>
      <c r="G101" s="592"/>
      <c r="H101" s="592"/>
      <c r="I101" s="592"/>
      <c r="J101" s="592"/>
      <c r="K101" s="592"/>
      <c r="L101" s="605"/>
      <c r="M101" s="128"/>
    </row>
    <row r="102" spans="2:13" ht="17.100000000000001" customHeight="1">
      <c r="B102" s="124"/>
      <c r="C102" s="606" t="s">
        <v>11</v>
      </c>
      <c r="D102" s="149" t="s">
        <v>58</v>
      </c>
      <c r="E102" s="141" t="s">
        <v>44</v>
      </c>
      <c r="F102" s="141" t="s">
        <v>44</v>
      </c>
      <c r="G102" s="141"/>
      <c r="H102" s="141" t="s">
        <v>13</v>
      </c>
      <c r="I102" s="141" t="s">
        <v>13</v>
      </c>
      <c r="J102" s="150" t="s">
        <v>13</v>
      </c>
      <c r="K102" s="150"/>
      <c r="L102" s="588">
        <f>SUM(E103:K103)</f>
        <v>800000</v>
      </c>
      <c r="M102" s="128"/>
    </row>
    <row r="103" spans="2:13" ht="17.100000000000001" customHeight="1" thickBot="1">
      <c r="B103" s="124"/>
      <c r="C103" s="607"/>
      <c r="D103" s="151" t="s">
        <v>55</v>
      </c>
      <c r="E103" s="146">
        <v>400000</v>
      </c>
      <c r="F103" s="146">
        <v>400000</v>
      </c>
      <c r="G103" s="146"/>
      <c r="H103" s="146" t="s">
        <v>13</v>
      </c>
      <c r="I103" s="146" t="s">
        <v>13</v>
      </c>
      <c r="J103" s="146" t="s">
        <v>13</v>
      </c>
      <c r="K103" s="146"/>
      <c r="L103" s="589"/>
      <c r="M103" s="128"/>
    </row>
    <row r="104" spans="2:13" ht="9.9499999999999993" customHeight="1" thickBot="1">
      <c r="B104" s="124"/>
      <c r="C104" s="125"/>
      <c r="D104" s="152"/>
      <c r="E104" s="153"/>
      <c r="F104" s="153"/>
      <c r="G104" s="153"/>
      <c r="H104" s="153"/>
      <c r="I104" s="153"/>
      <c r="J104" s="153"/>
      <c r="K104" s="583">
        <f>SUM(L97:L103)</f>
        <v>7800000</v>
      </c>
      <c r="L104" s="583"/>
      <c r="M104" s="128"/>
    </row>
    <row r="105" spans="2:13" s="131" customFormat="1" ht="18" customHeight="1">
      <c r="B105" s="130"/>
      <c r="C105" s="179" t="s">
        <v>61</v>
      </c>
      <c r="D105" s="132" t="s">
        <v>3</v>
      </c>
      <c r="E105" s="133">
        <v>43276</v>
      </c>
      <c r="F105" s="133">
        <v>43277</v>
      </c>
      <c r="G105" s="134">
        <v>43278</v>
      </c>
      <c r="H105" s="133">
        <v>43279</v>
      </c>
      <c r="I105" s="133">
        <v>43280</v>
      </c>
      <c r="J105" s="133">
        <v>43281</v>
      </c>
      <c r="K105" s="134">
        <v>43282</v>
      </c>
      <c r="L105" s="584" t="s">
        <v>62</v>
      </c>
      <c r="M105" s="135"/>
    </row>
    <row r="106" spans="2:13" s="131" customFormat="1" ht="18" customHeight="1" thickBot="1">
      <c r="B106" s="130"/>
      <c r="D106" s="136" t="s">
        <v>2</v>
      </c>
      <c r="E106" s="137" t="s">
        <v>4</v>
      </c>
      <c r="F106" s="137" t="s">
        <v>23</v>
      </c>
      <c r="G106" s="138" t="s">
        <v>29</v>
      </c>
      <c r="H106" s="137" t="s">
        <v>30</v>
      </c>
      <c r="I106" s="137" t="s">
        <v>59</v>
      </c>
      <c r="J106" s="137" t="s">
        <v>40</v>
      </c>
      <c r="K106" s="138" t="s">
        <v>43</v>
      </c>
      <c r="L106" s="585"/>
      <c r="M106" s="135"/>
    </row>
    <row r="107" spans="2:13" ht="17.100000000000001" customHeight="1">
      <c r="B107" s="139"/>
      <c r="C107" s="586" t="s">
        <v>70</v>
      </c>
      <c r="D107" s="156" t="s">
        <v>58</v>
      </c>
      <c r="E107" s="141" t="s">
        <v>81</v>
      </c>
      <c r="F107" s="141" t="s">
        <v>81</v>
      </c>
      <c r="G107" s="141"/>
      <c r="H107" s="141" t="s">
        <v>81</v>
      </c>
      <c r="I107" s="141" t="s">
        <v>81</v>
      </c>
      <c r="J107" s="141" t="s">
        <v>81</v>
      </c>
      <c r="K107" s="141"/>
      <c r="L107" s="588">
        <f>SUM(E108:K108)</f>
        <v>5000000</v>
      </c>
      <c r="M107" s="143"/>
    </row>
    <row r="108" spans="2:13" ht="17.100000000000001" customHeight="1" thickBot="1">
      <c r="B108" s="144"/>
      <c r="C108" s="587"/>
      <c r="D108" s="157" t="s">
        <v>55</v>
      </c>
      <c r="E108" s="146">
        <v>1000000</v>
      </c>
      <c r="F108" s="146">
        <v>1000000</v>
      </c>
      <c r="G108" s="146"/>
      <c r="H108" s="146">
        <v>1000000</v>
      </c>
      <c r="I108" s="146">
        <v>1000000</v>
      </c>
      <c r="J108" s="146">
        <v>1000000</v>
      </c>
      <c r="K108" s="146"/>
      <c r="L108" s="589"/>
      <c r="M108" s="148"/>
    </row>
    <row r="109" spans="2:13" ht="17.100000000000001" customHeight="1">
      <c r="B109" s="124"/>
      <c r="C109" s="125"/>
      <c r="D109" s="590" t="s">
        <v>57</v>
      </c>
      <c r="E109" s="591"/>
      <c r="F109" s="592"/>
      <c r="G109" s="591"/>
      <c r="H109" s="591"/>
      <c r="I109" s="591"/>
      <c r="J109" s="591"/>
      <c r="K109" s="591"/>
      <c r="L109" s="593"/>
      <c r="M109" s="128"/>
    </row>
    <row r="110" spans="2:13" ht="17.100000000000001" customHeight="1">
      <c r="B110" s="124"/>
      <c r="C110" s="594" t="s">
        <v>11</v>
      </c>
      <c r="D110" s="158" t="s">
        <v>58</v>
      </c>
      <c r="E110" s="159"/>
      <c r="F110" s="160"/>
      <c r="G110" s="159"/>
      <c r="H110" s="159"/>
      <c r="I110" s="159"/>
      <c r="J110" s="159"/>
      <c r="K110" s="159"/>
      <c r="L110" s="596">
        <f>SUM(E111:K111)</f>
        <v>0</v>
      </c>
      <c r="M110" s="128"/>
    </row>
    <row r="111" spans="2:13" ht="17.100000000000001" customHeight="1" thickBot="1">
      <c r="B111" s="144"/>
      <c r="C111" s="595"/>
      <c r="D111" s="161" t="s">
        <v>55</v>
      </c>
      <c r="E111" s="162"/>
      <c r="F111" s="146"/>
      <c r="G111" s="162"/>
      <c r="H111" s="162"/>
      <c r="I111" s="162"/>
      <c r="J111" s="162"/>
      <c r="K111" s="162"/>
      <c r="L111" s="597"/>
      <c r="M111" s="148"/>
    </row>
    <row r="112" spans="2:13" ht="18" customHeight="1">
      <c r="B112" s="124"/>
      <c r="C112" s="125"/>
      <c r="D112" s="125"/>
      <c r="E112" s="127"/>
      <c r="F112" s="163"/>
      <c r="G112" s="127"/>
      <c r="H112" s="127"/>
      <c r="I112" s="127"/>
      <c r="J112" s="127"/>
      <c r="K112" s="598">
        <f>SUM(L105:L111)</f>
        <v>5000000</v>
      </c>
      <c r="L112" s="598"/>
      <c r="M112" s="128"/>
    </row>
    <row r="113" spans="2:15" ht="20.25">
      <c r="B113" s="124"/>
      <c r="C113" s="125"/>
      <c r="D113" s="599" t="s">
        <v>63</v>
      </c>
      <c r="E113" s="599"/>
      <c r="F113" s="127"/>
      <c r="G113" s="127"/>
      <c r="H113" s="127"/>
      <c r="I113" s="127"/>
      <c r="J113" s="127"/>
      <c r="K113" s="127"/>
      <c r="L113" s="125"/>
      <c r="M113" s="128"/>
    </row>
    <row r="114" spans="2:15" ht="15">
      <c r="B114" s="124"/>
      <c r="C114" s="125"/>
      <c r="D114" s="579" t="s">
        <v>64</v>
      </c>
      <c r="E114" s="579"/>
      <c r="F114" s="580">
        <f>+K104</f>
        <v>7800000</v>
      </c>
      <c r="G114" s="580"/>
      <c r="H114" s="127"/>
      <c r="I114" s="127"/>
      <c r="J114" s="127"/>
      <c r="K114" s="127"/>
      <c r="L114" s="125"/>
      <c r="M114" s="128"/>
    </row>
    <row r="115" spans="2:15" ht="15.75" thickBot="1">
      <c r="B115" s="124"/>
      <c r="C115" s="125"/>
      <c r="D115" s="579" t="s">
        <v>65</v>
      </c>
      <c r="E115" s="579"/>
      <c r="F115" s="581">
        <f>+K112</f>
        <v>5000000</v>
      </c>
      <c r="G115" s="581"/>
      <c r="H115" s="127"/>
      <c r="I115" s="172" t="s">
        <v>76</v>
      </c>
      <c r="J115" s="173" t="s">
        <v>77</v>
      </c>
      <c r="K115" s="174" t="s">
        <v>78</v>
      </c>
      <c r="L115" s="125"/>
      <c r="M115" s="128"/>
    </row>
    <row r="116" spans="2:15" ht="20.100000000000001" customHeight="1" thickTop="1" thickBot="1">
      <c r="B116" s="124"/>
      <c r="C116" s="125"/>
      <c r="D116" s="125"/>
      <c r="E116" s="127"/>
      <c r="F116" s="582">
        <f>+F115+F114</f>
        <v>12800000</v>
      </c>
      <c r="G116" s="582"/>
      <c r="H116" s="127"/>
      <c r="I116" s="175">
        <f>100*F116/96</f>
        <v>13333333.333333334</v>
      </c>
      <c r="J116" s="176">
        <f>4%*I116</f>
        <v>533333.33333333337</v>
      </c>
      <c r="K116" s="177">
        <f>+I116-J116</f>
        <v>12800000</v>
      </c>
      <c r="L116" s="125"/>
      <c r="M116" s="128"/>
      <c r="O116" s="267">
        <f>+F116+F88+F60+F29</f>
        <v>36800000</v>
      </c>
    </row>
    <row r="117" spans="2:15" ht="15.75" thickTop="1" thickBot="1">
      <c r="B117" s="168"/>
      <c r="C117" s="169"/>
      <c r="D117" s="169"/>
      <c r="E117" s="170"/>
      <c r="F117" s="170"/>
      <c r="G117" s="170"/>
      <c r="H117" s="170"/>
      <c r="I117" s="170"/>
      <c r="J117" s="170"/>
      <c r="K117" s="170"/>
      <c r="L117" s="169"/>
      <c r="M117" s="171"/>
    </row>
    <row r="118" spans="2:15" ht="15.75" thickTop="1" thickBot="1"/>
    <row r="119" spans="2:15" ht="15" thickTop="1">
      <c r="B119" s="116"/>
      <c r="C119" s="117"/>
      <c r="D119" s="117"/>
      <c r="E119" s="118"/>
      <c r="F119" s="118"/>
      <c r="G119" s="118"/>
      <c r="H119" s="118"/>
      <c r="I119" s="118"/>
      <c r="J119" s="118"/>
      <c r="K119" s="118"/>
      <c r="L119" s="117"/>
      <c r="M119" s="119"/>
    </row>
    <row r="120" spans="2:15" ht="20.100000000000001" customHeight="1">
      <c r="B120" s="120"/>
      <c r="D120" s="115" t="s">
        <v>87</v>
      </c>
      <c r="E120" s="600" t="s">
        <v>88</v>
      </c>
      <c r="F120" s="600"/>
      <c r="H120" s="601" t="s">
        <v>90</v>
      </c>
      <c r="I120" s="601"/>
      <c r="J120" s="601"/>
      <c r="K120" s="601"/>
      <c r="L120" s="601"/>
      <c r="M120" s="121"/>
    </row>
    <row r="121" spans="2:15" ht="20.100000000000001" customHeight="1">
      <c r="B121" s="124"/>
      <c r="C121" s="125"/>
      <c r="D121" s="126" t="s">
        <v>100</v>
      </c>
      <c r="E121" s="127"/>
      <c r="F121" s="127"/>
      <c r="G121" s="127"/>
      <c r="H121" s="127"/>
      <c r="I121" s="127"/>
      <c r="J121" s="127"/>
      <c r="K121" s="127"/>
      <c r="L121" s="182" t="s">
        <v>99</v>
      </c>
      <c r="M121" s="128"/>
    </row>
    <row r="122" spans="2:15" ht="9.9499999999999993" customHeight="1" thickBot="1">
      <c r="B122" s="124"/>
      <c r="C122" s="125"/>
      <c r="D122" s="126"/>
      <c r="E122" s="127"/>
      <c r="F122" s="127"/>
      <c r="G122" s="127"/>
      <c r="H122" s="127"/>
      <c r="I122" s="127"/>
      <c r="J122" s="127"/>
      <c r="K122" s="127"/>
      <c r="L122" s="125"/>
      <c r="M122" s="128"/>
    </row>
    <row r="123" spans="2:15" s="131" customFormat="1" ht="18" customHeight="1">
      <c r="B123" s="130"/>
      <c r="C123" s="178" t="s">
        <v>60</v>
      </c>
      <c r="D123" s="132" t="s">
        <v>3</v>
      </c>
      <c r="E123" s="133">
        <v>43283</v>
      </c>
      <c r="F123" s="133">
        <v>43284</v>
      </c>
      <c r="G123" s="133">
        <v>43285</v>
      </c>
      <c r="H123" s="133">
        <v>43286</v>
      </c>
      <c r="I123" s="133">
        <v>43287</v>
      </c>
      <c r="J123" s="134">
        <v>43288</v>
      </c>
      <c r="K123" s="134">
        <v>43289</v>
      </c>
      <c r="L123" s="584" t="s">
        <v>62</v>
      </c>
      <c r="M123" s="135"/>
    </row>
    <row r="124" spans="2:15" s="131" customFormat="1" ht="18" customHeight="1" thickBot="1">
      <c r="B124" s="130"/>
      <c r="D124" s="136" t="s">
        <v>2</v>
      </c>
      <c r="E124" s="137" t="s">
        <v>4</v>
      </c>
      <c r="F124" s="137" t="s">
        <v>23</v>
      </c>
      <c r="G124" s="137" t="s">
        <v>29</v>
      </c>
      <c r="H124" s="137" t="s">
        <v>30</v>
      </c>
      <c r="I124" s="137" t="s">
        <v>59</v>
      </c>
      <c r="J124" s="138" t="s">
        <v>40</v>
      </c>
      <c r="K124" s="138" t="s">
        <v>43</v>
      </c>
      <c r="L124" s="585"/>
      <c r="M124" s="135"/>
    </row>
    <row r="125" spans="2:15" ht="17.100000000000001" customHeight="1">
      <c r="B125" s="139"/>
      <c r="C125" s="602" t="s">
        <v>70</v>
      </c>
      <c r="D125" s="140" t="s">
        <v>58</v>
      </c>
      <c r="E125" s="141" t="s">
        <v>81</v>
      </c>
      <c r="F125" s="141" t="s">
        <v>81</v>
      </c>
      <c r="G125" s="141" t="s">
        <v>81</v>
      </c>
      <c r="H125" s="141" t="s">
        <v>81</v>
      </c>
      <c r="I125" s="141" t="s">
        <v>81</v>
      </c>
      <c r="J125" s="142"/>
      <c r="K125" s="142"/>
      <c r="L125" s="588">
        <f>SUM(E126:K126)</f>
        <v>5000000</v>
      </c>
      <c r="M125" s="143"/>
    </row>
    <row r="126" spans="2:15" ht="17.100000000000001" customHeight="1" thickBot="1">
      <c r="B126" s="144"/>
      <c r="C126" s="602"/>
      <c r="D126" s="145" t="s">
        <v>55</v>
      </c>
      <c r="E126" s="146">
        <v>1000000</v>
      </c>
      <c r="F126" s="146">
        <v>1000000</v>
      </c>
      <c r="G126" s="146">
        <v>1000000</v>
      </c>
      <c r="H126" s="146">
        <v>1000000</v>
      </c>
      <c r="I126" s="146">
        <v>1000000</v>
      </c>
      <c r="J126" s="147"/>
      <c r="K126" s="147"/>
      <c r="L126" s="589"/>
      <c r="M126" s="148"/>
    </row>
    <row r="127" spans="2:15" ht="17.100000000000001" customHeight="1">
      <c r="B127" s="139"/>
      <c r="C127" s="603" t="s">
        <v>71</v>
      </c>
      <c r="D127" s="140" t="s">
        <v>58</v>
      </c>
      <c r="E127" s="180" t="s">
        <v>94</v>
      </c>
      <c r="F127" s="141" t="s">
        <v>13</v>
      </c>
      <c r="G127" s="180" t="s">
        <v>94</v>
      </c>
      <c r="H127" s="180" t="s">
        <v>94</v>
      </c>
      <c r="I127" s="180" t="s">
        <v>94</v>
      </c>
      <c r="J127" s="142"/>
      <c r="K127" s="142"/>
      <c r="L127" s="588">
        <f>SUM(E128:K128)</f>
        <v>1750000</v>
      </c>
      <c r="M127" s="143"/>
    </row>
    <row r="128" spans="2:15" ht="17.100000000000001" customHeight="1" thickBot="1">
      <c r="B128" s="144"/>
      <c r="C128" s="603"/>
      <c r="D128" s="145" t="s">
        <v>55</v>
      </c>
      <c r="E128" s="181">
        <v>500000</v>
      </c>
      <c r="F128" s="146" t="s">
        <v>13</v>
      </c>
      <c r="G128" s="181">
        <v>500000</v>
      </c>
      <c r="H128" s="181">
        <v>500000</v>
      </c>
      <c r="I128" s="181">
        <v>250000</v>
      </c>
      <c r="J128" s="147"/>
      <c r="K128" s="147"/>
      <c r="L128" s="589"/>
      <c r="M128" s="148"/>
    </row>
    <row r="129" spans="2:13" ht="17.100000000000001" customHeight="1" thickBot="1">
      <c r="B129" s="124"/>
      <c r="C129" s="125"/>
      <c r="D129" s="604" t="s">
        <v>57</v>
      </c>
      <c r="E129" s="592"/>
      <c r="F129" s="592"/>
      <c r="G129" s="592"/>
      <c r="H129" s="592"/>
      <c r="I129" s="592"/>
      <c r="J129" s="592"/>
      <c r="K129" s="592"/>
      <c r="L129" s="605"/>
      <c r="M129" s="128"/>
    </row>
    <row r="130" spans="2:13" ht="17.100000000000001" customHeight="1">
      <c r="B130" s="124"/>
      <c r="C130" s="606" t="s">
        <v>11</v>
      </c>
      <c r="D130" s="149" t="s">
        <v>58</v>
      </c>
      <c r="E130" s="141" t="s">
        <v>94</v>
      </c>
      <c r="F130" s="141"/>
      <c r="G130" s="141"/>
      <c r="H130" s="141"/>
      <c r="I130" s="141"/>
      <c r="J130" s="150"/>
      <c r="K130" s="150"/>
      <c r="L130" s="588">
        <f>SUM(E131:K131)</f>
        <v>300000</v>
      </c>
      <c r="M130" s="128"/>
    </row>
    <row r="131" spans="2:13" ht="17.100000000000001" customHeight="1" thickBot="1">
      <c r="B131" s="124"/>
      <c r="C131" s="607"/>
      <c r="D131" s="151" t="s">
        <v>55</v>
      </c>
      <c r="E131" s="146">
        <v>300000</v>
      </c>
      <c r="F131" s="146"/>
      <c r="G131" s="146"/>
      <c r="H131" s="146"/>
      <c r="I131" s="146"/>
      <c r="J131" s="146"/>
      <c r="K131" s="146"/>
      <c r="L131" s="589"/>
      <c r="M131" s="128"/>
    </row>
    <row r="132" spans="2:13" ht="9.9499999999999993" customHeight="1" thickBot="1">
      <c r="B132" s="124"/>
      <c r="C132" s="125"/>
      <c r="D132" s="152"/>
      <c r="E132" s="153"/>
      <c r="F132" s="153"/>
      <c r="G132" s="153"/>
      <c r="H132" s="153"/>
      <c r="I132" s="153"/>
      <c r="J132" s="153"/>
      <c r="K132" s="583">
        <f>SUM(L125:L131)</f>
        <v>7050000</v>
      </c>
      <c r="L132" s="583"/>
      <c r="M132" s="128"/>
    </row>
    <row r="133" spans="2:13" s="131" customFormat="1" ht="18" customHeight="1">
      <c r="B133" s="130"/>
      <c r="C133" s="179" t="s">
        <v>61</v>
      </c>
      <c r="D133" s="132" t="s">
        <v>3</v>
      </c>
      <c r="E133" s="133">
        <v>43283</v>
      </c>
      <c r="F133" s="133">
        <v>43284</v>
      </c>
      <c r="G133" s="133">
        <v>43285</v>
      </c>
      <c r="H133" s="133">
        <v>43286</v>
      </c>
      <c r="I133" s="133">
        <v>43287</v>
      </c>
      <c r="J133" s="134">
        <v>43288</v>
      </c>
      <c r="K133" s="134">
        <v>43289</v>
      </c>
      <c r="L133" s="584" t="s">
        <v>62</v>
      </c>
      <c r="M133" s="135"/>
    </row>
    <row r="134" spans="2:13" s="131" customFormat="1" ht="18" customHeight="1" thickBot="1">
      <c r="B134" s="130"/>
      <c r="D134" s="136" t="s">
        <v>2</v>
      </c>
      <c r="E134" s="137" t="s">
        <v>4</v>
      </c>
      <c r="F134" s="137" t="s">
        <v>23</v>
      </c>
      <c r="G134" s="137" t="s">
        <v>29</v>
      </c>
      <c r="H134" s="137" t="s">
        <v>30</v>
      </c>
      <c r="I134" s="137" t="s">
        <v>59</v>
      </c>
      <c r="J134" s="138" t="s">
        <v>40</v>
      </c>
      <c r="K134" s="138" t="s">
        <v>43</v>
      </c>
      <c r="L134" s="585"/>
      <c r="M134" s="135"/>
    </row>
    <row r="135" spans="2:13" ht="17.100000000000001" customHeight="1">
      <c r="B135" s="139"/>
      <c r="C135" s="586" t="s">
        <v>70</v>
      </c>
      <c r="D135" s="156" t="s">
        <v>58</v>
      </c>
      <c r="E135" s="141" t="s">
        <v>81</v>
      </c>
      <c r="F135" s="141" t="s">
        <v>81</v>
      </c>
      <c r="G135" s="141" t="s">
        <v>81</v>
      </c>
      <c r="H135" s="141" t="s">
        <v>81</v>
      </c>
      <c r="I135" s="141" t="s">
        <v>81</v>
      </c>
      <c r="J135" s="141"/>
      <c r="K135" s="141"/>
      <c r="L135" s="588">
        <f>SUM(E136:K136)</f>
        <v>5000000</v>
      </c>
      <c r="M135" s="143"/>
    </row>
    <row r="136" spans="2:13" ht="17.100000000000001" customHeight="1" thickBot="1">
      <c r="B136" s="144"/>
      <c r="C136" s="587"/>
      <c r="D136" s="157" t="s">
        <v>55</v>
      </c>
      <c r="E136" s="146">
        <v>1000000</v>
      </c>
      <c r="F136" s="146">
        <v>1000000</v>
      </c>
      <c r="G136" s="146">
        <v>1000000</v>
      </c>
      <c r="H136" s="146">
        <v>1000000</v>
      </c>
      <c r="I136" s="146">
        <v>1000000</v>
      </c>
      <c r="J136" s="146"/>
      <c r="K136" s="146"/>
      <c r="L136" s="589"/>
      <c r="M136" s="148"/>
    </row>
    <row r="137" spans="2:13" ht="17.100000000000001" customHeight="1">
      <c r="B137" s="124"/>
      <c r="C137" s="125"/>
      <c r="D137" s="590" t="s">
        <v>57</v>
      </c>
      <c r="E137" s="591"/>
      <c r="F137" s="592"/>
      <c r="G137" s="591"/>
      <c r="H137" s="591"/>
      <c r="I137" s="591"/>
      <c r="J137" s="591"/>
      <c r="K137" s="591"/>
      <c r="L137" s="593"/>
      <c r="M137" s="128"/>
    </row>
    <row r="138" spans="2:13" ht="17.100000000000001" customHeight="1">
      <c r="B138" s="124"/>
      <c r="C138" s="594" t="s">
        <v>11</v>
      </c>
      <c r="D138" s="158" t="s">
        <v>58</v>
      </c>
      <c r="E138" s="159"/>
      <c r="F138" s="160"/>
      <c r="G138" s="159"/>
      <c r="H138" s="159"/>
      <c r="I138" s="159"/>
      <c r="J138" s="159"/>
      <c r="K138" s="159"/>
      <c r="L138" s="596">
        <f>SUM(E139:K139)</f>
        <v>0</v>
      </c>
      <c r="M138" s="128"/>
    </row>
    <row r="139" spans="2:13" ht="17.100000000000001" customHeight="1" thickBot="1">
      <c r="B139" s="144"/>
      <c r="C139" s="595"/>
      <c r="D139" s="161" t="s">
        <v>55</v>
      </c>
      <c r="E139" s="162"/>
      <c r="F139" s="146"/>
      <c r="G139" s="162"/>
      <c r="H139" s="162"/>
      <c r="I139" s="162"/>
      <c r="J139" s="162"/>
      <c r="K139" s="162"/>
      <c r="L139" s="597"/>
      <c r="M139" s="148"/>
    </row>
    <row r="140" spans="2:13" ht="18" customHeight="1">
      <c r="B140" s="124"/>
      <c r="C140" s="125"/>
      <c r="D140" s="125"/>
      <c r="E140" s="127"/>
      <c r="F140" s="163"/>
      <c r="G140" s="127"/>
      <c r="H140" s="127"/>
      <c r="I140" s="127"/>
      <c r="J140" s="127"/>
      <c r="K140" s="598">
        <f>SUM(L133:L139)</f>
        <v>5000000</v>
      </c>
      <c r="L140" s="598"/>
      <c r="M140" s="128"/>
    </row>
    <row r="141" spans="2:13" ht="20.25">
      <c r="B141" s="124"/>
      <c r="C141" s="125"/>
      <c r="D141" s="599" t="s">
        <v>63</v>
      </c>
      <c r="E141" s="599"/>
      <c r="F141" s="127"/>
      <c r="G141" s="127"/>
      <c r="H141" s="127"/>
      <c r="I141" s="127"/>
      <c r="J141" s="127"/>
      <c r="K141" s="127"/>
      <c r="L141" s="125"/>
      <c r="M141" s="128"/>
    </row>
    <row r="142" spans="2:13" ht="15">
      <c r="B142" s="124"/>
      <c r="C142" s="125"/>
      <c r="D142" s="579" t="s">
        <v>64</v>
      </c>
      <c r="E142" s="579"/>
      <c r="F142" s="580">
        <f>+K132</f>
        <v>7050000</v>
      </c>
      <c r="G142" s="580"/>
      <c r="H142" s="127"/>
      <c r="I142" s="127"/>
      <c r="J142" s="127"/>
      <c r="K142" s="127"/>
      <c r="L142" s="125"/>
      <c r="M142" s="128"/>
    </row>
    <row r="143" spans="2:13" ht="15.75" thickBot="1">
      <c r="B143" s="124"/>
      <c r="C143" s="125"/>
      <c r="D143" s="579" t="s">
        <v>65</v>
      </c>
      <c r="E143" s="579"/>
      <c r="F143" s="581">
        <f>+K140</f>
        <v>5000000</v>
      </c>
      <c r="G143" s="581"/>
      <c r="H143" s="127"/>
      <c r="I143" s="172" t="s">
        <v>76</v>
      </c>
      <c r="J143" s="173" t="s">
        <v>77</v>
      </c>
      <c r="K143" s="174" t="s">
        <v>78</v>
      </c>
      <c r="L143" s="125"/>
      <c r="M143" s="128"/>
    </row>
    <row r="144" spans="2:13" ht="20.100000000000001" customHeight="1" thickTop="1" thickBot="1">
      <c r="B144" s="124"/>
      <c r="C144" s="125"/>
      <c r="D144" s="125"/>
      <c r="E144" s="127"/>
      <c r="F144" s="582">
        <f>+F143+F142</f>
        <v>12050000</v>
      </c>
      <c r="G144" s="582"/>
      <c r="H144" s="127"/>
      <c r="I144" s="175">
        <f>100*F144/96</f>
        <v>12552083.333333334</v>
      </c>
      <c r="J144" s="176">
        <f>4%*I144</f>
        <v>502083.33333333337</v>
      </c>
      <c r="K144" s="177">
        <f>+I144-J144</f>
        <v>12050000</v>
      </c>
      <c r="L144" s="125"/>
      <c r="M144" s="128"/>
    </row>
    <row r="145" spans="2:13" ht="15.75" thickTop="1" thickBot="1">
      <c r="B145" s="168"/>
      <c r="C145" s="169"/>
      <c r="D145" s="169"/>
      <c r="E145" s="170"/>
      <c r="F145" s="170"/>
      <c r="G145" s="170"/>
      <c r="H145" s="170"/>
      <c r="I145" s="170"/>
      <c r="J145" s="170"/>
      <c r="K145" s="170"/>
      <c r="L145" s="169"/>
      <c r="M145" s="171"/>
    </row>
    <row r="146" spans="2:13" ht="15.75" thickTop="1" thickBot="1"/>
    <row r="147" spans="2:13" ht="15" thickTop="1">
      <c r="B147" s="116"/>
      <c r="C147" s="117"/>
      <c r="D147" s="117"/>
      <c r="E147" s="118"/>
      <c r="F147" s="118"/>
      <c r="G147" s="118"/>
      <c r="H147" s="118"/>
      <c r="I147" s="118"/>
      <c r="J147" s="118"/>
      <c r="K147" s="118"/>
      <c r="L147" s="117"/>
      <c r="M147" s="119"/>
    </row>
    <row r="148" spans="2:13" ht="20.100000000000001" customHeight="1">
      <c r="B148" s="120"/>
      <c r="D148" s="115" t="s">
        <v>87</v>
      </c>
      <c r="E148" s="600" t="s">
        <v>88</v>
      </c>
      <c r="F148" s="600"/>
      <c r="H148" s="601" t="s">
        <v>90</v>
      </c>
      <c r="I148" s="601"/>
      <c r="J148" s="601"/>
      <c r="K148" s="601"/>
      <c r="L148" s="601"/>
      <c r="M148" s="121"/>
    </row>
    <row r="149" spans="2:13" ht="20.100000000000001" customHeight="1">
      <c r="B149" s="124"/>
      <c r="C149" s="125"/>
      <c r="D149" s="126" t="s">
        <v>103</v>
      </c>
      <c r="E149" s="127"/>
      <c r="F149" s="127"/>
      <c r="G149" s="127"/>
      <c r="H149" s="127"/>
      <c r="I149" s="127"/>
      <c r="J149" s="127"/>
      <c r="K149" s="127"/>
      <c r="L149" s="182" t="s">
        <v>105</v>
      </c>
      <c r="M149" s="128"/>
    </row>
    <row r="150" spans="2:13" ht="9.9499999999999993" customHeight="1" thickBot="1">
      <c r="B150" s="124"/>
      <c r="C150" s="125"/>
      <c r="D150" s="126"/>
      <c r="E150" s="127"/>
      <c r="F150" s="127"/>
      <c r="G150" s="127"/>
      <c r="H150" s="127"/>
      <c r="I150" s="127"/>
      <c r="J150" s="127"/>
      <c r="K150" s="127"/>
      <c r="L150" s="125"/>
      <c r="M150" s="128"/>
    </row>
    <row r="151" spans="2:13" s="131" customFormat="1" ht="18" customHeight="1">
      <c r="B151" s="130"/>
      <c r="C151" s="178" t="s">
        <v>60</v>
      </c>
      <c r="D151" s="132" t="s">
        <v>3</v>
      </c>
      <c r="E151" s="133">
        <v>43290</v>
      </c>
      <c r="F151" s="133">
        <v>43291</v>
      </c>
      <c r="G151" s="133">
        <v>43292</v>
      </c>
      <c r="H151" s="133">
        <v>43293</v>
      </c>
      <c r="I151" s="133">
        <v>43294</v>
      </c>
      <c r="J151" s="134">
        <v>43295</v>
      </c>
      <c r="K151" s="134">
        <v>43296</v>
      </c>
      <c r="L151" s="584" t="s">
        <v>62</v>
      </c>
      <c r="M151" s="135"/>
    </row>
    <row r="152" spans="2:13" s="131" customFormat="1" ht="18" customHeight="1" thickBot="1">
      <c r="B152" s="130"/>
      <c r="D152" s="136" t="s">
        <v>2</v>
      </c>
      <c r="E152" s="137" t="s">
        <v>4</v>
      </c>
      <c r="F152" s="137" t="s">
        <v>23</v>
      </c>
      <c r="G152" s="137" t="s">
        <v>29</v>
      </c>
      <c r="H152" s="137" t="s">
        <v>30</v>
      </c>
      <c r="I152" s="137" t="s">
        <v>59</v>
      </c>
      <c r="J152" s="138" t="s">
        <v>40</v>
      </c>
      <c r="K152" s="138" t="s">
        <v>43</v>
      </c>
      <c r="L152" s="585"/>
      <c r="M152" s="135"/>
    </row>
    <row r="153" spans="2:13" ht="17.100000000000001" customHeight="1">
      <c r="B153" s="139"/>
      <c r="C153" s="602" t="s">
        <v>70</v>
      </c>
      <c r="D153" s="140" t="s">
        <v>58</v>
      </c>
      <c r="E153" s="141" t="s">
        <v>81</v>
      </c>
      <c r="F153" s="141" t="s">
        <v>81</v>
      </c>
      <c r="G153" s="141" t="s">
        <v>81</v>
      </c>
      <c r="H153" s="141" t="s">
        <v>81</v>
      </c>
      <c r="I153" s="141" t="s">
        <v>81</v>
      </c>
      <c r="J153" s="142"/>
      <c r="K153" s="142"/>
      <c r="L153" s="588">
        <f>SUM(E154:K154)</f>
        <v>5000000</v>
      </c>
      <c r="M153" s="143"/>
    </row>
    <row r="154" spans="2:13" ht="17.100000000000001" customHeight="1" thickBot="1">
      <c r="B154" s="144"/>
      <c r="C154" s="602"/>
      <c r="D154" s="145" t="s">
        <v>55</v>
      </c>
      <c r="E154" s="146">
        <v>1000000</v>
      </c>
      <c r="F154" s="146">
        <v>1000000</v>
      </c>
      <c r="G154" s="146">
        <v>1000000</v>
      </c>
      <c r="H154" s="146">
        <v>1000000</v>
      </c>
      <c r="I154" s="146">
        <v>1000000</v>
      </c>
      <c r="J154" s="147"/>
      <c r="K154" s="147"/>
      <c r="L154" s="589"/>
      <c r="M154" s="148"/>
    </row>
    <row r="155" spans="2:13" ht="17.100000000000001" customHeight="1">
      <c r="B155" s="139"/>
      <c r="C155" s="603" t="s">
        <v>71</v>
      </c>
      <c r="D155" s="140" t="s">
        <v>58</v>
      </c>
      <c r="E155" s="180" t="s">
        <v>94</v>
      </c>
      <c r="F155" s="180" t="s">
        <v>94</v>
      </c>
      <c r="G155" s="180" t="s">
        <v>94</v>
      </c>
      <c r="H155" s="180" t="s">
        <v>94</v>
      </c>
      <c r="I155" s="180" t="s">
        <v>94</v>
      </c>
      <c r="J155" s="142"/>
      <c r="K155" s="142"/>
      <c r="L155" s="588">
        <f>SUM(E156:K156)</f>
        <v>2500000</v>
      </c>
      <c r="M155" s="143"/>
    </row>
    <row r="156" spans="2:13" ht="17.100000000000001" customHeight="1" thickBot="1">
      <c r="B156" s="144"/>
      <c r="C156" s="603"/>
      <c r="D156" s="145" t="s">
        <v>55</v>
      </c>
      <c r="E156" s="181">
        <v>500000</v>
      </c>
      <c r="F156" s="181">
        <v>500000</v>
      </c>
      <c r="G156" s="181">
        <v>500000</v>
      </c>
      <c r="H156" s="181">
        <v>500000</v>
      </c>
      <c r="I156" s="181">
        <v>500000</v>
      </c>
      <c r="J156" s="147"/>
      <c r="K156" s="147"/>
      <c r="L156" s="589"/>
      <c r="M156" s="148"/>
    </row>
    <row r="157" spans="2:13" ht="17.100000000000001" customHeight="1" thickBot="1">
      <c r="B157" s="124"/>
      <c r="C157" s="125"/>
      <c r="D157" s="604" t="s">
        <v>57</v>
      </c>
      <c r="E157" s="592"/>
      <c r="F157" s="592"/>
      <c r="G157" s="592"/>
      <c r="H157" s="592"/>
      <c r="I157" s="592"/>
      <c r="J157" s="592"/>
      <c r="K157" s="592"/>
      <c r="L157" s="605"/>
      <c r="M157" s="128"/>
    </row>
    <row r="158" spans="2:13" ht="17.100000000000001" customHeight="1">
      <c r="B158" s="124"/>
      <c r="C158" s="606" t="s">
        <v>11</v>
      </c>
      <c r="D158" s="149" t="s">
        <v>58</v>
      </c>
      <c r="E158" s="141"/>
      <c r="F158" s="141"/>
      <c r="G158" s="141"/>
      <c r="H158" s="141"/>
      <c r="I158" s="141"/>
      <c r="J158" s="150"/>
      <c r="K158" s="150"/>
      <c r="L158" s="588">
        <f>SUM(E159:K159)</f>
        <v>0</v>
      </c>
      <c r="M158" s="128"/>
    </row>
    <row r="159" spans="2:13" ht="17.100000000000001" customHeight="1" thickBot="1">
      <c r="B159" s="124"/>
      <c r="C159" s="607"/>
      <c r="D159" s="151" t="s">
        <v>55</v>
      </c>
      <c r="E159" s="146"/>
      <c r="F159" s="146"/>
      <c r="G159" s="146"/>
      <c r="H159" s="146"/>
      <c r="I159" s="146"/>
      <c r="J159" s="146"/>
      <c r="K159" s="146"/>
      <c r="L159" s="589"/>
      <c r="M159" s="128"/>
    </row>
    <row r="160" spans="2:13" ht="15" customHeight="1" thickBot="1">
      <c r="B160" s="124"/>
      <c r="C160" s="125"/>
      <c r="D160" s="152"/>
      <c r="E160" s="153"/>
      <c r="F160" s="153"/>
      <c r="G160" s="153"/>
      <c r="H160" s="153"/>
      <c r="I160" s="153"/>
      <c r="J160" s="153"/>
      <c r="K160" s="583">
        <f>SUM(L153:L159)</f>
        <v>7500000</v>
      </c>
      <c r="L160" s="583"/>
      <c r="M160" s="128"/>
    </row>
    <row r="161" spans="2:13" s="131" customFormat="1" ht="18" customHeight="1">
      <c r="B161" s="130"/>
      <c r="C161" s="179" t="s">
        <v>61</v>
      </c>
      <c r="D161" s="132" t="s">
        <v>3</v>
      </c>
      <c r="E161" s="133">
        <v>43290</v>
      </c>
      <c r="F161" s="133">
        <v>43291</v>
      </c>
      <c r="G161" s="133">
        <v>43292</v>
      </c>
      <c r="H161" s="133">
        <v>43293</v>
      </c>
      <c r="I161" s="133">
        <v>43294</v>
      </c>
      <c r="J161" s="134">
        <v>43295</v>
      </c>
      <c r="K161" s="134">
        <v>43296</v>
      </c>
      <c r="L161" s="584" t="s">
        <v>62</v>
      </c>
      <c r="M161" s="135"/>
    </row>
    <row r="162" spans="2:13" s="131" customFormat="1" ht="18" customHeight="1" thickBot="1">
      <c r="B162" s="130"/>
      <c r="D162" s="136" t="s">
        <v>2</v>
      </c>
      <c r="E162" s="137" t="s">
        <v>4</v>
      </c>
      <c r="F162" s="137" t="s">
        <v>23</v>
      </c>
      <c r="G162" s="137" t="s">
        <v>29</v>
      </c>
      <c r="H162" s="137" t="s">
        <v>30</v>
      </c>
      <c r="I162" s="137" t="s">
        <v>59</v>
      </c>
      <c r="J162" s="138" t="s">
        <v>40</v>
      </c>
      <c r="K162" s="138" t="s">
        <v>43</v>
      </c>
      <c r="L162" s="585"/>
      <c r="M162" s="135"/>
    </row>
    <row r="163" spans="2:13" ht="17.100000000000001" customHeight="1">
      <c r="B163" s="139"/>
      <c r="C163" s="586" t="s">
        <v>70</v>
      </c>
      <c r="D163" s="156" t="s">
        <v>58</v>
      </c>
      <c r="E163" s="141" t="s">
        <v>81</v>
      </c>
      <c r="F163" s="141" t="s">
        <v>81</v>
      </c>
      <c r="G163" s="141" t="s">
        <v>81</v>
      </c>
      <c r="H163" s="141" t="s">
        <v>81</v>
      </c>
      <c r="I163" s="141" t="s">
        <v>81</v>
      </c>
      <c r="J163" s="141"/>
      <c r="K163" s="141"/>
      <c r="L163" s="588">
        <f>SUM(E164:K164)</f>
        <v>5000000</v>
      </c>
      <c r="M163" s="143"/>
    </row>
    <row r="164" spans="2:13" ht="17.100000000000001" customHeight="1" thickBot="1">
      <c r="B164" s="144"/>
      <c r="C164" s="587"/>
      <c r="D164" s="157" t="s">
        <v>55</v>
      </c>
      <c r="E164" s="146">
        <v>1000000</v>
      </c>
      <c r="F164" s="146">
        <v>1000000</v>
      </c>
      <c r="G164" s="146">
        <v>1000000</v>
      </c>
      <c r="H164" s="146">
        <v>1000000</v>
      </c>
      <c r="I164" s="146">
        <v>1000000</v>
      </c>
      <c r="J164" s="146"/>
      <c r="K164" s="146"/>
      <c r="L164" s="589"/>
      <c r="M164" s="148"/>
    </row>
    <row r="165" spans="2:13" ht="17.100000000000001" customHeight="1">
      <c r="B165" s="124"/>
      <c r="C165" s="125"/>
      <c r="D165" s="590" t="s">
        <v>57</v>
      </c>
      <c r="E165" s="591"/>
      <c r="F165" s="592"/>
      <c r="G165" s="591"/>
      <c r="H165" s="591"/>
      <c r="I165" s="591"/>
      <c r="J165" s="591"/>
      <c r="K165" s="591"/>
      <c r="L165" s="593"/>
      <c r="M165" s="128"/>
    </row>
    <row r="166" spans="2:13" ht="17.100000000000001" customHeight="1">
      <c r="B166" s="124"/>
      <c r="C166" s="594" t="s">
        <v>11</v>
      </c>
      <c r="D166" s="158" t="s">
        <v>58</v>
      </c>
      <c r="E166" s="159"/>
      <c r="F166" s="160"/>
      <c r="G166" s="159"/>
      <c r="H166" s="159"/>
      <c r="I166" s="159"/>
      <c r="J166" s="159"/>
      <c r="K166" s="159"/>
      <c r="L166" s="596">
        <f>SUM(E167:K167)</f>
        <v>0</v>
      </c>
      <c r="M166" s="128"/>
    </row>
    <row r="167" spans="2:13" ht="17.100000000000001" customHeight="1" thickBot="1">
      <c r="B167" s="144"/>
      <c r="C167" s="595"/>
      <c r="D167" s="161" t="s">
        <v>55</v>
      </c>
      <c r="E167" s="162"/>
      <c r="F167" s="146"/>
      <c r="G167" s="162"/>
      <c r="H167" s="162"/>
      <c r="I167" s="162"/>
      <c r="J167" s="162"/>
      <c r="K167" s="162"/>
      <c r="L167" s="597"/>
      <c r="M167" s="148"/>
    </row>
    <row r="168" spans="2:13" ht="18" customHeight="1">
      <c r="B168" s="124"/>
      <c r="C168" s="125"/>
      <c r="D168" s="125"/>
      <c r="E168" s="127"/>
      <c r="F168" s="163"/>
      <c r="G168" s="127"/>
      <c r="H168" s="127"/>
      <c r="I168" s="127"/>
      <c r="J168" s="127"/>
      <c r="K168" s="598">
        <f>SUM(L161:L167)</f>
        <v>5000000</v>
      </c>
      <c r="L168" s="598"/>
      <c r="M168" s="128"/>
    </row>
    <row r="169" spans="2:13" ht="20.25">
      <c r="B169" s="124"/>
      <c r="C169" s="125"/>
      <c r="D169" s="599" t="s">
        <v>63</v>
      </c>
      <c r="E169" s="599"/>
      <c r="F169" s="127"/>
      <c r="G169" s="127"/>
      <c r="H169" s="127"/>
      <c r="I169" s="127"/>
      <c r="J169" s="127"/>
      <c r="K169" s="127"/>
      <c r="L169" s="125"/>
      <c r="M169" s="128"/>
    </row>
    <row r="170" spans="2:13" ht="15">
      <c r="B170" s="124"/>
      <c r="C170" s="125"/>
      <c r="D170" s="579" t="s">
        <v>64</v>
      </c>
      <c r="E170" s="579"/>
      <c r="F170" s="580">
        <f>+K160</f>
        <v>7500000</v>
      </c>
      <c r="G170" s="580"/>
      <c r="H170" s="127"/>
      <c r="I170" s="127"/>
      <c r="J170" s="127"/>
      <c r="K170" s="127"/>
      <c r="L170" s="125"/>
      <c r="M170" s="128"/>
    </row>
    <row r="171" spans="2:13" ht="15.75" thickBot="1">
      <c r="B171" s="124"/>
      <c r="C171" s="125"/>
      <c r="D171" s="579" t="s">
        <v>65</v>
      </c>
      <c r="E171" s="579"/>
      <c r="F171" s="581">
        <f>+K168</f>
        <v>5000000</v>
      </c>
      <c r="G171" s="581"/>
      <c r="H171" s="127"/>
      <c r="I171" s="172" t="s">
        <v>76</v>
      </c>
      <c r="J171" s="173" t="s">
        <v>77</v>
      </c>
      <c r="K171" s="174" t="s">
        <v>78</v>
      </c>
      <c r="L171" s="125"/>
      <c r="M171" s="128"/>
    </row>
    <row r="172" spans="2:13" ht="20.100000000000001" customHeight="1" thickTop="1" thickBot="1">
      <c r="B172" s="124"/>
      <c r="C172" s="125"/>
      <c r="D172" s="125"/>
      <c r="E172" s="127"/>
      <c r="F172" s="582">
        <f>+F171+F170</f>
        <v>12500000</v>
      </c>
      <c r="G172" s="582"/>
      <c r="H172" s="127"/>
      <c r="I172" s="175">
        <f>100*F172/96</f>
        <v>13020833.333333334</v>
      </c>
      <c r="J172" s="176">
        <f>4%*I172</f>
        <v>520833.33333333337</v>
      </c>
      <c r="K172" s="177">
        <f>+I172-J172</f>
        <v>12500000</v>
      </c>
      <c r="L172" s="125"/>
      <c r="M172" s="128"/>
    </row>
    <row r="173" spans="2:13" ht="15.75" thickTop="1" thickBot="1">
      <c r="B173" s="168"/>
      <c r="C173" s="169"/>
      <c r="D173" s="169"/>
      <c r="E173" s="170"/>
      <c r="F173" s="170"/>
      <c r="G173" s="170"/>
      <c r="H173" s="170"/>
      <c r="I173" s="170"/>
      <c r="J173" s="170"/>
      <c r="K173" s="170"/>
      <c r="L173" s="169"/>
      <c r="M173" s="171"/>
    </row>
    <row r="174" spans="2:13" ht="15.75" thickTop="1" thickBot="1"/>
    <row r="175" spans="2:13" ht="15" thickTop="1">
      <c r="B175" s="116"/>
      <c r="C175" s="117"/>
      <c r="D175" s="117"/>
      <c r="E175" s="118"/>
      <c r="F175" s="118"/>
      <c r="G175" s="118"/>
      <c r="H175" s="118"/>
      <c r="I175" s="118"/>
      <c r="J175" s="118"/>
      <c r="K175" s="118"/>
      <c r="L175" s="117"/>
      <c r="M175" s="119"/>
    </row>
    <row r="176" spans="2:13" ht="20.100000000000001" customHeight="1">
      <c r="B176" s="120"/>
      <c r="D176" s="115" t="s">
        <v>87</v>
      </c>
      <c r="E176" s="600" t="s">
        <v>88</v>
      </c>
      <c r="F176" s="600"/>
      <c r="H176" s="601" t="s">
        <v>90</v>
      </c>
      <c r="I176" s="601"/>
      <c r="J176" s="601"/>
      <c r="K176" s="601"/>
      <c r="L176" s="601"/>
      <c r="M176" s="121"/>
    </row>
    <row r="177" spans="2:13" ht="20.100000000000001" customHeight="1">
      <c r="B177" s="124"/>
      <c r="C177" s="125"/>
      <c r="D177" s="126" t="s">
        <v>104</v>
      </c>
      <c r="E177" s="127"/>
      <c r="F177" s="127"/>
      <c r="G177" s="127"/>
      <c r="H177" s="127"/>
      <c r="I177" s="127"/>
      <c r="J177" s="127"/>
      <c r="K177" s="127"/>
      <c r="L177" s="182" t="s">
        <v>105</v>
      </c>
      <c r="M177" s="128"/>
    </row>
    <row r="178" spans="2:13" ht="9.9499999999999993" customHeight="1" thickBot="1">
      <c r="B178" s="124"/>
      <c r="C178" s="125"/>
      <c r="D178" s="126"/>
      <c r="E178" s="127"/>
      <c r="F178" s="127"/>
      <c r="G178" s="127"/>
      <c r="H178" s="127"/>
      <c r="I178" s="127"/>
      <c r="J178" s="127"/>
      <c r="K178" s="127"/>
      <c r="L178" s="125"/>
      <c r="M178" s="128"/>
    </row>
    <row r="179" spans="2:13" s="131" customFormat="1" ht="18" customHeight="1">
      <c r="B179" s="130"/>
      <c r="C179" s="178" t="s">
        <v>60</v>
      </c>
      <c r="D179" s="132" t="s">
        <v>3</v>
      </c>
      <c r="E179" s="133">
        <v>43297</v>
      </c>
      <c r="F179" s="133">
        <v>43298</v>
      </c>
      <c r="G179" s="133">
        <v>43299</v>
      </c>
      <c r="H179" s="133">
        <v>43300</v>
      </c>
      <c r="I179" s="133">
        <v>43301</v>
      </c>
      <c r="J179" s="134">
        <v>43302</v>
      </c>
      <c r="K179" s="134">
        <v>43303</v>
      </c>
      <c r="L179" s="584" t="s">
        <v>62</v>
      </c>
      <c r="M179" s="135"/>
    </row>
    <row r="180" spans="2:13" s="131" customFormat="1" ht="18" customHeight="1" thickBot="1">
      <c r="B180" s="130"/>
      <c r="D180" s="136" t="s">
        <v>2</v>
      </c>
      <c r="E180" s="137" t="s">
        <v>4</v>
      </c>
      <c r="F180" s="137" t="s">
        <v>23</v>
      </c>
      <c r="G180" s="137" t="s">
        <v>29</v>
      </c>
      <c r="H180" s="137" t="s">
        <v>30</v>
      </c>
      <c r="I180" s="137" t="s">
        <v>59</v>
      </c>
      <c r="J180" s="138" t="s">
        <v>40</v>
      </c>
      <c r="K180" s="138" t="s">
        <v>43</v>
      </c>
      <c r="L180" s="585"/>
      <c r="M180" s="135"/>
    </row>
    <row r="181" spans="2:13" ht="17.100000000000001" customHeight="1">
      <c r="B181" s="139"/>
      <c r="C181" s="602" t="s">
        <v>70</v>
      </c>
      <c r="D181" s="140" t="s">
        <v>58</v>
      </c>
      <c r="E181" s="141" t="s">
        <v>81</v>
      </c>
      <c r="F181" s="141" t="s">
        <v>81</v>
      </c>
      <c r="G181" s="141" t="s">
        <v>81</v>
      </c>
      <c r="H181" s="141" t="s">
        <v>81</v>
      </c>
      <c r="I181" s="141" t="s">
        <v>81</v>
      </c>
      <c r="J181" s="142"/>
      <c r="K181" s="142"/>
      <c r="L181" s="588">
        <f>SUM(E182:K182)</f>
        <v>5000000</v>
      </c>
      <c r="M181" s="143"/>
    </row>
    <row r="182" spans="2:13" ht="17.100000000000001" customHeight="1" thickBot="1">
      <c r="B182" s="144"/>
      <c r="C182" s="602"/>
      <c r="D182" s="145" t="s">
        <v>55</v>
      </c>
      <c r="E182" s="146">
        <v>1000000</v>
      </c>
      <c r="F182" s="146">
        <v>1000000</v>
      </c>
      <c r="G182" s="146">
        <v>1000000</v>
      </c>
      <c r="H182" s="146">
        <v>1000000</v>
      </c>
      <c r="I182" s="146">
        <v>1000000</v>
      </c>
      <c r="J182" s="147"/>
      <c r="K182" s="147"/>
      <c r="L182" s="589"/>
      <c r="M182" s="148"/>
    </row>
    <row r="183" spans="2:13" ht="17.100000000000001" customHeight="1">
      <c r="B183" s="139"/>
      <c r="C183" s="603" t="s">
        <v>71</v>
      </c>
      <c r="D183" s="140" t="s">
        <v>58</v>
      </c>
      <c r="E183" s="180" t="s">
        <v>94</v>
      </c>
      <c r="F183" s="180" t="s">
        <v>94</v>
      </c>
      <c r="G183" s="180" t="s">
        <v>94</v>
      </c>
      <c r="H183" s="180" t="s">
        <v>94</v>
      </c>
      <c r="I183" s="180" t="s">
        <v>94</v>
      </c>
      <c r="J183" s="142"/>
      <c r="K183" s="142"/>
      <c r="L183" s="588">
        <f>SUM(E184:K184)</f>
        <v>2500000</v>
      </c>
      <c r="M183" s="143"/>
    </row>
    <row r="184" spans="2:13" ht="17.100000000000001" customHeight="1" thickBot="1">
      <c r="B184" s="144"/>
      <c r="C184" s="603"/>
      <c r="D184" s="145" t="s">
        <v>55</v>
      </c>
      <c r="E184" s="181">
        <v>500000</v>
      </c>
      <c r="F184" s="181">
        <v>500000</v>
      </c>
      <c r="G184" s="181">
        <v>500000</v>
      </c>
      <c r="H184" s="181">
        <v>500000</v>
      </c>
      <c r="I184" s="181">
        <v>500000</v>
      </c>
      <c r="J184" s="147"/>
      <c r="K184" s="147"/>
      <c r="L184" s="589"/>
      <c r="M184" s="148"/>
    </row>
    <row r="185" spans="2:13" ht="17.100000000000001" customHeight="1" thickBot="1">
      <c r="B185" s="124"/>
      <c r="C185" s="125"/>
      <c r="D185" s="604" t="s">
        <v>57</v>
      </c>
      <c r="E185" s="592"/>
      <c r="F185" s="592"/>
      <c r="G185" s="592"/>
      <c r="H185" s="592"/>
      <c r="I185" s="592"/>
      <c r="J185" s="592"/>
      <c r="K185" s="592"/>
      <c r="L185" s="605"/>
      <c r="M185" s="128"/>
    </row>
    <row r="186" spans="2:13" ht="17.100000000000001" customHeight="1">
      <c r="B186" s="124"/>
      <c r="C186" s="606" t="s">
        <v>11</v>
      </c>
      <c r="D186" s="149" t="s">
        <v>58</v>
      </c>
      <c r="E186" s="141"/>
      <c r="F186" s="141"/>
      <c r="G186" s="141"/>
      <c r="H186" s="141"/>
      <c r="I186" s="141"/>
      <c r="J186" s="150"/>
      <c r="K186" s="150"/>
      <c r="L186" s="588">
        <f>SUM(E187:K187)</f>
        <v>0</v>
      </c>
      <c r="M186" s="128"/>
    </row>
    <row r="187" spans="2:13" ht="17.100000000000001" customHeight="1" thickBot="1">
      <c r="B187" s="124"/>
      <c r="C187" s="607"/>
      <c r="D187" s="151" t="s">
        <v>55</v>
      </c>
      <c r="E187" s="146"/>
      <c r="F187" s="146"/>
      <c r="G187" s="146"/>
      <c r="H187" s="146"/>
      <c r="I187" s="146"/>
      <c r="J187" s="146"/>
      <c r="K187" s="146"/>
      <c r="L187" s="589"/>
      <c r="M187" s="128"/>
    </row>
    <row r="188" spans="2:13" ht="15" customHeight="1" thickBot="1">
      <c r="B188" s="124"/>
      <c r="C188" s="125"/>
      <c r="D188" s="152"/>
      <c r="E188" s="153"/>
      <c r="F188" s="153"/>
      <c r="G188" s="153"/>
      <c r="H188" s="153"/>
      <c r="I188" s="153"/>
      <c r="J188" s="153"/>
      <c r="K188" s="583">
        <f>SUM(L181:L187)</f>
        <v>7500000</v>
      </c>
      <c r="L188" s="583"/>
      <c r="M188" s="128"/>
    </row>
    <row r="189" spans="2:13" s="131" customFormat="1" ht="18" customHeight="1">
      <c r="B189" s="130"/>
      <c r="C189" s="179" t="s">
        <v>61</v>
      </c>
      <c r="D189" s="132" t="s">
        <v>3</v>
      </c>
      <c r="E189" s="133">
        <v>43297</v>
      </c>
      <c r="F189" s="133">
        <v>43298</v>
      </c>
      <c r="G189" s="133">
        <v>43299</v>
      </c>
      <c r="H189" s="133">
        <v>43300</v>
      </c>
      <c r="I189" s="133">
        <v>43301</v>
      </c>
      <c r="J189" s="134">
        <v>43302</v>
      </c>
      <c r="K189" s="134">
        <v>43303</v>
      </c>
      <c r="L189" s="584" t="s">
        <v>62</v>
      </c>
      <c r="M189" s="135"/>
    </row>
    <row r="190" spans="2:13" s="131" customFormat="1" ht="18" customHeight="1" thickBot="1">
      <c r="B190" s="130"/>
      <c r="D190" s="136" t="s">
        <v>2</v>
      </c>
      <c r="E190" s="137" t="s">
        <v>4</v>
      </c>
      <c r="F190" s="137" t="s">
        <v>23</v>
      </c>
      <c r="G190" s="137" t="s">
        <v>29</v>
      </c>
      <c r="H190" s="137" t="s">
        <v>30</v>
      </c>
      <c r="I190" s="137" t="s">
        <v>59</v>
      </c>
      <c r="J190" s="138" t="s">
        <v>40</v>
      </c>
      <c r="K190" s="138" t="s">
        <v>43</v>
      </c>
      <c r="L190" s="585"/>
      <c r="M190" s="135"/>
    </row>
    <row r="191" spans="2:13" ht="17.100000000000001" customHeight="1">
      <c r="B191" s="139"/>
      <c r="C191" s="586" t="s">
        <v>70</v>
      </c>
      <c r="D191" s="156" t="s">
        <v>58</v>
      </c>
      <c r="E191" s="141" t="s">
        <v>81</v>
      </c>
      <c r="F191" s="141" t="s">
        <v>81</v>
      </c>
      <c r="G191" s="141" t="s">
        <v>81</v>
      </c>
      <c r="H191" s="141" t="s">
        <v>81</v>
      </c>
      <c r="I191" s="141" t="s">
        <v>81</v>
      </c>
      <c r="J191" s="141"/>
      <c r="K191" s="141"/>
      <c r="L191" s="588">
        <f>SUM(E192:K192)</f>
        <v>5000000</v>
      </c>
      <c r="M191" s="143"/>
    </row>
    <row r="192" spans="2:13" ht="17.100000000000001" customHeight="1" thickBot="1">
      <c r="B192" s="144"/>
      <c r="C192" s="587"/>
      <c r="D192" s="157" t="s">
        <v>55</v>
      </c>
      <c r="E192" s="146">
        <v>1000000</v>
      </c>
      <c r="F192" s="146">
        <v>1000000</v>
      </c>
      <c r="G192" s="146">
        <v>1000000</v>
      </c>
      <c r="H192" s="146">
        <v>1000000</v>
      </c>
      <c r="I192" s="146">
        <v>1000000</v>
      </c>
      <c r="J192" s="146"/>
      <c r="K192" s="146"/>
      <c r="L192" s="589"/>
      <c r="M192" s="148"/>
    </row>
    <row r="193" spans="2:13" ht="17.100000000000001" customHeight="1">
      <c r="B193" s="124"/>
      <c r="C193" s="125"/>
      <c r="D193" s="590" t="s">
        <v>57</v>
      </c>
      <c r="E193" s="591"/>
      <c r="F193" s="592"/>
      <c r="G193" s="591"/>
      <c r="H193" s="591"/>
      <c r="I193" s="591"/>
      <c r="J193" s="591"/>
      <c r="K193" s="591"/>
      <c r="L193" s="593"/>
      <c r="M193" s="128"/>
    </row>
    <row r="194" spans="2:13" ht="17.100000000000001" customHeight="1">
      <c r="B194" s="124"/>
      <c r="C194" s="594" t="s">
        <v>11</v>
      </c>
      <c r="D194" s="158" t="s">
        <v>58</v>
      </c>
      <c r="E194" s="159"/>
      <c r="F194" s="160"/>
      <c r="G194" s="159"/>
      <c r="H194" s="159"/>
      <c r="I194" s="159"/>
      <c r="J194" s="159"/>
      <c r="K194" s="159"/>
      <c r="L194" s="596">
        <f>SUM(E195:K195)</f>
        <v>0</v>
      </c>
      <c r="M194" s="128"/>
    </row>
    <row r="195" spans="2:13" ht="17.100000000000001" customHeight="1" thickBot="1">
      <c r="B195" s="144"/>
      <c r="C195" s="595"/>
      <c r="D195" s="161" t="s">
        <v>55</v>
      </c>
      <c r="E195" s="162"/>
      <c r="F195" s="146"/>
      <c r="G195" s="162"/>
      <c r="H195" s="162"/>
      <c r="I195" s="162"/>
      <c r="J195" s="162"/>
      <c r="K195" s="162"/>
      <c r="L195" s="597"/>
      <c r="M195" s="148"/>
    </row>
    <row r="196" spans="2:13" ht="18" customHeight="1">
      <c r="B196" s="124"/>
      <c r="C196" s="125"/>
      <c r="D196" s="125"/>
      <c r="E196" s="127"/>
      <c r="F196" s="163"/>
      <c r="G196" s="127"/>
      <c r="H196" s="127"/>
      <c r="I196" s="127"/>
      <c r="J196" s="127"/>
      <c r="K196" s="598">
        <f>SUM(L189:L195)</f>
        <v>5000000</v>
      </c>
      <c r="L196" s="598"/>
      <c r="M196" s="128"/>
    </row>
    <row r="197" spans="2:13" ht="20.25">
      <c r="B197" s="124"/>
      <c r="C197" s="125"/>
      <c r="D197" s="599" t="s">
        <v>63</v>
      </c>
      <c r="E197" s="599"/>
      <c r="F197" s="127"/>
      <c r="G197" s="127"/>
      <c r="H197" s="127"/>
      <c r="I197" s="127"/>
      <c r="J197" s="127"/>
      <c r="K197" s="127"/>
      <c r="L197" s="125"/>
      <c r="M197" s="128"/>
    </row>
    <row r="198" spans="2:13" ht="15">
      <c r="B198" s="124"/>
      <c r="C198" s="125"/>
      <c r="D198" s="579" t="s">
        <v>64</v>
      </c>
      <c r="E198" s="579"/>
      <c r="F198" s="580">
        <f>+K188</f>
        <v>7500000</v>
      </c>
      <c r="G198" s="580"/>
      <c r="H198" s="127"/>
      <c r="I198" s="127"/>
      <c r="J198" s="127"/>
      <c r="K198" s="127"/>
      <c r="L198" s="125"/>
      <c r="M198" s="128"/>
    </row>
    <row r="199" spans="2:13" ht="15.75" thickBot="1">
      <c r="B199" s="124"/>
      <c r="C199" s="125"/>
      <c r="D199" s="579" t="s">
        <v>65</v>
      </c>
      <c r="E199" s="579"/>
      <c r="F199" s="581">
        <f>+K196</f>
        <v>5000000</v>
      </c>
      <c r="G199" s="581"/>
      <c r="H199" s="127"/>
      <c r="I199" s="172" t="s">
        <v>76</v>
      </c>
      <c r="J199" s="173" t="s">
        <v>77</v>
      </c>
      <c r="K199" s="174" t="s">
        <v>78</v>
      </c>
      <c r="L199" s="125"/>
      <c r="M199" s="128"/>
    </row>
    <row r="200" spans="2:13" ht="20.100000000000001" customHeight="1" thickTop="1" thickBot="1">
      <c r="B200" s="124"/>
      <c r="C200" s="125"/>
      <c r="D200" s="125"/>
      <c r="E200" s="127"/>
      <c r="F200" s="582">
        <f>(+F199+F198)+F172</f>
        <v>25000000</v>
      </c>
      <c r="G200" s="582"/>
      <c r="H200" s="127"/>
      <c r="I200" s="175">
        <f>100*F200/96</f>
        <v>26041666.666666668</v>
      </c>
      <c r="J200" s="176">
        <f>4%*I200</f>
        <v>1041666.6666666667</v>
      </c>
      <c r="K200" s="177">
        <f>+I200-J200</f>
        <v>25000000</v>
      </c>
      <c r="L200" s="125"/>
      <c r="M200" s="128"/>
    </row>
    <row r="201" spans="2:13" ht="15.75" thickTop="1" thickBot="1">
      <c r="B201" s="168"/>
      <c r="C201" s="169"/>
      <c r="D201" s="169"/>
      <c r="E201" s="170"/>
      <c r="F201" s="170"/>
      <c r="G201" s="170"/>
      <c r="H201" s="170"/>
      <c r="I201" s="170"/>
      <c r="J201" s="170"/>
      <c r="K201" s="170"/>
      <c r="L201" s="169"/>
      <c r="M201" s="171"/>
    </row>
    <row r="202" spans="2:13" ht="15.75" thickTop="1" thickBot="1"/>
    <row r="203" spans="2:13" ht="15" thickTop="1">
      <c r="B203" s="116"/>
      <c r="C203" s="117"/>
      <c r="D203" s="117"/>
      <c r="E203" s="118"/>
      <c r="F203" s="118"/>
      <c r="G203" s="118"/>
      <c r="H203" s="118"/>
      <c r="I203" s="118"/>
      <c r="J203" s="118"/>
      <c r="K203" s="118"/>
      <c r="L203" s="117"/>
      <c r="M203" s="119"/>
    </row>
    <row r="204" spans="2:13" ht="20.100000000000001" customHeight="1">
      <c r="B204" s="120"/>
      <c r="D204" s="115" t="s">
        <v>87</v>
      </c>
      <c r="E204" s="600" t="s">
        <v>88</v>
      </c>
      <c r="F204" s="600"/>
      <c r="H204" s="601" t="s">
        <v>90</v>
      </c>
      <c r="I204" s="601"/>
      <c r="J204" s="601"/>
      <c r="K204" s="601"/>
      <c r="L204" s="601"/>
      <c r="M204" s="121"/>
    </row>
    <row r="205" spans="2:13" ht="20.100000000000001" customHeight="1">
      <c r="B205" s="124"/>
      <c r="C205" s="125"/>
      <c r="D205" s="126" t="s">
        <v>107</v>
      </c>
      <c r="E205" s="127"/>
      <c r="F205" s="127"/>
      <c r="G205" s="127"/>
      <c r="H205" s="127"/>
      <c r="I205" s="127"/>
      <c r="J205" s="127"/>
      <c r="K205" s="127"/>
      <c r="L205" s="182" t="s">
        <v>106</v>
      </c>
      <c r="M205" s="128"/>
    </row>
    <row r="206" spans="2:13" ht="9.9499999999999993" customHeight="1" thickBot="1">
      <c r="B206" s="124"/>
      <c r="C206" s="125"/>
      <c r="D206" s="126"/>
      <c r="E206" s="127"/>
      <c r="F206" s="127"/>
      <c r="G206" s="127"/>
      <c r="H206" s="127"/>
      <c r="I206" s="127"/>
      <c r="J206" s="127"/>
      <c r="K206" s="127"/>
      <c r="L206" s="125"/>
      <c r="M206" s="128"/>
    </row>
    <row r="207" spans="2:13" s="131" customFormat="1" ht="18" customHeight="1">
      <c r="B207" s="130"/>
      <c r="C207" s="178" t="s">
        <v>60</v>
      </c>
      <c r="D207" s="132" t="s">
        <v>3</v>
      </c>
      <c r="E207" s="133">
        <v>43304</v>
      </c>
      <c r="F207" s="133">
        <v>43305</v>
      </c>
      <c r="G207" s="133">
        <v>43306</v>
      </c>
      <c r="H207" s="133">
        <v>43307</v>
      </c>
      <c r="I207" s="133">
        <v>43308</v>
      </c>
      <c r="J207" s="134">
        <v>43309</v>
      </c>
      <c r="K207" s="134">
        <v>43310</v>
      </c>
      <c r="L207" s="584" t="s">
        <v>62</v>
      </c>
      <c r="M207" s="135"/>
    </row>
    <row r="208" spans="2:13" s="131" customFormat="1" ht="18" customHeight="1" thickBot="1">
      <c r="B208" s="130"/>
      <c r="D208" s="136" t="s">
        <v>2</v>
      </c>
      <c r="E208" s="137" t="s">
        <v>4</v>
      </c>
      <c r="F208" s="137" t="s">
        <v>23</v>
      </c>
      <c r="G208" s="137" t="s">
        <v>29</v>
      </c>
      <c r="H208" s="137" t="s">
        <v>30</v>
      </c>
      <c r="I208" s="137" t="s">
        <v>59</v>
      </c>
      <c r="J208" s="138" t="s">
        <v>40</v>
      </c>
      <c r="K208" s="138" t="s">
        <v>43</v>
      </c>
      <c r="L208" s="585"/>
      <c r="M208" s="135"/>
    </row>
    <row r="209" spans="2:13" ht="17.100000000000001" customHeight="1">
      <c r="B209" s="139"/>
      <c r="C209" s="602" t="s">
        <v>70</v>
      </c>
      <c r="D209" s="140" t="s">
        <v>58</v>
      </c>
      <c r="E209" s="141" t="s">
        <v>81</v>
      </c>
      <c r="F209" s="141" t="s">
        <v>81</v>
      </c>
      <c r="G209" s="141" t="s">
        <v>81</v>
      </c>
      <c r="H209" s="141" t="s">
        <v>81</v>
      </c>
      <c r="I209" s="141" t="s">
        <v>81</v>
      </c>
      <c r="J209" s="142"/>
      <c r="K209" s="142"/>
      <c r="L209" s="588">
        <f>SUM(E210:K210)</f>
        <v>5000000</v>
      </c>
      <c r="M209" s="143"/>
    </row>
    <row r="210" spans="2:13" ht="17.100000000000001" customHeight="1" thickBot="1">
      <c r="B210" s="144"/>
      <c r="C210" s="602"/>
      <c r="D210" s="145" t="s">
        <v>55</v>
      </c>
      <c r="E210" s="146">
        <v>1000000</v>
      </c>
      <c r="F210" s="146">
        <v>1000000</v>
      </c>
      <c r="G210" s="146">
        <v>1000000</v>
      </c>
      <c r="H210" s="146">
        <v>1000000</v>
      </c>
      <c r="I210" s="146">
        <v>1000000</v>
      </c>
      <c r="J210" s="147"/>
      <c r="K210" s="147"/>
      <c r="L210" s="589"/>
      <c r="M210" s="148"/>
    </row>
    <row r="211" spans="2:13" ht="17.100000000000001" customHeight="1">
      <c r="B211" s="139"/>
      <c r="C211" s="603" t="s">
        <v>71</v>
      </c>
      <c r="D211" s="140" t="s">
        <v>58</v>
      </c>
      <c r="E211" s="180" t="s">
        <v>94</v>
      </c>
      <c r="F211" s="180" t="s">
        <v>94</v>
      </c>
      <c r="G211" s="180" t="s">
        <v>94</v>
      </c>
      <c r="H211" s="180" t="s">
        <v>94</v>
      </c>
      <c r="I211" s="180" t="s">
        <v>94</v>
      </c>
      <c r="J211" s="142"/>
      <c r="K211" s="142"/>
      <c r="L211" s="588">
        <f>SUM(E212:K212)</f>
        <v>2500000</v>
      </c>
      <c r="M211" s="143"/>
    </row>
    <row r="212" spans="2:13" ht="17.100000000000001" customHeight="1" thickBot="1">
      <c r="B212" s="144"/>
      <c r="C212" s="603"/>
      <c r="D212" s="145" t="s">
        <v>55</v>
      </c>
      <c r="E212" s="181">
        <v>500000</v>
      </c>
      <c r="F212" s="181">
        <v>500000</v>
      </c>
      <c r="G212" s="181">
        <v>500000</v>
      </c>
      <c r="H212" s="181">
        <v>500000</v>
      </c>
      <c r="I212" s="181">
        <v>500000</v>
      </c>
      <c r="J212" s="147"/>
      <c r="K212" s="147"/>
      <c r="L212" s="589"/>
      <c r="M212" s="148"/>
    </row>
    <row r="213" spans="2:13" ht="17.100000000000001" customHeight="1" thickBot="1">
      <c r="B213" s="124"/>
      <c r="C213" s="125"/>
      <c r="D213" s="604" t="s">
        <v>57</v>
      </c>
      <c r="E213" s="592"/>
      <c r="F213" s="592"/>
      <c r="G213" s="592"/>
      <c r="H213" s="592"/>
      <c r="I213" s="592"/>
      <c r="J213" s="592"/>
      <c r="K213" s="592"/>
      <c r="L213" s="605"/>
      <c r="M213" s="128"/>
    </row>
    <row r="214" spans="2:13" ht="17.100000000000001" customHeight="1">
      <c r="B214" s="124"/>
      <c r="C214" s="606" t="s">
        <v>11</v>
      </c>
      <c r="D214" s="149" t="s">
        <v>58</v>
      </c>
      <c r="E214" s="141"/>
      <c r="F214" s="141"/>
      <c r="G214" s="141"/>
      <c r="H214" s="141"/>
      <c r="I214" s="141"/>
      <c r="J214" s="150"/>
      <c r="K214" s="150"/>
      <c r="L214" s="588">
        <f>SUM(E215:K215)</f>
        <v>0</v>
      </c>
      <c r="M214" s="128"/>
    </row>
    <row r="215" spans="2:13" ht="17.100000000000001" customHeight="1" thickBot="1">
      <c r="B215" s="124"/>
      <c r="C215" s="607"/>
      <c r="D215" s="151" t="s">
        <v>55</v>
      </c>
      <c r="E215" s="146"/>
      <c r="F215" s="146"/>
      <c r="G215" s="146"/>
      <c r="H215" s="146"/>
      <c r="I215" s="146"/>
      <c r="J215" s="146"/>
      <c r="K215" s="146"/>
      <c r="L215" s="589"/>
      <c r="M215" s="128"/>
    </row>
    <row r="216" spans="2:13" ht="15" customHeight="1" thickBot="1">
      <c r="B216" s="124"/>
      <c r="C216" s="125"/>
      <c r="D216" s="152"/>
      <c r="E216" s="153"/>
      <c r="F216" s="153"/>
      <c r="G216" s="153"/>
      <c r="H216" s="153"/>
      <c r="I216" s="153"/>
      <c r="J216" s="153"/>
      <c r="K216" s="583">
        <f>SUM(L209:L215)</f>
        <v>7500000</v>
      </c>
      <c r="L216" s="583"/>
      <c r="M216" s="128"/>
    </row>
    <row r="217" spans="2:13" s="131" customFormat="1" ht="18" customHeight="1">
      <c r="B217" s="130"/>
      <c r="C217" s="179" t="s">
        <v>61</v>
      </c>
      <c r="D217" s="132" t="s">
        <v>3</v>
      </c>
      <c r="E217" s="133">
        <v>43304</v>
      </c>
      <c r="F217" s="133">
        <v>43305</v>
      </c>
      <c r="G217" s="133">
        <v>43306</v>
      </c>
      <c r="H217" s="133">
        <v>43307</v>
      </c>
      <c r="I217" s="133">
        <v>43308</v>
      </c>
      <c r="J217" s="134">
        <v>43309</v>
      </c>
      <c r="K217" s="134">
        <v>43310</v>
      </c>
      <c r="L217" s="584" t="s">
        <v>62</v>
      </c>
      <c r="M217" s="135"/>
    </row>
    <row r="218" spans="2:13" s="131" customFormat="1" ht="18" customHeight="1" thickBot="1">
      <c r="B218" s="130"/>
      <c r="D218" s="136" t="s">
        <v>2</v>
      </c>
      <c r="E218" s="137" t="s">
        <v>4</v>
      </c>
      <c r="F218" s="137" t="s">
        <v>23</v>
      </c>
      <c r="G218" s="137" t="s">
        <v>29</v>
      </c>
      <c r="H218" s="137" t="s">
        <v>30</v>
      </c>
      <c r="I218" s="137" t="s">
        <v>59</v>
      </c>
      <c r="J218" s="138" t="s">
        <v>40</v>
      </c>
      <c r="K218" s="138" t="s">
        <v>43</v>
      </c>
      <c r="L218" s="585"/>
      <c r="M218" s="135"/>
    </row>
    <row r="219" spans="2:13" ht="17.100000000000001" customHeight="1">
      <c r="B219" s="139"/>
      <c r="C219" s="586" t="s">
        <v>70</v>
      </c>
      <c r="D219" s="156" t="s">
        <v>58</v>
      </c>
      <c r="E219" s="141" t="s">
        <v>81</v>
      </c>
      <c r="F219" s="141" t="s">
        <v>81</v>
      </c>
      <c r="G219" s="141" t="s">
        <v>81</v>
      </c>
      <c r="H219" s="141" t="s">
        <v>81</v>
      </c>
      <c r="I219" s="141" t="s">
        <v>81</v>
      </c>
      <c r="J219" s="141"/>
      <c r="K219" s="141"/>
      <c r="L219" s="588">
        <f>SUM(E220:K220)</f>
        <v>5000000</v>
      </c>
      <c r="M219" s="143"/>
    </row>
    <row r="220" spans="2:13" ht="17.100000000000001" customHeight="1" thickBot="1">
      <c r="B220" s="144"/>
      <c r="C220" s="587"/>
      <c r="D220" s="157" t="s">
        <v>55</v>
      </c>
      <c r="E220" s="146">
        <v>1000000</v>
      </c>
      <c r="F220" s="146">
        <v>1000000</v>
      </c>
      <c r="G220" s="146">
        <v>1000000</v>
      </c>
      <c r="H220" s="146">
        <v>1000000</v>
      </c>
      <c r="I220" s="146">
        <v>1000000</v>
      </c>
      <c r="J220" s="146"/>
      <c r="K220" s="146"/>
      <c r="L220" s="589"/>
      <c r="M220" s="148"/>
    </row>
    <row r="221" spans="2:13" ht="17.100000000000001" customHeight="1">
      <c r="B221" s="124"/>
      <c r="C221" s="125"/>
      <c r="D221" s="590" t="s">
        <v>57</v>
      </c>
      <c r="E221" s="591"/>
      <c r="F221" s="592"/>
      <c r="G221" s="591"/>
      <c r="H221" s="591"/>
      <c r="I221" s="591"/>
      <c r="J221" s="591"/>
      <c r="K221" s="591"/>
      <c r="L221" s="593"/>
      <c r="M221" s="128"/>
    </row>
    <row r="222" spans="2:13" ht="17.100000000000001" customHeight="1">
      <c r="B222" s="124"/>
      <c r="C222" s="594" t="s">
        <v>11</v>
      </c>
      <c r="D222" s="158" t="s">
        <v>58</v>
      </c>
      <c r="E222" s="159"/>
      <c r="F222" s="160"/>
      <c r="G222" s="159"/>
      <c r="H222" s="159"/>
      <c r="I222" s="159"/>
      <c r="J222" s="159"/>
      <c r="K222" s="159"/>
      <c r="L222" s="596">
        <f>SUM(E223:K223)</f>
        <v>0</v>
      </c>
      <c r="M222" s="128"/>
    </row>
    <row r="223" spans="2:13" ht="17.100000000000001" customHeight="1" thickBot="1">
      <c r="B223" s="144"/>
      <c r="C223" s="595"/>
      <c r="D223" s="161" t="s">
        <v>55</v>
      </c>
      <c r="E223" s="162"/>
      <c r="F223" s="146"/>
      <c r="G223" s="162"/>
      <c r="H223" s="162"/>
      <c r="I223" s="162"/>
      <c r="J223" s="162"/>
      <c r="K223" s="162"/>
      <c r="L223" s="597"/>
      <c r="M223" s="148"/>
    </row>
    <row r="224" spans="2:13" ht="18" customHeight="1">
      <c r="B224" s="124"/>
      <c r="C224" s="125"/>
      <c r="D224" s="125"/>
      <c r="E224" s="127"/>
      <c r="F224" s="163"/>
      <c r="G224" s="127"/>
      <c r="H224" s="127"/>
      <c r="I224" s="127"/>
      <c r="J224" s="127"/>
      <c r="K224" s="598">
        <f>SUM(L217:L223)</f>
        <v>5000000</v>
      </c>
      <c r="L224" s="598"/>
      <c r="M224" s="128"/>
    </row>
    <row r="225" spans="2:15" ht="20.25">
      <c r="B225" s="124"/>
      <c r="C225" s="125"/>
      <c r="D225" s="599" t="s">
        <v>63</v>
      </c>
      <c r="E225" s="599"/>
      <c r="F225" s="127"/>
      <c r="G225" s="127"/>
      <c r="H225" s="127"/>
      <c r="I225" s="127"/>
      <c r="J225" s="127"/>
      <c r="K225" s="127"/>
      <c r="L225" s="125"/>
      <c r="M225" s="128"/>
      <c r="O225" s="266">
        <f>+F228+F200+F172+F144</f>
        <v>62050000</v>
      </c>
    </row>
    <row r="226" spans="2:15" ht="15">
      <c r="B226" s="124"/>
      <c r="C226" s="125"/>
      <c r="D226" s="579" t="s">
        <v>64</v>
      </c>
      <c r="E226" s="579"/>
      <c r="F226" s="580">
        <f>+K216</f>
        <v>7500000</v>
      </c>
      <c r="G226" s="580"/>
      <c r="H226" s="127"/>
      <c r="I226" s="127"/>
      <c r="J226" s="127"/>
      <c r="K226" s="127"/>
      <c r="L226" s="125"/>
      <c r="M226" s="128"/>
    </row>
    <row r="227" spans="2:15" ht="15.75" thickBot="1">
      <c r="B227" s="124"/>
      <c r="C227" s="125"/>
      <c r="D227" s="579" t="s">
        <v>65</v>
      </c>
      <c r="E227" s="579"/>
      <c r="F227" s="581">
        <f>+K224</f>
        <v>5000000</v>
      </c>
      <c r="G227" s="581"/>
      <c r="H227" s="127"/>
      <c r="I227" s="172" t="s">
        <v>76</v>
      </c>
      <c r="J227" s="173" t="s">
        <v>77</v>
      </c>
      <c r="K227" s="174" t="s">
        <v>78</v>
      </c>
      <c r="L227" s="125"/>
      <c r="M227" s="128"/>
    </row>
    <row r="228" spans="2:15" ht="20.100000000000001" customHeight="1" thickTop="1" thickBot="1">
      <c r="B228" s="124"/>
      <c r="C228" s="125"/>
      <c r="D228" s="125"/>
      <c r="E228" s="127"/>
      <c r="F228" s="582">
        <f>+F226+F227</f>
        <v>12500000</v>
      </c>
      <c r="G228" s="582"/>
      <c r="H228" s="127"/>
      <c r="I228" s="185">
        <f>100*F228/98</f>
        <v>12755102.040816326</v>
      </c>
      <c r="J228" s="184">
        <f>2%*I228</f>
        <v>255102.04081632651</v>
      </c>
      <c r="K228" s="177">
        <f>+I228-J228</f>
        <v>12500000</v>
      </c>
      <c r="L228" s="125"/>
      <c r="M228" s="128"/>
    </row>
    <row r="229" spans="2:15" ht="15.75" thickTop="1" thickBot="1">
      <c r="B229" s="168"/>
      <c r="C229" s="169"/>
      <c r="D229" s="169"/>
      <c r="E229" s="170"/>
      <c r="F229" s="170"/>
      <c r="G229" s="170"/>
      <c r="H229" s="170"/>
      <c r="I229" s="170"/>
      <c r="J229" s="170"/>
      <c r="K229" s="170"/>
      <c r="L229" s="169"/>
      <c r="M229" s="171"/>
    </row>
    <row r="230" spans="2:15" ht="15.75" thickTop="1" thickBot="1"/>
    <row r="231" spans="2:15">
      <c r="B231" s="186"/>
      <c r="C231" s="187"/>
      <c r="D231" s="187"/>
      <c r="E231" s="188"/>
      <c r="F231" s="188"/>
      <c r="G231" s="188"/>
      <c r="H231" s="188"/>
      <c r="I231" s="188"/>
      <c r="J231" s="188"/>
      <c r="K231" s="189"/>
    </row>
    <row r="232" spans="2:15" ht="20.25">
      <c r="B232" s="190"/>
      <c r="C232" s="599" t="s">
        <v>63</v>
      </c>
      <c r="D232" s="599"/>
      <c r="E232" s="127"/>
      <c r="F232" s="127"/>
      <c r="G232" s="127"/>
      <c r="H232" s="127"/>
      <c r="I232" s="127"/>
      <c r="J232" s="127"/>
      <c r="K232" s="191"/>
    </row>
    <row r="233" spans="2:15" ht="15">
      <c r="B233" s="190"/>
      <c r="C233" s="579" t="s">
        <v>108</v>
      </c>
      <c r="D233" s="579"/>
      <c r="E233" s="580">
        <v>1500000</v>
      </c>
      <c r="F233" s="580"/>
      <c r="G233" s="127"/>
      <c r="H233" s="127"/>
      <c r="I233" s="127"/>
      <c r="J233" s="127"/>
      <c r="K233" s="191"/>
    </row>
    <row r="234" spans="2:15" ht="15.75" thickBot="1">
      <c r="B234" s="190"/>
      <c r="C234" s="579" t="s">
        <v>109</v>
      </c>
      <c r="D234" s="579"/>
      <c r="E234" s="610">
        <v>5</v>
      </c>
      <c r="F234" s="610"/>
      <c r="G234" s="127"/>
      <c r="H234" s="172" t="s">
        <v>76</v>
      </c>
      <c r="I234" s="173" t="s">
        <v>77</v>
      </c>
      <c r="J234" s="174" t="s">
        <v>78</v>
      </c>
      <c r="K234" s="191"/>
    </row>
    <row r="235" spans="2:15" ht="16.5" thickTop="1" thickBot="1">
      <c r="B235" s="190"/>
      <c r="C235" s="125"/>
      <c r="D235" s="127"/>
      <c r="E235" s="582">
        <f>+E234*E233</f>
        <v>7500000</v>
      </c>
      <c r="F235" s="582"/>
      <c r="G235" s="127"/>
      <c r="H235" s="192">
        <f>100*E235/98</f>
        <v>7653061.224489796</v>
      </c>
      <c r="I235" s="198">
        <f>2%*H235</f>
        <v>153061.22448979592</v>
      </c>
      <c r="J235" s="193">
        <f>+H235-I235</f>
        <v>7500000</v>
      </c>
      <c r="K235" s="191"/>
    </row>
    <row r="236" spans="2:15" ht="15.75" thickTop="1" thickBot="1">
      <c r="B236" s="194"/>
      <c r="C236" s="195"/>
      <c r="D236" s="195"/>
      <c r="E236" s="196"/>
      <c r="F236" s="196"/>
      <c r="G236" s="196"/>
      <c r="H236" s="196"/>
      <c r="I236" s="196"/>
      <c r="J236" s="196"/>
      <c r="K236" s="197"/>
    </row>
    <row r="237" spans="2:15" ht="15" thickBot="1"/>
    <row r="238" spans="2:15">
      <c r="B238" s="186"/>
      <c r="C238" s="187"/>
      <c r="D238" s="187"/>
      <c r="E238" s="188"/>
      <c r="F238" s="188"/>
      <c r="G238" s="188"/>
      <c r="H238" s="188"/>
      <c r="I238" s="188"/>
      <c r="J238" s="188"/>
      <c r="K238" s="189"/>
    </row>
    <row r="239" spans="2:15" ht="20.25">
      <c r="B239" s="190"/>
      <c r="C239" s="599" t="s">
        <v>63</v>
      </c>
      <c r="D239" s="599"/>
      <c r="E239" s="127"/>
      <c r="F239" s="127"/>
      <c r="G239" s="127"/>
      <c r="H239" s="127"/>
      <c r="I239" s="127"/>
      <c r="J239" s="127"/>
      <c r="K239" s="191"/>
    </row>
    <row r="240" spans="2:15" ht="15">
      <c r="B240" s="190"/>
      <c r="C240" s="579" t="s">
        <v>108</v>
      </c>
      <c r="D240" s="579"/>
      <c r="E240" s="580">
        <v>1500000</v>
      </c>
      <c r="F240" s="580"/>
      <c r="G240" s="127"/>
      <c r="H240" s="127"/>
      <c r="I240" s="127"/>
      <c r="J240" s="127"/>
      <c r="K240" s="191"/>
    </row>
    <row r="241" spans="2:13" ht="15.75" thickBot="1">
      <c r="B241" s="190"/>
      <c r="C241" s="579" t="s">
        <v>109</v>
      </c>
      <c r="D241" s="579"/>
      <c r="E241" s="610">
        <v>1</v>
      </c>
      <c r="F241" s="610"/>
      <c r="G241" s="127"/>
      <c r="H241" s="172" t="s">
        <v>76</v>
      </c>
      <c r="I241" s="173" t="s">
        <v>77</v>
      </c>
      <c r="J241" s="174" t="s">
        <v>78</v>
      </c>
      <c r="K241" s="191"/>
    </row>
    <row r="242" spans="2:13" ht="16.5" thickTop="1" thickBot="1">
      <c r="B242" s="190"/>
      <c r="C242" s="125"/>
      <c r="D242" s="127"/>
      <c r="E242" s="582">
        <f>+E241*E240</f>
        <v>1500000</v>
      </c>
      <c r="F242" s="582"/>
      <c r="G242" s="127"/>
      <c r="H242" s="192">
        <f>100*E242/98</f>
        <v>1530612.2448979593</v>
      </c>
      <c r="I242" s="198">
        <f>2%*H242</f>
        <v>30612.244897959186</v>
      </c>
      <c r="J242" s="193">
        <f>+H242-I242</f>
        <v>1500000</v>
      </c>
      <c r="K242" s="191"/>
    </row>
    <row r="243" spans="2:13" ht="15.75" thickTop="1" thickBot="1">
      <c r="B243" s="194"/>
      <c r="C243" s="195"/>
      <c r="D243" s="195"/>
      <c r="E243" s="196"/>
      <c r="F243" s="196"/>
      <c r="G243" s="196"/>
      <c r="H243" s="196"/>
      <c r="I243" s="196"/>
      <c r="J243" s="196"/>
      <c r="K243" s="197"/>
    </row>
    <row r="244" spans="2:13" ht="15" thickBot="1"/>
    <row r="245" spans="2:13">
      <c r="B245" s="186"/>
      <c r="C245" s="187"/>
      <c r="D245" s="187"/>
      <c r="E245" s="188"/>
      <c r="F245" s="188"/>
      <c r="G245" s="188"/>
      <c r="H245" s="188"/>
      <c r="I245" s="188"/>
      <c r="J245" s="188"/>
      <c r="K245" s="189"/>
    </row>
    <row r="246" spans="2:13" ht="20.25">
      <c r="B246" s="190"/>
      <c r="C246" s="599" t="s">
        <v>63</v>
      </c>
      <c r="D246" s="599"/>
      <c r="E246" s="127"/>
      <c r="F246" s="127"/>
      <c r="G246" s="127"/>
      <c r="H246" s="127"/>
      <c r="I246" s="127"/>
      <c r="J246" s="127"/>
      <c r="K246" s="191"/>
    </row>
    <row r="247" spans="2:13" ht="15">
      <c r="B247" s="190"/>
      <c r="C247" s="579" t="s">
        <v>108</v>
      </c>
      <c r="D247" s="579"/>
      <c r="E247" s="580">
        <v>7500000</v>
      </c>
      <c r="F247" s="580"/>
      <c r="G247" s="127"/>
      <c r="H247" s="127"/>
      <c r="I247" s="127"/>
      <c r="J247" s="127"/>
      <c r="K247" s="191"/>
    </row>
    <row r="248" spans="2:13" ht="15.75" thickBot="1">
      <c r="B248" s="190"/>
      <c r="C248" s="579" t="s">
        <v>109</v>
      </c>
      <c r="D248" s="579"/>
      <c r="E248" s="610">
        <v>1</v>
      </c>
      <c r="F248" s="610"/>
      <c r="G248" s="127"/>
      <c r="H248" s="165"/>
      <c r="I248" s="166"/>
      <c r="J248" s="166"/>
      <c r="K248" s="191"/>
    </row>
    <row r="249" spans="2:13" ht="15.75" thickTop="1">
      <c r="B249" s="190"/>
      <c r="C249" s="125"/>
      <c r="D249" s="127"/>
      <c r="E249" s="582">
        <f>+E248*E247</f>
        <v>7500000</v>
      </c>
      <c r="F249" s="582"/>
      <c r="G249" s="127"/>
      <c r="H249" s="201"/>
      <c r="I249" s="201"/>
      <c r="J249" s="167"/>
      <c r="K249" s="191"/>
    </row>
    <row r="250" spans="2:13" ht="15" thickBot="1">
      <c r="B250" s="194"/>
      <c r="C250" s="195"/>
      <c r="D250" s="195"/>
      <c r="E250" s="196"/>
      <c r="F250" s="196"/>
      <c r="G250" s="196"/>
      <c r="H250" s="196"/>
      <c r="I250" s="196"/>
      <c r="J250" s="196"/>
      <c r="K250" s="197"/>
    </row>
    <row r="251" spans="2:13" ht="15" thickBot="1"/>
    <row r="252" spans="2:13" ht="15" thickTop="1">
      <c r="B252" s="116"/>
      <c r="C252" s="117"/>
      <c r="D252" s="117"/>
      <c r="E252" s="118"/>
      <c r="F252" s="118"/>
      <c r="G252" s="118"/>
      <c r="H252" s="118"/>
      <c r="I252" s="118"/>
      <c r="J252" s="118"/>
      <c r="K252" s="118"/>
      <c r="L252" s="117"/>
      <c r="M252" s="119"/>
    </row>
    <row r="253" spans="2:13" ht="20.100000000000001" customHeight="1">
      <c r="B253" s="120"/>
      <c r="D253" s="115" t="s">
        <v>87</v>
      </c>
      <c r="E253" s="600" t="s">
        <v>88</v>
      </c>
      <c r="F253" s="600"/>
      <c r="H253" s="601" t="s">
        <v>90</v>
      </c>
      <c r="I253" s="601"/>
      <c r="J253" s="601"/>
      <c r="K253" s="601"/>
      <c r="L253" s="601"/>
      <c r="M253" s="121"/>
    </row>
    <row r="254" spans="2:13" ht="20.100000000000001" customHeight="1">
      <c r="B254" s="124"/>
      <c r="C254" s="125"/>
      <c r="D254" s="126" t="s">
        <v>110</v>
      </c>
      <c r="E254" s="127"/>
      <c r="F254" s="127"/>
      <c r="G254" s="127"/>
      <c r="H254" s="127"/>
      <c r="I254" s="127"/>
      <c r="J254" s="127"/>
      <c r="K254" s="127"/>
      <c r="L254" s="182" t="s">
        <v>111</v>
      </c>
      <c r="M254" s="128"/>
    </row>
    <row r="255" spans="2:13" ht="9.9499999999999993" customHeight="1" thickBot="1">
      <c r="B255" s="124"/>
      <c r="C255" s="125"/>
      <c r="D255" s="126"/>
      <c r="E255" s="127"/>
      <c r="F255" s="127"/>
      <c r="G255" s="127"/>
      <c r="H255" s="127"/>
      <c r="I255" s="127"/>
      <c r="J255" s="127"/>
      <c r="K255" s="127"/>
      <c r="L255" s="125"/>
      <c r="M255" s="128"/>
    </row>
    <row r="256" spans="2:13" s="131" customFormat="1" ht="18" customHeight="1">
      <c r="B256" s="130"/>
      <c r="C256" s="178" t="s">
        <v>60</v>
      </c>
      <c r="D256" s="132" t="s">
        <v>3</v>
      </c>
      <c r="E256" s="133">
        <v>43311</v>
      </c>
      <c r="F256" s="133">
        <v>43312</v>
      </c>
      <c r="G256" s="133">
        <v>43313</v>
      </c>
      <c r="H256" s="133">
        <v>43314</v>
      </c>
      <c r="I256" s="133">
        <v>43315</v>
      </c>
      <c r="J256" s="199">
        <v>43316</v>
      </c>
      <c r="K256" s="199">
        <v>43317</v>
      </c>
      <c r="L256" s="584" t="s">
        <v>62</v>
      </c>
      <c r="M256" s="135"/>
    </row>
    <row r="257" spans="2:13" s="131" customFormat="1" ht="18" customHeight="1" thickBot="1">
      <c r="B257" s="130"/>
      <c r="D257" s="136" t="s">
        <v>2</v>
      </c>
      <c r="E257" s="137" t="s">
        <v>4</v>
      </c>
      <c r="F257" s="137" t="s">
        <v>23</v>
      </c>
      <c r="G257" s="137" t="s">
        <v>29</v>
      </c>
      <c r="H257" s="137" t="s">
        <v>30</v>
      </c>
      <c r="I257" s="137" t="s">
        <v>59</v>
      </c>
      <c r="J257" s="200" t="s">
        <v>40</v>
      </c>
      <c r="K257" s="200" t="s">
        <v>43</v>
      </c>
      <c r="L257" s="585"/>
      <c r="M257" s="135"/>
    </row>
    <row r="258" spans="2:13" ht="17.100000000000001" customHeight="1">
      <c r="B258" s="139"/>
      <c r="C258" s="602" t="s">
        <v>70</v>
      </c>
      <c r="D258" s="140" t="s">
        <v>58</v>
      </c>
      <c r="E258" s="141" t="s">
        <v>81</v>
      </c>
      <c r="F258" s="141" t="s">
        <v>81</v>
      </c>
      <c r="G258" s="141" t="s">
        <v>81</v>
      </c>
      <c r="H258" s="141" t="s">
        <v>81</v>
      </c>
      <c r="I258" s="141" t="s">
        <v>81</v>
      </c>
      <c r="J258" s="142"/>
      <c r="K258" s="142"/>
      <c r="L258" s="588">
        <f>SUM(E259:K259)</f>
        <v>5000000</v>
      </c>
      <c r="M258" s="143"/>
    </row>
    <row r="259" spans="2:13" ht="17.100000000000001" customHeight="1" thickBot="1">
      <c r="B259" s="144"/>
      <c r="C259" s="602"/>
      <c r="D259" s="145" t="s">
        <v>55</v>
      </c>
      <c r="E259" s="146">
        <v>1000000</v>
      </c>
      <c r="F259" s="146">
        <v>1000000</v>
      </c>
      <c r="G259" s="146">
        <v>1000000</v>
      </c>
      <c r="H259" s="146">
        <v>1000000</v>
      </c>
      <c r="I259" s="146">
        <v>1000000</v>
      </c>
      <c r="J259" s="147"/>
      <c r="K259" s="147"/>
      <c r="L259" s="589"/>
      <c r="M259" s="148"/>
    </row>
    <row r="260" spans="2:13" ht="17.100000000000001" customHeight="1">
      <c r="B260" s="139"/>
      <c r="C260" s="603" t="s">
        <v>71</v>
      </c>
      <c r="D260" s="140" t="s">
        <v>58</v>
      </c>
      <c r="E260" s="180" t="s">
        <v>94</v>
      </c>
      <c r="F260" s="180" t="s">
        <v>94</v>
      </c>
      <c r="G260" s="180" t="s">
        <v>94</v>
      </c>
      <c r="H260" s="180" t="s">
        <v>94</v>
      </c>
      <c r="I260" s="180" t="s">
        <v>94</v>
      </c>
      <c r="J260" s="142"/>
      <c r="K260" s="142"/>
      <c r="L260" s="588">
        <f>SUM(E261:K261)</f>
        <v>2500000</v>
      </c>
      <c r="M260" s="143"/>
    </row>
    <row r="261" spans="2:13" ht="17.100000000000001" customHeight="1" thickBot="1">
      <c r="B261" s="144"/>
      <c r="C261" s="603"/>
      <c r="D261" s="145" t="s">
        <v>55</v>
      </c>
      <c r="E261" s="181">
        <v>500000</v>
      </c>
      <c r="F261" s="181">
        <v>500000</v>
      </c>
      <c r="G261" s="181">
        <v>500000</v>
      </c>
      <c r="H261" s="181">
        <v>500000</v>
      </c>
      <c r="I261" s="181">
        <v>500000</v>
      </c>
      <c r="J261" s="147"/>
      <c r="K261" s="147"/>
      <c r="L261" s="589"/>
      <c r="M261" s="148"/>
    </row>
    <row r="262" spans="2:13" ht="17.100000000000001" customHeight="1" thickBot="1">
      <c r="B262" s="124"/>
      <c r="C262" s="125"/>
      <c r="D262" s="604" t="s">
        <v>57</v>
      </c>
      <c r="E262" s="592"/>
      <c r="F262" s="592"/>
      <c r="G262" s="592"/>
      <c r="H262" s="592"/>
      <c r="I262" s="592"/>
      <c r="J262" s="592"/>
      <c r="K262" s="592"/>
      <c r="L262" s="605"/>
      <c r="M262" s="128"/>
    </row>
    <row r="263" spans="2:13" ht="17.100000000000001" customHeight="1">
      <c r="B263" s="124"/>
      <c r="C263" s="606" t="s">
        <v>11</v>
      </c>
      <c r="D263" s="149" t="s">
        <v>58</v>
      </c>
      <c r="E263" s="141"/>
      <c r="F263" s="141"/>
      <c r="G263" s="141"/>
      <c r="H263" s="141"/>
      <c r="I263" s="141"/>
      <c r="J263" s="150"/>
      <c r="K263" s="150"/>
      <c r="L263" s="588">
        <f>SUM(E264:K264)</f>
        <v>0</v>
      </c>
      <c r="M263" s="128"/>
    </row>
    <row r="264" spans="2:13" ht="17.100000000000001" customHeight="1" thickBot="1">
      <c r="B264" s="124"/>
      <c r="C264" s="607"/>
      <c r="D264" s="151" t="s">
        <v>55</v>
      </c>
      <c r="E264" s="146"/>
      <c r="F264" s="146"/>
      <c r="G264" s="146"/>
      <c r="H264" s="146"/>
      <c r="I264" s="146"/>
      <c r="J264" s="146"/>
      <c r="K264" s="146"/>
      <c r="L264" s="589"/>
      <c r="M264" s="128"/>
    </row>
    <row r="265" spans="2:13" ht="15" customHeight="1" thickBot="1">
      <c r="B265" s="124"/>
      <c r="C265" s="125"/>
      <c r="D265" s="152"/>
      <c r="E265" s="153"/>
      <c r="F265" s="153"/>
      <c r="G265" s="153"/>
      <c r="H265" s="153"/>
      <c r="I265" s="153"/>
      <c r="J265" s="153"/>
      <c r="K265" s="583">
        <f>SUM(L258:L264)</f>
        <v>7500000</v>
      </c>
      <c r="L265" s="583"/>
      <c r="M265" s="128"/>
    </row>
    <row r="266" spans="2:13" s="131" customFormat="1" ht="18" customHeight="1">
      <c r="B266" s="130"/>
      <c r="C266" s="179" t="s">
        <v>61</v>
      </c>
      <c r="D266" s="132" t="s">
        <v>3</v>
      </c>
      <c r="E266" s="133">
        <v>43311</v>
      </c>
      <c r="F266" s="133">
        <v>43312</v>
      </c>
      <c r="G266" s="133">
        <v>43313</v>
      </c>
      <c r="H266" s="133">
        <v>43314</v>
      </c>
      <c r="I266" s="133">
        <v>43315</v>
      </c>
      <c r="J266" s="199">
        <v>43316</v>
      </c>
      <c r="K266" s="199">
        <v>43317</v>
      </c>
      <c r="L266" s="584" t="s">
        <v>62</v>
      </c>
      <c r="M266" s="135"/>
    </row>
    <row r="267" spans="2:13" s="131" customFormat="1" ht="18" customHeight="1" thickBot="1">
      <c r="B267" s="130"/>
      <c r="D267" s="136" t="s">
        <v>2</v>
      </c>
      <c r="E267" s="137" t="s">
        <v>4</v>
      </c>
      <c r="F267" s="137" t="s">
        <v>23</v>
      </c>
      <c r="G267" s="137" t="s">
        <v>29</v>
      </c>
      <c r="H267" s="137" t="s">
        <v>30</v>
      </c>
      <c r="I267" s="137" t="s">
        <v>59</v>
      </c>
      <c r="J267" s="200" t="s">
        <v>40</v>
      </c>
      <c r="K267" s="200" t="s">
        <v>43</v>
      </c>
      <c r="L267" s="585"/>
      <c r="M267" s="135"/>
    </row>
    <row r="268" spans="2:13" ht="17.100000000000001" customHeight="1">
      <c r="B268" s="139"/>
      <c r="C268" s="586" t="s">
        <v>70</v>
      </c>
      <c r="D268" s="156" t="s">
        <v>58</v>
      </c>
      <c r="E268" s="141" t="s">
        <v>81</v>
      </c>
      <c r="F268" s="141" t="s">
        <v>81</v>
      </c>
      <c r="G268" s="141" t="s">
        <v>81</v>
      </c>
      <c r="H268" s="141" t="s">
        <v>81</v>
      </c>
      <c r="I268" s="141" t="s">
        <v>81</v>
      </c>
      <c r="J268" s="141"/>
      <c r="K268" s="141"/>
      <c r="L268" s="588">
        <f>SUM(E269:K269)</f>
        <v>5000000</v>
      </c>
      <c r="M268" s="143"/>
    </row>
    <row r="269" spans="2:13" ht="17.100000000000001" customHeight="1" thickBot="1">
      <c r="B269" s="144"/>
      <c r="C269" s="587"/>
      <c r="D269" s="157" t="s">
        <v>55</v>
      </c>
      <c r="E269" s="146">
        <v>1000000</v>
      </c>
      <c r="F269" s="146">
        <v>1000000</v>
      </c>
      <c r="G269" s="146">
        <v>1000000</v>
      </c>
      <c r="H269" s="146">
        <v>1000000</v>
      </c>
      <c r="I269" s="146">
        <v>1000000</v>
      </c>
      <c r="J269" s="146"/>
      <c r="K269" s="146"/>
      <c r="L269" s="589"/>
      <c r="M269" s="148"/>
    </row>
    <row r="270" spans="2:13" ht="17.100000000000001" customHeight="1">
      <c r="B270" s="124"/>
      <c r="C270" s="125"/>
      <c r="D270" s="590" t="s">
        <v>57</v>
      </c>
      <c r="E270" s="591"/>
      <c r="F270" s="592"/>
      <c r="G270" s="591"/>
      <c r="H270" s="591"/>
      <c r="I270" s="591"/>
      <c r="J270" s="591"/>
      <c r="K270" s="591"/>
      <c r="L270" s="593"/>
      <c r="M270" s="128"/>
    </row>
    <row r="271" spans="2:13" ht="17.100000000000001" customHeight="1">
      <c r="B271" s="124"/>
      <c r="C271" s="594" t="s">
        <v>11</v>
      </c>
      <c r="D271" s="158" t="s">
        <v>58</v>
      </c>
      <c r="E271" s="159"/>
      <c r="F271" s="160"/>
      <c r="G271" s="159"/>
      <c r="H271" s="159"/>
      <c r="I271" s="159"/>
      <c r="J271" s="159"/>
      <c r="K271" s="159"/>
      <c r="L271" s="596">
        <f>SUM(E272:K272)</f>
        <v>0</v>
      </c>
      <c r="M271" s="128"/>
    </row>
    <row r="272" spans="2:13" ht="17.100000000000001" customHeight="1" thickBot="1">
      <c r="B272" s="144"/>
      <c r="C272" s="595"/>
      <c r="D272" s="161" t="s">
        <v>55</v>
      </c>
      <c r="E272" s="162"/>
      <c r="F272" s="146"/>
      <c r="G272" s="162"/>
      <c r="H272" s="162"/>
      <c r="I272" s="162"/>
      <c r="J272" s="162"/>
      <c r="K272" s="162"/>
      <c r="L272" s="597"/>
      <c r="M272" s="148"/>
    </row>
    <row r="273" spans="2:13" ht="18" customHeight="1">
      <c r="B273" s="124"/>
      <c r="C273" s="125"/>
      <c r="D273" s="125"/>
      <c r="E273" s="127"/>
      <c r="F273" s="163"/>
      <c r="G273" s="127"/>
      <c r="H273" s="127"/>
      <c r="I273" s="127"/>
      <c r="J273" s="127"/>
      <c r="K273" s="598">
        <f>SUM(L266:L272)</f>
        <v>5000000</v>
      </c>
      <c r="L273" s="598"/>
      <c r="M273" s="128"/>
    </row>
    <row r="274" spans="2:13" ht="20.25">
      <c r="B274" s="124"/>
      <c r="C274" s="125"/>
      <c r="D274" s="599" t="s">
        <v>63</v>
      </c>
      <c r="E274" s="599"/>
      <c r="F274" s="127"/>
      <c r="G274" s="127"/>
      <c r="H274" s="127"/>
      <c r="I274" s="127"/>
      <c r="J274" s="127"/>
      <c r="K274" s="127"/>
      <c r="L274" s="125"/>
      <c r="M274" s="128"/>
    </row>
    <row r="275" spans="2:13" ht="15">
      <c r="B275" s="124"/>
      <c r="C275" s="125"/>
      <c r="D275" s="579" t="s">
        <v>64</v>
      </c>
      <c r="E275" s="579"/>
      <c r="F275" s="580">
        <f>+K265</f>
        <v>7500000</v>
      </c>
      <c r="G275" s="580"/>
      <c r="H275" s="127"/>
      <c r="I275" s="127"/>
      <c r="J275" s="127"/>
      <c r="K275" s="127"/>
      <c r="L275" s="125"/>
      <c r="M275" s="128"/>
    </row>
    <row r="276" spans="2:13" ht="15.75" thickBot="1">
      <c r="B276" s="124"/>
      <c r="C276" s="125"/>
      <c r="D276" s="579" t="s">
        <v>65</v>
      </c>
      <c r="E276" s="579"/>
      <c r="F276" s="581">
        <f>+K273</f>
        <v>5000000</v>
      </c>
      <c r="G276" s="581"/>
      <c r="H276" s="127"/>
      <c r="I276" s="165"/>
      <c r="J276" s="166"/>
      <c r="K276" s="166"/>
      <c r="L276" s="125"/>
      <c r="M276" s="128"/>
    </row>
    <row r="277" spans="2:13" ht="20.100000000000001" customHeight="1" thickTop="1">
      <c r="B277" s="124"/>
      <c r="C277" s="125"/>
      <c r="D277" s="125"/>
      <c r="E277" s="127"/>
      <c r="F277" s="582">
        <f>+F275+F276</f>
        <v>12500000</v>
      </c>
      <c r="G277" s="582"/>
      <c r="H277" s="127"/>
      <c r="I277" s="201"/>
      <c r="J277" s="202"/>
      <c r="K277" s="167"/>
      <c r="L277" s="125"/>
      <c r="M277" s="128"/>
    </row>
    <row r="278" spans="2:13" ht="15" thickBot="1">
      <c r="B278" s="168"/>
      <c r="C278" s="169"/>
      <c r="D278" s="169"/>
      <c r="E278" s="170"/>
      <c r="F278" s="170"/>
      <c r="G278" s="170"/>
      <c r="H278" s="170"/>
      <c r="I278" s="170"/>
      <c r="J278" s="170"/>
      <c r="K278" s="170"/>
      <c r="L278" s="169"/>
      <c r="M278" s="171"/>
    </row>
    <row r="279" spans="2:13" ht="15" thickTop="1"/>
  </sheetData>
  <mergeCells count="230">
    <mergeCell ref="D276:E276"/>
    <mergeCell ref="F276:G276"/>
    <mergeCell ref="F277:G277"/>
    <mergeCell ref="C268:C269"/>
    <mergeCell ref="L268:L269"/>
    <mergeCell ref="D270:L270"/>
    <mergeCell ref="C271:C272"/>
    <mergeCell ref="L271:L272"/>
    <mergeCell ref="K273:L273"/>
    <mergeCell ref="D274:E274"/>
    <mergeCell ref="D275:E275"/>
    <mergeCell ref="F275:G275"/>
    <mergeCell ref="C258:C259"/>
    <mergeCell ref="L258:L259"/>
    <mergeCell ref="C260:C261"/>
    <mergeCell ref="L260:L261"/>
    <mergeCell ref="D262:L262"/>
    <mergeCell ref="C263:C264"/>
    <mergeCell ref="L263:L264"/>
    <mergeCell ref="K265:L265"/>
    <mergeCell ref="L266:L267"/>
    <mergeCell ref="C246:D246"/>
    <mergeCell ref="C247:D247"/>
    <mergeCell ref="E247:F247"/>
    <mergeCell ref="C248:D248"/>
    <mergeCell ref="E248:F248"/>
    <mergeCell ref="E249:F249"/>
    <mergeCell ref="E253:F253"/>
    <mergeCell ref="H253:L253"/>
    <mergeCell ref="L256:L257"/>
    <mergeCell ref="E235:F235"/>
    <mergeCell ref="C239:D239"/>
    <mergeCell ref="C240:D240"/>
    <mergeCell ref="E240:F240"/>
    <mergeCell ref="C241:D241"/>
    <mergeCell ref="E241:F241"/>
    <mergeCell ref="E242:F242"/>
    <mergeCell ref="D226:E226"/>
    <mergeCell ref="F226:G226"/>
    <mergeCell ref="D227:E227"/>
    <mergeCell ref="F227:G227"/>
    <mergeCell ref="F228:G228"/>
    <mergeCell ref="C232:D232"/>
    <mergeCell ref="C233:D233"/>
    <mergeCell ref="E233:F233"/>
    <mergeCell ref="C234:D234"/>
    <mergeCell ref="E234:F234"/>
    <mergeCell ref="K216:L216"/>
    <mergeCell ref="L217:L218"/>
    <mergeCell ref="C219:C220"/>
    <mergeCell ref="L219:L220"/>
    <mergeCell ref="D221:L221"/>
    <mergeCell ref="C222:C223"/>
    <mergeCell ref="L222:L223"/>
    <mergeCell ref="K224:L224"/>
    <mergeCell ref="D225:E225"/>
    <mergeCell ref="E204:F204"/>
    <mergeCell ref="H204:L204"/>
    <mergeCell ref="L207:L208"/>
    <mergeCell ref="C209:C210"/>
    <mergeCell ref="L209:L210"/>
    <mergeCell ref="C211:C212"/>
    <mergeCell ref="L211:L212"/>
    <mergeCell ref="D213:L213"/>
    <mergeCell ref="C214:C215"/>
    <mergeCell ref="L214:L215"/>
    <mergeCell ref="D198:E198"/>
    <mergeCell ref="F198:G198"/>
    <mergeCell ref="D199:E199"/>
    <mergeCell ref="F199:G199"/>
    <mergeCell ref="F200:G200"/>
    <mergeCell ref="K188:L188"/>
    <mergeCell ref="L189:L190"/>
    <mergeCell ref="C191:C192"/>
    <mergeCell ref="L191:L192"/>
    <mergeCell ref="D193:L193"/>
    <mergeCell ref="C194:C195"/>
    <mergeCell ref="L194:L195"/>
    <mergeCell ref="K196:L196"/>
    <mergeCell ref="D197:E197"/>
    <mergeCell ref="E176:F176"/>
    <mergeCell ref="H176:L176"/>
    <mergeCell ref="L179:L180"/>
    <mergeCell ref="C181:C182"/>
    <mergeCell ref="L181:L182"/>
    <mergeCell ref="C183:C184"/>
    <mergeCell ref="L183:L184"/>
    <mergeCell ref="D185:L185"/>
    <mergeCell ref="C186:C187"/>
    <mergeCell ref="L186:L187"/>
    <mergeCell ref="D143:E143"/>
    <mergeCell ref="F143:G143"/>
    <mergeCell ref="F144:G144"/>
    <mergeCell ref="C138:C139"/>
    <mergeCell ref="L138:L139"/>
    <mergeCell ref="K140:L140"/>
    <mergeCell ref="D141:E141"/>
    <mergeCell ref="D142:E142"/>
    <mergeCell ref="F142:G142"/>
    <mergeCell ref="K132:L132"/>
    <mergeCell ref="L133:L134"/>
    <mergeCell ref="C135:C136"/>
    <mergeCell ref="L135:L136"/>
    <mergeCell ref="D137:L137"/>
    <mergeCell ref="C127:C128"/>
    <mergeCell ref="L127:L128"/>
    <mergeCell ref="D129:L129"/>
    <mergeCell ref="C130:C131"/>
    <mergeCell ref="L130:L131"/>
    <mergeCell ref="E120:F120"/>
    <mergeCell ref="H120:L120"/>
    <mergeCell ref="L123:L124"/>
    <mergeCell ref="C125:C126"/>
    <mergeCell ref="L125:L126"/>
    <mergeCell ref="D115:E115"/>
    <mergeCell ref="F115:G115"/>
    <mergeCell ref="F116:G116"/>
    <mergeCell ref="C110:C111"/>
    <mergeCell ref="L110:L111"/>
    <mergeCell ref="K112:L112"/>
    <mergeCell ref="D113:E113"/>
    <mergeCell ref="D114:E114"/>
    <mergeCell ref="F114:G114"/>
    <mergeCell ref="K104:L104"/>
    <mergeCell ref="L105:L106"/>
    <mergeCell ref="C107:C108"/>
    <mergeCell ref="L107:L108"/>
    <mergeCell ref="D109:L109"/>
    <mergeCell ref="C99:C100"/>
    <mergeCell ref="L99:L100"/>
    <mergeCell ref="D101:L101"/>
    <mergeCell ref="C102:C103"/>
    <mergeCell ref="L102:L103"/>
    <mergeCell ref="E92:F92"/>
    <mergeCell ref="H92:L92"/>
    <mergeCell ref="L95:L96"/>
    <mergeCell ref="C97:C98"/>
    <mergeCell ref="L97:L98"/>
    <mergeCell ref="F60:G60"/>
    <mergeCell ref="D57:E57"/>
    <mergeCell ref="D58:E58"/>
    <mergeCell ref="F58:G58"/>
    <mergeCell ref="D59:E59"/>
    <mergeCell ref="F59:G59"/>
    <mergeCell ref="E64:F64"/>
    <mergeCell ref="L67:L68"/>
    <mergeCell ref="C69:C70"/>
    <mergeCell ref="L69:L70"/>
    <mergeCell ref="F88:G88"/>
    <mergeCell ref="C51:C52"/>
    <mergeCell ref="L51:L52"/>
    <mergeCell ref="D53:L53"/>
    <mergeCell ref="C54:C55"/>
    <mergeCell ref="L54:L55"/>
    <mergeCell ref="C42:C43"/>
    <mergeCell ref="L42:L43"/>
    <mergeCell ref="D44:L44"/>
    <mergeCell ref="C45:C46"/>
    <mergeCell ref="L45:L46"/>
    <mergeCell ref="L7:L8"/>
    <mergeCell ref="C9:C10"/>
    <mergeCell ref="L9:L10"/>
    <mergeCell ref="C11:C12"/>
    <mergeCell ref="L11:L12"/>
    <mergeCell ref="D13:L13"/>
    <mergeCell ref="C14:C15"/>
    <mergeCell ref="L14:L15"/>
    <mergeCell ref="L18:L19"/>
    <mergeCell ref="D28:E28"/>
    <mergeCell ref="F28:G28"/>
    <mergeCell ref="L38:L39"/>
    <mergeCell ref="C40:C41"/>
    <mergeCell ref="L40:L41"/>
    <mergeCell ref="E34:F34"/>
    <mergeCell ref="C33:L33"/>
    <mergeCell ref="D22:L22"/>
    <mergeCell ref="C23:C24"/>
    <mergeCell ref="L23:L24"/>
    <mergeCell ref="D26:E26"/>
    <mergeCell ref="D27:E27"/>
    <mergeCell ref="F27:G27"/>
    <mergeCell ref="F29:G29"/>
    <mergeCell ref="C2:L2"/>
    <mergeCell ref="E3:F3"/>
    <mergeCell ref="K84:L84"/>
    <mergeCell ref="K76:L76"/>
    <mergeCell ref="H64:L64"/>
    <mergeCell ref="D85:E85"/>
    <mergeCell ref="D86:E86"/>
    <mergeCell ref="F86:G86"/>
    <mergeCell ref="D87:E87"/>
    <mergeCell ref="F87:G87"/>
    <mergeCell ref="L77:L78"/>
    <mergeCell ref="C79:C80"/>
    <mergeCell ref="L79:L80"/>
    <mergeCell ref="D81:L81"/>
    <mergeCell ref="C82:C83"/>
    <mergeCell ref="C20:C21"/>
    <mergeCell ref="L20:L21"/>
    <mergeCell ref="L82:L83"/>
    <mergeCell ref="C71:C72"/>
    <mergeCell ref="L71:L72"/>
    <mergeCell ref="D73:L73"/>
    <mergeCell ref="C74:C75"/>
    <mergeCell ref="L74:L75"/>
    <mergeCell ref="L49:L50"/>
    <mergeCell ref="E148:F148"/>
    <mergeCell ref="H148:L148"/>
    <mergeCell ref="L151:L152"/>
    <mergeCell ref="C153:C154"/>
    <mergeCell ref="L153:L154"/>
    <mergeCell ref="C155:C156"/>
    <mergeCell ref="L155:L156"/>
    <mergeCell ref="D157:L157"/>
    <mergeCell ref="C158:C159"/>
    <mergeCell ref="L158:L159"/>
    <mergeCell ref="D170:E170"/>
    <mergeCell ref="F170:G170"/>
    <mergeCell ref="D171:E171"/>
    <mergeCell ref="F171:G171"/>
    <mergeCell ref="F172:G172"/>
    <mergeCell ref="K160:L160"/>
    <mergeCell ref="L161:L162"/>
    <mergeCell ref="C163:C164"/>
    <mergeCell ref="L163:L164"/>
    <mergeCell ref="D165:L165"/>
    <mergeCell ref="C166:C167"/>
    <mergeCell ref="L166:L167"/>
    <mergeCell ref="K168:L168"/>
    <mergeCell ref="D169:E169"/>
  </mergeCells>
  <pageMargins left="0.31496062992125984" right="0.15748031496062992" top="0.6692913385826772" bottom="0.39370078740157483" header="0.31496062992125984" footer="0.31496062992125984"/>
  <pageSetup scale="7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60"/>
  <sheetViews>
    <sheetView topLeftCell="A10" zoomScale="115" zoomScaleNormal="115" workbookViewId="0">
      <selection activeCell="O122" sqref="O122"/>
    </sheetView>
  </sheetViews>
  <sheetFormatPr defaultRowHeight="12"/>
  <cols>
    <col min="1" max="1" width="2.28515625" style="2" customWidth="1"/>
    <col min="2" max="2" width="2.7109375" style="2" customWidth="1"/>
    <col min="3" max="3" width="10.7109375" style="2" customWidth="1"/>
    <col min="4" max="4" width="15.7109375" style="2" customWidth="1"/>
    <col min="5" max="11" width="13.7109375" style="4" customWidth="1"/>
    <col min="12" max="12" width="13.7109375" style="2" customWidth="1"/>
    <col min="13" max="13" width="2.7109375" style="2" customWidth="1"/>
    <col min="14" max="16384" width="9.140625" style="2"/>
  </cols>
  <sheetData>
    <row r="1" spans="2:13" s="240" customFormat="1" ht="9" customHeight="1" thickBot="1">
      <c r="E1" s="241"/>
      <c r="F1" s="241"/>
      <c r="G1" s="241"/>
      <c r="H1" s="241"/>
      <c r="I1" s="241"/>
      <c r="J1" s="241"/>
      <c r="K1" s="241"/>
    </row>
    <row r="2" spans="2:13" ht="18" customHeight="1" thickTop="1">
      <c r="B2" s="210" t="s">
        <v>138</v>
      </c>
      <c r="C2" s="203"/>
      <c r="D2" s="203"/>
      <c r="E2" s="204"/>
      <c r="F2" s="204"/>
      <c r="G2" s="204"/>
      <c r="H2" s="204"/>
      <c r="I2" s="204"/>
      <c r="J2" s="204"/>
      <c r="K2" s="204"/>
      <c r="L2" s="203"/>
      <c r="M2" s="205"/>
    </row>
    <row r="3" spans="2:13" ht="18" customHeight="1">
      <c r="B3" s="632" t="s">
        <v>119</v>
      </c>
      <c r="C3" s="633"/>
      <c r="D3" s="76" t="s">
        <v>139</v>
      </c>
      <c r="E3" s="2"/>
      <c r="F3" s="2"/>
      <c r="H3" s="224"/>
      <c r="I3" s="224"/>
      <c r="J3" s="227" t="s">
        <v>124</v>
      </c>
      <c r="K3" s="228" t="s">
        <v>126</v>
      </c>
      <c r="L3" s="229"/>
      <c r="M3" s="75"/>
    </row>
    <row r="4" spans="2:13" ht="18" customHeight="1">
      <c r="B4" s="626" t="s">
        <v>120</v>
      </c>
      <c r="C4" s="627"/>
      <c r="D4" s="2" t="s">
        <v>140</v>
      </c>
      <c r="I4" s="211"/>
      <c r="J4" s="230" t="s">
        <v>125</v>
      </c>
      <c r="K4" s="211" t="s">
        <v>137</v>
      </c>
      <c r="L4" s="231"/>
      <c r="M4" s="75"/>
    </row>
    <row r="5" spans="2:13" ht="18" customHeight="1">
      <c r="B5" s="626" t="s">
        <v>121</v>
      </c>
      <c r="C5" s="627"/>
      <c r="D5" s="2" t="s">
        <v>141</v>
      </c>
      <c r="J5" s="232" t="s">
        <v>125</v>
      </c>
      <c r="K5" s="239" t="s">
        <v>143</v>
      </c>
      <c r="L5" s="233"/>
      <c r="M5" s="75"/>
    </row>
    <row r="6" spans="2:13" ht="9.9499999999999993" customHeight="1">
      <c r="B6" s="73"/>
      <c r="M6" s="75"/>
    </row>
    <row r="7" spans="2:13" ht="20.100000000000001" customHeight="1">
      <c r="B7" s="73"/>
      <c r="C7" s="628" t="s">
        <v>60</v>
      </c>
      <c r="D7" s="213" t="s">
        <v>3</v>
      </c>
      <c r="E7" s="214">
        <v>43304</v>
      </c>
      <c r="F7" s="214">
        <v>43305</v>
      </c>
      <c r="G7" s="214">
        <v>43306</v>
      </c>
      <c r="H7" s="214">
        <v>43307</v>
      </c>
      <c r="I7" s="214">
        <v>43308</v>
      </c>
      <c r="J7" s="215">
        <v>43309</v>
      </c>
      <c r="K7" s="215">
        <v>43310</v>
      </c>
      <c r="L7" s="630" t="s">
        <v>63</v>
      </c>
      <c r="M7" s="75"/>
    </row>
    <row r="8" spans="2:13" ht="20.100000000000001" customHeight="1">
      <c r="B8" s="73"/>
      <c r="C8" s="629"/>
      <c r="D8" s="213" t="s">
        <v>2</v>
      </c>
      <c r="E8" s="213" t="s">
        <v>4</v>
      </c>
      <c r="F8" s="213" t="s">
        <v>23</v>
      </c>
      <c r="G8" s="213" t="s">
        <v>29</v>
      </c>
      <c r="H8" s="213" t="s">
        <v>30</v>
      </c>
      <c r="I8" s="213" t="s">
        <v>59</v>
      </c>
      <c r="J8" s="216" t="s">
        <v>40</v>
      </c>
      <c r="K8" s="216" t="s">
        <v>43</v>
      </c>
      <c r="L8" s="630"/>
      <c r="M8" s="75"/>
    </row>
    <row r="9" spans="2:13" ht="18" customHeight="1">
      <c r="B9" s="79"/>
      <c r="C9" s="560" t="s">
        <v>70</v>
      </c>
      <c r="D9" s="217" t="s">
        <v>134</v>
      </c>
      <c r="E9" s="208" t="s">
        <v>81</v>
      </c>
      <c r="F9" s="208" t="s">
        <v>81</v>
      </c>
      <c r="G9" s="208" t="s">
        <v>81</v>
      </c>
      <c r="H9" s="208" t="s">
        <v>81</v>
      </c>
      <c r="I9" s="208" t="s">
        <v>81</v>
      </c>
      <c r="J9" s="218" t="s">
        <v>13</v>
      </c>
      <c r="K9" s="218" t="s">
        <v>13</v>
      </c>
      <c r="L9" s="631">
        <f>SUM(E10:K10)</f>
        <v>7500000</v>
      </c>
      <c r="M9" s="80"/>
    </row>
    <row r="10" spans="2:13" ht="18" customHeight="1" thickBot="1">
      <c r="B10" s="81"/>
      <c r="C10" s="561"/>
      <c r="D10" s="219" t="s">
        <v>135</v>
      </c>
      <c r="E10" s="220">
        <v>1500000</v>
      </c>
      <c r="F10" s="220">
        <v>1500000</v>
      </c>
      <c r="G10" s="220">
        <v>1500000</v>
      </c>
      <c r="H10" s="220">
        <v>1500000</v>
      </c>
      <c r="I10" s="220">
        <v>1500000</v>
      </c>
      <c r="J10" s="221" t="s">
        <v>13</v>
      </c>
      <c r="K10" s="221" t="s">
        <v>13</v>
      </c>
      <c r="L10" s="631"/>
      <c r="M10" s="82"/>
    </row>
    <row r="11" spans="2:13" ht="24.95" customHeight="1">
      <c r="B11" s="73"/>
      <c r="D11" s="242"/>
      <c r="E11" s="2"/>
      <c r="I11" s="611" t="s">
        <v>142</v>
      </c>
      <c r="J11" s="611"/>
      <c r="K11" s="613">
        <f>+L9</f>
        <v>7500000</v>
      </c>
      <c r="L11" s="613"/>
      <c r="M11" s="75"/>
    </row>
    <row r="12" spans="2:13" ht="20.100000000000001" customHeight="1">
      <c r="B12" s="73"/>
      <c r="C12" s="248" t="s">
        <v>145</v>
      </c>
      <c r="D12" s="243"/>
      <c r="E12" s="2"/>
      <c r="I12" s="212"/>
      <c r="J12" s="212"/>
      <c r="K12" s="245"/>
      <c r="L12" s="245"/>
      <c r="M12" s="75"/>
    </row>
    <row r="13" spans="2:13" ht="20.100000000000001" customHeight="1">
      <c r="B13" s="73"/>
      <c r="C13" s="2" t="s">
        <v>146</v>
      </c>
      <c r="D13" s="2" t="s">
        <v>149</v>
      </c>
      <c r="E13" s="2"/>
      <c r="I13" s="212"/>
      <c r="J13" s="212"/>
      <c r="K13" s="245"/>
      <c r="L13" s="245"/>
      <c r="M13" s="75"/>
    </row>
    <row r="14" spans="2:13" ht="20.100000000000001" customHeight="1">
      <c r="B14" s="73"/>
      <c r="C14" s="2" t="s">
        <v>147</v>
      </c>
      <c r="D14" s="2" t="s">
        <v>148</v>
      </c>
      <c r="E14" s="2"/>
      <c r="I14" s="212"/>
      <c r="J14" s="212"/>
      <c r="K14" s="245"/>
      <c r="L14" s="245"/>
      <c r="M14" s="75"/>
    </row>
    <row r="15" spans="2:13" ht="20.100000000000001" customHeight="1">
      <c r="B15" s="73"/>
      <c r="C15" s="2" t="s">
        <v>150</v>
      </c>
      <c r="D15" s="2" t="s">
        <v>151</v>
      </c>
      <c r="E15" s="2"/>
      <c r="I15" s="212"/>
      <c r="J15" s="212"/>
      <c r="K15" s="245"/>
      <c r="L15" s="245"/>
      <c r="M15" s="75"/>
    </row>
    <row r="16" spans="2:13" ht="15" customHeight="1">
      <c r="B16" s="73"/>
      <c r="C16" s="244"/>
      <c r="D16" s="4"/>
      <c r="E16" s="2"/>
      <c r="F16" s="225"/>
      <c r="G16" s="225"/>
      <c r="I16" s="207"/>
      <c r="J16" s="234" t="s">
        <v>144</v>
      </c>
      <c r="K16" s="234" t="s">
        <v>129</v>
      </c>
      <c r="L16" s="234" t="s">
        <v>128</v>
      </c>
      <c r="M16" s="75"/>
    </row>
    <row r="17" spans="2:13" ht="30" customHeight="1">
      <c r="B17" s="73"/>
      <c r="C17" s="244"/>
      <c r="E17" s="2"/>
      <c r="F17" s="225"/>
      <c r="G17" s="225"/>
      <c r="I17" s="246"/>
      <c r="J17" s="234"/>
      <c r="K17" s="234"/>
      <c r="L17" s="234"/>
      <c r="M17" s="75"/>
    </row>
    <row r="18" spans="2:13" ht="15" customHeight="1">
      <c r="B18" s="73"/>
      <c r="C18" s="244"/>
      <c r="F18" s="226"/>
      <c r="G18" s="226"/>
      <c r="I18" s="247"/>
      <c r="J18" s="237" t="s">
        <v>113</v>
      </c>
      <c r="K18" s="238" t="s">
        <v>112</v>
      </c>
      <c r="L18" s="234" t="s">
        <v>16</v>
      </c>
      <c r="M18" s="75"/>
    </row>
    <row r="19" spans="2:13" ht="20.100000000000001" customHeight="1" thickBot="1">
      <c r="B19" s="83"/>
      <c r="C19" s="84"/>
      <c r="D19" s="84"/>
      <c r="E19" s="85"/>
      <c r="F19" s="85"/>
      <c r="G19" s="85"/>
      <c r="H19" s="85"/>
      <c r="I19" s="85"/>
      <c r="J19" s="85"/>
      <c r="K19" s="85"/>
      <c r="L19" s="84"/>
      <c r="M19" s="86"/>
    </row>
    <row r="20" spans="2:13" ht="20.100000000000001" customHeight="1" thickTop="1"/>
    <row r="21" spans="2:13" s="240" customFormat="1" ht="9" customHeight="1" thickBot="1">
      <c r="E21" s="241"/>
      <c r="F21" s="241"/>
      <c r="G21" s="241"/>
      <c r="H21" s="241"/>
      <c r="I21" s="241"/>
      <c r="J21" s="241"/>
      <c r="K21" s="241"/>
    </row>
    <row r="22" spans="2:13" ht="18" customHeight="1" thickTop="1">
      <c r="B22" s="210" t="s">
        <v>138</v>
      </c>
      <c r="C22" s="203"/>
      <c r="D22" s="203"/>
      <c r="E22" s="204"/>
      <c r="F22" s="204"/>
      <c r="G22" s="204"/>
      <c r="H22" s="204"/>
      <c r="I22" s="204"/>
      <c r="J22" s="204"/>
      <c r="K22" s="204"/>
      <c r="L22" s="203"/>
      <c r="M22" s="205"/>
    </row>
    <row r="23" spans="2:13" ht="18" customHeight="1">
      <c r="B23" s="632" t="s">
        <v>119</v>
      </c>
      <c r="C23" s="633"/>
      <c r="D23" s="76" t="s">
        <v>139</v>
      </c>
      <c r="E23" s="2"/>
      <c r="F23" s="2"/>
      <c r="H23" s="224"/>
      <c r="I23" s="224"/>
      <c r="J23" s="227" t="s">
        <v>124</v>
      </c>
      <c r="K23" s="228" t="s">
        <v>126</v>
      </c>
      <c r="L23" s="229"/>
      <c r="M23" s="75"/>
    </row>
    <row r="24" spans="2:13" ht="18" customHeight="1">
      <c r="B24" s="626" t="s">
        <v>120</v>
      </c>
      <c r="C24" s="627"/>
      <c r="D24" s="2" t="s">
        <v>156</v>
      </c>
      <c r="I24" s="211"/>
      <c r="J24" s="230" t="s">
        <v>125</v>
      </c>
      <c r="K24" s="211" t="s">
        <v>137</v>
      </c>
      <c r="L24" s="231"/>
      <c r="M24" s="75"/>
    </row>
    <row r="25" spans="2:13" ht="18" customHeight="1">
      <c r="B25" s="626" t="s">
        <v>121</v>
      </c>
      <c r="C25" s="627"/>
      <c r="J25" s="232" t="s">
        <v>125</v>
      </c>
      <c r="K25" s="239" t="s">
        <v>143</v>
      </c>
      <c r="L25" s="233"/>
      <c r="M25" s="75"/>
    </row>
    <row r="26" spans="2:13" ht="9.9499999999999993" customHeight="1">
      <c r="B26" s="73"/>
      <c r="M26" s="75"/>
    </row>
    <row r="27" spans="2:13" ht="20.100000000000001" customHeight="1">
      <c r="B27" s="73"/>
      <c r="C27" s="628" t="s">
        <v>60</v>
      </c>
      <c r="D27" s="213" t="s">
        <v>3</v>
      </c>
      <c r="E27" s="214">
        <v>43311</v>
      </c>
      <c r="F27" s="214">
        <v>43312</v>
      </c>
      <c r="G27" s="214">
        <v>43313</v>
      </c>
      <c r="H27" s="214">
        <v>43314</v>
      </c>
      <c r="I27" s="214">
        <v>43315</v>
      </c>
      <c r="J27" s="215">
        <v>43316</v>
      </c>
      <c r="K27" s="215">
        <v>43317</v>
      </c>
      <c r="L27" s="630" t="s">
        <v>63</v>
      </c>
      <c r="M27" s="75"/>
    </row>
    <row r="28" spans="2:13" ht="20.100000000000001" customHeight="1">
      <c r="B28" s="73"/>
      <c r="C28" s="629"/>
      <c r="D28" s="213" t="s">
        <v>2</v>
      </c>
      <c r="E28" s="213" t="s">
        <v>4</v>
      </c>
      <c r="F28" s="213" t="s">
        <v>23</v>
      </c>
      <c r="G28" s="213" t="s">
        <v>29</v>
      </c>
      <c r="H28" s="213" t="s">
        <v>30</v>
      </c>
      <c r="I28" s="213" t="s">
        <v>59</v>
      </c>
      <c r="J28" s="216" t="s">
        <v>40</v>
      </c>
      <c r="K28" s="216" t="s">
        <v>43</v>
      </c>
      <c r="L28" s="630"/>
      <c r="M28" s="75"/>
    </row>
    <row r="29" spans="2:13" ht="18" customHeight="1">
      <c r="B29" s="79"/>
      <c r="C29" s="560" t="s">
        <v>70</v>
      </c>
      <c r="D29" s="217" t="s">
        <v>134</v>
      </c>
      <c r="E29" s="208" t="s">
        <v>81</v>
      </c>
      <c r="F29" s="208" t="s">
        <v>81</v>
      </c>
      <c r="G29" s="208" t="s">
        <v>81</v>
      </c>
      <c r="H29" s="208" t="s">
        <v>81</v>
      </c>
      <c r="I29" s="208" t="s">
        <v>81</v>
      </c>
      <c r="J29" s="218" t="s">
        <v>13</v>
      </c>
      <c r="K29" s="218" t="s">
        <v>13</v>
      </c>
      <c r="L29" s="631">
        <f>SUM(E30:K30)</f>
        <v>7500000</v>
      </c>
      <c r="M29" s="80"/>
    </row>
    <row r="30" spans="2:13" ht="18" customHeight="1" thickBot="1">
      <c r="B30" s="81"/>
      <c r="C30" s="561"/>
      <c r="D30" s="219" t="s">
        <v>135</v>
      </c>
      <c r="E30" s="220">
        <v>1500000</v>
      </c>
      <c r="F30" s="220">
        <v>1500000</v>
      </c>
      <c r="G30" s="220">
        <v>1500000</v>
      </c>
      <c r="H30" s="220">
        <v>1500000</v>
      </c>
      <c r="I30" s="220">
        <v>1500000</v>
      </c>
      <c r="J30" s="221" t="s">
        <v>13</v>
      </c>
      <c r="K30" s="221" t="s">
        <v>13</v>
      </c>
      <c r="L30" s="631"/>
      <c r="M30" s="82"/>
    </row>
    <row r="31" spans="2:13" ht="24.95" customHeight="1">
      <c r="B31" s="73"/>
      <c r="D31" s="242"/>
      <c r="E31" s="2"/>
      <c r="I31" s="611" t="s">
        <v>142</v>
      </c>
      <c r="J31" s="611"/>
      <c r="K31" s="613">
        <f>+L29</f>
        <v>7500000</v>
      </c>
      <c r="L31" s="613"/>
      <c r="M31" s="75"/>
    </row>
    <row r="32" spans="2:13" ht="20.100000000000001" customHeight="1">
      <c r="B32" s="73"/>
      <c r="C32" s="248" t="s">
        <v>145</v>
      </c>
      <c r="D32" s="243"/>
      <c r="E32" s="2"/>
      <c r="I32" s="212"/>
      <c r="J32" s="212"/>
      <c r="K32" s="245"/>
      <c r="L32" s="245"/>
      <c r="M32" s="75"/>
    </row>
    <row r="33" spans="2:13" ht="20.100000000000001" customHeight="1">
      <c r="B33" s="73"/>
      <c r="C33" s="2" t="s">
        <v>146</v>
      </c>
      <c r="D33" s="2" t="s">
        <v>149</v>
      </c>
      <c r="E33" s="2"/>
      <c r="I33" s="212"/>
      <c r="J33" s="212"/>
      <c r="K33" s="245"/>
      <c r="L33" s="245"/>
      <c r="M33" s="75"/>
    </row>
    <row r="34" spans="2:13" ht="20.100000000000001" customHeight="1">
      <c r="B34" s="73"/>
      <c r="C34" s="2" t="s">
        <v>147</v>
      </c>
      <c r="D34" s="2" t="s">
        <v>148</v>
      </c>
      <c r="E34" s="2"/>
      <c r="I34" s="212"/>
      <c r="J34" s="212"/>
      <c r="K34" s="245"/>
      <c r="L34" s="245"/>
      <c r="M34" s="75"/>
    </row>
    <row r="35" spans="2:13" ht="20.100000000000001" customHeight="1">
      <c r="B35" s="73"/>
      <c r="C35" s="2" t="s">
        <v>150</v>
      </c>
      <c r="D35" s="2" t="s">
        <v>151</v>
      </c>
      <c r="E35" s="2"/>
      <c r="I35" s="212"/>
      <c r="J35" s="212"/>
      <c r="K35" s="245"/>
      <c r="L35" s="245"/>
      <c r="M35" s="75"/>
    </row>
    <row r="36" spans="2:13" ht="15" customHeight="1">
      <c r="B36" s="73"/>
      <c r="C36" s="244"/>
      <c r="D36" s="4"/>
      <c r="E36" s="2"/>
      <c r="F36" s="225"/>
      <c r="G36" s="225"/>
      <c r="I36" s="207"/>
      <c r="J36" s="234" t="s">
        <v>144</v>
      </c>
      <c r="K36" s="234" t="s">
        <v>129</v>
      </c>
      <c r="L36" s="234" t="s">
        <v>128</v>
      </c>
      <c r="M36" s="75"/>
    </row>
    <row r="37" spans="2:13" ht="30" customHeight="1">
      <c r="B37" s="73"/>
      <c r="C37" s="244"/>
      <c r="E37" s="2"/>
      <c r="F37" s="225"/>
      <c r="G37" s="225"/>
      <c r="I37" s="246"/>
      <c r="J37" s="234"/>
      <c r="K37" s="234"/>
      <c r="L37" s="234"/>
      <c r="M37" s="75"/>
    </row>
    <row r="38" spans="2:13" ht="15" customHeight="1">
      <c r="B38" s="73"/>
      <c r="C38" s="244"/>
      <c r="F38" s="226"/>
      <c r="G38" s="226"/>
      <c r="I38" s="247"/>
      <c r="J38" s="237" t="s">
        <v>113</v>
      </c>
      <c r="K38" s="238" t="s">
        <v>112</v>
      </c>
      <c r="L38" s="234" t="s">
        <v>16</v>
      </c>
      <c r="M38" s="75"/>
    </row>
    <row r="39" spans="2:13" ht="20.100000000000001" customHeight="1" thickBot="1">
      <c r="B39" s="83"/>
      <c r="C39" s="84"/>
      <c r="D39" s="84"/>
      <c r="E39" s="85"/>
      <c r="F39" s="85"/>
      <c r="G39" s="85"/>
      <c r="H39" s="85"/>
      <c r="I39" s="85"/>
      <c r="J39" s="85"/>
      <c r="K39" s="85"/>
      <c r="L39" s="84"/>
      <c r="M39" s="86"/>
    </row>
    <row r="40" spans="2:13" ht="12.75" thickTop="1"/>
    <row r="41" spans="2:13" s="240" customFormat="1" ht="9" customHeight="1" thickBot="1">
      <c r="E41" s="241"/>
      <c r="F41" s="241"/>
      <c r="G41" s="241"/>
      <c r="H41" s="241"/>
      <c r="I41" s="241"/>
      <c r="J41" s="241"/>
      <c r="K41" s="241"/>
    </row>
    <row r="42" spans="2:13" ht="18" customHeight="1" thickTop="1">
      <c r="B42" s="210" t="s">
        <v>138</v>
      </c>
      <c r="C42" s="203"/>
      <c r="D42" s="203"/>
      <c r="E42" s="204"/>
      <c r="F42" s="204"/>
      <c r="G42" s="204"/>
      <c r="H42" s="204"/>
      <c r="I42" s="204"/>
      <c r="J42" s="204"/>
      <c r="K42" s="204"/>
      <c r="L42" s="203"/>
      <c r="M42" s="205"/>
    </row>
    <row r="43" spans="2:13" ht="18" customHeight="1">
      <c r="B43" s="632" t="s">
        <v>119</v>
      </c>
      <c r="C43" s="633"/>
      <c r="D43" s="76" t="s">
        <v>139</v>
      </c>
      <c r="E43" s="2"/>
      <c r="F43" s="2"/>
      <c r="H43" s="224"/>
      <c r="I43" s="224"/>
      <c r="J43" s="227" t="s">
        <v>124</v>
      </c>
      <c r="K43" s="228" t="s">
        <v>126</v>
      </c>
      <c r="L43" s="229"/>
      <c r="M43" s="75"/>
    </row>
    <row r="44" spans="2:13" ht="18" customHeight="1">
      <c r="B44" s="626" t="s">
        <v>120</v>
      </c>
      <c r="C44" s="627"/>
      <c r="D44" s="2" t="s">
        <v>155</v>
      </c>
      <c r="I44" s="211"/>
      <c r="J44" s="230" t="s">
        <v>125</v>
      </c>
      <c r="K44" s="211" t="s">
        <v>137</v>
      </c>
      <c r="L44" s="231"/>
      <c r="M44" s="75"/>
    </row>
    <row r="45" spans="2:13" ht="18" customHeight="1">
      <c r="B45" s="626" t="s">
        <v>121</v>
      </c>
      <c r="C45" s="627"/>
      <c r="J45" s="232" t="s">
        <v>125</v>
      </c>
      <c r="K45" s="239" t="s">
        <v>154</v>
      </c>
      <c r="L45" s="233"/>
      <c r="M45" s="75"/>
    </row>
    <row r="46" spans="2:13" ht="9.9499999999999993" customHeight="1">
      <c r="B46" s="73"/>
      <c r="M46" s="75"/>
    </row>
    <row r="47" spans="2:13" ht="20.100000000000001" customHeight="1">
      <c r="B47" s="73"/>
      <c r="C47" s="628" t="s">
        <v>60</v>
      </c>
      <c r="D47" s="213" t="s">
        <v>3</v>
      </c>
      <c r="E47" s="617">
        <v>43309</v>
      </c>
      <c r="F47" s="618"/>
      <c r="G47" s="618"/>
      <c r="H47" s="618"/>
      <c r="I47" s="618"/>
      <c r="J47" s="618"/>
      <c r="K47" s="619"/>
      <c r="L47" s="630" t="s">
        <v>63</v>
      </c>
      <c r="M47" s="75"/>
    </row>
    <row r="48" spans="2:13" ht="20.100000000000001" customHeight="1">
      <c r="B48" s="73"/>
      <c r="C48" s="629"/>
      <c r="D48" s="213" t="s">
        <v>2</v>
      </c>
      <c r="E48" s="614" t="s">
        <v>40</v>
      </c>
      <c r="F48" s="615"/>
      <c r="G48" s="615"/>
      <c r="H48" s="615"/>
      <c r="I48" s="615"/>
      <c r="J48" s="615"/>
      <c r="K48" s="616"/>
      <c r="L48" s="630"/>
      <c r="M48" s="75"/>
    </row>
    <row r="49" spans="2:13" ht="18" customHeight="1">
      <c r="B49" s="79"/>
      <c r="C49" s="560" t="s">
        <v>70</v>
      </c>
      <c r="D49" s="217" t="s">
        <v>134</v>
      </c>
      <c r="E49" s="623" t="s">
        <v>81</v>
      </c>
      <c r="F49" s="624"/>
      <c r="G49" s="624"/>
      <c r="H49" s="624"/>
      <c r="I49" s="624"/>
      <c r="J49" s="624"/>
      <c r="K49" s="625"/>
      <c r="L49" s="631">
        <f>SUM(E50:K50)</f>
        <v>1500000</v>
      </c>
      <c r="M49" s="80"/>
    </row>
    <row r="50" spans="2:13" ht="18" customHeight="1" thickBot="1">
      <c r="B50" s="81"/>
      <c r="C50" s="561"/>
      <c r="D50" s="219" t="s">
        <v>135</v>
      </c>
      <c r="E50" s="620">
        <v>1500000</v>
      </c>
      <c r="F50" s="621"/>
      <c r="G50" s="621"/>
      <c r="H50" s="621"/>
      <c r="I50" s="621"/>
      <c r="J50" s="621"/>
      <c r="K50" s="622"/>
      <c r="L50" s="631"/>
      <c r="M50" s="82"/>
    </row>
    <row r="51" spans="2:13" ht="24.95" customHeight="1">
      <c r="B51" s="73"/>
      <c r="D51" s="242"/>
      <c r="E51" s="2"/>
      <c r="I51" s="611" t="s">
        <v>142</v>
      </c>
      <c r="J51" s="611"/>
      <c r="K51" s="612">
        <f>+L49</f>
        <v>1500000</v>
      </c>
      <c r="L51" s="613"/>
      <c r="M51" s="75"/>
    </row>
    <row r="52" spans="2:13" ht="20.100000000000001" customHeight="1">
      <c r="B52" s="73"/>
      <c r="C52" s="248" t="s">
        <v>145</v>
      </c>
      <c r="D52" s="243"/>
      <c r="E52" s="2"/>
      <c r="I52" s="212"/>
      <c r="J52" s="212"/>
      <c r="K52" s="245"/>
      <c r="L52" s="245"/>
      <c r="M52" s="75"/>
    </row>
    <row r="53" spans="2:13" ht="20.100000000000001" customHeight="1">
      <c r="B53" s="73"/>
      <c r="C53" s="2" t="s">
        <v>146</v>
      </c>
      <c r="D53" s="2" t="s">
        <v>152</v>
      </c>
      <c r="E53" s="2"/>
      <c r="I53" s="212"/>
      <c r="J53" s="212"/>
      <c r="K53" s="245"/>
      <c r="L53" s="245"/>
      <c r="M53" s="75"/>
    </row>
    <row r="54" spans="2:13" ht="20.100000000000001" customHeight="1">
      <c r="B54" s="73"/>
      <c r="C54" s="2" t="s">
        <v>150</v>
      </c>
      <c r="D54" s="2" t="s">
        <v>153</v>
      </c>
      <c r="E54" s="2"/>
      <c r="I54" s="212"/>
      <c r="J54" s="212"/>
      <c r="K54" s="245"/>
      <c r="L54" s="245"/>
      <c r="M54" s="75"/>
    </row>
    <row r="55" spans="2:13" ht="20.100000000000001" customHeight="1">
      <c r="B55" s="73"/>
      <c r="E55" s="2"/>
      <c r="I55" s="212"/>
      <c r="J55" s="212"/>
      <c r="K55" s="245"/>
      <c r="L55" s="245"/>
      <c r="M55" s="75"/>
    </row>
    <row r="56" spans="2:13" ht="15" customHeight="1">
      <c r="B56" s="73"/>
      <c r="C56" s="244"/>
      <c r="D56" s="4"/>
      <c r="E56" s="2"/>
      <c r="F56" s="225"/>
      <c r="G56" s="225"/>
      <c r="I56" s="207"/>
      <c r="J56" s="234" t="s">
        <v>144</v>
      </c>
      <c r="K56" s="234" t="s">
        <v>129</v>
      </c>
      <c r="L56" s="234" t="s">
        <v>128</v>
      </c>
      <c r="M56" s="75"/>
    </row>
    <row r="57" spans="2:13" ht="30" customHeight="1">
      <c r="B57" s="73"/>
      <c r="C57" s="244"/>
      <c r="E57" s="2"/>
      <c r="F57" s="225"/>
      <c r="G57" s="225"/>
      <c r="I57" s="246"/>
      <c r="J57" s="234"/>
      <c r="K57" s="234"/>
      <c r="L57" s="234"/>
      <c r="M57" s="75"/>
    </row>
    <row r="58" spans="2:13" ht="15" customHeight="1">
      <c r="B58" s="73"/>
      <c r="C58" s="244"/>
      <c r="F58" s="226"/>
      <c r="G58" s="226"/>
      <c r="I58" s="247"/>
      <c r="J58" s="237" t="s">
        <v>113</v>
      </c>
      <c r="K58" s="238" t="s">
        <v>112</v>
      </c>
      <c r="L58" s="234" t="s">
        <v>16</v>
      </c>
      <c r="M58" s="75"/>
    </row>
    <row r="59" spans="2:13" ht="20.100000000000001" customHeight="1" thickBot="1">
      <c r="B59" s="83"/>
      <c r="C59" s="84"/>
      <c r="D59" s="84"/>
      <c r="E59" s="85"/>
      <c r="F59" s="85"/>
      <c r="G59" s="85"/>
      <c r="H59" s="85"/>
      <c r="I59" s="85"/>
      <c r="J59" s="85"/>
      <c r="K59" s="85"/>
      <c r="L59" s="84"/>
      <c r="M59" s="86"/>
    </row>
    <row r="60" spans="2:13" ht="12.75" thickTop="1"/>
  </sheetData>
  <mergeCells count="31">
    <mergeCell ref="I11:J11"/>
    <mergeCell ref="K11:L11"/>
    <mergeCell ref="B3:C3"/>
    <mergeCell ref="B4:C4"/>
    <mergeCell ref="B5:C5"/>
    <mergeCell ref="C7:C8"/>
    <mergeCell ref="L7:L8"/>
    <mergeCell ref="C9:C10"/>
    <mergeCell ref="L9:L10"/>
    <mergeCell ref="B23:C23"/>
    <mergeCell ref="B24:C24"/>
    <mergeCell ref="B25:C25"/>
    <mergeCell ref="C27:C28"/>
    <mergeCell ref="L27:L28"/>
    <mergeCell ref="C29:C30"/>
    <mergeCell ref="L29:L30"/>
    <mergeCell ref="I31:J31"/>
    <mergeCell ref="K31:L31"/>
    <mergeCell ref="B43:C43"/>
    <mergeCell ref="B44:C44"/>
    <mergeCell ref="B45:C45"/>
    <mergeCell ref="C47:C48"/>
    <mergeCell ref="L47:L48"/>
    <mergeCell ref="C49:C50"/>
    <mergeCell ref="L49:L50"/>
    <mergeCell ref="I51:J51"/>
    <mergeCell ref="K51:L51"/>
    <mergeCell ref="E48:K48"/>
    <mergeCell ref="E47:K47"/>
    <mergeCell ref="E50:K50"/>
    <mergeCell ref="E49:K49"/>
  </mergeCells>
  <pageMargins left="0.31496062992125984" right="0.15748031496062992" top="0.6692913385826772" bottom="0.39370078740157483" header="0.31496062992125984" footer="0.31496062992125984"/>
  <pageSetup scale="6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561"/>
  <sheetViews>
    <sheetView topLeftCell="A101" zoomScale="115" zoomScaleNormal="115" workbookViewId="0">
      <selection activeCell="O122" sqref="O122"/>
    </sheetView>
  </sheetViews>
  <sheetFormatPr defaultRowHeight="12"/>
  <cols>
    <col min="1" max="1" width="2.28515625" style="2" customWidth="1"/>
    <col min="2" max="2" width="2.7109375" style="2" customWidth="1"/>
    <col min="3" max="3" width="9.7109375" style="2" customWidth="1"/>
    <col min="4" max="4" width="15.7109375" style="2" customWidth="1"/>
    <col min="5" max="11" width="13.7109375" style="4" customWidth="1"/>
    <col min="12" max="12" width="13.7109375" style="2" customWidth="1"/>
    <col min="13" max="13" width="2.7109375" style="2" customWidth="1"/>
    <col min="14" max="14" width="9.140625" style="2"/>
    <col min="15" max="15" width="11.7109375" style="263" bestFit="1" customWidth="1"/>
    <col min="16" max="16384" width="9.140625" style="2"/>
  </cols>
  <sheetData>
    <row r="1" spans="2:15" s="240" customFormat="1" ht="9" customHeight="1" thickBot="1">
      <c r="E1" s="241"/>
      <c r="F1" s="241"/>
      <c r="G1" s="241"/>
      <c r="H1" s="241"/>
      <c r="I1" s="241"/>
      <c r="J1" s="241"/>
      <c r="K1" s="241"/>
      <c r="O1" s="262"/>
    </row>
    <row r="2" spans="2:15" ht="18" customHeight="1" thickTop="1">
      <c r="B2" s="210" t="s">
        <v>138</v>
      </c>
      <c r="C2" s="203"/>
      <c r="D2" s="203"/>
      <c r="E2" s="204"/>
      <c r="F2" s="204"/>
      <c r="G2" s="204"/>
      <c r="H2" s="204"/>
      <c r="I2" s="204"/>
      <c r="J2" s="204"/>
      <c r="K2" s="204"/>
      <c r="L2" s="203"/>
      <c r="M2" s="205"/>
    </row>
    <row r="3" spans="2:15" ht="18" customHeight="1">
      <c r="B3" s="632" t="s">
        <v>119</v>
      </c>
      <c r="C3" s="633"/>
      <c r="D3" s="76" t="s">
        <v>122</v>
      </c>
      <c r="E3" s="2"/>
      <c r="F3" s="2"/>
      <c r="H3" s="224"/>
      <c r="I3" s="224"/>
      <c r="J3" s="227" t="s">
        <v>124</v>
      </c>
      <c r="K3" s="228" t="s">
        <v>126</v>
      </c>
      <c r="L3" s="229"/>
      <c r="M3" s="75"/>
    </row>
    <row r="4" spans="2:15" ht="18" customHeight="1">
      <c r="B4" s="626" t="s">
        <v>120</v>
      </c>
      <c r="C4" s="627"/>
      <c r="D4" s="2" t="s">
        <v>123</v>
      </c>
      <c r="I4" s="211"/>
      <c r="J4" s="230" t="s">
        <v>173</v>
      </c>
      <c r="K4" s="211" t="s">
        <v>137</v>
      </c>
      <c r="L4" s="231"/>
      <c r="M4" s="75"/>
    </row>
    <row r="5" spans="2:15" ht="18" customHeight="1">
      <c r="B5" s="626" t="s">
        <v>121</v>
      </c>
      <c r="C5" s="627"/>
      <c r="D5" s="3" t="s">
        <v>169</v>
      </c>
      <c r="J5" s="232" t="s">
        <v>125</v>
      </c>
      <c r="K5" s="239" t="s">
        <v>127</v>
      </c>
      <c r="L5" s="233"/>
      <c r="M5" s="75"/>
    </row>
    <row r="6" spans="2:15" ht="9.9499999999999993" customHeight="1">
      <c r="B6" s="73"/>
      <c r="M6" s="75"/>
    </row>
    <row r="7" spans="2:15" ht="20.100000000000001" customHeight="1">
      <c r="B7" s="73"/>
      <c r="C7" s="628" t="s">
        <v>157</v>
      </c>
      <c r="D7" s="213" t="s">
        <v>3</v>
      </c>
      <c r="E7" s="214">
        <v>43318</v>
      </c>
      <c r="F7" s="214">
        <v>43319</v>
      </c>
      <c r="G7" s="214">
        <v>43320</v>
      </c>
      <c r="H7" s="214">
        <v>43321</v>
      </c>
      <c r="I7" s="214">
        <v>43322</v>
      </c>
      <c r="J7" s="214">
        <v>43323</v>
      </c>
      <c r="K7" s="215">
        <v>43324</v>
      </c>
      <c r="L7" s="630" t="s">
        <v>63</v>
      </c>
      <c r="M7" s="75"/>
    </row>
    <row r="8" spans="2:15" ht="20.100000000000001" customHeight="1">
      <c r="B8" s="73"/>
      <c r="C8" s="629"/>
      <c r="D8" s="213" t="s">
        <v>2</v>
      </c>
      <c r="E8" s="213" t="s">
        <v>4</v>
      </c>
      <c r="F8" s="213" t="s">
        <v>23</v>
      </c>
      <c r="G8" s="213" t="s">
        <v>29</v>
      </c>
      <c r="H8" s="213" t="s">
        <v>30</v>
      </c>
      <c r="I8" s="213" t="s">
        <v>59</v>
      </c>
      <c r="J8" s="213" t="s">
        <v>40</v>
      </c>
      <c r="K8" s="216" t="s">
        <v>43</v>
      </c>
      <c r="L8" s="630"/>
      <c r="M8" s="75"/>
    </row>
    <row r="9" spans="2:15" ht="18" customHeight="1">
      <c r="B9" s="79"/>
      <c r="C9" s="649" t="s">
        <v>163</v>
      </c>
      <c r="D9" s="217" t="s">
        <v>134</v>
      </c>
      <c r="E9" s="208" t="s">
        <v>81</v>
      </c>
      <c r="F9" s="208" t="s">
        <v>81</v>
      </c>
      <c r="G9" s="208" t="s">
        <v>81</v>
      </c>
      <c r="H9" s="208" t="s">
        <v>81</v>
      </c>
      <c r="I9" s="208" t="s">
        <v>81</v>
      </c>
      <c r="J9" s="208" t="s">
        <v>81</v>
      </c>
      <c r="K9" s="218" t="s">
        <v>13</v>
      </c>
      <c r="L9" s="631">
        <f>SUM(E10:K10)</f>
        <v>6000000</v>
      </c>
      <c r="M9" s="80"/>
    </row>
    <row r="10" spans="2:15" ht="18" customHeight="1">
      <c r="B10" s="81"/>
      <c r="C10" s="649"/>
      <c r="D10" s="219" t="s">
        <v>135</v>
      </c>
      <c r="E10" s="220">
        <v>1000000</v>
      </c>
      <c r="F10" s="220">
        <v>1000000</v>
      </c>
      <c r="G10" s="220">
        <v>1000000</v>
      </c>
      <c r="H10" s="220">
        <v>1000000</v>
      </c>
      <c r="I10" s="220">
        <v>1000000</v>
      </c>
      <c r="J10" s="220">
        <v>1000000</v>
      </c>
      <c r="K10" s="221" t="s">
        <v>13</v>
      </c>
      <c r="L10" s="631"/>
      <c r="M10" s="82"/>
    </row>
    <row r="11" spans="2:15" ht="18" customHeight="1">
      <c r="B11" s="79"/>
      <c r="C11" s="656" t="s">
        <v>71</v>
      </c>
      <c r="D11" s="217" t="s">
        <v>134</v>
      </c>
      <c r="E11" s="222" t="s">
        <v>94</v>
      </c>
      <c r="F11" s="222" t="s">
        <v>94</v>
      </c>
      <c r="G11" s="222" t="s">
        <v>94</v>
      </c>
      <c r="H11" s="222" t="s">
        <v>94</v>
      </c>
      <c r="I11" s="222" t="s">
        <v>94</v>
      </c>
      <c r="J11" s="218" t="s">
        <v>13</v>
      </c>
      <c r="K11" s="218" t="s">
        <v>13</v>
      </c>
      <c r="L11" s="631">
        <f>SUM(E12:K12)</f>
        <v>2500000</v>
      </c>
      <c r="M11" s="80"/>
    </row>
    <row r="12" spans="2:15" ht="18" customHeight="1">
      <c r="B12" s="81"/>
      <c r="C12" s="656"/>
      <c r="D12" s="219" t="s">
        <v>135</v>
      </c>
      <c r="E12" s="223">
        <v>500000</v>
      </c>
      <c r="F12" s="223">
        <v>500000</v>
      </c>
      <c r="G12" s="223">
        <v>500000</v>
      </c>
      <c r="H12" s="223">
        <v>500000</v>
      </c>
      <c r="I12" s="223">
        <v>500000</v>
      </c>
      <c r="J12" s="221" t="s">
        <v>13</v>
      </c>
      <c r="K12" s="221" t="s">
        <v>13</v>
      </c>
      <c r="L12" s="631"/>
      <c r="M12" s="82"/>
    </row>
    <row r="13" spans="2:15" ht="9.9499999999999993" customHeight="1">
      <c r="B13" s="73"/>
      <c r="C13" s="653" t="s">
        <v>57</v>
      </c>
      <c r="D13" s="653"/>
      <c r="E13" s="653"/>
      <c r="F13" s="653"/>
      <c r="G13" s="653"/>
      <c r="H13" s="653"/>
      <c r="I13" s="653"/>
      <c r="J13" s="653"/>
      <c r="K13" s="653"/>
      <c r="L13" s="653"/>
      <c r="M13" s="75"/>
    </row>
    <row r="14" spans="2:15" ht="18" customHeight="1">
      <c r="B14" s="73"/>
      <c r="C14" s="654" t="s">
        <v>11</v>
      </c>
      <c r="D14" s="217" t="s">
        <v>134</v>
      </c>
      <c r="E14" s="208" t="s">
        <v>13</v>
      </c>
      <c r="F14" s="208" t="s">
        <v>13</v>
      </c>
      <c r="G14" s="208" t="s">
        <v>13</v>
      </c>
      <c r="H14" s="208" t="s">
        <v>13</v>
      </c>
      <c r="I14" s="208" t="s">
        <v>13</v>
      </c>
      <c r="J14" s="218" t="s">
        <v>13</v>
      </c>
      <c r="K14" s="218" t="s">
        <v>13</v>
      </c>
      <c r="L14" s="631">
        <f>SUM(E15:K15)</f>
        <v>0</v>
      </c>
      <c r="M14" s="75"/>
    </row>
    <row r="15" spans="2:15" ht="18" customHeight="1">
      <c r="B15" s="73"/>
      <c r="C15" s="654"/>
      <c r="D15" s="219" t="s">
        <v>135</v>
      </c>
      <c r="E15" s="220" t="s">
        <v>13</v>
      </c>
      <c r="F15" s="220" t="s">
        <v>13</v>
      </c>
      <c r="G15" s="220" t="s">
        <v>13</v>
      </c>
      <c r="H15" s="220" t="s">
        <v>13</v>
      </c>
      <c r="I15" s="220" t="s">
        <v>13</v>
      </c>
      <c r="J15" s="221" t="s">
        <v>13</v>
      </c>
      <c r="K15" s="221" t="s">
        <v>13</v>
      </c>
      <c r="L15" s="631"/>
      <c r="M15" s="75"/>
    </row>
    <row r="16" spans="2:15" ht="24.95" customHeight="1">
      <c r="B16" s="73"/>
      <c r="D16" s="206"/>
      <c r="E16" s="207"/>
      <c r="F16" s="207"/>
      <c r="G16" s="207"/>
      <c r="H16" s="207"/>
      <c r="I16" s="651" t="s">
        <v>118</v>
      </c>
      <c r="J16" s="651"/>
      <c r="K16" s="652">
        <f>SUM(L9:L15)</f>
        <v>8500000</v>
      </c>
      <c r="L16" s="652"/>
      <c r="M16" s="75"/>
    </row>
    <row r="17" spans="2:15" ht="20.100000000000001" customHeight="1">
      <c r="B17" s="73"/>
      <c r="C17" s="634" t="s">
        <v>158</v>
      </c>
      <c r="D17" s="213" t="s">
        <v>3</v>
      </c>
      <c r="E17" s="214">
        <v>43318</v>
      </c>
      <c r="F17" s="214">
        <v>43319</v>
      </c>
      <c r="G17" s="214">
        <v>43320</v>
      </c>
      <c r="H17" s="214">
        <v>43321</v>
      </c>
      <c r="I17" s="214">
        <v>43322</v>
      </c>
      <c r="J17" s="215">
        <v>43323</v>
      </c>
      <c r="K17" s="215">
        <v>43324</v>
      </c>
      <c r="L17" s="645" t="s">
        <v>62</v>
      </c>
      <c r="M17" s="75"/>
    </row>
    <row r="18" spans="2:15" ht="20.100000000000001" customHeight="1">
      <c r="B18" s="73"/>
      <c r="C18" s="635"/>
      <c r="D18" s="213" t="s">
        <v>2</v>
      </c>
      <c r="E18" s="213" t="s">
        <v>4</v>
      </c>
      <c r="F18" s="213" t="s">
        <v>23</v>
      </c>
      <c r="G18" s="213" t="s">
        <v>29</v>
      </c>
      <c r="H18" s="213" t="s">
        <v>30</v>
      </c>
      <c r="I18" s="213" t="s">
        <v>59</v>
      </c>
      <c r="J18" s="216" t="s">
        <v>40</v>
      </c>
      <c r="K18" s="216" t="s">
        <v>43</v>
      </c>
      <c r="L18" s="646"/>
      <c r="M18" s="75"/>
    </row>
    <row r="19" spans="2:15" ht="18" customHeight="1">
      <c r="B19" s="79"/>
      <c r="C19" s="649" t="s">
        <v>70</v>
      </c>
      <c r="D19" s="217" t="s">
        <v>134</v>
      </c>
      <c r="E19" s="208" t="s">
        <v>81</v>
      </c>
      <c r="F19" s="208" t="s">
        <v>81</v>
      </c>
      <c r="G19" s="208" t="s">
        <v>81</v>
      </c>
      <c r="H19" s="208" t="s">
        <v>81</v>
      </c>
      <c r="I19" s="208" t="s">
        <v>81</v>
      </c>
      <c r="J19" s="218" t="s">
        <v>13</v>
      </c>
      <c r="K19" s="218" t="s">
        <v>13</v>
      </c>
      <c r="L19" s="631">
        <f>SUM(E20:K20)</f>
        <v>5000000</v>
      </c>
      <c r="M19" s="80"/>
    </row>
    <row r="20" spans="2:15" ht="18" customHeight="1">
      <c r="B20" s="81"/>
      <c r="C20" s="649"/>
      <c r="D20" s="219" t="s">
        <v>135</v>
      </c>
      <c r="E20" s="220">
        <v>1000000</v>
      </c>
      <c r="F20" s="220">
        <v>1000000</v>
      </c>
      <c r="G20" s="220">
        <v>1000000</v>
      </c>
      <c r="H20" s="220">
        <v>1000000</v>
      </c>
      <c r="I20" s="220">
        <v>1000000</v>
      </c>
      <c r="J20" s="221" t="s">
        <v>13</v>
      </c>
      <c r="K20" s="221" t="s">
        <v>13</v>
      </c>
      <c r="L20" s="631"/>
      <c r="M20" s="82"/>
    </row>
    <row r="21" spans="2:15" ht="9.9499999999999993" customHeight="1">
      <c r="B21" s="73"/>
      <c r="C21" s="653" t="s">
        <v>57</v>
      </c>
      <c r="D21" s="653"/>
      <c r="E21" s="653"/>
      <c r="F21" s="653"/>
      <c r="G21" s="653"/>
      <c r="H21" s="653"/>
      <c r="I21" s="653"/>
      <c r="J21" s="653"/>
      <c r="K21" s="653"/>
      <c r="L21" s="653"/>
      <c r="M21" s="75"/>
    </row>
    <row r="22" spans="2:15" ht="18" customHeight="1">
      <c r="B22" s="73"/>
      <c r="C22" s="654" t="s">
        <v>11</v>
      </c>
      <c r="D22" s="217" t="s">
        <v>134</v>
      </c>
      <c r="E22" s="208" t="s">
        <v>13</v>
      </c>
      <c r="F22" s="208" t="s">
        <v>13</v>
      </c>
      <c r="G22" s="208" t="s">
        <v>13</v>
      </c>
      <c r="H22" s="208" t="s">
        <v>13</v>
      </c>
      <c r="I22" s="208" t="s">
        <v>13</v>
      </c>
      <c r="J22" s="218" t="s">
        <v>13</v>
      </c>
      <c r="K22" s="218" t="s">
        <v>13</v>
      </c>
      <c r="L22" s="655">
        <f>SUM(E23:K23)</f>
        <v>0</v>
      </c>
      <c r="M22" s="75"/>
    </row>
    <row r="23" spans="2:15" ht="18" customHeight="1">
      <c r="B23" s="81"/>
      <c r="C23" s="654"/>
      <c r="D23" s="219" t="s">
        <v>135</v>
      </c>
      <c r="E23" s="220" t="s">
        <v>13</v>
      </c>
      <c r="F23" s="220" t="s">
        <v>13</v>
      </c>
      <c r="G23" s="220" t="s">
        <v>13</v>
      </c>
      <c r="H23" s="220" t="s">
        <v>13</v>
      </c>
      <c r="I23" s="220" t="s">
        <v>13</v>
      </c>
      <c r="J23" s="221" t="s">
        <v>13</v>
      </c>
      <c r="K23" s="221" t="s">
        <v>13</v>
      </c>
      <c r="L23" s="655"/>
      <c r="M23" s="82"/>
    </row>
    <row r="24" spans="2:15" ht="24.95" customHeight="1" thickBot="1">
      <c r="B24" s="73"/>
      <c r="F24" s="209"/>
      <c r="I24" s="611" t="s">
        <v>117</v>
      </c>
      <c r="J24" s="611"/>
      <c r="K24" s="650">
        <f>SUM(L17:L23)</f>
        <v>5000000</v>
      </c>
      <c r="L24" s="650"/>
      <c r="M24" s="75"/>
    </row>
    <row r="25" spans="2:15" ht="24.95" customHeight="1">
      <c r="B25" s="73"/>
      <c r="C25" s="640" t="s">
        <v>136</v>
      </c>
      <c r="D25" s="640"/>
      <c r="E25" s="2"/>
      <c r="I25" s="611" t="s">
        <v>116</v>
      </c>
      <c r="J25" s="611"/>
      <c r="K25" s="613">
        <f>+K24+K16</f>
        <v>13500000</v>
      </c>
      <c r="L25" s="613"/>
      <c r="M25" s="75"/>
    </row>
    <row r="26" spans="2:15" ht="9.9499999999999993" customHeight="1">
      <c r="B26" s="73"/>
      <c r="C26" s="641"/>
      <c r="D26" s="641"/>
      <c r="E26" s="2"/>
      <c r="F26" s="225"/>
      <c r="G26" s="225"/>
      <c r="M26" s="75"/>
    </row>
    <row r="27" spans="2:15" ht="15" customHeight="1">
      <c r="B27" s="73"/>
      <c r="C27" s="642" t="s">
        <v>132</v>
      </c>
      <c r="D27" s="1" t="s">
        <v>133</v>
      </c>
      <c r="E27" s="2"/>
      <c r="F27" s="225"/>
      <c r="G27" s="225"/>
      <c r="I27" s="234" t="s">
        <v>131</v>
      </c>
      <c r="J27" s="234" t="s">
        <v>130</v>
      </c>
      <c r="K27" s="234" t="s">
        <v>129</v>
      </c>
      <c r="L27" s="234" t="s">
        <v>128</v>
      </c>
      <c r="M27" s="75"/>
    </row>
    <row r="28" spans="2:15" ht="30" customHeight="1">
      <c r="B28" s="73"/>
      <c r="C28" s="643"/>
      <c r="D28" s="114"/>
      <c r="E28" s="2"/>
      <c r="F28" s="225"/>
      <c r="G28" s="225"/>
      <c r="I28" s="235"/>
      <c r="J28" s="234"/>
      <c r="K28" s="234"/>
      <c r="L28" s="234"/>
      <c r="M28" s="75"/>
    </row>
    <row r="29" spans="2:15" ht="15" customHeight="1">
      <c r="B29" s="73"/>
      <c r="C29" s="644"/>
      <c r="D29" s="114"/>
      <c r="F29" s="226"/>
      <c r="G29" s="226"/>
      <c r="I29" s="236" t="s">
        <v>114</v>
      </c>
      <c r="J29" s="237" t="s">
        <v>113</v>
      </c>
      <c r="K29" s="238" t="s">
        <v>112</v>
      </c>
      <c r="L29" s="234" t="s">
        <v>16</v>
      </c>
      <c r="M29" s="75"/>
    </row>
    <row r="30" spans="2:15" ht="20.100000000000001" customHeight="1" thickBot="1">
      <c r="B30" s="83"/>
      <c r="C30" s="84"/>
      <c r="D30" s="84"/>
      <c r="E30" s="85"/>
      <c r="F30" s="85"/>
      <c r="G30" s="85"/>
      <c r="H30" s="85"/>
      <c r="I30" s="85"/>
      <c r="J30" s="85"/>
      <c r="K30" s="85"/>
      <c r="L30" s="84"/>
      <c r="M30" s="86"/>
    </row>
    <row r="31" spans="2:15" ht="20.100000000000001" customHeight="1" thickTop="1"/>
    <row r="32" spans="2:15" s="240" customFormat="1" ht="9" customHeight="1" thickBot="1">
      <c r="E32" s="241"/>
      <c r="F32" s="241"/>
      <c r="G32" s="241"/>
      <c r="H32" s="241"/>
      <c r="I32" s="241"/>
      <c r="J32" s="241"/>
      <c r="K32" s="241"/>
      <c r="O32" s="262"/>
    </row>
    <row r="33" spans="2:13" ht="18" customHeight="1" thickTop="1">
      <c r="B33" s="210" t="s">
        <v>115</v>
      </c>
      <c r="C33" s="203"/>
      <c r="D33" s="203"/>
      <c r="E33" s="204"/>
      <c r="F33" s="204"/>
      <c r="G33" s="204"/>
      <c r="H33" s="204"/>
      <c r="I33" s="204"/>
      <c r="J33" s="204"/>
      <c r="K33" s="204"/>
      <c r="L33" s="203"/>
      <c r="M33" s="205"/>
    </row>
    <row r="34" spans="2:13" ht="18" customHeight="1">
      <c r="B34" s="632" t="s">
        <v>119</v>
      </c>
      <c r="C34" s="633"/>
      <c r="D34" s="76" t="s">
        <v>122</v>
      </c>
      <c r="E34" s="2"/>
      <c r="F34" s="2"/>
      <c r="H34" s="224"/>
      <c r="I34" s="224"/>
      <c r="J34" s="227" t="s">
        <v>124</v>
      </c>
      <c r="K34" s="228" t="s">
        <v>126</v>
      </c>
      <c r="L34" s="229"/>
      <c r="M34" s="75"/>
    </row>
    <row r="35" spans="2:13" ht="18" customHeight="1">
      <c r="B35" s="626" t="s">
        <v>120</v>
      </c>
      <c r="C35" s="627"/>
      <c r="D35" s="2" t="s">
        <v>159</v>
      </c>
      <c r="I35" s="211"/>
      <c r="J35" s="230" t="s">
        <v>173</v>
      </c>
      <c r="K35" s="211" t="s">
        <v>137</v>
      </c>
      <c r="L35" s="231"/>
      <c r="M35" s="75"/>
    </row>
    <row r="36" spans="2:13" ht="18" customHeight="1">
      <c r="B36" s="626" t="s">
        <v>121</v>
      </c>
      <c r="C36" s="627"/>
      <c r="D36" s="3" t="s">
        <v>168</v>
      </c>
      <c r="J36" s="232" t="s">
        <v>125</v>
      </c>
      <c r="K36" s="239" t="s">
        <v>170</v>
      </c>
      <c r="L36" s="233"/>
      <c r="M36" s="75"/>
    </row>
    <row r="37" spans="2:13" ht="9.9499999999999993" customHeight="1">
      <c r="B37" s="73"/>
      <c r="M37" s="75"/>
    </row>
    <row r="38" spans="2:13" ht="20.100000000000001" customHeight="1">
      <c r="B38" s="73"/>
      <c r="C38" s="628" t="s">
        <v>161</v>
      </c>
      <c r="D38" s="213" t="s">
        <v>3</v>
      </c>
      <c r="E38" s="214">
        <v>43325</v>
      </c>
      <c r="F38" s="214">
        <v>43326</v>
      </c>
      <c r="G38" s="214">
        <v>43327</v>
      </c>
      <c r="H38" s="214">
        <v>43328</v>
      </c>
      <c r="I38" s="215">
        <v>43329</v>
      </c>
      <c r="J38" s="215">
        <v>43330</v>
      </c>
      <c r="K38" s="215">
        <v>43331</v>
      </c>
      <c r="L38" s="630" t="s">
        <v>63</v>
      </c>
      <c r="M38" s="75"/>
    </row>
    <row r="39" spans="2:13" ht="20.100000000000001" customHeight="1">
      <c r="B39" s="73"/>
      <c r="C39" s="629"/>
      <c r="D39" s="213" t="s">
        <v>2</v>
      </c>
      <c r="E39" s="213" t="s">
        <v>4</v>
      </c>
      <c r="F39" s="213" t="s">
        <v>23</v>
      </c>
      <c r="G39" s="213" t="s">
        <v>29</v>
      </c>
      <c r="H39" s="213" t="s">
        <v>30</v>
      </c>
      <c r="I39" s="216" t="s">
        <v>59</v>
      </c>
      <c r="J39" s="216" t="s">
        <v>40</v>
      </c>
      <c r="K39" s="216" t="s">
        <v>43</v>
      </c>
      <c r="L39" s="630"/>
      <c r="M39" s="75"/>
    </row>
    <row r="40" spans="2:13" ht="18" customHeight="1">
      <c r="B40" s="79"/>
      <c r="C40" s="649" t="s">
        <v>163</v>
      </c>
      <c r="D40" s="217" t="s">
        <v>134</v>
      </c>
      <c r="E40" s="208" t="s">
        <v>81</v>
      </c>
      <c r="F40" s="208" t="s">
        <v>81</v>
      </c>
      <c r="G40" s="208" t="s">
        <v>81</v>
      </c>
      <c r="H40" s="208" t="s">
        <v>81</v>
      </c>
      <c r="I40" s="218" t="s">
        <v>13</v>
      </c>
      <c r="J40" s="218" t="s">
        <v>13</v>
      </c>
      <c r="K40" s="218" t="s">
        <v>13</v>
      </c>
      <c r="L40" s="631">
        <f>SUM(E41:K41)</f>
        <v>4000000</v>
      </c>
      <c r="M40" s="80"/>
    </row>
    <row r="41" spans="2:13" ht="18" customHeight="1">
      <c r="B41" s="81"/>
      <c r="C41" s="649"/>
      <c r="D41" s="219" t="s">
        <v>135</v>
      </c>
      <c r="E41" s="220">
        <v>1000000</v>
      </c>
      <c r="F41" s="220">
        <v>1000000</v>
      </c>
      <c r="G41" s="220">
        <v>1000000</v>
      </c>
      <c r="H41" s="220">
        <v>1000000</v>
      </c>
      <c r="I41" s="221" t="s">
        <v>13</v>
      </c>
      <c r="J41" s="221" t="s">
        <v>13</v>
      </c>
      <c r="K41" s="221" t="s">
        <v>13</v>
      </c>
      <c r="L41" s="631"/>
      <c r="M41" s="82"/>
    </row>
    <row r="42" spans="2:13" ht="18" customHeight="1">
      <c r="B42" s="79"/>
      <c r="C42" s="656" t="s">
        <v>71</v>
      </c>
      <c r="D42" s="217" t="s">
        <v>134</v>
      </c>
      <c r="E42" s="222" t="s">
        <v>94</v>
      </c>
      <c r="F42" s="222" t="s">
        <v>13</v>
      </c>
      <c r="G42" s="222" t="s">
        <v>13</v>
      </c>
      <c r="H42" s="222" t="s">
        <v>13</v>
      </c>
      <c r="I42" s="218" t="s">
        <v>13</v>
      </c>
      <c r="J42" s="218" t="s">
        <v>13</v>
      </c>
      <c r="K42" s="218" t="s">
        <v>13</v>
      </c>
      <c r="L42" s="631">
        <f>SUM(E43:K43)</f>
        <v>500000</v>
      </c>
      <c r="M42" s="80"/>
    </row>
    <row r="43" spans="2:13" ht="18" customHeight="1">
      <c r="B43" s="81"/>
      <c r="C43" s="656"/>
      <c r="D43" s="219" t="s">
        <v>135</v>
      </c>
      <c r="E43" s="223">
        <v>500000</v>
      </c>
      <c r="F43" s="223" t="s">
        <v>13</v>
      </c>
      <c r="G43" s="223" t="s">
        <v>13</v>
      </c>
      <c r="H43" s="223" t="s">
        <v>13</v>
      </c>
      <c r="I43" s="221" t="s">
        <v>13</v>
      </c>
      <c r="J43" s="221" t="s">
        <v>13</v>
      </c>
      <c r="K43" s="221" t="s">
        <v>13</v>
      </c>
      <c r="L43" s="631"/>
      <c r="M43" s="82"/>
    </row>
    <row r="44" spans="2:13" ht="9.9499999999999993" customHeight="1">
      <c r="B44" s="73"/>
      <c r="C44" s="653" t="s">
        <v>57</v>
      </c>
      <c r="D44" s="653"/>
      <c r="E44" s="653"/>
      <c r="F44" s="653"/>
      <c r="G44" s="653"/>
      <c r="H44" s="653"/>
      <c r="I44" s="653"/>
      <c r="J44" s="653"/>
      <c r="K44" s="653"/>
      <c r="L44" s="653"/>
      <c r="M44" s="75"/>
    </row>
    <row r="45" spans="2:13" ht="18" customHeight="1">
      <c r="B45" s="73"/>
      <c r="C45" s="654" t="s">
        <v>11</v>
      </c>
      <c r="D45" s="217" t="s">
        <v>134</v>
      </c>
      <c r="E45" s="208" t="s">
        <v>13</v>
      </c>
      <c r="F45" s="208" t="s">
        <v>13</v>
      </c>
      <c r="G45" s="208" t="s">
        <v>13</v>
      </c>
      <c r="H45" s="208" t="s">
        <v>13</v>
      </c>
      <c r="I45" s="208" t="s">
        <v>13</v>
      </c>
      <c r="J45" s="218" t="s">
        <v>13</v>
      </c>
      <c r="K45" s="218" t="s">
        <v>13</v>
      </c>
      <c r="L45" s="631">
        <f>SUM(E46:K46)</f>
        <v>0</v>
      </c>
      <c r="M45" s="75"/>
    </row>
    <row r="46" spans="2:13" ht="18" customHeight="1">
      <c r="B46" s="73"/>
      <c r="C46" s="654"/>
      <c r="D46" s="219" t="s">
        <v>135</v>
      </c>
      <c r="E46" s="220" t="s">
        <v>13</v>
      </c>
      <c r="F46" s="220" t="s">
        <v>13</v>
      </c>
      <c r="G46" s="220" t="s">
        <v>13</v>
      </c>
      <c r="H46" s="220" t="s">
        <v>13</v>
      </c>
      <c r="I46" s="220" t="s">
        <v>13</v>
      </c>
      <c r="J46" s="221" t="s">
        <v>13</v>
      </c>
      <c r="K46" s="221" t="s">
        <v>13</v>
      </c>
      <c r="L46" s="631"/>
      <c r="M46" s="75"/>
    </row>
    <row r="47" spans="2:13" ht="24.95" customHeight="1">
      <c r="B47" s="73"/>
      <c r="D47" s="206"/>
      <c r="E47" s="207"/>
      <c r="F47" s="207"/>
      <c r="G47" s="207"/>
      <c r="H47" s="207"/>
      <c r="I47" s="651" t="s">
        <v>118</v>
      </c>
      <c r="J47" s="651"/>
      <c r="K47" s="652">
        <f>SUM(L40:L46)</f>
        <v>4500000</v>
      </c>
      <c r="L47" s="652"/>
      <c r="M47" s="75"/>
    </row>
    <row r="48" spans="2:13" ht="20.100000000000001" customHeight="1">
      <c r="B48" s="73"/>
      <c r="C48" s="634" t="s">
        <v>162</v>
      </c>
      <c r="D48" s="213" t="s">
        <v>3</v>
      </c>
      <c r="E48" s="214">
        <v>43325</v>
      </c>
      <c r="F48" s="214">
        <v>43326</v>
      </c>
      <c r="G48" s="214">
        <v>43327</v>
      </c>
      <c r="H48" s="215">
        <v>43328</v>
      </c>
      <c r="I48" s="214">
        <v>43329</v>
      </c>
      <c r="J48" s="215">
        <v>43330</v>
      </c>
      <c r="K48" s="215">
        <v>43331</v>
      </c>
      <c r="L48" s="645" t="s">
        <v>62</v>
      </c>
      <c r="M48" s="75"/>
    </row>
    <row r="49" spans="2:15" ht="20.100000000000001" customHeight="1">
      <c r="B49" s="73"/>
      <c r="C49" s="635"/>
      <c r="D49" s="213" t="s">
        <v>2</v>
      </c>
      <c r="E49" s="213" t="s">
        <v>4</v>
      </c>
      <c r="F49" s="213" t="s">
        <v>23</v>
      </c>
      <c r="G49" s="213" t="s">
        <v>29</v>
      </c>
      <c r="H49" s="216" t="s">
        <v>30</v>
      </c>
      <c r="I49" s="216" t="s">
        <v>59</v>
      </c>
      <c r="J49" s="216" t="s">
        <v>40</v>
      </c>
      <c r="K49" s="216" t="s">
        <v>43</v>
      </c>
      <c r="L49" s="646"/>
      <c r="M49" s="75"/>
    </row>
    <row r="50" spans="2:15" ht="18" customHeight="1">
      <c r="B50" s="79"/>
      <c r="C50" s="649" t="s">
        <v>70</v>
      </c>
      <c r="D50" s="217" t="s">
        <v>134</v>
      </c>
      <c r="E50" s="208" t="s">
        <v>81</v>
      </c>
      <c r="F50" s="208" t="s">
        <v>81</v>
      </c>
      <c r="G50" s="208" t="s">
        <v>81</v>
      </c>
      <c r="H50" s="218" t="s">
        <v>13</v>
      </c>
      <c r="I50" s="218" t="s">
        <v>13</v>
      </c>
      <c r="J50" s="218" t="s">
        <v>13</v>
      </c>
      <c r="K50" s="218" t="s">
        <v>13</v>
      </c>
      <c r="L50" s="631">
        <f>SUM(E51:K51)</f>
        <v>3000000</v>
      </c>
      <c r="M50" s="80"/>
    </row>
    <row r="51" spans="2:15" ht="18" customHeight="1">
      <c r="B51" s="81"/>
      <c r="C51" s="649"/>
      <c r="D51" s="219" t="s">
        <v>135</v>
      </c>
      <c r="E51" s="220">
        <v>1000000</v>
      </c>
      <c r="F51" s="220">
        <v>1000000</v>
      </c>
      <c r="G51" s="220">
        <v>1000000</v>
      </c>
      <c r="H51" s="221" t="s">
        <v>13</v>
      </c>
      <c r="I51" s="221" t="s">
        <v>13</v>
      </c>
      <c r="J51" s="221" t="s">
        <v>13</v>
      </c>
      <c r="K51" s="221" t="s">
        <v>13</v>
      </c>
      <c r="L51" s="631"/>
      <c r="M51" s="82"/>
    </row>
    <row r="52" spans="2:15" ht="9.9499999999999993" customHeight="1">
      <c r="B52" s="73"/>
      <c r="C52" s="653" t="s">
        <v>57</v>
      </c>
      <c r="D52" s="653"/>
      <c r="E52" s="653"/>
      <c r="F52" s="653"/>
      <c r="G52" s="653"/>
      <c r="H52" s="653"/>
      <c r="I52" s="653"/>
      <c r="J52" s="653"/>
      <c r="K52" s="653"/>
      <c r="L52" s="653"/>
      <c r="M52" s="75"/>
    </row>
    <row r="53" spans="2:15" ht="18" customHeight="1">
      <c r="B53" s="73"/>
      <c r="C53" s="654" t="s">
        <v>11</v>
      </c>
      <c r="D53" s="217" t="s">
        <v>134</v>
      </c>
      <c r="E53" s="208" t="s">
        <v>13</v>
      </c>
      <c r="F53" s="208" t="s">
        <v>13</v>
      </c>
      <c r="G53" s="208" t="s">
        <v>13</v>
      </c>
      <c r="H53" s="208" t="s">
        <v>13</v>
      </c>
      <c r="I53" s="208" t="s">
        <v>13</v>
      </c>
      <c r="J53" s="218" t="s">
        <v>13</v>
      </c>
      <c r="K53" s="218" t="s">
        <v>13</v>
      </c>
      <c r="L53" s="655">
        <f>SUM(E54:K54)</f>
        <v>0</v>
      </c>
      <c r="M53" s="75"/>
    </row>
    <row r="54" spans="2:15" ht="18" customHeight="1">
      <c r="B54" s="81"/>
      <c r="C54" s="654"/>
      <c r="D54" s="219" t="s">
        <v>135</v>
      </c>
      <c r="E54" s="220" t="s">
        <v>13</v>
      </c>
      <c r="F54" s="220" t="s">
        <v>13</v>
      </c>
      <c r="G54" s="220" t="s">
        <v>13</v>
      </c>
      <c r="H54" s="220" t="s">
        <v>13</v>
      </c>
      <c r="I54" s="220" t="s">
        <v>13</v>
      </c>
      <c r="J54" s="221" t="s">
        <v>13</v>
      </c>
      <c r="K54" s="221" t="s">
        <v>13</v>
      </c>
      <c r="L54" s="655"/>
      <c r="M54" s="82"/>
    </row>
    <row r="55" spans="2:15" ht="24.95" customHeight="1" thickBot="1">
      <c r="B55" s="73"/>
      <c r="F55" s="209"/>
      <c r="I55" s="611" t="s">
        <v>117</v>
      </c>
      <c r="J55" s="611"/>
      <c r="K55" s="650">
        <f>SUM(L48:L54)</f>
        <v>3000000</v>
      </c>
      <c r="L55" s="650"/>
      <c r="M55" s="75"/>
    </row>
    <row r="56" spans="2:15" ht="24.95" customHeight="1">
      <c r="B56" s="73"/>
      <c r="C56" s="640" t="s">
        <v>136</v>
      </c>
      <c r="D56" s="640"/>
      <c r="E56" s="2"/>
      <c r="I56" s="611" t="s">
        <v>116</v>
      </c>
      <c r="J56" s="611"/>
      <c r="K56" s="613">
        <f>+K55+K47</f>
        <v>7500000</v>
      </c>
      <c r="L56" s="613"/>
      <c r="M56" s="75"/>
    </row>
    <row r="57" spans="2:15" ht="9.9499999999999993" customHeight="1">
      <c r="B57" s="73"/>
      <c r="C57" s="641"/>
      <c r="D57" s="641"/>
      <c r="E57" s="2"/>
      <c r="F57" s="225"/>
      <c r="G57" s="225"/>
      <c r="M57" s="75"/>
    </row>
    <row r="58" spans="2:15" ht="15" customHeight="1">
      <c r="B58" s="73"/>
      <c r="C58" s="642" t="s">
        <v>132</v>
      </c>
      <c r="D58" s="1" t="s">
        <v>133</v>
      </c>
      <c r="E58" s="2"/>
      <c r="F58" s="225"/>
      <c r="G58" s="225"/>
      <c r="I58" s="234" t="s">
        <v>131</v>
      </c>
      <c r="J58" s="234" t="s">
        <v>130</v>
      </c>
      <c r="K58" s="234" t="s">
        <v>129</v>
      </c>
      <c r="L58" s="234" t="s">
        <v>128</v>
      </c>
      <c r="M58" s="75"/>
    </row>
    <row r="59" spans="2:15" ht="30" customHeight="1">
      <c r="B59" s="73"/>
      <c r="C59" s="643"/>
      <c r="D59" s="114"/>
      <c r="E59" s="2"/>
      <c r="F59" s="225"/>
      <c r="G59" s="225"/>
      <c r="I59" s="235"/>
      <c r="J59" s="234"/>
      <c r="K59" s="234"/>
      <c r="L59" s="234"/>
      <c r="M59" s="75"/>
    </row>
    <row r="60" spans="2:15" ht="15" customHeight="1">
      <c r="B60" s="73"/>
      <c r="C60" s="644"/>
      <c r="D60" s="114"/>
      <c r="F60" s="226"/>
      <c r="G60" s="226"/>
      <c r="I60" s="236" t="s">
        <v>114</v>
      </c>
      <c r="J60" s="237" t="s">
        <v>113</v>
      </c>
      <c r="K60" s="238" t="s">
        <v>112</v>
      </c>
      <c r="L60" s="234" t="s">
        <v>16</v>
      </c>
      <c r="M60" s="75"/>
    </row>
    <row r="61" spans="2:15" ht="20.100000000000001" customHeight="1" thickBot="1">
      <c r="B61" s="83"/>
      <c r="C61" s="84"/>
      <c r="D61" s="84"/>
      <c r="E61" s="85"/>
      <c r="F61" s="85"/>
      <c r="G61" s="85"/>
      <c r="H61" s="85"/>
      <c r="I61" s="85"/>
      <c r="J61" s="85"/>
      <c r="K61" s="85"/>
      <c r="L61" s="84"/>
      <c r="M61" s="86"/>
    </row>
    <row r="62" spans="2:15" ht="20.100000000000001" customHeight="1" thickTop="1"/>
    <row r="63" spans="2:15" s="240" customFormat="1" ht="9" customHeight="1" thickBot="1">
      <c r="E63" s="241"/>
      <c r="F63" s="241"/>
      <c r="G63" s="241"/>
      <c r="H63" s="241"/>
      <c r="I63" s="241"/>
      <c r="J63" s="241"/>
      <c r="K63" s="241"/>
      <c r="O63" s="262"/>
    </row>
    <row r="64" spans="2:15" ht="18" customHeight="1" thickTop="1">
      <c r="B64" s="210" t="s">
        <v>115</v>
      </c>
      <c r="C64" s="203"/>
      <c r="D64" s="203"/>
      <c r="E64" s="204"/>
      <c r="F64" s="204"/>
      <c r="G64" s="204"/>
      <c r="H64" s="204"/>
      <c r="I64" s="204"/>
      <c r="J64" s="204"/>
      <c r="K64" s="204"/>
      <c r="L64" s="203"/>
      <c r="M64" s="205"/>
    </row>
    <row r="65" spans="2:13" ht="18" customHeight="1">
      <c r="B65" s="632" t="s">
        <v>119</v>
      </c>
      <c r="C65" s="633"/>
      <c r="D65" s="76" t="s">
        <v>122</v>
      </c>
      <c r="E65" s="2"/>
      <c r="F65" s="2"/>
      <c r="H65" s="224"/>
      <c r="I65" s="224"/>
      <c r="J65" s="227" t="s">
        <v>124</v>
      </c>
      <c r="K65" s="228" t="s">
        <v>126</v>
      </c>
      <c r="L65" s="229"/>
      <c r="M65" s="75"/>
    </row>
    <row r="66" spans="2:13" ht="18" customHeight="1">
      <c r="B66" s="626" t="s">
        <v>120</v>
      </c>
      <c r="C66" s="627"/>
      <c r="D66" s="2" t="s">
        <v>160</v>
      </c>
      <c r="I66" s="211"/>
      <c r="J66" s="230" t="s">
        <v>173</v>
      </c>
      <c r="K66" s="211" t="s">
        <v>137</v>
      </c>
      <c r="L66" s="231"/>
      <c r="M66" s="75"/>
    </row>
    <row r="67" spans="2:13" ht="18" customHeight="1">
      <c r="B67" s="626" t="s">
        <v>121</v>
      </c>
      <c r="C67" s="627"/>
      <c r="D67" s="3" t="s">
        <v>167</v>
      </c>
      <c r="J67" s="232" t="s">
        <v>125</v>
      </c>
      <c r="K67" s="239" t="s">
        <v>170</v>
      </c>
      <c r="L67" s="233"/>
      <c r="M67" s="75"/>
    </row>
    <row r="68" spans="2:13" ht="9.9499999999999993" customHeight="1">
      <c r="B68" s="73"/>
      <c r="M68" s="75"/>
    </row>
    <row r="69" spans="2:13" ht="20.100000000000001" customHeight="1">
      <c r="B69" s="73"/>
      <c r="C69" s="628" t="s">
        <v>157</v>
      </c>
      <c r="D69" s="213" t="s">
        <v>3</v>
      </c>
      <c r="E69" s="214">
        <v>43332</v>
      </c>
      <c r="F69" s="214">
        <v>43333</v>
      </c>
      <c r="G69" s="215">
        <v>43334</v>
      </c>
      <c r="H69" s="215">
        <v>43335</v>
      </c>
      <c r="I69" s="214">
        <v>43336</v>
      </c>
      <c r="J69" s="215">
        <v>43337</v>
      </c>
      <c r="K69" s="215">
        <v>43338</v>
      </c>
      <c r="L69" s="630" t="s">
        <v>63</v>
      </c>
      <c r="M69" s="75"/>
    </row>
    <row r="70" spans="2:13" ht="20.100000000000001" customHeight="1">
      <c r="B70" s="73"/>
      <c r="C70" s="629"/>
      <c r="D70" s="213" t="s">
        <v>2</v>
      </c>
      <c r="E70" s="213" t="s">
        <v>4</v>
      </c>
      <c r="F70" s="213" t="s">
        <v>23</v>
      </c>
      <c r="G70" s="216" t="s">
        <v>29</v>
      </c>
      <c r="H70" s="216" t="s">
        <v>30</v>
      </c>
      <c r="I70" s="213" t="s">
        <v>59</v>
      </c>
      <c r="J70" s="216" t="s">
        <v>40</v>
      </c>
      <c r="K70" s="216" t="s">
        <v>43</v>
      </c>
      <c r="L70" s="630"/>
      <c r="M70" s="75"/>
    </row>
    <row r="71" spans="2:13" ht="18" customHeight="1">
      <c r="B71" s="79"/>
      <c r="C71" s="649" t="s">
        <v>163</v>
      </c>
      <c r="D71" s="217" t="s">
        <v>134</v>
      </c>
      <c r="E71" s="208" t="s">
        <v>81</v>
      </c>
      <c r="F71" s="208" t="s">
        <v>81</v>
      </c>
      <c r="G71" s="218" t="s">
        <v>13</v>
      </c>
      <c r="H71" s="218" t="s">
        <v>13</v>
      </c>
      <c r="I71" s="208" t="s">
        <v>81</v>
      </c>
      <c r="J71" s="218" t="s">
        <v>13</v>
      </c>
      <c r="K71" s="218" t="s">
        <v>13</v>
      </c>
      <c r="L71" s="631">
        <f>SUM(E72:K72)</f>
        <v>3000000</v>
      </c>
      <c r="M71" s="80"/>
    </row>
    <row r="72" spans="2:13" ht="18" customHeight="1">
      <c r="B72" s="81"/>
      <c r="C72" s="649"/>
      <c r="D72" s="219" t="s">
        <v>135</v>
      </c>
      <c r="E72" s="220">
        <v>1000000</v>
      </c>
      <c r="F72" s="220">
        <v>1000000</v>
      </c>
      <c r="G72" s="221" t="s">
        <v>13</v>
      </c>
      <c r="H72" s="221" t="s">
        <v>13</v>
      </c>
      <c r="I72" s="220">
        <v>1000000</v>
      </c>
      <c r="J72" s="221" t="s">
        <v>13</v>
      </c>
      <c r="K72" s="221" t="s">
        <v>13</v>
      </c>
      <c r="L72" s="631"/>
      <c r="M72" s="82"/>
    </row>
    <row r="73" spans="2:13" ht="18" customHeight="1">
      <c r="B73" s="79"/>
      <c r="C73" s="656" t="s">
        <v>71</v>
      </c>
      <c r="D73" s="217" t="s">
        <v>134</v>
      </c>
      <c r="E73" s="222" t="s">
        <v>13</v>
      </c>
      <c r="F73" s="222" t="s">
        <v>13</v>
      </c>
      <c r="G73" s="218" t="s">
        <v>13</v>
      </c>
      <c r="H73" s="218" t="s">
        <v>13</v>
      </c>
      <c r="I73" s="222" t="s">
        <v>13</v>
      </c>
      <c r="J73" s="218" t="s">
        <v>13</v>
      </c>
      <c r="K73" s="218" t="s">
        <v>13</v>
      </c>
      <c r="L73" s="631">
        <f>SUM(E74:K74)</f>
        <v>0</v>
      </c>
      <c r="M73" s="80"/>
    </row>
    <row r="74" spans="2:13" ht="18" customHeight="1">
      <c r="B74" s="81"/>
      <c r="C74" s="656"/>
      <c r="D74" s="219" t="s">
        <v>135</v>
      </c>
      <c r="E74" s="223" t="s">
        <v>13</v>
      </c>
      <c r="F74" s="223" t="s">
        <v>13</v>
      </c>
      <c r="G74" s="221" t="s">
        <v>13</v>
      </c>
      <c r="H74" s="221" t="s">
        <v>13</v>
      </c>
      <c r="I74" s="223" t="s">
        <v>13</v>
      </c>
      <c r="J74" s="221" t="s">
        <v>13</v>
      </c>
      <c r="K74" s="221" t="s">
        <v>13</v>
      </c>
      <c r="L74" s="631"/>
      <c r="M74" s="82"/>
    </row>
    <row r="75" spans="2:13" ht="9.9499999999999993" customHeight="1">
      <c r="B75" s="73"/>
      <c r="C75" s="653" t="s">
        <v>57</v>
      </c>
      <c r="D75" s="653"/>
      <c r="E75" s="653"/>
      <c r="F75" s="653"/>
      <c r="G75" s="653"/>
      <c r="H75" s="653"/>
      <c r="I75" s="653"/>
      <c r="J75" s="653"/>
      <c r="K75" s="653"/>
      <c r="L75" s="653"/>
      <c r="M75" s="75"/>
    </row>
    <row r="76" spans="2:13" ht="18" customHeight="1">
      <c r="B76" s="73"/>
      <c r="C76" s="654" t="s">
        <v>11</v>
      </c>
      <c r="D76" s="217" t="s">
        <v>134</v>
      </c>
      <c r="E76" s="208" t="s">
        <v>13</v>
      </c>
      <c r="F76" s="208" t="s">
        <v>13</v>
      </c>
      <c r="G76" s="208" t="s">
        <v>13</v>
      </c>
      <c r="H76" s="208" t="s">
        <v>13</v>
      </c>
      <c r="I76" s="208" t="s">
        <v>13</v>
      </c>
      <c r="J76" s="218" t="s">
        <v>13</v>
      </c>
      <c r="K76" s="218" t="s">
        <v>13</v>
      </c>
      <c r="L76" s="631">
        <f>SUM(E77:K77)</f>
        <v>0</v>
      </c>
      <c r="M76" s="75"/>
    </row>
    <row r="77" spans="2:13" ht="18" customHeight="1">
      <c r="B77" s="73"/>
      <c r="C77" s="654"/>
      <c r="D77" s="219" t="s">
        <v>135</v>
      </c>
      <c r="E77" s="220" t="s">
        <v>13</v>
      </c>
      <c r="F77" s="220" t="s">
        <v>13</v>
      </c>
      <c r="G77" s="220" t="s">
        <v>13</v>
      </c>
      <c r="H77" s="220" t="s">
        <v>13</v>
      </c>
      <c r="I77" s="220" t="s">
        <v>13</v>
      </c>
      <c r="J77" s="221" t="s">
        <v>13</v>
      </c>
      <c r="K77" s="221" t="s">
        <v>13</v>
      </c>
      <c r="L77" s="631"/>
      <c r="M77" s="75"/>
    </row>
    <row r="78" spans="2:13" ht="24.95" customHeight="1">
      <c r="B78" s="73"/>
      <c r="D78" s="206"/>
      <c r="E78" s="207"/>
      <c r="F78" s="207"/>
      <c r="G78" s="207"/>
      <c r="H78" s="207"/>
      <c r="I78" s="651" t="s">
        <v>118</v>
      </c>
      <c r="J78" s="651"/>
      <c r="K78" s="652">
        <f>SUM(L71:L77)</f>
        <v>3000000</v>
      </c>
      <c r="L78" s="652"/>
      <c r="M78" s="75"/>
    </row>
    <row r="79" spans="2:13" ht="20.100000000000001" customHeight="1">
      <c r="B79" s="73"/>
      <c r="C79" s="634" t="s">
        <v>158</v>
      </c>
      <c r="D79" s="213" t="s">
        <v>3</v>
      </c>
      <c r="E79" s="214">
        <v>43332</v>
      </c>
      <c r="F79" s="215">
        <v>43333</v>
      </c>
      <c r="G79" s="215">
        <v>43334</v>
      </c>
      <c r="H79" s="215">
        <v>43335</v>
      </c>
      <c r="I79" s="214">
        <v>43336</v>
      </c>
      <c r="J79" s="214">
        <v>43337</v>
      </c>
      <c r="K79" s="215">
        <v>43338</v>
      </c>
      <c r="L79" s="645" t="s">
        <v>62</v>
      </c>
      <c r="M79" s="75"/>
    </row>
    <row r="80" spans="2:13" ht="20.100000000000001" customHeight="1">
      <c r="B80" s="73"/>
      <c r="C80" s="635"/>
      <c r="D80" s="213" t="s">
        <v>2</v>
      </c>
      <c r="E80" s="213" t="s">
        <v>4</v>
      </c>
      <c r="F80" s="216" t="s">
        <v>23</v>
      </c>
      <c r="G80" s="216" t="s">
        <v>29</v>
      </c>
      <c r="H80" s="216" t="s">
        <v>30</v>
      </c>
      <c r="I80" s="213" t="s">
        <v>59</v>
      </c>
      <c r="J80" s="213" t="s">
        <v>40</v>
      </c>
      <c r="K80" s="216" t="s">
        <v>43</v>
      </c>
      <c r="L80" s="646"/>
      <c r="M80" s="75"/>
    </row>
    <row r="81" spans="2:15" ht="18" customHeight="1">
      <c r="B81" s="79"/>
      <c r="C81" s="649" t="s">
        <v>70</v>
      </c>
      <c r="D81" s="217" t="s">
        <v>134</v>
      </c>
      <c r="E81" s="208" t="s">
        <v>81</v>
      </c>
      <c r="F81" s="218" t="s">
        <v>13</v>
      </c>
      <c r="G81" s="218" t="s">
        <v>13</v>
      </c>
      <c r="H81" s="218" t="s">
        <v>13</v>
      </c>
      <c r="I81" s="208" t="s">
        <v>81</v>
      </c>
      <c r="J81" s="208" t="s">
        <v>81</v>
      </c>
      <c r="K81" s="218" t="s">
        <v>13</v>
      </c>
      <c r="L81" s="631">
        <f>SUM(E82:K82)</f>
        <v>3000000</v>
      </c>
      <c r="M81" s="80"/>
    </row>
    <row r="82" spans="2:15" ht="18" customHeight="1">
      <c r="B82" s="81"/>
      <c r="C82" s="649"/>
      <c r="D82" s="219" t="s">
        <v>135</v>
      </c>
      <c r="E82" s="220">
        <v>1000000</v>
      </c>
      <c r="F82" s="221" t="s">
        <v>13</v>
      </c>
      <c r="G82" s="221" t="s">
        <v>13</v>
      </c>
      <c r="H82" s="221" t="s">
        <v>13</v>
      </c>
      <c r="I82" s="220">
        <v>1000000</v>
      </c>
      <c r="J82" s="220">
        <v>1000000</v>
      </c>
      <c r="K82" s="221" t="s">
        <v>13</v>
      </c>
      <c r="L82" s="631"/>
      <c r="M82" s="82"/>
    </row>
    <row r="83" spans="2:15" ht="9.9499999999999993" customHeight="1">
      <c r="B83" s="73"/>
      <c r="C83" s="653" t="s">
        <v>57</v>
      </c>
      <c r="D83" s="653"/>
      <c r="E83" s="653"/>
      <c r="F83" s="653"/>
      <c r="G83" s="653"/>
      <c r="H83" s="653"/>
      <c r="I83" s="653"/>
      <c r="J83" s="653"/>
      <c r="K83" s="653"/>
      <c r="L83" s="653"/>
      <c r="M83" s="75"/>
    </row>
    <row r="84" spans="2:15" ht="18" customHeight="1">
      <c r="B84" s="73"/>
      <c r="C84" s="654" t="s">
        <v>11</v>
      </c>
      <c r="D84" s="217" t="s">
        <v>134</v>
      </c>
      <c r="E84" s="208" t="s">
        <v>13</v>
      </c>
      <c r="F84" s="208" t="s">
        <v>13</v>
      </c>
      <c r="G84" s="208" t="s">
        <v>13</v>
      </c>
      <c r="H84" s="208" t="s">
        <v>13</v>
      </c>
      <c r="I84" s="208" t="s">
        <v>13</v>
      </c>
      <c r="J84" s="218" t="s">
        <v>13</v>
      </c>
      <c r="K84" s="218" t="s">
        <v>13</v>
      </c>
      <c r="L84" s="655">
        <f>SUM(E85:K85)</f>
        <v>0</v>
      </c>
      <c r="M84" s="75"/>
    </row>
    <row r="85" spans="2:15" ht="18" customHeight="1">
      <c r="B85" s="81"/>
      <c r="C85" s="654"/>
      <c r="D85" s="219" t="s">
        <v>135</v>
      </c>
      <c r="E85" s="220" t="s">
        <v>13</v>
      </c>
      <c r="F85" s="220" t="s">
        <v>13</v>
      </c>
      <c r="G85" s="220" t="s">
        <v>13</v>
      </c>
      <c r="H85" s="220" t="s">
        <v>13</v>
      </c>
      <c r="I85" s="220" t="s">
        <v>13</v>
      </c>
      <c r="J85" s="221" t="s">
        <v>13</v>
      </c>
      <c r="K85" s="221" t="s">
        <v>13</v>
      </c>
      <c r="L85" s="655"/>
      <c r="M85" s="82"/>
    </row>
    <row r="86" spans="2:15" ht="24.95" customHeight="1" thickBot="1">
      <c r="B86" s="73"/>
      <c r="F86" s="209"/>
      <c r="I86" s="611" t="s">
        <v>117</v>
      </c>
      <c r="J86" s="611"/>
      <c r="K86" s="650">
        <f>SUM(L79:L85)</f>
        <v>3000000</v>
      </c>
      <c r="L86" s="650"/>
      <c r="M86" s="75"/>
    </row>
    <row r="87" spans="2:15" ht="24.95" customHeight="1">
      <c r="B87" s="73"/>
      <c r="C87" s="640" t="s">
        <v>136</v>
      </c>
      <c r="D87" s="640"/>
      <c r="E87" s="2"/>
      <c r="I87" s="611" t="s">
        <v>116</v>
      </c>
      <c r="J87" s="611"/>
      <c r="K87" s="613">
        <f>+K86+K78</f>
        <v>6000000</v>
      </c>
      <c r="L87" s="613"/>
      <c r="M87" s="75"/>
    </row>
    <row r="88" spans="2:15" ht="9.9499999999999993" customHeight="1">
      <c r="B88" s="73"/>
      <c r="C88" s="641"/>
      <c r="D88" s="641"/>
      <c r="E88" s="2"/>
      <c r="F88" s="225"/>
      <c r="G88" s="225"/>
      <c r="M88" s="75"/>
    </row>
    <row r="89" spans="2:15" ht="15" customHeight="1">
      <c r="B89" s="73"/>
      <c r="C89" s="642" t="s">
        <v>132</v>
      </c>
      <c r="D89" s="1" t="s">
        <v>133</v>
      </c>
      <c r="E89" s="2"/>
      <c r="F89" s="225"/>
      <c r="G89" s="225"/>
      <c r="I89" s="234" t="s">
        <v>131</v>
      </c>
      <c r="J89" s="234" t="s">
        <v>130</v>
      </c>
      <c r="K89" s="234" t="s">
        <v>129</v>
      </c>
      <c r="L89" s="234" t="s">
        <v>128</v>
      </c>
      <c r="M89" s="75"/>
    </row>
    <row r="90" spans="2:15" ht="30" customHeight="1">
      <c r="B90" s="73"/>
      <c r="C90" s="643"/>
      <c r="D90" s="114"/>
      <c r="E90" s="2"/>
      <c r="F90" s="225"/>
      <c r="G90" s="225"/>
      <c r="I90" s="235"/>
      <c r="J90" s="234"/>
      <c r="K90" s="234"/>
      <c r="L90" s="234"/>
      <c r="M90" s="75"/>
    </row>
    <row r="91" spans="2:15" ht="15" customHeight="1">
      <c r="B91" s="73"/>
      <c r="C91" s="644"/>
      <c r="D91" s="114"/>
      <c r="F91" s="226"/>
      <c r="G91" s="226"/>
      <c r="I91" s="236" t="s">
        <v>114</v>
      </c>
      <c r="J91" s="237" t="s">
        <v>113</v>
      </c>
      <c r="K91" s="238" t="s">
        <v>112</v>
      </c>
      <c r="L91" s="234" t="s">
        <v>16</v>
      </c>
      <c r="M91" s="75"/>
    </row>
    <row r="92" spans="2:15" ht="20.100000000000001" customHeight="1" thickBot="1">
      <c r="B92" s="83"/>
      <c r="C92" s="84"/>
      <c r="D92" s="84"/>
      <c r="E92" s="85"/>
      <c r="F92" s="85"/>
      <c r="G92" s="85"/>
      <c r="H92" s="85"/>
      <c r="I92" s="85"/>
      <c r="J92" s="85"/>
      <c r="K92" s="85"/>
      <c r="L92" s="84"/>
      <c r="M92" s="86"/>
    </row>
    <row r="93" spans="2:15" ht="20.100000000000001" customHeight="1" thickTop="1"/>
    <row r="94" spans="2:15" s="240" customFormat="1" ht="9" customHeight="1" thickBot="1">
      <c r="E94" s="241"/>
      <c r="F94" s="241"/>
      <c r="G94" s="241"/>
      <c r="H94" s="241"/>
      <c r="I94" s="241"/>
      <c r="J94" s="241"/>
      <c r="K94" s="241"/>
      <c r="O94" s="262"/>
    </row>
    <row r="95" spans="2:15" ht="18" customHeight="1" thickTop="1">
      <c r="B95" s="210" t="s">
        <v>138</v>
      </c>
      <c r="C95" s="203"/>
      <c r="D95" s="203"/>
      <c r="E95" s="204"/>
      <c r="F95" s="204"/>
      <c r="G95" s="204"/>
      <c r="H95" s="204"/>
      <c r="I95" s="204"/>
      <c r="J95" s="204"/>
      <c r="K95" s="204"/>
      <c r="L95" s="203"/>
      <c r="M95" s="205"/>
    </row>
    <row r="96" spans="2:15" ht="18" customHeight="1">
      <c r="B96" s="632" t="s">
        <v>119</v>
      </c>
      <c r="C96" s="633"/>
      <c r="D96" s="76" t="s">
        <v>122</v>
      </c>
      <c r="E96" s="2"/>
      <c r="F96" s="2"/>
      <c r="H96" s="224"/>
      <c r="I96" s="224"/>
      <c r="J96" s="227" t="s">
        <v>124</v>
      </c>
      <c r="K96" s="228" t="s">
        <v>126</v>
      </c>
      <c r="L96" s="229"/>
      <c r="M96" s="75"/>
    </row>
    <row r="97" spans="2:13" ht="18" customHeight="1">
      <c r="B97" s="626" t="s">
        <v>120</v>
      </c>
      <c r="C97" s="627"/>
      <c r="D97" s="2" t="s">
        <v>164</v>
      </c>
      <c r="I97" s="211"/>
      <c r="J97" s="230" t="s">
        <v>173</v>
      </c>
      <c r="K97" s="211" t="s">
        <v>137</v>
      </c>
      <c r="L97" s="231"/>
      <c r="M97" s="75"/>
    </row>
    <row r="98" spans="2:13" ht="18" customHeight="1">
      <c r="B98" s="626" t="s">
        <v>121</v>
      </c>
      <c r="C98" s="627"/>
      <c r="D98" s="3" t="s">
        <v>166</v>
      </c>
      <c r="J98" s="232" t="s">
        <v>125</v>
      </c>
      <c r="K98" s="239" t="s">
        <v>170</v>
      </c>
      <c r="L98" s="233"/>
      <c r="M98" s="75"/>
    </row>
    <row r="99" spans="2:13" ht="9.9499999999999993" customHeight="1">
      <c r="B99" s="73"/>
      <c r="M99" s="75"/>
    </row>
    <row r="100" spans="2:13" ht="20.100000000000001" customHeight="1">
      <c r="B100" s="73"/>
      <c r="C100" s="628" t="s">
        <v>165</v>
      </c>
      <c r="D100" s="213" t="s">
        <v>3</v>
      </c>
      <c r="E100" s="214">
        <v>43339</v>
      </c>
      <c r="F100" s="214">
        <v>43340</v>
      </c>
      <c r="G100" s="214">
        <v>43341</v>
      </c>
      <c r="H100" s="214">
        <v>43342</v>
      </c>
      <c r="I100" s="214">
        <v>43343</v>
      </c>
      <c r="J100" s="215">
        <v>43344</v>
      </c>
      <c r="K100" s="215">
        <v>43345</v>
      </c>
      <c r="L100" s="630" t="s">
        <v>63</v>
      </c>
      <c r="M100" s="75"/>
    </row>
    <row r="101" spans="2:13" ht="20.100000000000001" customHeight="1">
      <c r="B101" s="73"/>
      <c r="C101" s="629"/>
      <c r="D101" s="213" t="s">
        <v>2</v>
      </c>
      <c r="E101" s="213" t="s">
        <v>4</v>
      </c>
      <c r="F101" s="213" t="s">
        <v>23</v>
      </c>
      <c r="G101" s="213" t="s">
        <v>29</v>
      </c>
      <c r="H101" s="213" t="s">
        <v>30</v>
      </c>
      <c r="I101" s="213" t="s">
        <v>59</v>
      </c>
      <c r="J101" s="216" t="s">
        <v>40</v>
      </c>
      <c r="K101" s="216" t="s">
        <v>43</v>
      </c>
      <c r="L101" s="630"/>
      <c r="M101" s="75"/>
    </row>
    <row r="102" spans="2:13" ht="18" customHeight="1">
      <c r="B102" s="79"/>
      <c r="C102" s="649" t="s">
        <v>163</v>
      </c>
      <c r="D102" s="217" t="s">
        <v>134</v>
      </c>
      <c r="E102" s="208" t="s">
        <v>81</v>
      </c>
      <c r="F102" s="208" t="s">
        <v>81</v>
      </c>
      <c r="G102" s="208" t="s">
        <v>81</v>
      </c>
      <c r="H102" s="208" t="s">
        <v>81</v>
      </c>
      <c r="I102" s="208" t="s">
        <v>81</v>
      </c>
      <c r="J102" s="218" t="s">
        <v>13</v>
      </c>
      <c r="K102" s="218" t="s">
        <v>13</v>
      </c>
      <c r="L102" s="631">
        <f>SUM(E103:K103)</f>
        <v>5000000</v>
      </c>
      <c r="M102" s="80"/>
    </row>
    <row r="103" spans="2:13" ht="18" customHeight="1">
      <c r="B103" s="81"/>
      <c r="C103" s="649"/>
      <c r="D103" s="219" t="s">
        <v>135</v>
      </c>
      <c r="E103" s="220">
        <v>1000000</v>
      </c>
      <c r="F103" s="220">
        <v>1000000</v>
      </c>
      <c r="G103" s="220">
        <v>1000000</v>
      </c>
      <c r="H103" s="220">
        <v>1000000</v>
      </c>
      <c r="I103" s="220">
        <v>1000000</v>
      </c>
      <c r="J103" s="221" t="s">
        <v>13</v>
      </c>
      <c r="K103" s="221" t="s">
        <v>13</v>
      </c>
      <c r="L103" s="631"/>
      <c r="M103" s="82"/>
    </row>
    <row r="104" spans="2:13" ht="18" customHeight="1">
      <c r="B104" s="79"/>
      <c r="C104" s="656" t="s">
        <v>71</v>
      </c>
      <c r="D104" s="217" t="s">
        <v>134</v>
      </c>
      <c r="E104" s="208" t="s">
        <v>13</v>
      </c>
      <c r="F104" s="208" t="s">
        <v>13</v>
      </c>
      <c r="G104" s="208" t="s">
        <v>13</v>
      </c>
      <c r="H104" s="208" t="s">
        <v>13</v>
      </c>
      <c r="I104" s="208" t="s">
        <v>13</v>
      </c>
      <c r="J104" s="218" t="s">
        <v>13</v>
      </c>
      <c r="K104" s="218" t="s">
        <v>13</v>
      </c>
      <c r="L104" s="631">
        <f>SUM(E105:K105)</f>
        <v>0</v>
      </c>
      <c r="M104" s="80"/>
    </row>
    <row r="105" spans="2:13" ht="18" customHeight="1">
      <c r="B105" s="81"/>
      <c r="C105" s="656"/>
      <c r="D105" s="219" t="s">
        <v>135</v>
      </c>
      <c r="E105" s="220" t="s">
        <v>13</v>
      </c>
      <c r="F105" s="220" t="s">
        <v>13</v>
      </c>
      <c r="G105" s="220" t="s">
        <v>13</v>
      </c>
      <c r="H105" s="220" t="s">
        <v>13</v>
      </c>
      <c r="I105" s="220" t="s">
        <v>13</v>
      </c>
      <c r="J105" s="221" t="s">
        <v>13</v>
      </c>
      <c r="K105" s="221" t="s">
        <v>13</v>
      </c>
      <c r="L105" s="631"/>
      <c r="M105" s="82"/>
    </row>
    <row r="106" spans="2:13" ht="9.9499999999999993" customHeight="1">
      <c r="B106" s="73"/>
      <c r="C106" s="653" t="s">
        <v>57</v>
      </c>
      <c r="D106" s="653"/>
      <c r="E106" s="653"/>
      <c r="F106" s="653"/>
      <c r="G106" s="653"/>
      <c r="H106" s="653"/>
      <c r="I106" s="653"/>
      <c r="J106" s="653"/>
      <c r="K106" s="653"/>
      <c r="L106" s="653"/>
      <c r="M106" s="75"/>
    </row>
    <row r="107" spans="2:13" ht="18" customHeight="1">
      <c r="B107" s="73"/>
      <c r="C107" s="654" t="s">
        <v>11</v>
      </c>
      <c r="D107" s="217" t="s">
        <v>134</v>
      </c>
      <c r="E107" s="208" t="s">
        <v>13</v>
      </c>
      <c r="F107" s="208" t="s">
        <v>13</v>
      </c>
      <c r="G107" s="208" t="s">
        <v>13</v>
      </c>
      <c r="H107" s="208" t="s">
        <v>13</v>
      </c>
      <c r="I107" s="208" t="s">
        <v>13</v>
      </c>
      <c r="J107" s="218" t="s">
        <v>13</v>
      </c>
      <c r="K107" s="218" t="s">
        <v>13</v>
      </c>
      <c r="L107" s="631">
        <f>SUM(E108:K108)</f>
        <v>0</v>
      </c>
      <c r="M107" s="75"/>
    </row>
    <row r="108" spans="2:13" ht="18" customHeight="1">
      <c r="B108" s="73"/>
      <c r="C108" s="654"/>
      <c r="D108" s="219" t="s">
        <v>135</v>
      </c>
      <c r="E108" s="220" t="s">
        <v>13</v>
      </c>
      <c r="F108" s="220" t="s">
        <v>13</v>
      </c>
      <c r="G108" s="220" t="s">
        <v>13</v>
      </c>
      <c r="H108" s="220" t="s">
        <v>13</v>
      </c>
      <c r="I108" s="220" t="s">
        <v>13</v>
      </c>
      <c r="J108" s="221" t="s">
        <v>13</v>
      </c>
      <c r="K108" s="221" t="s">
        <v>13</v>
      </c>
      <c r="L108" s="631"/>
      <c r="M108" s="75"/>
    </row>
    <row r="109" spans="2:13" ht="24.95" customHeight="1">
      <c r="B109" s="73"/>
      <c r="D109" s="206"/>
      <c r="E109" s="207"/>
      <c r="F109" s="207"/>
      <c r="G109" s="207"/>
      <c r="H109" s="207"/>
      <c r="I109" s="651" t="s">
        <v>118</v>
      </c>
      <c r="J109" s="651"/>
      <c r="K109" s="652">
        <f>SUM(L102:L108)</f>
        <v>5000000</v>
      </c>
      <c r="L109" s="652"/>
      <c r="M109" s="75"/>
    </row>
    <row r="110" spans="2:13" ht="20.100000000000001" customHeight="1">
      <c r="B110" s="73"/>
      <c r="C110" s="634" t="s">
        <v>162</v>
      </c>
      <c r="D110" s="213" t="s">
        <v>3</v>
      </c>
      <c r="E110" s="214">
        <v>43339</v>
      </c>
      <c r="F110" s="214">
        <v>43340</v>
      </c>
      <c r="G110" s="214">
        <v>43341</v>
      </c>
      <c r="H110" s="214">
        <v>43342</v>
      </c>
      <c r="I110" s="214">
        <v>43343</v>
      </c>
      <c r="J110" s="215">
        <v>43344</v>
      </c>
      <c r="K110" s="215">
        <v>43345</v>
      </c>
      <c r="L110" s="645" t="s">
        <v>62</v>
      </c>
      <c r="M110" s="75"/>
    </row>
    <row r="111" spans="2:13" ht="20.100000000000001" customHeight="1">
      <c r="B111" s="73"/>
      <c r="C111" s="635"/>
      <c r="D111" s="213" t="s">
        <v>2</v>
      </c>
      <c r="E111" s="213" t="s">
        <v>4</v>
      </c>
      <c r="F111" s="213" t="s">
        <v>23</v>
      </c>
      <c r="G111" s="213" t="s">
        <v>29</v>
      </c>
      <c r="H111" s="213" t="s">
        <v>30</v>
      </c>
      <c r="I111" s="213" t="s">
        <v>59</v>
      </c>
      <c r="J111" s="216" t="s">
        <v>40</v>
      </c>
      <c r="K111" s="216" t="s">
        <v>43</v>
      </c>
      <c r="L111" s="646"/>
      <c r="M111" s="75"/>
    </row>
    <row r="112" spans="2:13" ht="18" customHeight="1">
      <c r="B112" s="79"/>
      <c r="C112" s="649" t="s">
        <v>70</v>
      </c>
      <c r="D112" s="217" t="s">
        <v>134</v>
      </c>
      <c r="E112" s="208" t="s">
        <v>81</v>
      </c>
      <c r="F112" s="208" t="s">
        <v>81</v>
      </c>
      <c r="G112" s="208" t="s">
        <v>81</v>
      </c>
      <c r="H112" s="208" t="s">
        <v>81</v>
      </c>
      <c r="I112" s="208" t="s">
        <v>81</v>
      </c>
      <c r="J112" s="218" t="s">
        <v>13</v>
      </c>
      <c r="K112" s="218" t="s">
        <v>13</v>
      </c>
      <c r="L112" s="631">
        <f>SUM(E113:K113)</f>
        <v>5000000</v>
      </c>
      <c r="M112" s="80"/>
    </row>
    <row r="113" spans="2:15" ht="18" customHeight="1">
      <c r="B113" s="81"/>
      <c r="C113" s="649"/>
      <c r="D113" s="219" t="s">
        <v>135</v>
      </c>
      <c r="E113" s="220">
        <v>1000000</v>
      </c>
      <c r="F113" s="220">
        <v>1000000</v>
      </c>
      <c r="G113" s="220">
        <v>1000000</v>
      </c>
      <c r="H113" s="220">
        <v>1000000</v>
      </c>
      <c r="I113" s="220">
        <v>1000000</v>
      </c>
      <c r="J113" s="221" t="s">
        <v>13</v>
      </c>
      <c r="K113" s="221" t="s">
        <v>13</v>
      </c>
      <c r="L113" s="631"/>
      <c r="M113" s="82"/>
    </row>
    <row r="114" spans="2:15" ht="9.9499999999999993" customHeight="1">
      <c r="B114" s="73"/>
      <c r="C114" s="653" t="s">
        <v>57</v>
      </c>
      <c r="D114" s="653"/>
      <c r="E114" s="653"/>
      <c r="F114" s="653"/>
      <c r="G114" s="653"/>
      <c r="H114" s="653"/>
      <c r="I114" s="653"/>
      <c r="J114" s="653"/>
      <c r="K114" s="653"/>
      <c r="L114" s="653"/>
      <c r="M114" s="75"/>
    </row>
    <row r="115" spans="2:15" ht="18" customHeight="1">
      <c r="B115" s="73"/>
      <c r="C115" s="654" t="s">
        <v>11</v>
      </c>
      <c r="D115" s="217" t="s">
        <v>134</v>
      </c>
      <c r="E115" s="208" t="s">
        <v>13</v>
      </c>
      <c r="F115" s="208" t="s">
        <v>13</v>
      </c>
      <c r="G115" s="208" t="s">
        <v>13</v>
      </c>
      <c r="H115" s="208" t="s">
        <v>13</v>
      </c>
      <c r="I115" s="208" t="s">
        <v>13</v>
      </c>
      <c r="J115" s="218" t="s">
        <v>13</v>
      </c>
      <c r="K115" s="218" t="s">
        <v>13</v>
      </c>
      <c r="L115" s="655">
        <f>SUM(E116:K116)</f>
        <v>0</v>
      </c>
      <c r="M115" s="75"/>
    </row>
    <row r="116" spans="2:15" ht="18" customHeight="1">
      <c r="B116" s="81"/>
      <c r="C116" s="654"/>
      <c r="D116" s="219" t="s">
        <v>135</v>
      </c>
      <c r="E116" s="220" t="s">
        <v>13</v>
      </c>
      <c r="F116" s="220" t="s">
        <v>13</v>
      </c>
      <c r="G116" s="220" t="s">
        <v>13</v>
      </c>
      <c r="H116" s="220" t="s">
        <v>13</v>
      </c>
      <c r="I116" s="220" t="s">
        <v>13</v>
      </c>
      <c r="J116" s="221" t="s">
        <v>13</v>
      </c>
      <c r="K116" s="221" t="s">
        <v>13</v>
      </c>
      <c r="L116" s="655"/>
      <c r="M116" s="82"/>
    </row>
    <row r="117" spans="2:15" ht="24.95" customHeight="1" thickBot="1">
      <c r="B117" s="73"/>
      <c r="F117" s="209"/>
      <c r="I117" s="611" t="s">
        <v>117</v>
      </c>
      <c r="J117" s="611"/>
      <c r="K117" s="650">
        <f>SUM(L110:L116)</f>
        <v>5000000</v>
      </c>
      <c r="L117" s="650"/>
      <c r="M117" s="75"/>
    </row>
    <row r="118" spans="2:15" ht="24.95" customHeight="1">
      <c r="B118" s="73"/>
      <c r="C118" s="640" t="s">
        <v>136</v>
      </c>
      <c r="D118" s="640"/>
      <c r="E118" s="2"/>
      <c r="I118" s="611" t="s">
        <v>116</v>
      </c>
      <c r="J118" s="611"/>
      <c r="K118" s="613">
        <f>+K117+K109</f>
        <v>10000000</v>
      </c>
      <c r="L118" s="613"/>
      <c r="M118" s="75"/>
    </row>
    <row r="119" spans="2:15" ht="9.9499999999999993" customHeight="1">
      <c r="B119" s="73"/>
      <c r="C119" s="641"/>
      <c r="D119" s="641"/>
      <c r="E119" s="2"/>
      <c r="F119" s="225"/>
      <c r="G119" s="225"/>
      <c r="M119" s="75"/>
    </row>
    <row r="120" spans="2:15" ht="15" customHeight="1">
      <c r="B120" s="73"/>
      <c r="C120" s="642" t="s">
        <v>132</v>
      </c>
      <c r="D120" s="1" t="s">
        <v>133</v>
      </c>
      <c r="E120" s="2"/>
      <c r="F120" s="225"/>
      <c r="G120" s="225"/>
      <c r="I120" s="234" t="s">
        <v>131</v>
      </c>
      <c r="J120" s="234" t="s">
        <v>130</v>
      </c>
      <c r="K120" s="234" t="s">
        <v>129</v>
      </c>
      <c r="L120" s="234" t="s">
        <v>128</v>
      </c>
      <c r="M120" s="75"/>
    </row>
    <row r="121" spans="2:15" ht="30" customHeight="1">
      <c r="B121" s="73"/>
      <c r="C121" s="643"/>
      <c r="D121" s="114"/>
      <c r="E121" s="2"/>
      <c r="F121" s="225"/>
      <c r="G121" s="225"/>
      <c r="I121" s="235"/>
      <c r="J121" s="234"/>
      <c r="K121" s="234"/>
      <c r="L121" s="234"/>
      <c r="M121" s="75"/>
      <c r="O121" s="263">
        <f>+K118+K87+K56+K25</f>
        <v>37000000</v>
      </c>
    </row>
    <row r="122" spans="2:15" ht="15" customHeight="1">
      <c r="B122" s="73"/>
      <c r="C122" s="644"/>
      <c r="D122" s="114"/>
      <c r="F122" s="226"/>
      <c r="G122" s="226"/>
      <c r="I122" s="236" t="s">
        <v>114</v>
      </c>
      <c r="J122" s="237" t="s">
        <v>113</v>
      </c>
      <c r="K122" s="238" t="s">
        <v>112</v>
      </c>
      <c r="L122" s="234" t="s">
        <v>16</v>
      </c>
      <c r="M122" s="75"/>
    </row>
    <row r="123" spans="2:15" ht="20.100000000000001" customHeight="1" thickBot="1">
      <c r="B123" s="83"/>
      <c r="C123" s="84"/>
      <c r="D123" s="84"/>
      <c r="E123" s="85"/>
      <c r="F123" s="85"/>
      <c r="G123" s="85"/>
      <c r="H123" s="85"/>
      <c r="I123" s="85"/>
      <c r="J123" s="85"/>
      <c r="K123" s="85"/>
      <c r="L123" s="84"/>
      <c r="M123" s="86"/>
    </row>
    <row r="124" spans="2:15" ht="12.75" thickTop="1"/>
    <row r="125" spans="2:15" s="249" customFormat="1" ht="9" customHeight="1" thickBot="1">
      <c r="E125" s="250"/>
      <c r="F125" s="250"/>
      <c r="G125" s="250"/>
      <c r="H125" s="250"/>
      <c r="I125" s="250"/>
      <c r="J125" s="250"/>
      <c r="K125" s="250"/>
      <c r="O125" s="264"/>
    </row>
    <row r="126" spans="2:15" ht="18" customHeight="1" thickTop="1">
      <c r="B126" s="210" t="s">
        <v>138</v>
      </c>
      <c r="C126" s="203"/>
      <c r="D126" s="203"/>
      <c r="E126" s="204"/>
      <c r="F126" s="204"/>
      <c r="G126" s="204"/>
      <c r="H126" s="204"/>
      <c r="I126" s="204"/>
      <c r="J126" s="204"/>
      <c r="K126" s="204"/>
      <c r="L126" s="203"/>
      <c r="M126" s="205"/>
    </row>
    <row r="127" spans="2:15" ht="18" customHeight="1">
      <c r="B127" s="632" t="s">
        <v>119</v>
      </c>
      <c r="C127" s="633"/>
      <c r="D127" s="76" t="s">
        <v>122</v>
      </c>
      <c r="E127" s="2"/>
      <c r="F127" s="2"/>
      <c r="H127" s="224"/>
      <c r="I127" s="224"/>
      <c r="J127" s="227" t="s">
        <v>124</v>
      </c>
      <c r="K127" s="228" t="s">
        <v>175</v>
      </c>
      <c r="L127" s="229"/>
      <c r="M127" s="75"/>
    </row>
    <row r="128" spans="2:15" ht="18" customHeight="1">
      <c r="B128" s="626" t="s">
        <v>120</v>
      </c>
      <c r="C128" s="627"/>
      <c r="D128" s="2" t="s">
        <v>172</v>
      </c>
      <c r="I128" s="211"/>
      <c r="J128" s="230" t="s">
        <v>173</v>
      </c>
      <c r="K128" s="211" t="s">
        <v>175</v>
      </c>
      <c r="L128" s="231"/>
      <c r="M128" s="75"/>
    </row>
    <row r="129" spans="2:13" ht="18" customHeight="1">
      <c r="B129" s="626" t="s">
        <v>121</v>
      </c>
      <c r="C129" s="627"/>
      <c r="D129" s="3" t="s">
        <v>171</v>
      </c>
      <c r="J129" s="232" t="s">
        <v>125</v>
      </c>
      <c r="K129" s="239" t="s">
        <v>175</v>
      </c>
      <c r="L129" s="233"/>
      <c r="M129" s="75"/>
    </row>
    <row r="130" spans="2:13" ht="9.9499999999999993" customHeight="1">
      <c r="B130" s="73"/>
      <c r="M130" s="75"/>
    </row>
    <row r="131" spans="2:13" ht="20.100000000000001" customHeight="1">
      <c r="B131" s="73"/>
      <c r="C131" s="628" t="s">
        <v>157</v>
      </c>
      <c r="D131" s="213" t="s">
        <v>3</v>
      </c>
      <c r="E131" s="214">
        <v>43346</v>
      </c>
      <c r="F131" s="214">
        <v>43347</v>
      </c>
      <c r="G131" s="214">
        <v>43348</v>
      </c>
      <c r="H131" s="214">
        <v>43349</v>
      </c>
      <c r="I131" s="214">
        <v>43350</v>
      </c>
      <c r="J131" s="214">
        <v>43351</v>
      </c>
      <c r="K131" s="215">
        <v>43352</v>
      </c>
      <c r="L131" s="630" t="s">
        <v>63</v>
      </c>
      <c r="M131" s="75"/>
    </row>
    <row r="132" spans="2:13" ht="20.100000000000001" customHeight="1">
      <c r="B132" s="73"/>
      <c r="C132" s="629"/>
      <c r="D132" s="213" t="s">
        <v>2</v>
      </c>
      <c r="E132" s="213" t="s">
        <v>4</v>
      </c>
      <c r="F132" s="213" t="s">
        <v>23</v>
      </c>
      <c r="G132" s="213" t="s">
        <v>29</v>
      </c>
      <c r="H132" s="213" t="s">
        <v>30</v>
      </c>
      <c r="I132" s="213" t="s">
        <v>59</v>
      </c>
      <c r="J132" s="213" t="s">
        <v>40</v>
      </c>
      <c r="K132" s="216" t="s">
        <v>43</v>
      </c>
      <c r="L132" s="630"/>
      <c r="M132" s="75"/>
    </row>
    <row r="133" spans="2:13" ht="18" customHeight="1">
      <c r="B133" s="79"/>
      <c r="C133" s="649" t="s">
        <v>163</v>
      </c>
      <c r="D133" s="217" t="s">
        <v>134</v>
      </c>
      <c r="E133" s="208" t="s">
        <v>81</v>
      </c>
      <c r="F133" s="208" t="s">
        <v>81</v>
      </c>
      <c r="G133" s="208" t="s">
        <v>81</v>
      </c>
      <c r="H133" s="208" t="s">
        <v>81</v>
      </c>
      <c r="I133" s="208" t="s">
        <v>81</v>
      </c>
      <c r="J133" s="208" t="s">
        <v>81</v>
      </c>
      <c r="K133" s="218" t="s">
        <v>13</v>
      </c>
      <c r="L133" s="631">
        <f>SUM(E134:K134)</f>
        <v>6000000</v>
      </c>
      <c r="M133" s="80"/>
    </row>
    <row r="134" spans="2:13" ht="18" customHeight="1">
      <c r="B134" s="81"/>
      <c r="C134" s="649"/>
      <c r="D134" s="219" t="s">
        <v>135</v>
      </c>
      <c r="E134" s="220">
        <v>1000000</v>
      </c>
      <c r="F134" s="220">
        <v>1000000</v>
      </c>
      <c r="G134" s="220">
        <v>1000000</v>
      </c>
      <c r="H134" s="220">
        <v>1000000</v>
      </c>
      <c r="I134" s="220">
        <v>1000000</v>
      </c>
      <c r="J134" s="220">
        <v>1000000</v>
      </c>
      <c r="K134" s="221" t="s">
        <v>13</v>
      </c>
      <c r="L134" s="631"/>
      <c r="M134" s="82"/>
    </row>
    <row r="135" spans="2:13" ht="18" customHeight="1">
      <c r="B135" s="79"/>
      <c r="C135" s="656" t="s">
        <v>71</v>
      </c>
      <c r="D135" s="217" t="s">
        <v>134</v>
      </c>
      <c r="E135" s="222"/>
      <c r="F135" s="222"/>
      <c r="G135" s="222"/>
      <c r="H135" s="222"/>
      <c r="I135" s="222"/>
      <c r="J135" s="208"/>
      <c r="K135" s="218"/>
      <c r="L135" s="631">
        <f>SUM(E136:K136)</f>
        <v>0</v>
      </c>
      <c r="M135" s="80"/>
    </row>
    <row r="136" spans="2:13" ht="18" customHeight="1">
      <c r="B136" s="81"/>
      <c r="C136" s="656"/>
      <c r="D136" s="219" t="s">
        <v>135</v>
      </c>
      <c r="E136" s="223"/>
      <c r="F136" s="223"/>
      <c r="G136" s="223"/>
      <c r="H136" s="223"/>
      <c r="I136" s="223"/>
      <c r="J136" s="220"/>
      <c r="K136" s="221"/>
      <c r="L136" s="631"/>
      <c r="M136" s="82"/>
    </row>
    <row r="137" spans="2:13" ht="9.9499999999999993" customHeight="1">
      <c r="B137" s="73"/>
      <c r="C137" s="653" t="s">
        <v>57</v>
      </c>
      <c r="D137" s="653"/>
      <c r="E137" s="653"/>
      <c r="F137" s="653"/>
      <c r="G137" s="653"/>
      <c r="H137" s="653"/>
      <c r="I137" s="653"/>
      <c r="J137" s="653"/>
      <c r="K137" s="653"/>
      <c r="L137" s="653"/>
      <c r="M137" s="75"/>
    </row>
    <row r="138" spans="2:13" ht="18" customHeight="1">
      <c r="B138" s="73"/>
      <c r="C138" s="654" t="s">
        <v>11</v>
      </c>
      <c r="D138" s="217" t="s">
        <v>134</v>
      </c>
      <c r="E138" s="208" t="s">
        <v>13</v>
      </c>
      <c r="F138" s="208" t="s">
        <v>13</v>
      </c>
      <c r="G138" s="208" t="s">
        <v>13</v>
      </c>
      <c r="H138" s="208" t="s">
        <v>13</v>
      </c>
      <c r="I138" s="208" t="s">
        <v>13</v>
      </c>
      <c r="J138" s="218" t="s">
        <v>13</v>
      </c>
      <c r="K138" s="218" t="s">
        <v>13</v>
      </c>
      <c r="L138" s="631">
        <f>SUM(E139:K139)</f>
        <v>0</v>
      </c>
      <c r="M138" s="75"/>
    </row>
    <row r="139" spans="2:13" ht="18" customHeight="1">
      <c r="B139" s="73"/>
      <c r="C139" s="654"/>
      <c r="D139" s="219" t="s">
        <v>135</v>
      </c>
      <c r="E139" s="220" t="s">
        <v>13</v>
      </c>
      <c r="F139" s="220" t="s">
        <v>13</v>
      </c>
      <c r="G139" s="220" t="s">
        <v>13</v>
      </c>
      <c r="H139" s="220" t="s">
        <v>13</v>
      </c>
      <c r="I139" s="220" t="s">
        <v>13</v>
      </c>
      <c r="J139" s="221" t="s">
        <v>13</v>
      </c>
      <c r="K139" s="221" t="s">
        <v>13</v>
      </c>
      <c r="L139" s="631"/>
      <c r="M139" s="75"/>
    </row>
    <row r="140" spans="2:13" ht="24.95" customHeight="1">
      <c r="B140" s="73"/>
      <c r="D140" s="206"/>
      <c r="E140" s="207"/>
      <c r="F140" s="207"/>
      <c r="G140" s="207"/>
      <c r="H140" s="207"/>
      <c r="I140" s="651" t="s">
        <v>118</v>
      </c>
      <c r="J140" s="651"/>
      <c r="K140" s="652">
        <f>SUM(L133:L139)</f>
        <v>6000000</v>
      </c>
      <c r="L140" s="652"/>
      <c r="M140" s="75"/>
    </row>
    <row r="141" spans="2:13" ht="20.100000000000001" customHeight="1">
      <c r="B141" s="73"/>
      <c r="C141" s="634" t="s">
        <v>158</v>
      </c>
      <c r="D141" s="213" t="s">
        <v>3</v>
      </c>
      <c r="E141" s="214">
        <v>43346</v>
      </c>
      <c r="F141" s="214">
        <v>43347</v>
      </c>
      <c r="G141" s="214">
        <v>43348</v>
      </c>
      <c r="H141" s="214">
        <v>43349</v>
      </c>
      <c r="I141" s="214">
        <v>43350</v>
      </c>
      <c r="J141" s="215">
        <v>43351</v>
      </c>
      <c r="K141" s="215">
        <v>43352</v>
      </c>
      <c r="L141" s="645" t="s">
        <v>62</v>
      </c>
      <c r="M141" s="75"/>
    </row>
    <row r="142" spans="2:13" ht="20.100000000000001" customHeight="1">
      <c r="B142" s="73"/>
      <c r="C142" s="635"/>
      <c r="D142" s="213" t="s">
        <v>2</v>
      </c>
      <c r="E142" s="213" t="s">
        <v>4</v>
      </c>
      <c r="F142" s="213" t="s">
        <v>23</v>
      </c>
      <c r="G142" s="213" t="s">
        <v>29</v>
      </c>
      <c r="H142" s="213" t="s">
        <v>30</v>
      </c>
      <c r="I142" s="213" t="s">
        <v>59</v>
      </c>
      <c r="J142" s="216" t="s">
        <v>40</v>
      </c>
      <c r="K142" s="216" t="s">
        <v>43</v>
      </c>
      <c r="L142" s="646"/>
      <c r="M142" s="75"/>
    </row>
    <row r="143" spans="2:13" ht="18" customHeight="1">
      <c r="B143" s="79"/>
      <c r="C143" s="649" t="s">
        <v>70</v>
      </c>
      <c r="D143" s="217" t="s">
        <v>134</v>
      </c>
      <c r="E143" s="208" t="s">
        <v>81</v>
      </c>
      <c r="F143" s="208" t="s">
        <v>81</v>
      </c>
      <c r="G143" s="208" t="s">
        <v>81</v>
      </c>
      <c r="H143" s="208" t="s">
        <v>81</v>
      </c>
      <c r="I143" s="208" t="s">
        <v>81</v>
      </c>
      <c r="J143" s="218" t="s">
        <v>13</v>
      </c>
      <c r="K143" s="218" t="s">
        <v>13</v>
      </c>
      <c r="L143" s="631">
        <f>SUM(E144:K144)</f>
        <v>5000000</v>
      </c>
      <c r="M143" s="80"/>
    </row>
    <row r="144" spans="2:13" ht="18" customHeight="1">
      <c r="B144" s="81"/>
      <c r="C144" s="649"/>
      <c r="D144" s="219" t="s">
        <v>135</v>
      </c>
      <c r="E144" s="220">
        <v>1000000</v>
      </c>
      <c r="F144" s="220">
        <v>1000000</v>
      </c>
      <c r="G144" s="220">
        <v>1000000</v>
      </c>
      <c r="H144" s="220">
        <v>1000000</v>
      </c>
      <c r="I144" s="220">
        <v>1000000</v>
      </c>
      <c r="J144" s="221" t="s">
        <v>13</v>
      </c>
      <c r="K144" s="221" t="s">
        <v>13</v>
      </c>
      <c r="L144" s="631"/>
      <c r="M144" s="82"/>
    </row>
    <row r="145" spans="2:15" ht="9.9499999999999993" customHeight="1">
      <c r="B145" s="73"/>
      <c r="C145" s="653" t="s">
        <v>57</v>
      </c>
      <c r="D145" s="653"/>
      <c r="E145" s="653"/>
      <c r="F145" s="653"/>
      <c r="G145" s="653"/>
      <c r="H145" s="653"/>
      <c r="I145" s="653"/>
      <c r="J145" s="653"/>
      <c r="K145" s="653"/>
      <c r="L145" s="653"/>
      <c r="M145" s="75"/>
    </row>
    <row r="146" spans="2:15" ht="18" customHeight="1">
      <c r="B146" s="73"/>
      <c r="C146" s="654" t="s">
        <v>11</v>
      </c>
      <c r="D146" s="217" t="s">
        <v>134</v>
      </c>
      <c r="E146" s="208" t="s">
        <v>13</v>
      </c>
      <c r="F146" s="208" t="s">
        <v>13</v>
      </c>
      <c r="G146" s="208" t="s">
        <v>13</v>
      </c>
      <c r="H146" s="208" t="s">
        <v>13</v>
      </c>
      <c r="I146" s="208" t="s">
        <v>13</v>
      </c>
      <c r="J146" s="218" t="s">
        <v>13</v>
      </c>
      <c r="K146" s="218" t="s">
        <v>13</v>
      </c>
      <c r="L146" s="655">
        <f>SUM(E147:K147)</f>
        <v>0</v>
      </c>
      <c r="M146" s="75"/>
    </row>
    <row r="147" spans="2:15" ht="18" customHeight="1">
      <c r="B147" s="81"/>
      <c r="C147" s="654"/>
      <c r="D147" s="219" t="s">
        <v>135</v>
      </c>
      <c r="E147" s="220" t="s">
        <v>13</v>
      </c>
      <c r="F147" s="220" t="s">
        <v>13</v>
      </c>
      <c r="G147" s="220" t="s">
        <v>13</v>
      </c>
      <c r="H147" s="220" t="s">
        <v>13</v>
      </c>
      <c r="I147" s="220" t="s">
        <v>13</v>
      </c>
      <c r="J147" s="221" t="s">
        <v>13</v>
      </c>
      <c r="K147" s="221" t="s">
        <v>13</v>
      </c>
      <c r="L147" s="655"/>
      <c r="M147" s="82"/>
    </row>
    <row r="148" spans="2:15" ht="24.95" customHeight="1" thickBot="1">
      <c r="B148" s="73"/>
      <c r="F148" s="209"/>
      <c r="I148" s="611" t="s">
        <v>117</v>
      </c>
      <c r="J148" s="611"/>
      <c r="K148" s="650">
        <f>SUM(L141:L147)</f>
        <v>5000000</v>
      </c>
      <c r="L148" s="650"/>
      <c r="M148" s="75"/>
    </row>
    <row r="149" spans="2:15" ht="24.95" customHeight="1">
      <c r="B149" s="73"/>
      <c r="C149" s="640" t="s">
        <v>136</v>
      </c>
      <c r="D149" s="640"/>
      <c r="E149" s="2"/>
      <c r="I149" s="611" t="s">
        <v>116</v>
      </c>
      <c r="J149" s="611"/>
      <c r="K149" s="613">
        <f>+K148+K140</f>
        <v>11000000</v>
      </c>
      <c r="L149" s="613"/>
      <c r="M149" s="75"/>
    </row>
    <row r="150" spans="2:15" ht="9.9499999999999993" customHeight="1">
      <c r="B150" s="73"/>
      <c r="C150" s="641"/>
      <c r="D150" s="641"/>
      <c r="E150" s="2"/>
      <c r="F150" s="225"/>
      <c r="G150" s="225"/>
      <c r="M150" s="75"/>
    </row>
    <row r="151" spans="2:15" ht="15" customHeight="1">
      <c r="B151" s="73"/>
      <c r="C151" s="642" t="s">
        <v>132</v>
      </c>
      <c r="D151" s="1" t="s">
        <v>133</v>
      </c>
      <c r="E151" s="2"/>
      <c r="F151" s="225"/>
      <c r="G151" s="225"/>
      <c r="I151" s="234" t="s">
        <v>131</v>
      </c>
      <c r="J151" s="234" t="s">
        <v>130</v>
      </c>
      <c r="K151" s="234" t="s">
        <v>129</v>
      </c>
      <c r="L151" s="234" t="s">
        <v>128</v>
      </c>
      <c r="M151" s="75"/>
    </row>
    <row r="152" spans="2:15" ht="30" customHeight="1">
      <c r="B152" s="73"/>
      <c r="C152" s="643"/>
      <c r="D152" s="114"/>
      <c r="E152" s="2"/>
      <c r="F152" s="225"/>
      <c r="G152" s="225"/>
      <c r="I152" s="235"/>
      <c r="J152" s="234"/>
      <c r="K152" s="234"/>
      <c r="L152" s="234"/>
      <c r="M152" s="75"/>
    </row>
    <row r="153" spans="2:15" ht="15" customHeight="1">
      <c r="B153" s="73"/>
      <c r="C153" s="644"/>
      <c r="D153" s="114"/>
      <c r="F153" s="226"/>
      <c r="G153" s="226"/>
      <c r="I153" s="236" t="s">
        <v>114</v>
      </c>
      <c r="J153" s="237" t="s">
        <v>113</v>
      </c>
      <c r="K153" s="238" t="s">
        <v>112</v>
      </c>
      <c r="L153" s="234" t="s">
        <v>16</v>
      </c>
      <c r="M153" s="75"/>
    </row>
    <row r="154" spans="2:15" ht="20.100000000000001" customHeight="1" thickBot="1">
      <c r="B154" s="83"/>
      <c r="C154" s="84"/>
      <c r="D154" s="84"/>
      <c r="E154" s="85"/>
      <c r="F154" s="85"/>
      <c r="G154" s="85"/>
      <c r="H154" s="85"/>
      <c r="I154" s="85"/>
      <c r="J154" s="85"/>
      <c r="K154" s="85"/>
      <c r="L154" s="84"/>
      <c r="M154" s="86"/>
    </row>
    <row r="155" spans="2:15" ht="12.75" thickTop="1"/>
    <row r="156" spans="2:15" s="249" customFormat="1" ht="9" customHeight="1" thickBot="1">
      <c r="E156" s="250"/>
      <c r="F156" s="250"/>
      <c r="G156" s="250"/>
      <c r="H156" s="250"/>
      <c r="I156" s="250"/>
      <c r="J156" s="250"/>
      <c r="K156" s="250"/>
      <c r="O156" s="264"/>
    </row>
    <row r="157" spans="2:15" ht="18" customHeight="1" thickTop="1">
      <c r="B157" s="210" t="s">
        <v>138</v>
      </c>
      <c r="C157" s="203"/>
      <c r="D157" s="203"/>
      <c r="E157" s="204"/>
      <c r="F157" s="204"/>
      <c r="G157" s="204"/>
      <c r="H157" s="204"/>
      <c r="I157" s="204"/>
      <c r="J157" s="204"/>
      <c r="K157" s="204"/>
      <c r="L157" s="203"/>
      <c r="M157" s="205"/>
    </row>
    <row r="158" spans="2:15" ht="18" customHeight="1">
      <c r="B158" s="632" t="s">
        <v>119</v>
      </c>
      <c r="C158" s="633"/>
      <c r="D158" s="76" t="s">
        <v>122</v>
      </c>
      <c r="E158" s="2"/>
      <c r="F158" s="2"/>
      <c r="H158" s="224"/>
      <c r="I158" s="224"/>
      <c r="J158" s="227" t="s">
        <v>124</v>
      </c>
      <c r="K158" s="228" t="s">
        <v>175</v>
      </c>
      <c r="L158" s="229"/>
      <c r="M158" s="75"/>
    </row>
    <row r="159" spans="2:15" ht="18" customHeight="1">
      <c r="B159" s="626" t="s">
        <v>120</v>
      </c>
      <c r="C159" s="627"/>
      <c r="D159" s="2" t="s">
        <v>176</v>
      </c>
      <c r="I159" s="211"/>
      <c r="J159" s="230" t="s">
        <v>173</v>
      </c>
      <c r="K159" s="211" t="s">
        <v>175</v>
      </c>
      <c r="L159" s="231"/>
      <c r="M159" s="75"/>
    </row>
    <row r="160" spans="2:15" ht="18" customHeight="1">
      <c r="B160" s="626" t="s">
        <v>121</v>
      </c>
      <c r="C160" s="627"/>
      <c r="D160" s="3" t="s">
        <v>174</v>
      </c>
      <c r="J160" s="232" t="s">
        <v>125</v>
      </c>
      <c r="K160" s="239" t="s">
        <v>175</v>
      </c>
      <c r="L160" s="233"/>
      <c r="M160" s="75"/>
    </row>
    <row r="161" spans="2:13" ht="9.9499999999999993" customHeight="1">
      <c r="B161" s="73"/>
      <c r="M161" s="75"/>
    </row>
    <row r="162" spans="2:13" ht="20.100000000000001" customHeight="1">
      <c r="B162" s="73"/>
      <c r="C162" s="628" t="s">
        <v>165</v>
      </c>
      <c r="D162" s="213" t="s">
        <v>3</v>
      </c>
      <c r="E162" s="214">
        <v>43353</v>
      </c>
      <c r="F162" s="215">
        <v>43354</v>
      </c>
      <c r="G162" s="214">
        <v>43355</v>
      </c>
      <c r="H162" s="214">
        <v>43356</v>
      </c>
      <c r="I162" s="214">
        <v>43357</v>
      </c>
      <c r="J162" s="215">
        <v>43358</v>
      </c>
      <c r="K162" s="215">
        <v>43359</v>
      </c>
      <c r="L162" s="630" t="s">
        <v>63</v>
      </c>
      <c r="M162" s="75"/>
    </row>
    <row r="163" spans="2:13" ht="20.100000000000001" customHeight="1">
      <c r="B163" s="73"/>
      <c r="C163" s="629"/>
      <c r="D163" s="213" t="s">
        <v>2</v>
      </c>
      <c r="E163" s="213" t="s">
        <v>4</v>
      </c>
      <c r="F163" s="216" t="s">
        <v>23</v>
      </c>
      <c r="G163" s="213" t="s">
        <v>29</v>
      </c>
      <c r="H163" s="213" t="s">
        <v>30</v>
      </c>
      <c r="I163" s="213" t="s">
        <v>59</v>
      </c>
      <c r="J163" s="216" t="s">
        <v>40</v>
      </c>
      <c r="K163" s="216" t="s">
        <v>43</v>
      </c>
      <c r="L163" s="630"/>
      <c r="M163" s="75"/>
    </row>
    <row r="164" spans="2:13" ht="18" customHeight="1">
      <c r="B164" s="79"/>
      <c r="C164" s="649" t="s">
        <v>163</v>
      </c>
      <c r="D164" s="217" t="s">
        <v>134</v>
      </c>
      <c r="E164" s="208" t="s">
        <v>81</v>
      </c>
      <c r="F164" s="218" t="s">
        <v>13</v>
      </c>
      <c r="G164" s="208" t="s">
        <v>81</v>
      </c>
      <c r="H164" s="208" t="s">
        <v>81</v>
      </c>
      <c r="I164" s="208" t="s">
        <v>81</v>
      </c>
      <c r="J164" s="218" t="s">
        <v>13</v>
      </c>
      <c r="K164" s="218" t="s">
        <v>13</v>
      </c>
      <c r="L164" s="631">
        <f>SUM(E165:K165)</f>
        <v>4000000</v>
      </c>
      <c r="M164" s="80"/>
    </row>
    <row r="165" spans="2:13" ht="18" customHeight="1">
      <c r="B165" s="81"/>
      <c r="C165" s="649"/>
      <c r="D165" s="219" t="s">
        <v>135</v>
      </c>
      <c r="E165" s="220">
        <v>1000000</v>
      </c>
      <c r="F165" s="221" t="s">
        <v>13</v>
      </c>
      <c r="G165" s="220">
        <v>1000000</v>
      </c>
      <c r="H165" s="220">
        <v>1000000</v>
      </c>
      <c r="I165" s="220">
        <v>1000000</v>
      </c>
      <c r="J165" s="221" t="s">
        <v>13</v>
      </c>
      <c r="K165" s="221" t="s">
        <v>13</v>
      </c>
      <c r="L165" s="631"/>
      <c r="M165" s="82"/>
    </row>
    <row r="166" spans="2:13" ht="18" customHeight="1">
      <c r="B166" s="79"/>
      <c r="C166" s="656" t="s">
        <v>71</v>
      </c>
      <c r="D166" s="217" t="s">
        <v>134</v>
      </c>
      <c r="E166" s="222"/>
      <c r="F166" s="222"/>
      <c r="G166" s="222"/>
      <c r="H166" s="222"/>
      <c r="I166" s="222"/>
      <c r="J166" s="218" t="s">
        <v>13</v>
      </c>
      <c r="K166" s="218" t="s">
        <v>13</v>
      </c>
      <c r="L166" s="631">
        <f>SUM(E167:K167)</f>
        <v>0</v>
      </c>
      <c r="M166" s="80"/>
    </row>
    <row r="167" spans="2:13" ht="18" customHeight="1">
      <c r="B167" s="81"/>
      <c r="C167" s="656"/>
      <c r="D167" s="219" t="s">
        <v>135</v>
      </c>
      <c r="E167" s="223"/>
      <c r="F167" s="223"/>
      <c r="G167" s="223"/>
      <c r="H167" s="223"/>
      <c r="I167" s="223"/>
      <c r="J167" s="221" t="s">
        <v>13</v>
      </c>
      <c r="K167" s="221" t="s">
        <v>13</v>
      </c>
      <c r="L167" s="631"/>
      <c r="M167" s="82"/>
    </row>
    <row r="168" spans="2:13" ht="9.9499999999999993" customHeight="1">
      <c r="B168" s="73"/>
      <c r="C168" s="653" t="s">
        <v>57</v>
      </c>
      <c r="D168" s="653"/>
      <c r="E168" s="653"/>
      <c r="F168" s="653"/>
      <c r="G168" s="653"/>
      <c r="H168" s="653"/>
      <c r="I168" s="653"/>
      <c r="J168" s="653"/>
      <c r="K168" s="653"/>
      <c r="L168" s="653"/>
      <c r="M168" s="75"/>
    </row>
    <row r="169" spans="2:13" ht="18" customHeight="1">
      <c r="B169" s="73"/>
      <c r="C169" s="654" t="s">
        <v>11</v>
      </c>
      <c r="D169" s="217" t="s">
        <v>134</v>
      </c>
      <c r="E169" s="208" t="s">
        <v>13</v>
      </c>
      <c r="F169" s="208" t="s">
        <v>13</v>
      </c>
      <c r="G169" s="208" t="s">
        <v>13</v>
      </c>
      <c r="H169" s="208" t="s">
        <v>13</v>
      </c>
      <c r="I169" s="208" t="s">
        <v>13</v>
      </c>
      <c r="J169" s="218" t="s">
        <v>13</v>
      </c>
      <c r="K169" s="218" t="s">
        <v>13</v>
      </c>
      <c r="L169" s="631">
        <f>SUM(E170:K170)</f>
        <v>0</v>
      </c>
      <c r="M169" s="75"/>
    </row>
    <row r="170" spans="2:13" ht="18" customHeight="1">
      <c r="B170" s="73"/>
      <c r="C170" s="654"/>
      <c r="D170" s="219" t="s">
        <v>135</v>
      </c>
      <c r="E170" s="220" t="s">
        <v>13</v>
      </c>
      <c r="F170" s="220" t="s">
        <v>13</v>
      </c>
      <c r="G170" s="220" t="s">
        <v>13</v>
      </c>
      <c r="H170" s="220" t="s">
        <v>13</v>
      </c>
      <c r="I170" s="220" t="s">
        <v>13</v>
      </c>
      <c r="J170" s="221" t="s">
        <v>13</v>
      </c>
      <c r="K170" s="221" t="s">
        <v>13</v>
      </c>
      <c r="L170" s="631"/>
      <c r="M170" s="75"/>
    </row>
    <row r="171" spans="2:13" ht="24.95" customHeight="1">
      <c r="B171" s="73"/>
      <c r="D171" s="206"/>
      <c r="E171" s="207"/>
      <c r="F171" s="207"/>
      <c r="G171" s="207"/>
      <c r="H171" s="207"/>
      <c r="I171" s="651" t="s">
        <v>118</v>
      </c>
      <c r="J171" s="651"/>
      <c r="K171" s="652">
        <f>SUM(L164:L170)</f>
        <v>4000000</v>
      </c>
      <c r="L171" s="652"/>
      <c r="M171" s="75"/>
    </row>
    <row r="172" spans="2:13" ht="20.100000000000001" customHeight="1">
      <c r="B172" s="73"/>
      <c r="C172" s="634" t="s">
        <v>162</v>
      </c>
      <c r="D172" s="213" t="s">
        <v>3</v>
      </c>
      <c r="E172" s="215">
        <v>43353</v>
      </c>
      <c r="F172" s="215">
        <v>43354</v>
      </c>
      <c r="G172" s="214">
        <v>43355</v>
      </c>
      <c r="H172" s="214">
        <v>43356</v>
      </c>
      <c r="I172" s="214">
        <v>43357</v>
      </c>
      <c r="J172" s="215">
        <v>43358</v>
      </c>
      <c r="K172" s="215">
        <v>43359</v>
      </c>
      <c r="L172" s="645" t="s">
        <v>62</v>
      </c>
      <c r="M172" s="75"/>
    </row>
    <row r="173" spans="2:13" ht="20.100000000000001" customHeight="1">
      <c r="B173" s="73"/>
      <c r="C173" s="635"/>
      <c r="D173" s="213" t="s">
        <v>2</v>
      </c>
      <c r="E173" s="216" t="s">
        <v>4</v>
      </c>
      <c r="F173" s="216" t="s">
        <v>23</v>
      </c>
      <c r="G173" s="213" t="s">
        <v>29</v>
      </c>
      <c r="H173" s="213" t="s">
        <v>30</v>
      </c>
      <c r="I173" s="213" t="s">
        <v>59</v>
      </c>
      <c r="J173" s="216" t="s">
        <v>40</v>
      </c>
      <c r="K173" s="216" t="s">
        <v>43</v>
      </c>
      <c r="L173" s="646"/>
      <c r="M173" s="75"/>
    </row>
    <row r="174" spans="2:13" ht="18" customHeight="1">
      <c r="B174" s="79"/>
      <c r="C174" s="649" t="s">
        <v>70</v>
      </c>
      <c r="D174" s="217" t="s">
        <v>134</v>
      </c>
      <c r="E174" s="218" t="s">
        <v>13</v>
      </c>
      <c r="F174" s="208" t="s">
        <v>13</v>
      </c>
      <c r="G174" s="208" t="s">
        <v>81</v>
      </c>
      <c r="H174" s="208" t="s">
        <v>81</v>
      </c>
      <c r="I174" s="208" t="s">
        <v>81</v>
      </c>
      <c r="J174" s="218" t="s">
        <v>13</v>
      </c>
      <c r="K174" s="218" t="s">
        <v>13</v>
      </c>
      <c r="L174" s="631">
        <f>SUM(E175:K175)</f>
        <v>3000000</v>
      </c>
      <c r="M174" s="80"/>
    </row>
    <row r="175" spans="2:13" ht="18" customHeight="1">
      <c r="B175" s="81"/>
      <c r="C175" s="649"/>
      <c r="D175" s="219" t="s">
        <v>135</v>
      </c>
      <c r="E175" s="221" t="s">
        <v>13</v>
      </c>
      <c r="F175" s="220" t="s">
        <v>13</v>
      </c>
      <c r="G175" s="220">
        <v>1000000</v>
      </c>
      <c r="H175" s="220">
        <v>1000000</v>
      </c>
      <c r="I175" s="220">
        <v>1000000</v>
      </c>
      <c r="J175" s="221" t="s">
        <v>13</v>
      </c>
      <c r="K175" s="221" t="s">
        <v>13</v>
      </c>
      <c r="L175" s="631"/>
      <c r="M175" s="82"/>
    </row>
    <row r="176" spans="2:13" ht="9.9499999999999993" customHeight="1">
      <c r="B176" s="73"/>
      <c r="C176" s="653" t="s">
        <v>57</v>
      </c>
      <c r="D176" s="653"/>
      <c r="E176" s="653"/>
      <c r="F176" s="653"/>
      <c r="G176" s="653"/>
      <c r="H176" s="653"/>
      <c r="I176" s="653"/>
      <c r="J176" s="653"/>
      <c r="K176" s="653"/>
      <c r="L176" s="653"/>
      <c r="M176" s="75"/>
    </row>
    <row r="177" spans="2:15" ht="18" customHeight="1">
      <c r="B177" s="73"/>
      <c r="C177" s="654" t="s">
        <v>11</v>
      </c>
      <c r="D177" s="217" t="s">
        <v>134</v>
      </c>
      <c r="E177" s="208" t="s">
        <v>13</v>
      </c>
      <c r="F177" s="208" t="s">
        <v>13</v>
      </c>
      <c r="G177" s="208" t="s">
        <v>13</v>
      </c>
      <c r="H177" s="208" t="s">
        <v>13</v>
      </c>
      <c r="I177" s="208" t="s">
        <v>13</v>
      </c>
      <c r="J177" s="218" t="s">
        <v>13</v>
      </c>
      <c r="K177" s="218" t="s">
        <v>13</v>
      </c>
      <c r="L177" s="655">
        <f>SUM(E178:K178)</f>
        <v>0</v>
      </c>
      <c r="M177" s="75"/>
    </row>
    <row r="178" spans="2:15" ht="18" customHeight="1">
      <c r="B178" s="81"/>
      <c r="C178" s="654"/>
      <c r="D178" s="219" t="s">
        <v>135</v>
      </c>
      <c r="E178" s="220" t="s">
        <v>13</v>
      </c>
      <c r="F178" s="220" t="s">
        <v>13</v>
      </c>
      <c r="G178" s="220" t="s">
        <v>13</v>
      </c>
      <c r="H178" s="220" t="s">
        <v>13</v>
      </c>
      <c r="I178" s="220" t="s">
        <v>13</v>
      </c>
      <c r="J178" s="221" t="s">
        <v>13</v>
      </c>
      <c r="K178" s="221" t="s">
        <v>13</v>
      </c>
      <c r="L178" s="655"/>
      <c r="M178" s="82"/>
    </row>
    <row r="179" spans="2:15" ht="24.95" customHeight="1" thickBot="1">
      <c r="B179" s="73"/>
      <c r="F179" s="209"/>
      <c r="I179" s="611" t="s">
        <v>117</v>
      </c>
      <c r="J179" s="611"/>
      <c r="K179" s="650">
        <f>SUM(L172:L178)</f>
        <v>3000000</v>
      </c>
      <c r="L179" s="650"/>
      <c r="M179" s="75"/>
    </row>
    <row r="180" spans="2:15" ht="24.95" customHeight="1">
      <c r="B180" s="73"/>
      <c r="C180" s="640" t="s">
        <v>136</v>
      </c>
      <c r="D180" s="640"/>
      <c r="E180" s="2"/>
      <c r="I180" s="611" t="s">
        <v>116</v>
      </c>
      <c r="J180" s="611"/>
      <c r="K180" s="613">
        <f>+K179+K171</f>
        <v>7000000</v>
      </c>
      <c r="L180" s="613"/>
      <c r="M180" s="75"/>
    </row>
    <row r="181" spans="2:15" ht="9.9499999999999993" customHeight="1">
      <c r="B181" s="73"/>
      <c r="C181" s="641"/>
      <c r="D181" s="641"/>
      <c r="E181" s="2"/>
      <c r="F181" s="225"/>
      <c r="G181" s="225"/>
      <c r="M181" s="75"/>
    </row>
    <row r="182" spans="2:15" ht="15" customHeight="1">
      <c r="B182" s="73"/>
      <c r="C182" s="642" t="s">
        <v>132</v>
      </c>
      <c r="D182" s="1" t="s">
        <v>133</v>
      </c>
      <c r="E182" s="2"/>
      <c r="F182" s="225"/>
      <c r="G182" s="225"/>
      <c r="I182" s="234" t="s">
        <v>131</v>
      </c>
      <c r="J182" s="234" t="s">
        <v>130</v>
      </c>
      <c r="K182" s="234" t="s">
        <v>129</v>
      </c>
      <c r="L182" s="234" t="s">
        <v>128</v>
      </c>
      <c r="M182" s="75"/>
    </row>
    <row r="183" spans="2:15" ht="30" customHeight="1">
      <c r="B183" s="73"/>
      <c r="C183" s="643"/>
      <c r="D183" s="114"/>
      <c r="E183" s="2"/>
      <c r="F183" s="225"/>
      <c r="G183" s="225"/>
      <c r="I183" s="235"/>
      <c r="J183" s="234"/>
      <c r="K183" s="234"/>
      <c r="L183" s="234"/>
      <c r="M183" s="75"/>
    </row>
    <row r="184" spans="2:15" ht="15" customHeight="1">
      <c r="B184" s="73"/>
      <c r="C184" s="644"/>
      <c r="D184" s="114"/>
      <c r="F184" s="226"/>
      <c r="G184" s="226"/>
      <c r="I184" s="236" t="s">
        <v>114</v>
      </c>
      <c r="J184" s="237" t="s">
        <v>113</v>
      </c>
      <c r="K184" s="238" t="s">
        <v>112</v>
      </c>
      <c r="L184" s="234" t="s">
        <v>16</v>
      </c>
      <c r="M184" s="75"/>
    </row>
    <row r="185" spans="2:15" ht="20.100000000000001" customHeight="1" thickBot="1">
      <c r="B185" s="83"/>
      <c r="C185" s="84"/>
      <c r="D185" s="84"/>
      <c r="E185" s="85"/>
      <c r="F185" s="85"/>
      <c r="G185" s="85"/>
      <c r="H185" s="85"/>
      <c r="I185" s="85"/>
      <c r="J185" s="85"/>
      <c r="K185" s="85"/>
      <c r="L185" s="84"/>
      <c r="M185" s="86"/>
    </row>
    <row r="186" spans="2:15" ht="12.75" thickTop="1"/>
    <row r="187" spans="2:15" s="249" customFormat="1" ht="9" customHeight="1" thickBot="1">
      <c r="E187" s="250"/>
      <c r="F187" s="250"/>
      <c r="G187" s="250"/>
      <c r="H187" s="250"/>
      <c r="I187" s="250"/>
      <c r="J187" s="250"/>
      <c r="K187" s="250"/>
      <c r="O187" s="264"/>
    </row>
    <row r="188" spans="2:15" ht="18" customHeight="1" thickTop="1">
      <c r="B188" s="210" t="s">
        <v>138</v>
      </c>
      <c r="C188" s="203"/>
      <c r="D188" s="203"/>
      <c r="E188" s="204"/>
      <c r="F188" s="204"/>
      <c r="G188" s="204"/>
      <c r="H188" s="204"/>
      <c r="I188" s="204"/>
      <c r="J188" s="204"/>
      <c r="K188" s="204"/>
      <c r="L188" s="203"/>
      <c r="M188" s="205"/>
    </row>
    <row r="189" spans="2:15" ht="18" customHeight="1">
      <c r="B189" s="632" t="s">
        <v>119</v>
      </c>
      <c r="C189" s="633"/>
      <c r="D189" s="76" t="s">
        <v>122</v>
      </c>
      <c r="E189" s="2"/>
      <c r="F189" s="2"/>
      <c r="H189" s="224"/>
      <c r="I189" s="224"/>
      <c r="J189" s="227" t="s">
        <v>124</v>
      </c>
      <c r="K189" s="228" t="s">
        <v>175</v>
      </c>
      <c r="L189" s="229"/>
      <c r="M189" s="75"/>
    </row>
    <row r="190" spans="2:15" ht="18" customHeight="1">
      <c r="B190" s="626" t="s">
        <v>120</v>
      </c>
      <c r="C190" s="627"/>
      <c r="D190" s="2" t="s">
        <v>177</v>
      </c>
      <c r="I190" s="211"/>
      <c r="J190" s="230" t="s">
        <v>173</v>
      </c>
      <c r="K190" s="211" t="s">
        <v>175</v>
      </c>
      <c r="L190" s="231"/>
      <c r="M190" s="75"/>
    </row>
    <row r="191" spans="2:15" ht="18" customHeight="1">
      <c r="B191" s="626" t="s">
        <v>121</v>
      </c>
      <c r="C191" s="627"/>
      <c r="D191" s="3" t="s">
        <v>178</v>
      </c>
      <c r="J191" s="232" t="s">
        <v>125</v>
      </c>
      <c r="K191" s="239" t="s">
        <v>175</v>
      </c>
      <c r="L191" s="233"/>
      <c r="M191" s="75"/>
    </row>
    <row r="192" spans="2:15" ht="9.9499999999999993" customHeight="1">
      <c r="B192" s="73"/>
      <c r="M192" s="75"/>
    </row>
    <row r="193" spans="2:13" ht="20.100000000000001" customHeight="1">
      <c r="B193" s="73"/>
      <c r="C193" s="628" t="s">
        <v>157</v>
      </c>
      <c r="D193" s="213" t="s">
        <v>3</v>
      </c>
      <c r="E193" s="214">
        <v>43360</v>
      </c>
      <c r="F193" s="214">
        <v>43361</v>
      </c>
      <c r="G193" s="214">
        <v>43362</v>
      </c>
      <c r="H193" s="214">
        <v>43363</v>
      </c>
      <c r="I193" s="214">
        <v>43364</v>
      </c>
      <c r="J193" s="215">
        <v>43365</v>
      </c>
      <c r="K193" s="215">
        <v>43366</v>
      </c>
      <c r="L193" s="630" t="s">
        <v>63</v>
      </c>
      <c r="M193" s="75"/>
    </row>
    <row r="194" spans="2:13" ht="20.100000000000001" customHeight="1">
      <c r="B194" s="73"/>
      <c r="C194" s="629"/>
      <c r="D194" s="213" t="s">
        <v>2</v>
      </c>
      <c r="E194" s="213" t="s">
        <v>4</v>
      </c>
      <c r="F194" s="213" t="s">
        <v>23</v>
      </c>
      <c r="G194" s="213" t="s">
        <v>29</v>
      </c>
      <c r="H194" s="213" t="s">
        <v>30</v>
      </c>
      <c r="I194" s="213" t="s">
        <v>59</v>
      </c>
      <c r="J194" s="216" t="s">
        <v>40</v>
      </c>
      <c r="K194" s="216" t="s">
        <v>43</v>
      </c>
      <c r="L194" s="630"/>
      <c r="M194" s="75"/>
    </row>
    <row r="195" spans="2:13" ht="18" customHeight="1">
      <c r="B195" s="79"/>
      <c r="C195" s="649" t="s">
        <v>163</v>
      </c>
      <c r="D195" s="217" t="s">
        <v>134</v>
      </c>
      <c r="E195" s="208" t="s">
        <v>81</v>
      </c>
      <c r="F195" s="208" t="s">
        <v>81</v>
      </c>
      <c r="G195" s="208" t="s">
        <v>81</v>
      </c>
      <c r="H195" s="208" t="s">
        <v>81</v>
      </c>
      <c r="I195" s="208" t="s">
        <v>81</v>
      </c>
      <c r="J195" s="218" t="s">
        <v>13</v>
      </c>
      <c r="K195" s="218" t="s">
        <v>13</v>
      </c>
      <c r="L195" s="631">
        <f>SUM(E196:K196)</f>
        <v>5000000</v>
      </c>
      <c r="M195" s="80"/>
    </row>
    <row r="196" spans="2:13" ht="18" customHeight="1">
      <c r="B196" s="81"/>
      <c r="C196" s="649"/>
      <c r="D196" s="219" t="s">
        <v>135</v>
      </c>
      <c r="E196" s="220">
        <v>1000000</v>
      </c>
      <c r="F196" s="220">
        <v>1000000</v>
      </c>
      <c r="G196" s="220">
        <v>1000000</v>
      </c>
      <c r="H196" s="220">
        <v>1000000</v>
      </c>
      <c r="I196" s="220">
        <v>1000000</v>
      </c>
      <c r="J196" s="221" t="s">
        <v>13</v>
      </c>
      <c r="K196" s="221" t="s">
        <v>13</v>
      </c>
      <c r="L196" s="631"/>
      <c r="M196" s="82"/>
    </row>
    <row r="197" spans="2:13" ht="18" customHeight="1">
      <c r="B197" s="79"/>
      <c r="C197" s="656" t="s">
        <v>71</v>
      </c>
      <c r="D197" s="217" t="s">
        <v>134</v>
      </c>
      <c r="E197" s="222"/>
      <c r="F197" s="222"/>
      <c r="G197" s="222"/>
      <c r="H197" s="222"/>
      <c r="I197" s="222"/>
      <c r="J197" s="218" t="s">
        <v>13</v>
      </c>
      <c r="K197" s="218" t="s">
        <v>13</v>
      </c>
      <c r="L197" s="631">
        <f>SUM(E198:K198)</f>
        <v>0</v>
      </c>
      <c r="M197" s="80"/>
    </row>
    <row r="198" spans="2:13" ht="18" customHeight="1">
      <c r="B198" s="81"/>
      <c r="C198" s="656"/>
      <c r="D198" s="219" t="s">
        <v>135</v>
      </c>
      <c r="E198" s="223"/>
      <c r="F198" s="223"/>
      <c r="G198" s="223"/>
      <c r="H198" s="223"/>
      <c r="I198" s="223"/>
      <c r="J198" s="221" t="s">
        <v>13</v>
      </c>
      <c r="K198" s="221" t="s">
        <v>13</v>
      </c>
      <c r="L198" s="631"/>
      <c r="M198" s="82"/>
    </row>
    <row r="199" spans="2:13" ht="9.9499999999999993" customHeight="1">
      <c r="B199" s="73"/>
      <c r="C199" s="653" t="s">
        <v>57</v>
      </c>
      <c r="D199" s="653"/>
      <c r="E199" s="653"/>
      <c r="F199" s="653"/>
      <c r="G199" s="653"/>
      <c r="H199" s="653"/>
      <c r="I199" s="653"/>
      <c r="J199" s="653"/>
      <c r="K199" s="653"/>
      <c r="L199" s="653"/>
      <c r="M199" s="75"/>
    </row>
    <row r="200" spans="2:13" ht="18" customHeight="1">
      <c r="B200" s="73"/>
      <c r="C200" s="654" t="s">
        <v>11</v>
      </c>
      <c r="D200" s="217" t="s">
        <v>134</v>
      </c>
      <c r="E200" s="208" t="s">
        <v>13</v>
      </c>
      <c r="F200" s="208" t="s">
        <v>13</v>
      </c>
      <c r="G200" s="208" t="s">
        <v>13</v>
      </c>
      <c r="H200" s="208" t="s">
        <v>13</v>
      </c>
      <c r="I200" s="208" t="s">
        <v>13</v>
      </c>
      <c r="J200" s="218" t="s">
        <v>13</v>
      </c>
      <c r="K200" s="218" t="s">
        <v>13</v>
      </c>
      <c r="L200" s="631">
        <f>SUM(E201:K201)</f>
        <v>0</v>
      </c>
      <c r="M200" s="75"/>
    </row>
    <row r="201" spans="2:13" ht="18" customHeight="1">
      <c r="B201" s="73"/>
      <c r="C201" s="654"/>
      <c r="D201" s="219" t="s">
        <v>135</v>
      </c>
      <c r="E201" s="220" t="s">
        <v>13</v>
      </c>
      <c r="F201" s="220" t="s">
        <v>13</v>
      </c>
      <c r="G201" s="220" t="s">
        <v>13</v>
      </c>
      <c r="H201" s="220" t="s">
        <v>13</v>
      </c>
      <c r="I201" s="220" t="s">
        <v>13</v>
      </c>
      <c r="J201" s="221" t="s">
        <v>13</v>
      </c>
      <c r="K201" s="221" t="s">
        <v>13</v>
      </c>
      <c r="L201" s="631"/>
      <c r="M201" s="75"/>
    </row>
    <row r="202" spans="2:13" ht="24.95" customHeight="1">
      <c r="B202" s="73"/>
      <c r="D202" s="206"/>
      <c r="E202" s="207"/>
      <c r="F202" s="207"/>
      <c r="G202" s="207"/>
      <c r="H202" s="207"/>
      <c r="I202" s="651" t="s">
        <v>118</v>
      </c>
      <c r="J202" s="651"/>
      <c r="K202" s="652">
        <f>SUM(L195:L201)</f>
        <v>5000000</v>
      </c>
      <c r="L202" s="652"/>
      <c r="M202" s="75"/>
    </row>
    <row r="203" spans="2:13" ht="20.100000000000001" customHeight="1">
      <c r="B203" s="73"/>
      <c r="C203" s="634" t="s">
        <v>158</v>
      </c>
      <c r="D203" s="213" t="s">
        <v>3</v>
      </c>
      <c r="E203" s="214">
        <v>43360</v>
      </c>
      <c r="F203" s="214">
        <v>43361</v>
      </c>
      <c r="G203" s="214">
        <v>43362</v>
      </c>
      <c r="H203" s="214">
        <v>43363</v>
      </c>
      <c r="I203" s="214">
        <v>43364</v>
      </c>
      <c r="J203" s="215">
        <v>43365</v>
      </c>
      <c r="K203" s="215">
        <v>43366</v>
      </c>
      <c r="L203" s="645" t="s">
        <v>62</v>
      </c>
      <c r="M203" s="75"/>
    </row>
    <row r="204" spans="2:13" ht="20.100000000000001" customHeight="1">
      <c r="B204" s="73"/>
      <c r="C204" s="635"/>
      <c r="D204" s="213" t="s">
        <v>2</v>
      </c>
      <c r="E204" s="213" t="s">
        <v>4</v>
      </c>
      <c r="F204" s="213" t="s">
        <v>23</v>
      </c>
      <c r="G204" s="213" t="s">
        <v>29</v>
      </c>
      <c r="H204" s="213" t="s">
        <v>30</v>
      </c>
      <c r="I204" s="213" t="s">
        <v>59</v>
      </c>
      <c r="J204" s="216" t="s">
        <v>40</v>
      </c>
      <c r="K204" s="216" t="s">
        <v>43</v>
      </c>
      <c r="L204" s="646"/>
      <c r="M204" s="75"/>
    </row>
    <row r="205" spans="2:13" ht="18" customHeight="1">
      <c r="B205" s="79"/>
      <c r="C205" s="649" t="s">
        <v>70</v>
      </c>
      <c r="D205" s="217" t="s">
        <v>134</v>
      </c>
      <c r="E205" s="208" t="s">
        <v>81</v>
      </c>
      <c r="F205" s="208" t="s">
        <v>81</v>
      </c>
      <c r="G205" s="208" t="s">
        <v>81</v>
      </c>
      <c r="H205" s="208" t="s">
        <v>81</v>
      </c>
      <c r="I205" s="208" t="s">
        <v>81</v>
      </c>
      <c r="J205" s="218" t="s">
        <v>13</v>
      </c>
      <c r="K205" s="218" t="s">
        <v>13</v>
      </c>
      <c r="L205" s="631">
        <f>SUM(E206:K206)</f>
        <v>5000000</v>
      </c>
      <c r="M205" s="80"/>
    </row>
    <row r="206" spans="2:13" ht="18" customHeight="1">
      <c r="B206" s="81"/>
      <c r="C206" s="649"/>
      <c r="D206" s="219" t="s">
        <v>135</v>
      </c>
      <c r="E206" s="220">
        <v>1000000</v>
      </c>
      <c r="F206" s="220">
        <v>1000000</v>
      </c>
      <c r="G206" s="220">
        <v>1000000</v>
      </c>
      <c r="H206" s="220">
        <v>1000000</v>
      </c>
      <c r="I206" s="220">
        <v>1000000</v>
      </c>
      <c r="J206" s="221" t="s">
        <v>13</v>
      </c>
      <c r="K206" s="221" t="s">
        <v>13</v>
      </c>
      <c r="L206" s="631"/>
      <c r="M206" s="82"/>
    </row>
    <row r="207" spans="2:13" ht="9.9499999999999993" customHeight="1">
      <c r="B207" s="73"/>
      <c r="C207" s="653" t="s">
        <v>57</v>
      </c>
      <c r="D207" s="653"/>
      <c r="E207" s="653"/>
      <c r="F207" s="653"/>
      <c r="G207" s="653"/>
      <c r="H207" s="653"/>
      <c r="I207" s="653"/>
      <c r="J207" s="653"/>
      <c r="K207" s="653"/>
      <c r="L207" s="653"/>
      <c r="M207" s="75"/>
    </row>
    <row r="208" spans="2:13" ht="18" customHeight="1">
      <c r="B208" s="73"/>
      <c r="C208" s="654" t="s">
        <v>11</v>
      </c>
      <c r="D208" s="217" t="s">
        <v>134</v>
      </c>
      <c r="E208" s="208" t="s">
        <v>13</v>
      </c>
      <c r="F208" s="208" t="s">
        <v>13</v>
      </c>
      <c r="G208" s="208" t="s">
        <v>13</v>
      </c>
      <c r="H208" s="208" t="s">
        <v>13</v>
      </c>
      <c r="I208" s="208" t="s">
        <v>13</v>
      </c>
      <c r="J208" s="218" t="s">
        <v>13</v>
      </c>
      <c r="K208" s="218" t="s">
        <v>13</v>
      </c>
      <c r="L208" s="655">
        <f>SUM(E209:K209)</f>
        <v>0</v>
      </c>
      <c r="M208" s="75"/>
    </row>
    <row r="209" spans="2:15" ht="18" customHeight="1">
      <c r="B209" s="81"/>
      <c r="C209" s="654"/>
      <c r="D209" s="219" t="s">
        <v>135</v>
      </c>
      <c r="E209" s="220" t="s">
        <v>13</v>
      </c>
      <c r="F209" s="220" t="s">
        <v>13</v>
      </c>
      <c r="G209" s="220" t="s">
        <v>13</v>
      </c>
      <c r="H209" s="220" t="s">
        <v>13</v>
      </c>
      <c r="I209" s="220" t="s">
        <v>13</v>
      </c>
      <c r="J209" s="221" t="s">
        <v>13</v>
      </c>
      <c r="K209" s="221" t="s">
        <v>13</v>
      </c>
      <c r="L209" s="655"/>
      <c r="M209" s="82"/>
    </row>
    <row r="210" spans="2:15" ht="24.95" customHeight="1" thickBot="1">
      <c r="B210" s="73"/>
      <c r="F210" s="209"/>
      <c r="I210" s="611" t="s">
        <v>117</v>
      </c>
      <c r="J210" s="611"/>
      <c r="K210" s="650">
        <f>SUM(L203:L209)</f>
        <v>5000000</v>
      </c>
      <c r="L210" s="650"/>
      <c r="M210" s="75"/>
    </row>
    <row r="211" spans="2:15" ht="24.95" customHeight="1">
      <c r="B211" s="73"/>
      <c r="C211" s="640" t="s">
        <v>136</v>
      </c>
      <c r="D211" s="640"/>
      <c r="E211" s="2"/>
      <c r="I211" s="611" t="s">
        <v>116</v>
      </c>
      <c r="J211" s="611"/>
      <c r="K211" s="613">
        <f>+K210+K202</f>
        <v>10000000</v>
      </c>
      <c r="L211" s="613"/>
      <c r="M211" s="75"/>
    </row>
    <row r="212" spans="2:15" ht="9.9499999999999993" customHeight="1">
      <c r="B212" s="73"/>
      <c r="C212" s="641"/>
      <c r="D212" s="641"/>
      <c r="E212" s="2"/>
      <c r="F212" s="225"/>
      <c r="G212" s="225"/>
      <c r="M212" s="75"/>
    </row>
    <row r="213" spans="2:15" ht="15" customHeight="1">
      <c r="B213" s="73"/>
      <c r="C213" s="642" t="s">
        <v>132</v>
      </c>
      <c r="D213" s="1" t="s">
        <v>133</v>
      </c>
      <c r="E213" s="2"/>
      <c r="F213" s="225"/>
      <c r="G213" s="225"/>
      <c r="I213" s="234" t="s">
        <v>131</v>
      </c>
      <c r="J213" s="234" t="s">
        <v>130</v>
      </c>
      <c r="K213" s="234" t="s">
        <v>129</v>
      </c>
      <c r="L213" s="234" t="s">
        <v>128</v>
      </c>
      <c r="M213" s="75"/>
    </row>
    <row r="214" spans="2:15" ht="30" customHeight="1">
      <c r="B214" s="73"/>
      <c r="C214" s="643"/>
      <c r="D214" s="114"/>
      <c r="E214" s="2"/>
      <c r="F214" s="225"/>
      <c r="G214" s="225"/>
      <c r="I214" s="235"/>
      <c r="J214" s="234"/>
      <c r="K214" s="234"/>
      <c r="L214" s="234"/>
      <c r="M214" s="75"/>
    </row>
    <row r="215" spans="2:15" ht="15" customHeight="1">
      <c r="B215" s="73"/>
      <c r="C215" s="644"/>
      <c r="D215" s="114"/>
      <c r="F215" s="226"/>
      <c r="G215" s="226"/>
      <c r="I215" s="236" t="s">
        <v>114</v>
      </c>
      <c r="J215" s="237" t="s">
        <v>113</v>
      </c>
      <c r="K215" s="238" t="s">
        <v>112</v>
      </c>
      <c r="L215" s="234" t="s">
        <v>16</v>
      </c>
      <c r="M215" s="75"/>
    </row>
    <row r="216" spans="2:15" ht="20.100000000000001" customHeight="1" thickBot="1">
      <c r="B216" s="83"/>
      <c r="C216" s="84"/>
      <c r="D216" s="84"/>
      <c r="E216" s="85"/>
      <c r="F216" s="85"/>
      <c r="G216" s="85"/>
      <c r="H216" s="85"/>
      <c r="I216" s="85"/>
      <c r="J216" s="85"/>
      <c r="K216" s="85"/>
      <c r="L216" s="84"/>
      <c r="M216" s="86"/>
    </row>
    <row r="217" spans="2:15" ht="12.75" thickTop="1"/>
    <row r="218" spans="2:15" s="249" customFormat="1" ht="9" customHeight="1" thickBot="1">
      <c r="E218" s="250"/>
      <c r="F218" s="250"/>
      <c r="G218" s="250"/>
      <c r="H218" s="250"/>
      <c r="I218" s="250"/>
      <c r="J218" s="250"/>
      <c r="K218" s="250"/>
      <c r="O218" s="264"/>
    </row>
    <row r="219" spans="2:15" ht="18" customHeight="1" thickTop="1">
      <c r="B219" s="210" t="s">
        <v>138</v>
      </c>
      <c r="C219" s="203"/>
      <c r="D219" s="203"/>
      <c r="E219" s="204"/>
      <c r="F219" s="204"/>
      <c r="G219" s="204"/>
      <c r="H219" s="204"/>
      <c r="I219" s="204"/>
      <c r="J219" s="204"/>
      <c r="K219" s="204"/>
      <c r="L219" s="203"/>
      <c r="M219" s="205"/>
    </row>
    <row r="220" spans="2:15" ht="18" customHeight="1">
      <c r="B220" s="632" t="s">
        <v>119</v>
      </c>
      <c r="C220" s="633"/>
      <c r="D220" s="76" t="s">
        <v>122</v>
      </c>
      <c r="E220" s="2"/>
      <c r="F220" s="2"/>
      <c r="H220" s="224"/>
      <c r="I220" s="224"/>
      <c r="J220" s="227" t="s">
        <v>124</v>
      </c>
      <c r="K220" s="228" t="s">
        <v>175</v>
      </c>
      <c r="L220" s="229"/>
      <c r="M220" s="75"/>
    </row>
    <row r="221" spans="2:15" ht="18" customHeight="1">
      <c r="B221" s="626" t="s">
        <v>120</v>
      </c>
      <c r="C221" s="627"/>
      <c r="D221" s="2" t="s">
        <v>180</v>
      </c>
      <c r="I221" s="211"/>
      <c r="J221" s="230" t="s">
        <v>173</v>
      </c>
      <c r="K221" s="211" t="s">
        <v>175</v>
      </c>
      <c r="L221" s="231"/>
      <c r="M221" s="75"/>
    </row>
    <row r="222" spans="2:15" ht="18" customHeight="1">
      <c r="B222" s="626" t="s">
        <v>121</v>
      </c>
      <c r="C222" s="627"/>
      <c r="D222" s="3" t="s">
        <v>179</v>
      </c>
      <c r="J222" s="232" t="s">
        <v>125</v>
      </c>
      <c r="K222" s="239" t="s">
        <v>175</v>
      </c>
      <c r="L222" s="233"/>
      <c r="M222" s="75"/>
    </row>
    <row r="223" spans="2:15" ht="9.9499999999999993" customHeight="1">
      <c r="B223" s="73"/>
      <c r="M223" s="75"/>
    </row>
    <row r="224" spans="2:15" ht="20.100000000000001" customHeight="1">
      <c r="B224" s="73"/>
      <c r="C224" s="628" t="s">
        <v>165</v>
      </c>
      <c r="D224" s="213" t="s">
        <v>3</v>
      </c>
      <c r="E224" s="214">
        <v>43367</v>
      </c>
      <c r="F224" s="214">
        <v>43368</v>
      </c>
      <c r="G224" s="214">
        <v>43369</v>
      </c>
      <c r="H224" s="214">
        <v>43370</v>
      </c>
      <c r="I224" s="214">
        <v>43371</v>
      </c>
      <c r="J224" s="215">
        <v>43372</v>
      </c>
      <c r="K224" s="215">
        <v>43373</v>
      </c>
      <c r="L224" s="630" t="s">
        <v>63</v>
      </c>
      <c r="M224" s="75"/>
    </row>
    <row r="225" spans="2:13" ht="20.100000000000001" customHeight="1">
      <c r="B225" s="73"/>
      <c r="C225" s="629"/>
      <c r="D225" s="213" t="s">
        <v>2</v>
      </c>
      <c r="E225" s="213" t="s">
        <v>4</v>
      </c>
      <c r="F225" s="213" t="s">
        <v>23</v>
      </c>
      <c r="G225" s="213" t="s">
        <v>29</v>
      </c>
      <c r="H225" s="213" t="s">
        <v>30</v>
      </c>
      <c r="I225" s="213" t="s">
        <v>59</v>
      </c>
      <c r="J225" s="216" t="s">
        <v>40</v>
      </c>
      <c r="K225" s="216" t="s">
        <v>43</v>
      </c>
      <c r="L225" s="630"/>
      <c r="M225" s="75"/>
    </row>
    <row r="226" spans="2:13" ht="18" customHeight="1">
      <c r="B226" s="79"/>
      <c r="C226" s="649" t="s">
        <v>163</v>
      </c>
      <c r="D226" s="217" t="s">
        <v>134</v>
      </c>
      <c r="E226" s="208" t="s">
        <v>81</v>
      </c>
      <c r="F226" s="208" t="s">
        <v>81</v>
      </c>
      <c r="G226" s="208" t="s">
        <v>81</v>
      </c>
      <c r="H226" s="208" t="s">
        <v>81</v>
      </c>
      <c r="I226" s="208" t="s">
        <v>81</v>
      </c>
      <c r="J226" s="218" t="s">
        <v>13</v>
      </c>
      <c r="K226" s="218" t="s">
        <v>13</v>
      </c>
      <c r="L226" s="631">
        <f>SUM(E227:K227)</f>
        <v>5000000</v>
      </c>
      <c r="M226" s="80"/>
    </row>
    <row r="227" spans="2:13" ht="18" customHeight="1">
      <c r="B227" s="81"/>
      <c r="C227" s="649"/>
      <c r="D227" s="219" t="s">
        <v>135</v>
      </c>
      <c r="E227" s="220">
        <v>1000000</v>
      </c>
      <c r="F227" s="220">
        <v>1000000</v>
      </c>
      <c r="G227" s="220">
        <v>1000000</v>
      </c>
      <c r="H227" s="220">
        <v>1000000</v>
      </c>
      <c r="I227" s="220">
        <v>1000000</v>
      </c>
      <c r="J227" s="221" t="s">
        <v>13</v>
      </c>
      <c r="K227" s="221" t="s">
        <v>13</v>
      </c>
      <c r="L227" s="631"/>
      <c r="M227" s="82"/>
    </row>
    <row r="228" spans="2:13" ht="18" customHeight="1">
      <c r="B228" s="79"/>
      <c r="C228" s="656" t="s">
        <v>71</v>
      </c>
      <c r="D228" s="217" t="s">
        <v>134</v>
      </c>
      <c r="E228" s="222"/>
      <c r="F228" s="222"/>
      <c r="G228" s="222"/>
      <c r="H228" s="222"/>
      <c r="I228" s="222"/>
      <c r="J228" s="218" t="s">
        <v>13</v>
      </c>
      <c r="K228" s="218" t="s">
        <v>13</v>
      </c>
      <c r="L228" s="631">
        <f>SUM(E229:K229)</f>
        <v>0</v>
      </c>
      <c r="M228" s="80"/>
    </row>
    <row r="229" spans="2:13" ht="18" customHeight="1">
      <c r="B229" s="81"/>
      <c r="C229" s="656"/>
      <c r="D229" s="219" t="s">
        <v>135</v>
      </c>
      <c r="E229" s="223"/>
      <c r="F229" s="223"/>
      <c r="G229" s="223"/>
      <c r="H229" s="223"/>
      <c r="I229" s="223"/>
      <c r="J229" s="221" t="s">
        <v>13</v>
      </c>
      <c r="K229" s="221" t="s">
        <v>13</v>
      </c>
      <c r="L229" s="631"/>
      <c r="M229" s="82"/>
    </row>
    <row r="230" spans="2:13" ht="9.9499999999999993" customHeight="1">
      <c r="B230" s="73"/>
      <c r="C230" s="653" t="s">
        <v>57</v>
      </c>
      <c r="D230" s="653"/>
      <c r="E230" s="653"/>
      <c r="F230" s="653"/>
      <c r="G230" s="653"/>
      <c r="H230" s="653"/>
      <c r="I230" s="653"/>
      <c r="J230" s="653"/>
      <c r="K230" s="653"/>
      <c r="L230" s="653"/>
      <c r="M230" s="75"/>
    </row>
    <row r="231" spans="2:13" ht="18" customHeight="1">
      <c r="B231" s="73"/>
      <c r="C231" s="654" t="s">
        <v>11</v>
      </c>
      <c r="D231" s="217" t="s">
        <v>134</v>
      </c>
      <c r="E231" s="208" t="s">
        <v>13</v>
      </c>
      <c r="F231" s="208" t="s">
        <v>13</v>
      </c>
      <c r="G231" s="208" t="s">
        <v>13</v>
      </c>
      <c r="H231" s="208" t="s">
        <v>13</v>
      </c>
      <c r="I231" s="208" t="s">
        <v>13</v>
      </c>
      <c r="J231" s="218" t="s">
        <v>13</v>
      </c>
      <c r="K231" s="218" t="s">
        <v>13</v>
      </c>
      <c r="L231" s="631">
        <f>SUM(E232:K232)</f>
        <v>0</v>
      </c>
      <c r="M231" s="75"/>
    </row>
    <row r="232" spans="2:13" ht="18" customHeight="1">
      <c r="B232" s="73"/>
      <c r="C232" s="654"/>
      <c r="D232" s="219" t="s">
        <v>135</v>
      </c>
      <c r="E232" s="220" t="s">
        <v>13</v>
      </c>
      <c r="F232" s="220" t="s">
        <v>13</v>
      </c>
      <c r="G232" s="220" t="s">
        <v>13</v>
      </c>
      <c r="H232" s="220" t="s">
        <v>13</v>
      </c>
      <c r="I232" s="220" t="s">
        <v>13</v>
      </c>
      <c r="J232" s="221" t="s">
        <v>13</v>
      </c>
      <c r="K232" s="221" t="s">
        <v>13</v>
      </c>
      <c r="L232" s="631"/>
      <c r="M232" s="75"/>
    </row>
    <row r="233" spans="2:13" ht="24.95" customHeight="1">
      <c r="B233" s="73"/>
      <c r="D233" s="206"/>
      <c r="E233" s="207"/>
      <c r="F233" s="207"/>
      <c r="G233" s="207"/>
      <c r="H233" s="207"/>
      <c r="I233" s="651" t="s">
        <v>118</v>
      </c>
      <c r="J233" s="651"/>
      <c r="K233" s="652">
        <f>SUM(L226:L232)</f>
        <v>5000000</v>
      </c>
      <c r="L233" s="652"/>
      <c r="M233" s="75"/>
    </row>
    <row r="234" spans="2:13" ht="20.100000000000001" customHeight="1">
      <c r="B234" s="73"/>
      <c r="C234" s="634" t="s">
        <v>162</v>
      </c>
      <c r="D234" s="213" t="s">
        <v>3</v>
      </c>
      <c r="E234" s="214">
        <v>43367</v>
      </c>
      <c r="F234" s="214">
        <v>43368</v>
      </c>
      <c r="G234" s="214">
        <v>43369</v>
      </c>
      <c r="H234" s="214">
        <v>43370</v>
      </c>
      <c r="I234" s="214">
        <v>43371</v>
      </c>
      <c r="J234" s="215">
        <v>43372</v>
      </c>
      <c r="K234" s="215">
        <v>43373</v>
      </c>
      <c r="L234" s="645" t="s">
        <v>62</v>
      </c>
      <c r="M234" s="75"/>
    </row>
    <row r="235" spans="2:13" ht="20.100000000000001" customHeight="1">
      <c r="B235" s="73"/>
      <c r="C235" s="635"/>
      <c r="D235" s="213" t="s">
        <v>2</v>
      </c>
      <c r="E235" s="213" t="s">
        <v>4</v>
      </c>
      <c r="F235" s="213" t="s">
        <v>23</v>
      </c>
      <c r="G235" s="213" t="s">
        <v>29</v>
      </c>
      <c r="H235" s="213" t="s">
        <v>30</v>
      </c>
      <c r="I235" s="213" t="s">
        <v>59</v>
      </c>
      <c r="J235" s="216" t="s">
        <v>40</v>
      </c>
      <c r="K235" s="216" t="s">
        <v>43</v>
      </c>
      <c r="L235" s="646"/>
      <c r="M235" s="75"/>
    </row>
    <row r="236" spans="2:13" ht="18" customHeight="1">
      <c r="B236" s="79"/>
      <c r="C236" s="649" t="s">
        <v>70</v>
      </c>
      <c r="D236" s="217" t="s">
        <v>134</v>
      </c>
      <c r="E236" s="208" t="s">
        <v>81</v>
      </c>
      <c r="F236" s="208" t="s">
        <v>81</v>
      </c>
      <c r="G236" s="208" t="s">
        <v>81</v>
      </c>
      <c r="H236" s="208" t="s">
        <v>81</v>
      </c>
      <c r="I236" s="208" t="s">
        <v>81</v>
      </c>
      <c r="J236" s="218" t="s">
        <v>13</v>
      </c>
      <c r="K236" s="218" t="s">
        <v>13</v>
      </c>
      <c r="L236" s="631">
        <f>SUM(E237:K237)</f>
        <v>5000000</v>
      </c>
      <c r="M236" s="80"/>
    </row>
    <row r="237" spans="2:13" ht="18" customHeight="1">
      <c r="B237" s="81"/>
      <c r="C237" s="649"/>
      <c r="D237" s="219" t="s">
        <v>135</v>
      </c>
      <c r="E237" s="220">
        <v>1000000</v>
      </c>
      <c r="F237" s="220">
        <v>1000000</v>
      </c>
      <c r="G237" s="220">
        <v>1000000</v>
      </c>
      <c r="H237" s="220">
        <v>1000000</v>
      </c>
      <c r="I237" s="220">
        <v>1000000</v>
      </c>
      <c r="J237" s="221" t="s">
        <v>13</v>
      </c>
      <c r="K237" s="221" t="s">
        <v>13</v>
      </c>
      <c r="L237" s="631"/>
      <c r="M237" s="82"/>
    </row>
    <row r="238" spans="2:13" ht="9.9499999999999993" customHeight="1">
      <c r="B238" s="73"/>
      <c r="C238" s="653" t="s">
        <v>57</v>
      </c>
      <c r="D238" s="653"/>
      <c r="E238" s="653"/>
      <c r="F238" s="653"/>
      <c r="G238" s="653"/>
      <c r="H238" s="653"/>
      <c r="I238" s="653"/>
      <c r="J238" s="653"/>
      <c r="K238" s="653"/>
      <c r="L238" s="653"/>
      <c r="M238" s="75"/>
    </row>
    <row r="239" spans="2:13" ht="18" customHeight="1">
      <c r="B239" s="73"/>
      <c r="C239" s="654" t="s">
        <v>11</v>
      </c>
      <c r="D239" s="217" t="s">
        <v>134</v>
      </c>
      <c r="E239" s="208" t="s">
        <v>13</v>
      </c>
      <c r="F239" s="208" t="s">
        <v>13</v>
      </c>
      <c r="G239" s="208" t="s">
        <v>13</v>
      </c>
      <c r="H239" s="208" t="s">
        <v>13</v>
      </c>
      <c r="I239" s="208" t="s">
        <v>13</v>
      </c>
      <c r="J239" s="218" t="s">
        <v>13</v>
      </c>
      <c r="K239" s="218" t="s">
        <v>13</v>
      </c>
      <c r="L239" s="655">
        <f>SUM(E240:K240)</f>
        <v>0</v>
      </c>
      <c r="M239" s="75"/>
    </row>
    <row r="240" spans="2:13" ht="18" customHeight="1">
      <c r="B240" s="81"/>
      <c r="C240" s="654"/>
      <c r="D240" s="219" t="s">
        <v>135</v>
      </c>
      <c r="E240" s="220" t="s">
        <v>13</v>
      </c>
      <c r="F240" s="220" t="s">
        <v>13</v>
      </c>
      <c r="G240" s="220" t="s">
        <v>13</v>
      </c>
      <c r="H240" s="220" t="s">
        <v>13</v>
      </c>
      <c r="I240" s="220" t="s">
        <v>13</v>
      </c>
      <c r="J240" s="221" t="s">
        <v>13</v>
      </c>
      <c r="K240" s="221" t="s">
        <v>13</v>
      </c>
      <c r="L240" s="655"/>
      <c r="M240" s="82"/>
    </row>
    <row r="241" spans="2:15" ht="24.95" customHeight="1" thickBot="1">
      <c r="B241" s="73"/>
      <c r="F241" s="209"/>
      <c r="I241" s="611" t="s">
        <v>117</v>
      </c>
      <c r="J241" s="611"/>
      <c r="K241" s="650">
        <f>SUM(L234:L240)</f>
        <v>5000000</v>
      </c>
      <c r="L241" s="650"/>
      <c r="M241" s="75"/>
    </row>
    <row r="242" spans="2:15" ht="24.95" customHeight="1">
      <c r="B242" s="73"/>
      <c r="C242" s="640" t="s">
        <v>136</v>
      </c>
      <c r="D242" s="640"/>
      <c r="E242" s="2"/>
      <c r="I242" s="611" t="s">
        <v>116</v>
      </c>
      <c r="J242" s="611"/>
      <c r="K242" s="613">
        <f>+K241+K233</f>
        <v>10000000</v>
      </c>
      <c r="L242" s="613"/>
      <c r="M242" s="75"/>
    </row>
    <row r="243" spans="2:15" ht="9.9499999999999993" customHeight="1">
      <c r="B243" s="73"/>
      <c r="C243" s="641"/>
      <c r="D243" s="641"/>
      <c r="E243" s="2"/>
      <c r="F243" s="225"/>
      <c r="G243" s="225"/>
      <c r="M243" s="75"/>
    </row>
    <row r="244" spans="2:15" ht="15" customHeight="1">
      <c r="B244" s="73"/>
      <c r="C244" s="642" t="s">
        <v>132</v>
      </c>
      <c r="D244" s="1" t="s">
        <v>133</v>
      </c>
      <c r="E244" s="2"/>
      <c r="F244" s="225"/>
      <c r="G244" s="225"/>
      <c r="I244" s="234" t="s">
        <v>131</v>
      </c>
      <c r="J244" s="234" t="s">
        <v>130</v>
      </c>
      <c r="K244" s="234" t="s">
        <v>129</v>
      </c>
      <c r="L244" s="234" t="s">
        <v>128</v>
      </c>
      <c r="M244" s="75"/>
    </row>
    <row r="245" spans="2:15" ht="30" customHeight="1">
      <c r="B245" s="73"/>
      <c r="C245" s="643"/>
      <c r="D245" s="114"/>
      <c r="E245" s="2"/>
      <c r="F245" s="225"/>
      <c r="G245" s="225"/>
      <c r="I245" s="235"/>
      <c r="J245" s="234"/>
      <c r="K245" s="234"/>
      <c r="L245" s="234"/>
      <c r="M245" s="75"/>
      <c r="O245" s="263">
        <f>+K242+K211+K180+K149</f>
        <v>38000000</v>
      </c>
    </row>
    <row r="246" spans="2:15" ht="15" customHeight="1">
      <c r="B246" s="73"/>
      <c r="C246" s="644"/>
      <c r="D246" s="114"/>
      <c r="F246" s="226"/>
      <c r="G246" s="226"/>
      <c r="I246" s="236" t="s">
        <v>114</v>
      </c>
      <c r="J246" s="237" t="s">
        <v>113</v>
      </c>
      <c r="K246" s="238" t="s">
        <v>112</v>
      </c>
      <c r="L246" s="234" t="s">
        <v>16</v>
      </c>
      <c r="M246" s="75"/>
    </row>
    <row r="247" spans="2:15" ht="20.100000000000001" customHeight="1" thickBot="1">
      <c r="B247" s="83"/>
      <c r="C247" s="84"/>
      <c r="D247" s="84"/>
      <c r="E247" s="85"/>
      <c r="F247" s="85"/>
      <c r="G247" s="85"/>
      <c r="H247" s="85"/>
      <c r="I247" s="85"/>
      <c r="J247" s="85"/>
      <c r="K247" s="85"/>
      <c r="L247" s="84"/>
      <c r="M247" s="86"/>
    </row>
    <row r="248" spans="2:15" ht="12.75" thickTop="1"/>
    <row r="249" spans="2:15" s="254" customFormat="1" ht="9" customHeight="1" thickBot="1">
      <c r="E249" s="255"/>
      <c r="F249" s="255"/>
      <c r="G249" s="255"/>
      <c r="H249" s="255"/>
      <c r="I249" s="255"/>
      <c r="J249" s="255"/>
      <c r="K249" s="255"/>
      <c r="O249" s="265"/>
    </row>
    <row r="250" spans="2:15" ht="18" customHeight="1" thickTop="1">
      <c r="B250" s="210" t="s">
        <v>138</v>
      </c>
      <c r="C250" s="203"/>
      <c r="D250" s="203"/>
      <c r="E250" s="204"/>
      <c r="F250" s="204"/>
      <c r="G250" s="204"/>
      <c r="H250" s="204"/>
      <c r="I250" s="204"/>
      <c r="J250" s="204"/>
      <c r="K250" s="204"/>
      <c r="L250" s="203"/>
      <c r="M250" s="205"/>
    </row>
    <row r="251" spans="2:15" ht="18" customHeight="1">
      <c r="B251" s="632" t="s">
        <v>119</v>
      </c>
      <c r="C251" s="633"/>
      <c r="D251" s="76" t="s">
        <v>122</v>
      </c>
      <c r="E251" s="2"/>
      <c r="F251" s="2"/>
      <c r="H251" s="224"/>
      <c r="I251" s="224"/>
      <c r="J251" s="227" t="s">
        <v>124</v>
      </c>
      <c r="K251" s="228" t="s">
        <v>126</v>
      </c>
      <c r="L251" s="229"/>
      <c r="M251" s="75"/>
    </row>
    <row r="252" spans="2:15" ht="18" customHeight="1">
      <c r="B252" s="626" t="s">
        <v>120</v>
      </c>
      <c r="C252" s="627"/>
      <c r="D252" s="2" t="s">
        <v>182</v>
      </c>
      <c r="I252" s="211"/>
      <c r="J252" s="230" t="s">
        <v>173</v>
      </c>
      <c r="K252" s="211" t="s">
        <v>137</v>
      </c>
      <c r="L252" s="231"/>
      <c r="M252" s="75"/>
    </row>
    <row r="253" spans="2:15" ht="18" customHeight="1">
      <c r="B253" s="626" t="s">
        <v>121</v>
      </c>
      <c r="C253" s="627"/>
      <c r="D253" s="3" t="s">
        <v>181</v>
      </c>
      <c r="J253" s="232" t="s">
        <v>125</v>
      </c>
      <c r="K253" s="239" t="s">
        <v>183</v>
      </c>
      <c r="L253" s="233"/>
      <c r="M253" s="75"/>
    </row>
    <row r="254" spans="2:15" ht="9.9499999999999993" customHeight="1">
      <c r="B254" s="73"/>
      <c r="M254" s="75"/>
    </row>
    <row r="255" spans="2:15" ht="20.100000000000001" customHeight="1">
      <c r="B255" s="73"/>
      <c r="C255" s="628" t="s">
        <v>165</v>
      </c>
      <c r="D255" s="213" t="s">
        <v>3</v>
      </c>
      <c r="E255" s="214">
        <v>43374</v>
      </c>
      <c r="F255" s="214">
        <v>43375</v>
      </c>
      <c r="G255" s="214">
        <v>43376</v>
      </c>
      <c r="H255" s="214">
        <v>43377</v>
      </c>
      <c r="I255" s="214">
        <v>43378</v>
      </c>
      <c r="J255" s="215">
        <v>43379</v>
      </c>
      <c r="K255" s="215">
        <v>43380</v>
      </c>
      <c r="L255" s="630" t="s">
        <v>63</v>
      </c>
      <c r="M255" s="75"/>
    </row>
    <row r="256" spans="2:15" ht="20.100000000000001" customHeight="1">
      <c r="B256" s="73"/>
      <c r="C256" s="629"/>
      <c r="D256" s="213" t="s">
        <v>2</v>
      </c>
      <c r="E256" s="213" t="s">
        <v>4</v>
      </c>
      <c r="F256" s="213" t="s">
        <v>23</v>
      </c>
      <c r="G256" s="213" t="s">
        <v>29</v>
      </c>
      <c r="H256" s="213" t="s">
        <v>30</v>
      </c>
      <c r="I256" s="213" t="s">
        <v>59</v>
      </c>
      <c r="J256" s="216" t="s">
        <v>40</v>
      </c>
      <c r="K256" s="216" t="s">
        <v>43</v>
      </c>
      <c r="L256" s="630"/>
      <c r="M256" s="75"/>
    </row>
    <row r="257" spans="2:13" ht="18" customHeight="1">
      <c r="B257" s="79"/>
      <c r="C257" s="649" t="s">
        <v>163</v>
      </c>
      <c r="D257" s="217" t="s">
        <v>134</v>
      </c>
      <c r="E257" s="208" t="s">
        <v>81</v>
      </c>
      <c r="F257" s="208" t="s">
        <v>81</v>
      </c>
      <c r="G257" s="208" t="s">
        <v>81</v>
      </c>
      <c r="H257" s="208" t="s">
        <v>81</v>
      </c>
      <c r="I257" s="208" t="s">
        <v>81</v>
      </c>
      <c r="J257" s="218" t="s">
        <v>13</v>
      </c>
      <c r="K257" s="218" t="s">
        <v>13</v>
      </c>
      <c r="L257" s="631">
        <f>SUM(E258:K258)</f>
        <v>5000000</v>
      </c>
      <c r="M257" s="80"/>
    </row>
    <row r="258" spans="2:13" ht="18" customHeight="1">
      <c r="B258" s="81"/>
      <c r="C258" s="649"/>
      <c r="D258" s="219" t="s">
        <v>135</v>
      </c>
      <c r="E258" s="220">
        <v>1000000</v>
      </c>
      <c r="F258" s="220">
        <v>1000000</v>
      </c>
      <c r="G258" s="220">
        <v>1000000</v>
      </c>
      <c r="H258" s="220">
        <v>1000000</v>
      </c>
      <c r="I258" s="220">
        <v>1000000</v>
      </c>
      <c r="J258" s="221" t="s">
        <v>13</v>
      </c>
      <c r="K258" s="221" t="s">
        <v>13</v>
      </c>
      <c r="L258" s="631"/>
      <c r="M258" s="82"/>
    </row>
    <row r="259" spans="2:13" ht="24.95" customHeight="1">
      <c r="B259" s="73"/>
      <c r="D259" s="206"/>
      <c r="E259" s="207"/>
      <c r="F259" s="207"/>
      <c r="G259" s="207"/>
      <c r="H259" s="207"/>
      <c r="I259" s="651" t="s">
        <v>118</v>
      </c>
      <c r="J259" s="651"/>
      <c r="K259" s="652">
        <f>SUM(L257:L258)</f>
        <v>5000000</v>
      </c>
      <c r="L259" s="652"/>
      <c r="M259" s="75"/>
    </row>
    <row r="260" spans="2:13" ht="24.95" customHeight="1">
      <c r="B260" s="73"/>
      <c r="D260" s="206"/>
      <c r="E260" s="207"/>
      <c r="F260" s="207"/>
      <c r="G260" s="207"/>
      <c r="H260" s="207"/>
      <c r="I260" s="251"/>
      <c r="J260" s="251"/>
      <c r="K260" s="252"/>
      <c r="L260" s="252"/>
      <c r="M260" s="75"/>
    </row>
    <row r="261" spans="2:13" ht="20.100000000000001" customHeight="1">
      <c r="B261" s="73"/>
      <c r="C261" s="634" t="s">
        <v>162</v>
      </c>
      <c r="D261" s="213" t="s">
        <v>3</v>
      </c>
      <c r="E261" s="214">
        <v>43374</v>
      </c>
      <c r="F261" s="214">
        <v>43375</v>
      </c>
      <c r="G261" s="214">
        <v>43376</v>
      </c>
      <c r="H261" s="214">
        <v>43377</v>
      </c>
      <c r="I261" s="214">
        <v>43378</v>
      </c>
      <c r="J261" s="215">
        <v>43379</v>
      </c>
      <c r="K261" s="215">
        <v>43380</v>
      </c>
      <c r="L261" s="645" t="s">
        <v>62</v>
      </c>
      <c r="M261" s="75"/>
    </row>
    <row r="262" spans="2:13" ht="20.100000000000001" customHeight="1">
      <c r="B262" s="73"/>
      <c r="C262" s="635"/>
      <c r="D262" s="213" t="s">
        <v>2</v>
      </c>
      <c r="E262" s="213" t="s">
        <v>4</v>
      </c>
      <c r="F262" s="213" t="s">
        <v>23</v>
      </c>
      <c r="G262" s="213" t="s">
        <v>29</v>
      </c>
      <c r="H262" s="213" t="s">
        <v>30</v>
      </c>
      <c r="I262" s="213" t="s">
        <v>59</v>
      </c>
      <c r="J262" s="216" t="s">
        <v>40</v>
      </c>
      <c r="K262" s="216" t="s">
        <v>43</v>
      </c>
      <c r="L262" s="646"/>
      <c r="M262" s="75"/>
    </row>
    <row r="263" spans="2:13" ht="18" customHeight="1">
      <c r="B263" s="79"/>
      <c r="C263" s="649" t="s">
        <v>70</v>
      </c>
      <c r="D263" s="217" t="s">
        <v>134</v>
      </c>
      <c r="E263" s="208" t="s">
        <v>81</v>
      </c>
      <c r="F263" s="208" t="s">
        <v>81</v>
      </c>
      <c r="G263" s="208" t="s">
        <v>81</v>
      </c>
      <c r="H263" s="208" t="s">
        <v>81</v>
      </c>
      <c r="I263" s="208" t="s">
        <v>81</v>
      </c>
      <c r="J263" s="218" t="s">
        <v>13</v>
      </c>
      <c r="K263" s="218" t="s">
        <v>13</v>
      </c>
      <c r="L263" s="631">
        <f>SUM(E264:K264)</f>
        <v>5000000</v>
      </c>
      <c r="M263" s="80"/>
    </row>
    <row r="264" spans="2:13" ht="18" customHeight="1">
      <c r="B264" s="81"/>
      <c r="C264" s="649"/>
      <c r="D264" s="219" t="s">
        <v>135</v>
      </c>
      <c r="E264" s="220">
        <v>1000000</v>
      </c>
      <c r="F264" s="220">
        <v>1000000</v>
      </c>
      <c r="G264" s="220">
        <v>1000000</v>
      </c>
      <c r="H264" s="220">
        <v>1000000</v>
      </c>
      <c r="I264" s="220">
        <v>1000000</v>
      </c>
      <c r="J264" s="221" t="s">
        <v>13</v>
      </c>
      <c r="K264" s="221" t="s">
        <v>13</v>
      </c>
      <c r="L264" s="631"/>
      <c r="M264" s="82"/>
    </row>
    <row r="265" spans="2:13" ht="24.95" customHeight="1">
      <c r="B265" s="73"/>
      <c r="F265" s="209"/>
      <c r="I265" s="611" t="s">
        <v>117</v>
      </c>
      <c r="J265" s="611"/>
      <c r="K265" s="650">
        <f>SUM(L261:L264)</f>
        <v>5000000</v>
      </c>
      <c r="L265" s="650"/>
      <c r="M265" s="75"/>
    </row>
    <row r="266" spans="2:13" ht="24.95" customHeight="1" thickBot="1">
      <c r="B266" s="73"/>
      <c r="F266" s="209"/>
      <c r="I266" s="212"/>
      <c r="J266" s="212"/>
      <c r="K266" s="253"/>
      <c r="L266" s="253"/>
      <c r="M266" s="75"/>
    </row>
    <row r="267" spans="2:13" ht="24.95" customHeight="1">
      <c r="B267" s="73"/>
      <c r="C267" s="640" t="s">
        <v>136</v>
      </c>
      <c r="D267" s="640"/>
      <c r="E267" s="2"/>
      <c r="I267" s="611" t="s">
        <v>116</v>
      </c>
      <c r="J267" s="611"/>
      <c r="K267" s="613">
        <f>+K265+K259</f>
        <v>10000000</v>
      </c>
      <c r="L267" s="613"/>
      <c r="M267" s="75"/>
    </row>
    <row r="268" spans="2:13" ht="9.9499999999999993" customHeight="1">
      <c r="B268" s="73"/>
      <c r="C268" s="641"/>
      <c r="D268" s="641"/>
      <c r="E268" s="2"/>
      <c r="F268" s="225"/>
      <c r="G268" s="225"/>
      <c r="M268" s="75"/>
    </row>
    <row r="269" spans="2:13" ht="15" customHeight="1">
      <c r="B269" s="73"/>
      <c r="C269" s="642" t="s">
        <v>132</v>
      </c>
      <c r="D269" s="1" t="s">
        <v>133</v>
      </c>
      <c r="E269" s="2"/>
      <c r="F269" s="225"/>
      <c r="G269" s="225"/>
      <c r="I269" s="234" t="s">
        <v>131</v>
      </c>
      <c r="J269" s="234" t="s">
        <v>130</v>
      </c>
      <c r="K269" s="234" t="s">
        <v>129</v>
      </c>
      <c r="L269" s="234" t="s">
        <v>128</v>
      </c>
      <c r="M269" s="75"/>
    </row>
    <row r="270" spans="2:13" ht="30" customHeight="1">
      <c r="B270" s="73"/>
      <c r="C270" s="643"/>
      <c r="D270" s="114"/>
      <c r="E270" s="2"/>
      <c r="F270" s="225"/>
      <c r="G270" s="225"/>
      <c r="I270" s="235"/>
      <c r="J270" s="234"/>
      <c r="K270" s="234"/>
      <c r="L270" s="234"/>
      <c r="M270" s="75"/>
    </row>
    <row r="271" spans="2:13" ht="15" customHeight="1">
      <c r="B271" s="73"/>
      <c r="C271" s="644"/>
      <c r="D271" s="114"/>
      <c r="F271" s="226"/>
      <c r="G271" s="226"/>
      <c r="I271" s="236" t="s">
        <v>114</v>
      </c>
      <c r="J271" s="237" t="s">
        <v>113</v>
      </c>
      <c r="K271" s="238" t="s">
        <v>112</v>
      </c>
      <c r="L271" s="234" t="s">
        <v>16</v>
      </c>
      <c r="M271" s="75"/>
    </row>
    <row r="272" spans="2:13" ht="20.100000000000001" customHeight="1" thickBot="1">
      <c r="B272" s="83"/>
      <c r="C272" s="84"/>
      <c r="D272" s="84"/>
      <c r="E272" s="85"/>
      <c r="F272" s="85"/>
      <c r="G272" s="85"/>
      <c r="H272" s="85"/>
      <c r="I272" s="85"/>
      <c r="J272" s="85"/>
      <c r="K272" s="85"/>
      <c r="L272" s="84"/>
      <c r="M272" s="86"/>
    </row>
    <row r="273" spans="2:15" s="254" customFormat="1" ht="9" customHeight="1" thickTop="1" thickBot="1">
      <c r="E273" s="255"/>
      <c r="F273" s="255"/>
      <c r="G273" s="255"/>
      <c r="H273" s="255"/>
      <c r="I273" s="255"/>
      <c r="J273" s="255"/>
      <c r="K273" s="255"/>
      <c r="O273" s="265"/>
    </row>
    <row r="274" spans="2:15" ht="18" customHeight="1" thickTop="1">
      <c r="B274" s="210" t="s">
        <v>138</v>
      </c>
      <c r="C274" s="203"/>
      <c r="D274" s="203"/>
      <c r="E274" s="204"/>
      <c r="F274" s="204"/>
      <c r="G274" s="204"/>
      <c r="H274" s="204"/>
      <c r="I274" s="204"/>
      <c r="J274" s="204"/>
      <c r="K274" s="204"/>
      <c r="L274" s="203"/>
      <c r="M274" s="205"/>
    </row>
    <row r="275" spans="2:15" ht="18" customHeight="1">
      <c r="B275" s="632" t="s">
        <v>119</v>
      </c>
      <c r="C275" s="633"/>
      <c r="D275" s="76" t="s">
        <v>122</v>
      </c>
      <c r="E275" s="2"/>
      <c r="F275" s="2"/>
      <c r="H275" s="224"/>
      <c r="I275" s="224"/>
      <c r="J275" s="227" t="s">
        <v>124</v>
      </c>
      <c r="K275" s="228" t="s">
        <v>126</v>
      </c>
      <c r="L275" s="229"/>
      <c r="M275" s="75"/>
    </row>
    <row r="276" spans="2:15" ht="18" customHeight="1">
      <c r="B276" s="626" t="s">
        <v>120</v>
      </c>
      <c r="C276" s="627"/>
      <c r="D276" s="2" t="s">
        <v>189</v>
      </c>
      <c r="I276" s="211"/>
      <c r="J276" s="230" t="s">
        <v>173</v>
      </c>
      <c r="K276" s="211" t="s">
        <v>137</v>
      </c>
      <c r="L276" s="231"/>
      <c r="M276" s="75"/>
    </row>
    <row r="277" spans="2:15" ht="18" customHeight="1">
      <c r="B277" s="626" t="s">
        <v>121</v>
      </c>
      <c r="C277" s="627"/>
      <c r="D277" s="3" t="s">
        <v>184</v>
      </c>
      <c r="J277" s="232" t="s">
        <v>125</v>
      </c>
      <c r="K277" s="239" t="s">
        <v>183</v>
      </c>
      <c r="L277" s="233"/>
      <c r="M277" s="75"/>
    </row>
    <row r="278" spans="2:15" ht="9.9499999999999993" customHeight="1">
      <c r="B278" s="73"/>
      <c r="M278" s="75"/>
    </row>
    <row r="279" spans="2:15" ht="20.100000000000001" customHeight="1">
      <c r="B279" s="73"/>
      <c r="C279" s="628" t="s">
        <v>165</v>
      </c>
      <c r="D279" s="213" t="s">
        <v>3</v>
      </c>
      <c r="E279" s="214">
        <v>43381</v>
      </c>
      <c r="F279" s="214">
        <v>43382</v>
      </c>
      <c r="G279" s="214">
        <v>43383</v>
      </c>
      <c r="H279" s="214">
        <v>43384</v>
      </c>
      <c r="I279" s="214">
        <v>43385</v>
      </c>
      <c r="J279" s="215">
        <v>43386</v>
      </c>
      <c r="K279" s="215">
        <v>43387</v>
      </c>
      <c r="L279" s="630" t="s">
        <v>63</v>
      </c>
      <c r="M279" s="75"/>
    </row>
    <row r="280" spans="2:15" ht="20.100000000000001" customHeight="1">
      <c r="B280" s="73"/>
      <c r="C280" s="629"/>
      <c r="D280" s="213" t="s">
        <v>2</v>
      </c>
      <c r="E280" s="213" t="s">
        <v>4</v>
      </c>
      <c r="F280" s="213" t="s">
        <v>23</v>
      </c>
      <c r="G280" s="213" t="s">
        <v>29</v>
      </c>
      <c r="H280" s="213" t="s">
        <v>30</v>
      </c>
      <c r="I280" s="213" t="s">
        <v>59</v>
      </c>
      <c r="J280" s="216" t="s">
        <v>40</v>
      </c>
      <c r="K280" s="216" t="s">
        <v>43</v>
      </c>
      <c r="L280" s="630"/>
      <c r="M280" s="75"/>
    </row>
    <row r="281" spans="2:15" ht="18" customHeight="1">
      <c r="B281" s="79"/>
      <c r="C281" s="649" t="s">
        <v>163</v>
      </c>
      <c r="D281" s="217" t="s">
        <v>134</v>
      </c>
      <c r="E281" s="208" t="s">
        <v>81</v>
      </c>
      <c r="F281" s="208" t="s">
        <v>81</v>
      </c>
      <c r="G281" s="208" t="s">
        <v>81</v>
      </c>
      <c r="H281" s="208" t="s">
        <v>81</v>
      </c>
      <c r="I281" s="208" t="s">
        <v>81</v>
      </c>
      <c r="J281" s="218" t="s">
        <v>13</v>
      </c>
      <c r="K281" s="218" t="s">
        <v>13</v>
      </c>
      <c r="L281" s="631">
        <f>SUM(E282:K282)</f>
        <v>5000000</v>
      </c>
      <c r="M281" s="80"/>
    </row>
    <row r="282" spans="2:15" ht="18" customHeight="1">
      <c r="B282" s="81"/>
      <c r="C282" s="649"/>
      <c r="D282" s="219" t="s">
        <v>135</v>
      </c>
      <c r="E282" s="220">
        <v>1000000</v>
      </c>
      <c r="F282" s="220">
        <v>1000000</v>
      </c>
      <c r="G282" s="220">
        <v>1000000</v>
      </c>
      <c r="H282" s="220">
        <v>1000000</v>
      </c>
      <c r="I282" s="220">
        <v>1000000</v>
      </c>
      <c r="J282" s="221" t="s">
        <v>13</v>
      </c>
      <c r="K282" s="221" t="s">
        <v>13</v>
      </c>
      <c r="L282" s="631"/>
      <c r="M282" s="82"/>
    </row>
    <row r="283" spans="2:15" ht="24.95" customHeight="1">
      <c r="B283" s="73"/>
      <c r="D283" s="206"/>
      <c r="E283" s="207"/>
      <c r="F283" s="207"/>
      <c r="G283" s="207"/>
      <c r="H283" s="207"/>
      <c r="I283" s="651" t="s">
        <v>118</v>
      </c>
      <c r="J283" s="651"/>
      <c r="K283" s="652">
        <f>SUM(L281:L282)</f>
        <v>5000000</v>
      </c>
      <c r="L283" s="652"/>
      <c r="M283" s="75"/>
    </row>
    <row r="284" spans="2:15" ht="24.95" customHeight="1">
      <c r="B284" s="73"/>
      <c r="D284" s="206"/>
      <c r="E284" s="207"/>
      <c r="F284" s="207"/>
      <c r="G284" s="207"/>
      <c r="H284" s="207"/>
      <c r="I284" s="251"/>
      <c r="J284" s="251"/>
      <c r="K284" s="252"/>
      <c r="L284" s="252"/>
      <c r="M284" s="75"/>
    </row>
    <row r="285" spans="2:15" ht="20.100000000000001" customHeight="1">
      <c r="B285" s="73"/>
      <c r="C285" s="634" t="s">
        <v>162</v>
      </c>
      <c r="D285" s="213" t="s">
        <v>3</v>
      </c>
      <c r="E285" s="214">
        <v>43381</v>
      </c>
      <c r="F285" s="214">
        <v>43382</v>
      </c>
      <c r="G285" s="214">
        <v>43383</v>
      </c>
      <c r="H285" s="214">
        <v>43384</v>
      </c>
      <c r="I285" s="214">
        <v>43385</v>
      </c>
      <c r="J285" s="215">
        <v>43386</v>
      </c>
      <c r="K285" s="215">
        <v>43387</v>
      </c>
      <c r="L285" s="645" t="s">
        <v>62</v>
      </c>
      <c r="M285" s="75"/>
    </row>
    <row r="286" spans="2:15" ht="20.100000000000001" customHeight="1">
      <c r="B286" s="73"/>
      <c r="C286" s="635"/>
      <c r="D286" s="213" t="s">
        <v>2</v>
      </c>
      <c r="E286" s="213" t="s">
        <v>4</v>
      </c>
      <c r="F286" s="213" t="s">
        <v>23</v>
      </c>
      <c r="G286" s="213" t="s">
        <v>29</v>
      </c>
      <c r="H286" s="213" t="s">
        <v>30</v>
      </c>
      <c r="I286" s="213" t="s">
        <v>59</v>
      </c>
      <c r="J286" s="216" t="s">
        <v>40</v>
      </c>
      <c r="K286" s="216" t="s">
        <v>43</v>
      </c>
      <c r="L286" s="646"/>
      <c r="M286" s="75"/>
    </row>
    <row r="287" spans="2:15" ht="18" customHeight="1">
      <c r="B287" s="79"/>
      <c r="C287" s="649" t="s">
        <v>70</v>
      </c>
      <c r="D287" s="217" t="s">
        <v>134</v>
      </c>
      <c r="E287" s="208" t="s">
        <v>81</v>
      </c>
      <c r="F287" s="208" t="s">
        <v>81</v>
      </c>
      <c r="G287" s="208" t="s">
        <v>81</v>
      </c>
      <c r="H287" s="208" t="s">
        <v>81</v>
      </c>
      <c r="I287" s="208" t="s">
        <v>81</v>
      </c>
      <c r="J287" s="218" t="s">
        <v>13</v>
      </c>
      <c r="K287" s="218" t="s">
        <v>13</v>
      </c>
      <c r="L287" s="631">
        <f>SUM(E288:K288)</f>
        <v>5000000</v>
      </c>
      <c r="M287" s="80"/>
    </row>
    <row r="288" spans="2:15" ht="18" customHeight="1">
      <c r="B288" s="81"/>
      <c r="C288" s="649"/>
      <c r="D288" s="219" t="s">
        <v>135</v>
      </c>
      <c r="E288" s="220">
        <v>1000000</v>
      </c>
      <c r="F288" s="220">
        <v>1000000</v>
      </c>
      <c r="G288" s="220">
        <v>1000000</v>
      </c>
      <c r="H288" s="220">
        <v>1000000</v>
      </c>
      <c r="I288" s="220">
        <v>1000000</v>
      </c>
      <c r="J288" s="221" t="s">
        <v>13</v>
      </c>
      <c r="K288" s="221" t="s">
        <v>13</v>
      </c>
      <c r="L288" s="631"/>
      <c r="M288" s="82"/>
    </row>
    <row r="289" spans="2:15" ht="24.95" customHeight="1">
      <c r="B289" s="73"/>
      <c r="F289" s="209"/>
      <c r="I289" s="611" t="s">
        <v>117</v>
      </c>
      <c r="J289" s="611"/>
      <c r="K289" s="650">
        <f>SUM(L285:L288)</f>
        <v>5000000</v>
      </c>
      <c r="L289" s="650"/>
      <c r="M289" s="75"/>
    </row>
    <row r="290" spans="2:15" ht="24.95" customHeight="1" thickBot="1">
      <c r="B290" s="73"/>
      <c r="F290" s="209"/>
      <c r="I290" s="212"/>
      <c r="J290" s="212"/>
      <c r="K290" s="253"/>
      <c r="L290" s="253"/>
      <c r="M290" s="75"/>
    </row>
    <row r="291" spans="2:15" ht="24.95" customHeight="1">
      <c r="B291" s="73"/>
      <c r="C291" s="640" t="s">
        <v>136</v>
      </c>
      <c r="D291" s="640"/>
      <c r="E291" s="2"/>
      <c r="I291" s="611" t="s">
        <v>116</v>
      </c>
      <c r="J291" s="611"/>
      <c r="K291" s="613">
        <f>+K289+K283</f>
        <v>10000000</v>
      </c>
      <c r="L291" s="613"/>
      <c r="M291" s="75"/>
    </row>
    <row r="292" spans="2:15" ht="9.9499999999999993" customHeight="1">
      <c r="B292" s="73"/>
      <c r="C292" s="641"/>
      <c r="D292" s="641"/>
      <c r="E292" s="2"/>
      <c r="F292" s="225"/>
      <c r="G292" s="225"/>
      <c r="M292" s="75"/>
    </row>
    <row r="293" spans="2:15" ht="15" customHeight="1">
      <c r="B293" s="73"/>
      <c r="C293" s="642" t="s">
        <v>132</v>
      </c>
      <c r="D293" s="1" t="s">
        <v>133</v>
      </c>
      <c r="E293" s="2"/>
      <c r="F293" s="225"/>
      <c r="G293" s="225"/>
      <c r="I293" s="234" t="s">
        <v>131</v>
      </c>
      <c r="J293" s="234" t="s">
        <v>130</v>
      </c>
      <c r="K293" s="234" t="s">
        <v>129</v>
      </c>
      <c r="L293" s="234" t="s">
        <v>128</v>
      </c>
      <c r="M293" s="75"/>
    </row>
    <row r="294" spans="2:15" ht="30" customHeight="1">
      <c r="B294" s="73"/>
      <c r="C294" s="643"/>
      <c r="D294" s="114"/>
      <c r="E294" s="2"/>
      <c r="F294" s="225"/>
      <c r="G294" s="225"/>
      <c r="I294" s="235"/>
      <c r="J294" s="234"/>
      <c r="K294" s="234"/>
      <c r="L294" s="234"/>
      <c r="M294" s="75"/>
    </row>
    <row r="295" spans="2:15" ht="15" customHeight="1">
      <c r="B295" s="73"/>
      <c r="C295" s="644"/>
      <c r="D295" s="114"/>
      <c r="F295" s="226"/>
      <c r="G295" s="226"/>
      <c r="I295" s="236" t="s">
        <v>114</v>
      </c>
      <c r="J295" s="237" t="s">
        <v>113</v>
      </c>
      <c r="K295" s="238" t="s">
        <v>112</v>
      </c>
      <c r="L295" s="234" t="s">
        <v>16</v>
      </c>
      <c r="M295" s="75"/>
    </row>
    <row r="296" spans="2:15" ht="20.100000000000001" customHeight="1" thickBot="1">
      <c r="B296" s="83"/>
      <c r="C296" s="84"/>
      <c r="D296" s="84"/>
      <c r="E296" s="85"/>
      <c r="F296" s="85"/>
      <c r="G296" s="85"/>
      <c r="H296" s="85"/>
      <c r="I296" s="85"/>
      <c r="J296" s="85"/>
      <c r="K296" s="85"/>
      <c r="L296" s="84"/>
      <c r="M296" s="86"/>
    </row>
    <row r="297" spans="2:15" s="254" customFormat="1" ht="9" customHeight="1" thickTop="1" thickBot="1">
      <c r="E297" s="255"/>
      <c r="F297" s="255"/>
      <c r="G297" s="255"/>
      <c r="H297" s="255"/>
      <c r="I297" s="255"/>
      <c r="J297" s="255"/>
      <c r="K297" s="255"/>
      <c r="O297" s="265"/>
    </row>
    <row r="298" spans="2:15" ht="18" customHeight="1" thickTop="1">
      <c r="B298" s="210" t="s">
        <v>138</v>
      </c>
      <c r="C298" s="203"/>
      <c r="D298" s="203"/>
      <c r="E298" s="204"/>
      <c r="F298" s="204"/>
      <c r="G298" s="204"/>
      <c r="H298" s="204"/>
      <c r="I298" s="204"/>
      <c r="J298" s="204"/>
      <c r="K298" s="204"/>
      <c r="L298" s="203"/>
      <c r="M298" s="205"/>
    </row>
    <row r="299" spans="2:15" ht="18" customHeight="1">
      <c r="B299" s="632" t="s">
        <v>119</v>
      </c>
      <c r="C299" s="633"/>
      <c r="D299" s="76" t="s">
        <v>122</v>
      </c>
      <c r="E299" s="2"/>
      <c r="F299" s="2"/>
      <c r="H299" s="224"/>
      <c r="I299" s="224"/>
      <c r="J299" s="227" t="s">
        <v>124</v>
      </c>
      <c r="K299" s="228" t="s">
        <v>126</v>
      </c>
      <c r="L299" s="229"/>
      <c r="M299" s="75"/>
    </row>
    <row r="300" spans="2:15" ht="18" customHeight="1">
      <c r="B300" s="626" t="s">
        <v>120</v>
      </c>
      <c r="C300" s="627"/>
      <c r="D300" s="2" t="s">
        <v>188</v>
      </c>
      <c r="I300" s="211"/>
      <c r="J300" s="230" t="s">
        <v>173</v>
      </c>
      <c r="K300" s="211" t="s">
        <v>137</v>
      </c>
      <c r="L300" s="231"/>
      <c r="M300" s="75"/>
    </row>
    <row r="301" spans="2:15" ht="18" customHeight="1">
      <c r="B301" s="626" t="s">
        <v>121</v>
      </c>
      <c r="C301" s="627"/>
      <c r="D301" s="3" t="s">
        <v>185</v>
      </c>
      <c r="J301" s="232" t="s">
        <v>125</v>
      </c>
      <c r="K301" s="239" t="s">
        <v>183</v>
      </c>
      <c r="L301" s="233"/>
      <c r="M301" s="75"/>
    </row>
    <row r="302" spans="2:15" ht="9.9499999999999993" customHeight="1">
      <c r="B302" s="73"/>
      <c r="M302" s="75"/>
    </row>
    <row r="303" spans="2:15" ht="20.100000000000001" customHeight="1">
      <c r="B303" s="73"/>
      <c r="C303" s="628" t="s">
        <v>165</v>
      </c>
      <c r="D303" s="213" t="s">
        <v>3</v>
      </c>
      <c r="E303" s="214">
        <v>43388</v>
      </c>
      <c r="F303" s="214">
        <v>43389</v>
      </c>
      <c r="G303" s="214">
        <v>43390</v>
      </c>
      <c r="H303" s="214">
        <v>43391</v>
      </c>
      <c r="I303" s="214">
        <v>43392</v>
      </c>
      <c r="J303" s="215">
        <v>43393</v>
      </c>
      <c r="K303" s="215">
        <v>43394</v>
      </c>
      <c r="L303" s="630" t="s">
        <v>63</v>
      </c>
      <c r="M303" s="75"/>
    </row>
    <row r="304" spans="2:15" ht="20.100000000000001" customHeight="1">
      <c r="B304" s="73"/>
      <c r="C304" s="629"/>
      <c r="D304" s="213" t="s">
        <v>2</v>
      </c>
      <c r="E304" s="213" t="s">
        <v>4</v>
      </c>
      <c r="F304" s="213" t="s">
        <v>23</v>
      </c>
      <c r="G304" s="213" t="s">
        <v>29</v>
      </c>
      <c r="H304" s="213" t="s">
        <v>30</v>
      </c>
      <c r="I304" s="213" t="s">
        <v>59</v>
      </c>
      <c r="J304" s="216" t="s">
        <v>40</v>
      </c>
      <c r="K304" s="216" t="s">
        <v>43</v>
      </c>
      <c r="L304" s="630"/>
      <c r="M304" s="75"/>
    </row>
    <row r="305" spans="2:13" ht="18" customHeight="1">
      <c r="B305" s="79"/>
      <c r="C305" s="649" t="s">
        <v>163</v>
      </c>
      <c r="D305" s="217" t="s">
        <v>134</v>
      </c>
      <c r="E305" s="208" t="s">
        <v>81</v>
      </c>
      <c r="F305" s="208" t="s">
        <v>81</v>
      </c>
      <c r="G305" s="208" t="s">
        <v>81</v>
      </c>
      <c r="H305" s="208" t="s">
        <v>81</v>
      </c>
      <c r="I305" s="208" t="s">
        <v>81</v>
      </c>
      <c r="J305" s="218" t="s">
        <v>13</v>
      </c>
      <c r="K305" s="218" t="s">
        <v>13</v>
      </c>
      <c r="L305" s="631">
        <f>SUM(E306:K306)</f>
        <v>5000000</v>
      </c>
      <c r="M305" s="80"/>
    </row>
    <row r="306" spans="2:13" ht="18" customHeight="1">
      <c r="B306" s="81"/>
      <c r="C306" s="649"/>
      <c r="D306" s="219" t="s">
        <v>135</v>
      </c>
      <c r="E306" s="220">
        <v>1000000</v>
      </c>
      <c r="F306" s="220">
        <v>1000000</v>
      </c>
      <c r="G306" s="220">
        <v>1000000</v>
      </c>
      <c r="H306" s="220">
        <v>1000000</v>
      </c>
      <c r="I306" s="220">
        <v>1000000</v>
      </c>
      <c r="J306" s="221" t="s">
        <v>13</v>
      </c>
      <c r="K306" s="221" t="s">
        <v>13</v>
      </c>
      <c r="L306" s="631"/>
      <c r="M306" s="82"/>
    </row>
    <row r="307" spans="2:13" ht="24.95" customHeight="1">
      <c r="B307" s="73"/>
      <c r="D307" s="206"/>
      <c r="E307" s="207"/>
      <c r="F307" s="207"/>
      <c r="G307" s="207"/>
      <c r="H307" s="207"/>
      <c r="I307" s="651" t="s">
        <v>118</v>
      </c>
      <c r="J307" s="651"/>
      <c r="K307" s="652">
        <f>SUM(L305:L306)</f>
        <v>5000000</v>
      </c>
      <c r="L307" s="652"/>
      <c r="M307" s="75"/>
    </row>
    <row r="308" spans="2:13" ht="24.95" customHeight="1">
      <c r="B308" s="73"/>
      <c r="D308" s="206"/>
      <c r="E308" s="207"/>
      <c r="F308" s="207"/>
      <c r="G308" s="207"/>
      <c r="H308" s="207"/>
      <c r="I308" s="251"/>
      <c r="J308" s="251"/>
      <c r="K308" s="252"/>
      <c r="L308" s="252"/>
      <c r="M308" s="75"/>
    </row>
    <row r="309" spans="2:13" ht="20.100000000000001" customHeight="1">
      <c r="B309" s="73"/>
      <c r="C309" s="634" t="s">
        <v>162</v>
      </c>
      <c r="D309" s="213" t="s">
        <v>3</v>
      </c>
      <c r="E309" s="214">
        <v>43388</v>
      </c>
      <c r="F309" s="214">
        <v>43389</v>
      </c>
      <c r="G309" s="214">
        <v>43390</v>
      </c>
      <c r="H309" s="214">
        <v>43391</v>
      </c>
      <c r="I309" s="214">
        <v>43392</v>
      </c>
      <c r="J309" s="215">
        <v>43393</v>
      </c>
      <c r="K309" s="215">
        <v>43394</v>
      </c>
      <c r="L309" s="645" t="s">
        <v>62</v>
      </c>
      <c r="M309" s="75"/>
    </row>
    <row r="310" spans="2:13" ht="20.100000000000001" customHeight="1">
      <c r="B310" s="73"/>
      <c r="C310" s="635"/>
      <c r="D310" s="213" t="s">
        <v>2</v>
      </c>
      <c r="E310" s="213" t="s">
        <v>4</v>
      </c>
      <c r="F310" s="213" t="s">
        <v>23</v>
      </c>
      <c r="G310" s="213" t="s">
        <v>29</v>
      </c>
      <c r="H310" s="213" t="s">
        <v>30</v>
      </c>
      <c r="I310" s="213" t="s">
        <v>59</v>
      </c>
      <c r="J310" s="216" t="s">
        <v>40</v>
      </c>
      <c r="K310" s="216" t="s">
        <v>43</v>
      </c>
      <c r="L310" s="646"/>
      <c r="M310" s="75"/>
    </row>
    <row r="311" spans="2:13" ht="18" customHeight="1">
      <c r="B311" s="79"/>
      <c r="C311" s="560" t="s">
        <v>70</v>
      </c>
      <c r="D311" s="217" t="s">
        <v>134</v>
      </c>
      <c r="E311" s="208" t="s">
        <v>81</v>
      </c>
      <c r="F311" s="208" t="s">
        <v>81</v>
      </c>
      <c r="G311" s="208" t="s">
        <v>81</v>
      </c>
      <c r="H311" s="208" t="s">
        <v>81</v>
      </c>
      <c r="I311" s="208" t="s">
        <v>81</v>
      </c>
      <c r="J311" s="218" t="s">
        <v>13</v>
      </c>
      <c r="K311" s="218" t="s">
        <v>13</v>
      </c>
      <c r="L311" s="636">
        <f>SUM(E312:K312)</f>
        <v>5000000</v>
      </c>
      <c r="M311" s="80"/>
    </row>
    <row r="312" spans="2:13" ht="18" customHeight="1">
      <c r="B312" s="81"/>
      <c r="C312" s="561"/>
      <c r="D312" s="219" t="s">
        <v>135</v>
      </c>
      <c r="E312" s="220">
        <v>1000000</v>
      </c>
      <c r="F312" s="220">
        <v>1000000</v>
      </c>
      <c r="G312" s="220">
        <v>1000000</v>
      </c>
      <c r="H312" s="220">
        <v>1000000</v>
      </c>
      <c r="I312" s="220">
        <v>1000000</v>
      </c>
      <c r="J312" s="221" t="s">
        <v>13</v>
      </c>
      <c r="K312" s="221" t="s">
        <v>13</v>
      </c>
      <c r="L312" s="637"/>
      <c r="M312" s="82"/>
    </row>
    <row r="313" spans="2:13" ht="24.95" customHeight="1">
      <c r="B313" s="73"/>
      <c r="F313" s="209"/>
      <c r="I313" s="611" t="s">
        <v>117</v>
      </c>
      <c r="J313" s="611"/>
      <c r="K313" s="650">
        <f>SUM(L309:L312)</f>
        <v>5000000</v>
      </c>
      <c r="L313" s="650"/>
      <c r="M313" s="75"/>
    </row>
    <row r="314" spans="2:13" ht="24.95" customHeight="1" thickBot="1">
      <c r="B314" s="73"/>
      <c r="F314" s="209"/>
      <c r="I314" s="212"/>
      <c r="J314" s="212"/>
      <c r="K314" s="253"/>
      <c r="L314" s="253"/>
      <c r="M314" s="75"/>
    </row>
    <row r="315" spans="2:13" ht="24.95" customHeight="1">
      <c r="B315" s="73"/>
      <c r="C315" s="640" t="s">
        <v>136</v>
      </c>
      <c r="D315" s="640"/>
      <c r="E315" s="2"/>
      <c r="I315" s="611" t="s">
        <v>116</v>
      </c>
      <c r="J315" s="611"/>
      <c r="K315" s="613">
        <f>+K313+K307</f>
        <v>10000000</v>
      </c>
      <c r="L315" s="613"/>
      <c r="M315" s="75"/>
    </row>
    <row r="316" spans="2:13" ht="9.9499999999999993" customHeight="1">
      <c r="B316" s="73"/>
      <c r="C316" s="641"/>
      <c r="D316" s="641"/>
      <c r="E316" s="2"/>
      <c r="F316" s="225"/>
      <c r="G316" s="225"/>
      <c r="M316" s="75"/>
    </row>
    <row r="317" spans="2:13" ht="15" customHeight="1">
      <c r="B317" s="73"/>
      <c r="C317" s="642" t="s">
        <v>132</v>
      </c>
      <c r="D317" s="1" t="s">
        <v>133</v>
      </c>
      <c r="E317" s="2"/>
      <c r="F317" s="225"/>
      <c r="G317" s="225"/>
      <c r="I317" s="234" t="s">
        <v>131</v>
      </c>
      <c r="J317" s="234" t="s">
        <v>130</v>
      </c>
      <c r="K317" s="234" t="s">
        <v>129</v>
      </c>
      <c r="L317" s="234" t="s">
        <v>128</v>
      </c>
      <c r="M317" s="75"/>
    </row>
    <row r="318" spans="2:13" ht="30" customHeight="1">
      <c r="B318" s="73"/>
      <c r="C318" s="643"/>
      <c r="D318" s="114"/>
      <c r="E318" s="2"/>
      <c r="F318" s="225"/>
      <c r="G318" s="225"/>
      <c r="I318" s="235"/>
      <c r="J318" s="234"/>
      <c r="K318" s="234"/>
      <c r="L318" s="234"/>
      <c r="M318" s="75"/>
    </row>
    <row r="319" spans="2:13" ht="15" customHeight="1">
      <c r="B319" s="73"/>
      <c r="C319" s="644"/>
      <c r="D319" s="114"/>
      <c r="F319" s="226"/>
      <c r="G319" s="226"/>
      <c r="I319" s="236" t="s">
        <v>114</v>
      </c>
      <c r="J319" s="237" t="s">
        <v>113</v>
      </c>
      <c r="K319" s="238" t="s">
        <v>112</v>
      </c>
      <c r="L319" s="234" t="s">
        <v>16</v>
      </c>
      <c r="M319" s="75"/>
    </row>
    <row r="320" spans="2:13" ht="20.100000000000001" customHeight="1" thickBot="1">
      <c r="B320" s="83"/>
      <c r="C320" s="84"/>
      <c r="D320" s="84"/>
      <c r="E320" s="85"/>
      <c r="F320" s="85"/>
      <c r="G320" s="85"/>
      <c r="H320" s="85"/>
      <c r="I320" s="85"/>
      <c r="J320" s="85"/>
      <c r="K320" s="85"/>
      <c r="L320" s="84"/>
      <c r="M320" s="86"/>
    </row>
    <row r="321" spans="2:15" s="254" customFormat="1" ht="9" customHeight="1" thickTop="1" thickBot="1">
      <c r="E321" s="255"/>
      <c r="F321" s="255"/>
      <c r="G321" s="255"/>
      <c r="H321" s="255"/>
      <c r="I321" s="255"/>
      <c r="J321" s="255"/>
      <c r="K321" s="255"/>
      <c r="O321" s="265"/>
    </row>
    <row r="322" spans="2:15" ht="18" customHeight="1" thickTop="1">
      <c r="B322" s="210" t="s">
        <v>138</v>
      </c>
      <c r="C322" s="203"/>
      <c r="D322" s="203"/>
      <c r="E322" s="204"/>
      <c r="F322" s="204"/>
      <c r="G322" s="204"/>
      <c r="H322" s="204"/>
      <c r="I322" s="204"/>
      <c r="J322" s="204"/>
      <c r="K322" s="204"/>
      <c r="L322" s="203"/>
      <c r="M322" s="205"/>
    </row>
    <row r="323" spans="2:15" ht="18" customHeight="1">
      <c r="B323" s="632" t="s">
        <v>119</v>
      </c>
      <c r="C323" s="633"/>
      <c r="D323" s="76" t="s">
        <v>122</v>
      </c>
      <c r="E323" s="2"/>
      <c r="F323" s="2"/>
      <c r="H323" s="224"/>
      <c r="I323" s="224"/>
      <c r="J323" s="227" t="s">
        <v>124</v>
      </c>
      <c r="K323" s="228" t="s">
        <v>126</v>
      </c>
      <c r="L323" s="229"/>
      <c r="M323" s="75"/>
    </row>
    <row r="324" spans="2:15" ht="18" customHeight="1">
      <c r="B324" s="626" t="s">
        <v>120</v>
      </c>
      <c r="C324" s="627"/>
      <c r="D324" s="2" t="s">
        <v>187</v>
      </c>
      <c r="I324" s="211"/>
      <c r="J324" s="230" t="s">
        <v>173</v>
      </c>
      <c r="K324" s="211" t="s">
        <v>137</v>
      </c>
      <c r="L324" s="231"/>
      <c r="M324" s="75"/>
    </row>
    <row r="325" spans="2:15" ht="18" customHeight="1">
      <c r="B325" s="626" t="s">
        <v>121</v>
      </c>
      <c r="C325" s="627"/>
      <c r="D325" s="3" t="s">
        <v>186</v>
      </c>
      <c r="J325" s="232" t="s">
        <v>125</v>
      </c>
      <c r="K325" s="239" t="s">
        <v>183</v>
      </c>
      <c r="L325" s="233"/>
      <c r="M325" s="75"/>
    </row>
    <row r="326" spans="2:15" ht="9.9499999999999993" customHeight="1">
      <c r="B326" s="73"/>
      <c r="M326" s="75"/>
    </row>
    <row r="327" spans="2:15" ht="20.100000000000001" customHeight="1">
      <c r="B327" s="73"/>
      <c r="C327" s="628" t="s">
        <v>165</v>
      </c>
      <c r="D327" s="213" t="s">
        <v>3</v>
      </c>
      <c r="E327" s="214">
        <v>43395</v>
      </c>
      <c r="F327" s="214">
        <v>43396</v>
      </c>
      <c r="G327" s="214">
        <v>43397</v>
      </c>
      <c r="H327" s="214">
        <v>43398</v>
      </c>
      <c r="I327" s="214">
        <v>43399</v>
      </c>
      <c r="J327" s="215">
        <v>43400</v>
      </c>
      <c r="K327" s="215">
        <v>43401</v>
      </c>
      <c r="L327" s="630" t="s">
        <v>63</v>
      </c>
      <c r="M327" s="75"/>
    </row>
    <row r="328" spans="2:15" ht="20.100000000000001" customHeight="1">
      <c r="B328" s="73"/>
      <c r="C328" s="629"/>
      <c r="D328" s="213" t="s">
        <v>2</v>
      </c>
      <c r="E328" s="213" t="s">
        <v>4</v>
      </c>
      <c r="F328" s="213" t="s">
        <v>23</v>
      </c>
      <c r="G328" s="213" t="s">
        <v>29</v>
      </c>
      <c r="H328" s="213" t="s">
        <v>30</v>
      </c>
      <c r="I328" s="213" t="s">
        <v>59</v>
      </c>
      <c r="J328" s="216" t="s">
        <v>40</v>
      </c>
      <c r="K328" s="216" t="s">
        <v>43</v>
      </c>
      <c r="L328" s="630"/>
      <c r="M328" s="75"/>
    </row>
    <row r="329" spans="2:15" ht="18" customHeight="1">
      <c r="B329" s="79"/>
      <c r="C329" s="649" t="s">
        <v>163</v>
      </c>
      <c r="D329" s="217" t="s">
        <v>134</v>
      </c>
      <c r="E329" s="208" t="s">
        <v>81</v>
      </c>
      <c r="F329" s="208" t="s">
        <v>81</v>
      </c>
      <c r="G329" s="208" t="s">
        <v>81</v>
      </c>
      <c r="H329" s="208" t="s">
        <v>81</v>
      </c>
      <c r="I329" s="208" t="s">
        <v>81</v>
      </c>
      <c r="J329" s="218" t="s">
        <v>13</v>
      </c>
      <c r="K329" s="218" t="s">
        <v>13</v>
      </c>
      <c r="L329" s="631">
        <f>SUM(E330:K330)</f>
        <v>5000000</v>
      </c>
      <c r="M329" s="80"/>
    </row>
    <row r="330" spans="2:15" ht="18" customHeight="1">
      <c r="B330" s="81"/>
      <c r="C330" s="649"/>
      <c r="D330" s="219" t="s">
        <v>135</v>
      </c>
      <c r="E330" s="220">
        <v>1000000</v>
      </c>
      <c r="F330" s="220">
        <v>1000000</v>
      </c>
      <c r="G330" s="220">
        <v>1000000</v>
      </c>
      <c r="H330" s="220">
        <v>1000000</v>
      </c>
      <c r="I330" s="220">
        <v>1000000</v>
      </c>
      <c r="J330" s="221" t="s">
        <v>13</v>
      </c>
      <c r="K330" s="221" t="s">
        <v>13</v>
      </c>
      <c r="L330" s="631"/>
      <c r="M330" s="82"/>
    </row>
    <row r="331" spans="2:15" ht="24.95" customHeight="1">
      <c r="B331" s="73"/>
      <c r="D331" s="206"/>
      <c r="E331" s="207"/>
      <c r="F331" s="207"/>
      <c r="G331" s="207"/>
      <c r="H331" s="207"/>
      <c r="I331" s="651" t="s">
        <v>118</v>
      </c>
      <c r="J331" s="651"/>
      <c r="K331" s="652">
        <f>SUM(L329:L330)</f>
        <v>5000000</v>
      </c>
      <c r="L331" s="652"/>
      <c r="M331" s="75"/>
    </row>
    <row r="332" spans="2:15" ht="24.95" customHeight="1">
      <c r="B332" s="73"/>
      <c r="D332" s="206"/>
      <c r="E332" s="207"/>
      <c r="F332" s="207"/>
      <c r="G332" s="207"/>
      <c r="H332" s="207"/>
      <c r="I332" s="251"/>
      <c r="J332" s="251"/>
      <c r="K332" s="252"/>
      <c r="L332" s="252"/>
      <c r="M332" s="75"/>
    </row>
    <row r="333" spans="2:15" ht="20.100000000000001" customHeight="1">
      <c r="B333" s="73"/>
      <c r="C333" s="634" t="s">
        <v>162</v>
      </c>
      <c r="D333" s="213" t="s">
        <v>3</v>
      </c>
      <c r="E333" s="214">
        <v>43395</v>
      </c>
      <c r="F333" s="214">
        <v>43396</v>
      </c>
      <c r="G333" s="214">
        <v>43397</v>
      </c>
      <c r="H333" s="214">
        <v>43398</v>
      </c>
      <c r="I333" s="214">
        <v>43399</v>
      </c>
      <c r="J333" s="215">
        <v>43400</v>
      </c>
      <c r="K333" s="215">
        <v>43401</v>
      </c>
      <c r="L333" s="645" t="s">
        <v>62</v>
      </c>
      <c r="M333" s="75"/>
    </row>
    <row r="334" spans="2:15" ht="20.100000000000001" customHeight="1">
      <c r="B334" s="73"/>
      <c r="C334" s="635"/>
      <c r="D334" s="213" t="s">
        <v>2</v>
      </c>
      <c r="E334" s="213" t="s">
        <v>4</v>
      </c>
      <c r="F334" s="213" t="s">
        <v>23</v>
      </c>
      <c r="G334" s="213" t="s">
        <v>29</v>
      </c>
      <c r="H334" s="213" t="s">
        <v>30</v>
      </c>
      <c r="I334" s="213" t="s">
        <v>59</v>
      </c>
      <c r="J334" s="216" t="s">
        <v>40</v>
      </c>
      <c r="K334" s="216" t="s">
        <v>43</v>
      </c>
      <c r="L334" s="646"/>
      <c r="M334" s="75"/>
    </row>
    <row r="335" spans="2:15" ht="18" customHeight="1">
      <c r="B335" s="79"/>
      <c r="C335" s="649" t="s">
        <v>70</v>
      </c>
      <c r="D335" s="217" t="s">
        <v>134</v>
      </c>
      <c r="E335" s="208" t="s">
        <v>81</v>
      </c>
      <c r="F335" s="208" t="s">
        <v>81</v>
      </c>
      <c r="G335" s="208" t="s">
        <v>81</v>
      </c>
      <c r="H335" s="208" t="s">
        <v>81</v>
      </c>
      <c r="I335" s="208" t="s">
        <v>81</v>
      </c>
      <c r="J335" s="218" t="s">
        <v>13</v>
      </c>
      <c r="K335" s="218" t="s">
        <v>13</v>
      </c>
      <c r="L335" s="631">
        <f>SUM(E336:K336)</f>
        <v>5000000</v>
      </c>
      <c r="M335" s="80"/>
    </row>
    <row r="336" spans="2:15" ht="18" customHeight="1">
      <c r="B336" s="81"/>
      <c r="C336" s="649"/>
      <c r="D336" s="219" t="s">
        <v>135</v>
      </c>
      <c r="E336" s="220">
        <v>1000000</v>
      </c>
      <c r="F336" s="220">
        <v>1000000</v>
      </c>
      <c r="G336" s="220">
        <v>1000000</v>
      </c>
      <c r="H336" s="220">
        <v>1000000</v>
      </c>
      <c r="I336" s="220">
        <v>1000000</v>
      </c>
      <c r="J336" s="221" t="s">
        <v>13</v>
      </c>
      <c r="K336" s="221" t="s">
        <v>13</v>
      </c>
      <c r="L336" s="631"/>
      <c r="M336" s="82"/>
    </row>
    <row r="337" spans="2:15" ht="24.95" customHeight="1">
      <c r="B337" s="73"/>
      <c r="F337" s="209"/>
      <c r="I337" s="611" t="s">
        <v>117</v>
      </c>
      <c r="J337" s="611"/>
      <c r="K337" s="650">
        <f>SUM(L333:L336)</f>
        <v>5000000</v>
      </c>
      <c r="L337" s="650"/>
      <c r="M337" s="75"/>
    </row>
    <row r="338" spans="2:15" ht="24.95" customHeight="1" thickBot="1">
      <c r="B338" s="73"/>
      <c r="F338" s="209"/>
      <c r="I338" s="212"/>
      <c r="J338" s="212"/>
      <c r="K338" s="253"/>
      <c r="L338" s="253"/>
      <c r="M338" s="75"/>
    </row>
    <row r="339" spans="2:15" ht="24.95" customHeight="1">
      <c r="B339" s="73"/>
      <c r="C339" s="640" t="s">
        <v>136</v>
      </c>
      <c r="D339" s="640"/>
      <c r="E339" s="2"/>
      <c r="I339" s="611" t="s">
        <v>116</v>
      </c>
      <c r="J339" s="611"/>
      <c r="K339" s="613">
        <f>+K337+K331</f>
        <v>10000000</v>
      </c>
      <c r="L339" s="613"/>
      <c r="M339" s="75"/>
    </row>
    <row r="340" spans="2:15" ht="9.9499999999999993" customHeight="1">
      <c r="B340" s="73"/>
      <c r="C340" s="641"/>
      <c r="D340" s="641"/>
      <c r="E340" s="2"/>
      <c r="F340" s="225"/>
      <c r="G340" s="225"/>
      <c r="M340" s="75"/>
    </row>
    <row r="341" spans="2:15" ht="15" customHeight="1">
      <c r="B341" s="73"/>
      <c r="C341" s="642" t="s">
        <v>132</v>
      </c>
      <c r="D341" s="1" t="s">
        <v>133</v>
      </c>
      <c r="E341" s="2"/>
      <c r="F341" s="225"/>
      <c r="G341" s="225"/>
      <c r="I341" s="234" t="s">
        <v>131</v>
      </c>
      <c r="J341" s="234" t="s">
        <v>130</v>
      </c>
      <c r="K341" s="234" t="s">
        <v>129</v>
      </c>
      <c r="L341" s="234" t="s">
        <v>128</v>
      </c>
      <c r="M341" s="75"/>
    </row>
    <row r="342" spans="2:15" ht="30" customHeight="1">
      <c r="B342" s="73"/>
      <c r="C342" s="643"/>
      <c r="D342" s="114"/>
      <c r="E342" s="2"/>
      <c r="F342" s="225"/>
      <c r="G342" s="225"/>
      <c r="I342" s="235"/>
      <c r="J342" s="234"/>
      <c r="K342" s="234"/>
      <c r="L342" s="234"/>
      <c r="M342" s="75"/>
    </row>
    <row r="343" spans="2:15" ht="15" customHeight="1">
      <c r="B343" s="73"/>
      <c r="C343" s="644"/>
      <c r="D343" s="114"/>
      <c r="F343" s="226"/>
      <c r="G343" s="226"/>
      <c r="I343" s="236" t="s">
        <v>114</v>
      </c>
      <c r="J343" s="237" t="s">
        <v>113</v>
      </c>
      <c r="K343" s="238" t="s">
        <v>112</v>
      </c>
      <c r="L343" s="234" t="s">
        <v>16</v>
      </c>
      <c r="M343" s="75"/>
    </row>
    <row r="344" spans="2:15" ht="20.100000000000001" customHeight="1" thickBot="1">
      <c r="B344" s="83"/>
      <c r="C344" s="84"/>
      <c r="D344" s="84"/>
      <c r="E344" s="85"/>
      <c r="F344" s="85"/>
      <c r="G344" s="85"/>
      <c r="H344" s="85"/>
      <c r="I344" s="85"/>
      <c r="J344" s="85"/>
      <c r="K344" s="85"/>
      <c r="L344" s="84"/>
      <c r="M344" s="86"/>
    </row>
    <row r="345" spans="2:15" s="254" customFormat="1" ht="9" customHeight="1" thickTop="1" thickBot="1">
      <c r="E345" s="255"/>
      <c r="F345" s="255"/>
      <c r="G345" s="255"/>
      <c r="H345" s="255"/>
      <c r="I345" s="255"/>
      <c r="J345" s="255"/>
      <c r="K345" s="255"/>
      <c r="O345" s="265"/>
    </row>
    <row r="346" spans="2:15" ht="18" customHeight="1" thickTop="1">
      <c r="B346" s="210" t="s">
        <v>138</v>
      </c>
      <c r="C346" s="203"/>
      <c r="D346" s="203"/>
      <c r="E346" s="204"/>
      <c r="F346" s="204"/>
      <c r="G346" s="204"/>
      <c r="H346" s="204"/>
      <c r="I346" s="204"/>
      <c r="J346" s="204"/>
      <c r="K346" s="204"/>
      <c r="L346" s="203"/>
      <c r="M346" s="205"/>
    </row>
    <row r="347" spans="2:15" ht="18" customHeight="1">
      <c r="B347" s="632" t="s">
        <v>119</v>
      </c>
      <c r="C347" s="633"/>
      <c r="D347" s="76" t="s">
        <v>122</v>
      </c>
      <c r="E347" s="2"/>
      <c r="F347" s="2"/>
      <c r="H347" s="224"/>
      <c r="I347" s="224"/>
      <c r="J347" s="227" t="s">
        <v>124</v>
      </c>
      <c r="K347" s="228" t="s">
        <v>126</v>
      </c>
      <c r="L347" s="229"/>
      <c r="M347" s="75"/>
    </row>
    <row r="348" spans="2:15" ht="18" customHeight="1">
      <c r="B348" s="626" t="s">
        <v>120</v>
      </c>
      <c r="C348" s="627"/>
      <c r="D348" s="2" t="s">
        <v>191</v>
      </c>
      <c r="I348" s="211"/>
      <c r="J348" s="230" t="s">
        <v>173</v>
      </c>
      <c r="K348" s="211" t="s">
        <v>137</v>
      </c>
      <c r="L348" s="231"/>
      <c r="M348" s="75"/>
    </row>
    <row r="349" spans="2:15" ht="18" customHeight="1">
      <c r="B349" s="626" t="s">
        <v>121</v>
      </c>
      <c r="C349" s="627"/>
      <c r="D349" s="3" t="s">
        <v>190</v>
      </c>
      <c r="J349" s="232" t="s">
        <v>125</v>
      </c>
      <c r="K349" s="239" t="s">
        <v>183</v>
      </c>
      <c r="L349" s="233"/>
      <c r="M349" s="75"/>
    </row>
    <row r="350" spans="2:15" ht="9.9499999999999993" customHeight="1">
      <c r="B350" s="73"/>
      <c r="M350" s="75"/>
    </row>
    <row r="351" spans="2:15" ht="20.100000000000001" customHeight="1">
      <c r="B351" s="73"/>
      <c r="C351" s="628" t="s">
        <v>165</v>
      </c>
      <c r="D351" s="213" t="s">
        <v>3</v>
      </c>
      <c r="E351" s="214">
        <v>43402</v>
      </c>
      <c r="F351" s="214">
        <v>43403</v>
      </c>
      <c r="G351" s="214">
        <v>43404</v>
      </c>
      <c r="H351" s="214">
        <v>43405</v>
      </c>
      <c r="I351" s="214">
        <v>43406</v>
      </c>
      <c r="J351" s="215">
        <v>43407</v>
      </c>
      <c r="K351" s="215">
        <v>43408</v>
      </c>
      <c r="L351" s="630" t="s">
        <v>63</v>
      </c>
      <c r="M351" s="75"/>
    </row>
    <row r="352" spans="2:15" ht="20.100000000000001" customHeight="1">
      <c r="B352" s="73"/>
      <c r="C352" s="629"/>
      <c r="D352" s="213" t="s">
        <v>2</v>
      </c>
      <c r="E352" s="213" t="s">
        <v>4</v>
      </c>
      <c r="F352" s="213" t="s">
        <v>23</v>
      </c>
      <c r="G352" s="213" t="s">
        <v>29</v>
      </c>
      <c r="H352" s="213" t="s">
        <v>30</v>
      </c>
      <c r="I352" s="213" t="s">
        <v>59</v>
      </c>
      <c r="J352" s="216" t="s">
        <v>40</v>
      </c>
      <c r="K352" s="216" t="s">
        <v>43</v>
      </c>
      <c r="L352" s="630"/>
      <c r="M352" s="75"/>
    </row>
    <row r="353" spans="2:15" ht="18" customHeight="1">
      <c r="B353" s="79"/>
      <c r="C353" s="649" t="s">
        <v>163</v>
      </c>
      <c r="D353" s="217" t="s">
        <v>134</v>
      </c>
      <c r="E353" s="208" t="s">
        <v>81</v>
      </c>
      <c r="F353" s="208" t="s">
        <v>81</v>
      </c>
      <c r="G353" s="208" t="s">
        <v>81</v>
      </c>
      <c r="H353" s="208" t="s">
        <v>81</v>
      </c>
      <c r="I353" s="208" t="s">
        <v>81</v>
      </c>
      <c r="J353" s="218" t="s">
        <v>13</v>
      </c>
      <c r="K353" s="218" t="s">
        <v>13</v>
      </c>
      <c r="L353" s="631">
        <f>SUM(E354:K354)</f>
        <v>4700000</v>
      </c>
      <c r="M353" s="80"/>
    </row>
    <row r="354" spans="2:15" ht="18" customHeight="1">
      <c r="B354" s="81"/>
      <c r="C354" s="649"/>
      <c r="D354" s="219" t="s">
        <v>135</v>
      </c>
      <c r="E354" s="220">
        <v>1000000</v>
      </c>
      <c r="F354" s="220">
        <v>1000000</v>
      </c>
      <c r="G354" s="220">
        <v>1000000</v>
      </c>
      <c r="H354" s="220">
        <v>850000</v>
      </c>
      <c r="I354" s="220">
        <v>850000</v>
      </c>
      <c r="J354" s="221" t="s">
        <v>13</v>
      </c>
      <c r="K354" s="221" t="s">
        <v>13</v>
      </c>
      <c r="L354" s="631"/>
      <c r="M354" s="82"/>
    </row>
    <row r="355" spans="2:15" ht="24.95" customHeight="1">
      <c r="B355" s="73"/>
      <c r="D355" s="206"/>
      <c r="E355" s="207"/>
      <c r="F355" s="207"/>
      <c r="G355" s="207"/>
      <c r="H355" s="207"/>
      <c r="I355" s="651" t="s">
        <v>118</v>
      </c>
      <c r="J355" s="651"/>
      <c r="K355" s="652">
        <f>SUM(L353:L354)</f>
        <v>4700000</v>
      </c>
      <c r="L355" s="652"/>
      <c r="M355" s="75"/>
    </row>
    <row r="356" spans="2:15" ht="24.95" customHeight="1">
      <c r="B356" s="73"/>
      <c r="D356" s="206"/>
      <c r="E356" s="207"/>
      <c r="F356" s="207"/>
      <c r="G356" s="207"/>
      <c r="H356" s="207"/>
      <c r="I356" s="251"/>
      <c r="J356" s="251"/>
      <c r="K356" s="252"/>
      <c r="L356" s="252"/>
      <c r="M356" s="75"/>
    </row>
    <row r="357" spans="2:15" ht="20.100000000000001" customHeight="1">
      <c r="B357" s="73"/>
      <c r="C357" s="634" t="s">
        <v>162</v>
      </c>
      <c r="D357" s="213" t="s">
        <v>3</v>
      </c>
      <c r="E357" s="214">
        <v>43402</v>
      </c>
      <c r="F357" s="214">
        <v>43403</v>
      </c>
      <c r="G357" s="214">
        <v>43404</v>
      </c>
      <c r="H357" s="214">
        <v>43405</v>
      </c>
      <c r="I357" s="214">
        <v>43406</v>
      </c>
      <c r="J357" s="215">
        <v>43407</v>
      </c>
      <c r="K357" s="215">
        <v>43408</v>
      </c>
      <c r="L357" s="645" t="s">
        <v>62</v>
      </c>
      <c r="M357" s="75"/>
    </row>
    <row r="358" spans="2:15" ht="20.100000000000001" customHeight="1">
      <c r="B358" s="73"/>
      <c r="C358" s="635"/>
      <c r="D358" s="213" t="s">
        <v>2</v>
      </c>
      <c r="E358" s="213" t="s">
        <v>4</v>
      </c>
      <c r="F358" s="213" t="s">
        <v>23</v>
      </c>
      <c r="G358" s="213" t="s">
        <v>29</v>
      </c>
      <c r="H358" s="213" t="s">
        <v>30</v>
      </c>
      <c r="I358" s="213" t="s">
        <v>59</v>
      </c>
      <c r="J358" s="216" t="s">
        <v>40</v>
      </c>
      <c r="K358" s="216" t="s">
        <v>43</v>
      </c>
      <c r="L358" s="646"/>
      <c r="M358" s="75"/>
    </row>
    <row r="359" spans="2:15" ht="18" customHeight="1">
      <c r="B359" s="79"/>
      <c r="C359" s="649" t="s">
        <v>70</v>
      </c>
      <c r="D359" s="217" t="s">
        <v>134</v>
      </c>
      <c r="E359" s="208" t="s">
        <v>81</v>
      </c>
      <c r="F359" s="208" t="s">
        <v>81</v>
      </c>
      <c r="G359" s="208" t="s">
        <v>81</v>
      </c>
      <c r="H359" s="208" t="s">
        <v>81</v>
      </c>
      <c r="I359" s="208" t="s">
        <v>81</v>
      </c>
      <c r="J359" s="218" t="s">
        <v>13</v>
      </c>
      <c r="K359" s="218" t="s">
        <v>13</v>
      </c>
      <c r="L359" s="631">
        <f>SUM(E360:K360)</f>
        <v>4700000</v>
      </c>
      <c r="M359" s="80"/>
    </row>
    <row r="360" spans="2:15" ht="18" customHeight="1">
      <c r="B360" s="81"/>
      <c r="C360" s="649"/>
      <c r="D360" s="219" t="s">
        <v>135</v>
      </c>
      <c r="E360" s="220">
        <v>1000000</v>
      </c>
      <c r="F360" s="220">
        <v>1000000</v>
      </c>
      <c r="G360" s="220">
        <v>1000000</v>
      </c>
      <c r="H360" s="220">
        <v>850000</v>
      </c>
      <c r="I360" s="220">
        <v>850000</v>
      </c>
      <c r="J360" s="221" t="s">
        <v>13</v>
      </c>
      <c r="K360" s="221" t="s">
        <v>13</v>
      </c>
      <c r="L360" s="631"/>
      <c r="M360" s="82"/>
    </row>
    <row r="361" spans="2:15" ht="24.95" customHeight="1">
      <c r="B361" s="73"/>
      <c r="F361" s="209"/>
      <c r="I361" s="611" t="s">
        <v>117</v>
      </c>
      <c r="J361" s="611"/>
      <c r="K361" s="650">
        <f>SUM(L357:L360)</f>
        <v>4700000</v>
      </c>
      <c r="L361" s="650"/>
      <c r="M361" s="75"/>
    </row>
    <row r="362" spans="2:15" ht="24.95" customHeight="1">
      <c r="B362" s="73"/>
      <c r="F362" s="209"/>
      <c r="I362" s="212"/>
      <c r="J362" s="212"/>
      <c r="K362" s="253"/>
      <c r="L362" s="253"/>
      <c r="M362" s="75"/>
    </row>
    <row r="363" spans="2:15" ht="24.95" customHeight="1">
      <c r="B363" s="73"/>
      <c r="C363" s="640" t="s">
        <v>136</v>
      </c>
      <c r="D363" s="640"/>
      <c r="E363" s="2"/>
      <c r="I363" s="611" t="s">
        <v>116</v>
      </c>
      <c r="J363" s="611"/>
      <c r="K363" s="612">
        <f>+K361+K355</f>
        <v>9400000</v>
      </c>
      <c r="L363" s="612"/>
      <c r="M363" s="75"/>
    </row>
    <row r="364" spans="2:15" ht="9.9499999999999993" customHeight="1">
      <c r="B364" s="73"/>
      <c r="C364" s="641"/>
      <c r="D364" s="641"/>
      <c r="E364" s="2"/>
      <c r="F364" s="225"/>
      <c r="G364" s="225"/>
      <c r="M364" s="75"/>
    </row>
    <row r="365" spans="2:15" ht="15" customHeight="1">
      <c r="B365" s="73"/>
      <c r="C365" s="642" t="s">
        <v>132</v>
      </c>
      <c r="D365" s="1" t="s">
        <v>133</v>
      </c>
      <c r="E365" s="2"/>
      <c r="F365" s="225"/>
      <c r="G365" s="225"/>
      <c r="I365" s="234" t="s">
        <v>131</v>
      </c>
      <c r="J365" s="234" t="s">
        <v>130</v>
      </c>
      <c r="K365" s="234" t="s">
        <v>129</v>
      </c>
      <c r="L365" s="234" t="s">
        <v>128</v>
      </c>
      <c r="M365" s="75"/>
    </row>
    <row r="366" spans="2:15" ht="30" customHeight="1">
      <c r="B366" s="73"/>
      <c r="C366" s="643"/>
      <c r="D366" s="114"/>
      <c r="E366" s="2"/>
      <c r="F366" s="225"/>
      <c r="G366" s="225"/>
      <c r="I366" s="235"/>
      <c r="J366" s="234"/>
      <c r="K366" s="234"/>
      <c r="L366" s="234"/>
      <c r="M366" s="75"/>
      <c r="O366" s="263">
        <f>+K363+K339+K315+K291+K267</f>
        <v>49400000</v>
      </c>
    </row>
    <row r="367" spans="2:15" ht="15" customHeight="1">
      <c r="B367" s="73"/>
      <c r="C367" s="644"/>
      <c r="D367" s="114"/>
      <c r="F367" s="226"/>
      <c r="G367" s="226"/>
      <c r="I367" s="236" t="s">
        <v>114</v>
      </c>
      <c r="J367" s="237" t="s">
        <v>113</v>
      </c>
      <c r="K367" s="238" t="s">
        <v>112</v>
      </c>
      <c r="L367" s="234" t="s">
        <v>16</v>
      </c>
      <c r="M367" s="75"/>
    </row>
    <row r="368" spans="2:15" ht="20.100000000000001" customHeight="1" thickBot="1">
      <c r="B368" s="83"/>
      <c r="C368" s="84"/>
      <c r="D368" s="84"/>
      <c r="E368" s="85"/>
      <c r="F368" s="85"/>
      <c r="G368" s="85"/>
      <c r="H368" s="85"/>
      <c r="I368" s="85"/>
      <c r="J368" s="85"/>
      <c r="K368" s="85"/>
      <c r="L368" s="84"/>
      <c r="M368" s="86"/>
    </row>
    <row r="369" spans="2:15" s="254" customFormat="1" ht="9" customHeight="1" thickTop="1" thickBot="1">
      <c r="E369" s="255"/>
      <c r="F369" s="255"/>
      <c r="G369" s="255"/>
      <c r="H369" s="255"/>
      <c r="I369" s="255"/>
      <c r="J369" s="255"/>
      <c r="K369" s="255"/>
      <c r="O369" s="265"/>
    </row>
    <row r="370" spans="2:15" ht="18" customHeight="1" thickTop="1">
      <c r="B370" s="210" t="s">
        <v>138</v>
      </c>
      <c r="C370" s="203"/>
      <c r="D370" s="203"/>
      <c r="E370" s="204"/>
      <c r="F370" s="204"/>
      <c r="G370" s="204"/>
      <c r="H370" s="204"/>
      <c r="I370" s="204"/>
      <c r="J370" s="204"/>
      <c r="K370" s="204"/>
      <c r="L370" s="203"/>
      <c r="M370" s="205"/>
    </row>
    <row r="371" spans="2:15" ht="18" customHeight="1">
      <c r="B371" s="632" t="s">
        <v>119</v>
      </c>
      <c r="C371" s="633"/>
      <c r="D371" s="76" t="s">
        <v>122</v>
      </c>
      <c r="E371" s="2"/>
      <c r="F371" s="2"/>
      <c r="H371" s="224"/>
      <c r="I371" s="224"/>
      <c r="J371" s="227" t="s">
        <v>124</v>
      </c>
      <c r="K371" s="228" t="s">
        <v>126</v>
      </c>
      <c r="L371" s="229"/>
      <c r="M371" s="75"/>
    </row>
    <row r="372" spans="2:15" ht="18" customHeight="1">
      <c r="B372" s="626" t="s">
        <v>120</v>
      </c>
      <c r="C372" s="627"/>
      <c r="D372" s="2" t="s">
        <v>192</v>
      </c>
      <c r="I372" s="211"/>
      <c r="J372" s="230" t="s">
        <v>173</v>
      </c>
      <c r="K372" s="211" t="s">
        <v>137</v>
      </c>
      <c r="L372" s="231"/>
      <c r="M372" s="75"/>
    </row>
    <row r="373" spans="2:15" ht="18" customHeight="1">
      <c r="B373" s="626" t="s">
        <v>121</v>
      </c>
      <c r="C373" s="627"/>
      <c r="D373" s="3" t="s">
        <v>193</v>
      </c>
      <c r="J373" s="232" t="s">
        <v>125</v>
      </c>
      <c r="K373" s="239" t="s">
        <v>194</v>
      </c>
      <c r="L373" s="233"/>
      <c r="M373" s="75"/>
    </row>
    <row r="374" spans="2:15" ht="9.9499999999999993" customHeight="1">
      <c r="B374" s="73"/>
      <c r="M374" s="75"/>
    </row>
    <row r="375" spans="2:15" ht="20.100000000000001" customHeight="1">
      <c r="B375" s="73"/>
      <c r="C375" s="628" t="s">
        <v>165</v>
      </c>
      <c r="D375" s="213" t="s">
        <v>3</v>
      </c>
      <c r="E375" s="214">
        <v>43409</v>
      </c>
      <c r="F375" s="214">
        <v>43410</v>
      </c>
      <c r="G375" s="214">
        <v>43411</v>
      </c>
      <c r="H375" s="214">
        <v>43412</v>
      </c>
      <c r="I375" s="214">
        <v>43413</v>
      </c>
      <c r="J375" s="215">
        <v>43414</v>
      </c>
      <c r="K375" s="215">
        <v>43415</v>
      </c>
      <c r="L375" s="630" t="s">
        <v>63</v>
      </c>
      <c r="M375" s="75"/>
    </row>
    <row r="376" spans="2:15" ht="20.100000000000001" customHeight="1">
      <c r="B376" s="73"/>
      <c r="C376" s="629"/>
      <c r="D376" s="213" t="s">
        <v>2</v>
      </c>
      <c r="E376" s="213" t="s">
        <v>4</v>
      </c>
      <c r="F376" s="213" t="s">
        <v>23</v>
      </c>
      <c r="G376" s="213" t="s">
        <v>29</v>
      </c>
      <c r="H376" s="213" t="s">
        <v>30</v>
      </c>
      <c r="I376" s="213" t="s">
        <v>59</v>
      </c>
      <c r="J376" s="216" t="s">
        <v>40</v>
      </c>
      <c r="K376" s="216" t="s">
        <v>43</v>
      </c>
      <c r="L376" s="630"/>
      <c r="M376" s="75"/>
    </row>
    <row r="377" spans="2:15" ht="18" customHeight="1">
      <c r="B377" s="79"/>
      <c r="C377" s="649" t="s">
        <v>163</v>
      </c>
      <c r="D377" s="217" t="s">
        <v>134</v>
      </c>
      <c r="E377" s="208" t="s">
        <v>81</v>
      </c>
      <c r="F377" s="208" t="s">
        <v>81</v>
      </c>
      <c r="G377" s="208" t="s">
        <v>81</v>
      </c>
      <c r="H377" s="208" t="s">
        <v>81</v>
      </c>
      <c r="I377" s="208" t="s">
        <v>81</v>
      </c>
      <c r="J377" s="218" t="s">
        <v>13</v>
      </c>
      <c r="K377" s="218" t="s">
        <v>13</v>
      </c>
      <c r="L377" s="631">
        <f>SUM(E378:K378)</f>
        <v>4250000</v>
      </c>
      <c r="M377" s="80"/>
    </row>
    <row r="378" spans="2:15" ht="18" customHeight="1">
      <c r="B378" s="81"/>
      <c r="C378" s="649"/>
      <c r="D378" s="219" t="s">
        <v>135</v>
      </c>
      <c r="E378" s="220">
        <v>850000</v>
      </c>
      <c r="F378" s="220">
        <v>850000</v>
      </c>
      <c r="G378" s="220">
        <v>850000</v>
      </c>
      <c r="H378" s="220">
        <v>850000</v>
      </c>
      <c r="I378" s="220">
        <v>850000</v>
      </c>
      <c r="J378" s="221" t="s">
        <v>13</v>
      </c>
      <c r="K378" s="221" t="s">
        <v>13</v>
      </c>
      <c r="L378" s="631"/>
      <c r="M378" s="82"/>
    </row>
    <row r="379" spans="2:15" ht="24.95" customHeight="1">
      <c r="B379" s="73"/>
      <c r="D379" s="206"/>
      <c r="E379" s="207"/>
      <c r="F379" s="207"/>
      <c r="G379" s="207"/>
      <c r="H379" s="207"/>
      <c r="I379" s="651" t="s">
        <v>118</v>
      </c>
      <c r="J379" s="651"/>
      <c r="K379" s="652">
        <f>SUM(L377:L378)</f>
        <v>4250000</v>
      </c>
      <c r="L379" s="652"/>
      <c r="M379" s="75"/>
    </row>
    <row r="380" spans="2:15" ht="24.95" customHeight="1">
      <c r="B380" s="73"/>
      <c r="D380" s="206"/>
      <c r="E380" s="207"/>
      <c r="F380" s="207"/>
      <c r="G380" s="207"/>
      <c r="H380" s="207"/>
      <c r="I380" s="251"/>
      <c r="J380" s="251"/>
      <c r="K380" s="252"/>
      <c r="L380" s="252"/>
      <c r="M380" s="75"/>
    </row>
    <row r="381" spans="2:15" ht="20.100000000000001" customHeight="1">
      <c r="B381" s="73"/>
      <c r="C381" s="634" t="s">
        <v>162</v>
      </c>
      <c r="D381" s="213" t="s">
        <v>3</v>
      </c>
      <c r="E381" s="214">
        <v>43409</v>
      </c>
      <c r="F381" s="214">
        <v>43410</v>
      </c>
      <c r="G381" s="214">
        <v>43411</v>
      </c>
      <c r="H381" s="214">
        <v>43412</v>
      </c>
      <c r="I381" s="214">
        <v>43413</v>
      </c>
      <c r="J381" s="215">
        <v>43414</v>
      </c>
      <c r="K381" s="215">
        <v>43415</v>
      </c>
      <c r="L381" s="645" t="s">
        <v>62</v>
      </c>
      <c r="M381" s="75"/>
    </row>
    <row r="382" spans="2:15" ht="20.100000000000001" customHeight="1">
      <c r="B382" s="73"/>
      <c r="C382" s="635"/>
      <c r="D382" s="213" t="s">
        <v>2</v>
      </c>
      <c r="E382" s="213" t="s">
        <v>4</v>
      </c>
      <c r="F382" s="213" t="s">
        <v>23</v>
      </c>
      <c r="G382" s="213" t="s">
        <v>29</v>
      </c>
      <c r="H382" s="213" t="s">
        <v>30</v>
      </c>
      <c r="I382" s="213" t="s">
        <v>59</v>
      </c>
      <c r="J382" s="216" t="s">
        <v>40</v>
      </c>
      <c r="K382" s="216" t="s">
        <v>43</v>
      </c>
      <c r="L382" s="646"/>
      <c r="M382" s="75"/>
    </row>
    <row r="383" spans="2:15" ht="18" customHeight="1">
      <c r="B383" s="79"/>
      <c r="C383" s="649" t="s">
        <v>70</v>
      </c>
      <c r="D383" s="217" t="s">
        <v>134</v>
      </c>
      <c r="E383" s="208" t="s">
        <v>81</v>
      </c>
      <c r="F383" s="208" t="s">
        <v>81</v>
      </c>
      <c r="G383" s="208" t="s">
        <v>81</v>
      </c>
      <c r="H383" s="208" t="s">
        <v>81</v>
      </c>
      <c r="I383" s="208" t="s">
        <v>81</v>
      </c>
      <c r="J383" s="218" t="s">
        <v>13</v>
      </c>
      <c r="K383" s="218" t="s">
        <v>13</v>
      </c>
      <c r="L383" s="631">
        <f>SUM(E384:K384)</f>
        <v>4250000</v>
      </c>
      <c r="M383" s="80"/>
    </row>
    <row r="384" spans="2:15" ht="18" customHeight="1">
      <c r="B384" s="81"/>
      <c r="C384" s="649"/>
      <c r="D384" s="219" t="s">
        <v>135</v>
      </c>
      <c r="E384" s="220">
        <v>850000</v>
      </c>
      <c r="F384" s="220">
        <v>850000</v>
      </c>
      <c r="G384" s="220">
        <v>850000</v>
      </c>
      <c r="H384" s="220">
        <v>850000</v>
      </c>
      <c r="I384" s="220">
        <v>850000</v>
      </c>
      <c r="J384" s="221" t="s">
        <v>13</v>
      </c>
      <c r="K384" s="221" t="s">
        <v>13</v>
      </c>
      <c r="L384" s="631"/>
      <c r="M384" s="82"/>
    </row>
    <row r="385" spans="2:15" ht="24.95" customHeight="1">
      <c r="B385" s="73"/>
      <c r="F385" s="209"/>
      <c r="I385" s="611" t="s">
        <v>117</v>
      </c>
      <c r="J385" s="611"/>
      <c r="K385" s="650">
        <f>SUM(L381:L384)</f>
        <v>4250000</v>
      </c>
      <c r="L385" s="650"/>
      <c r="M385" s="75"/>
    </row>
    <row r="386" spans="2:15" ht="24.95" customHeight="1">
      <c r="B386" s="73"/>
      <c r="F386" s="209"/>
      <c r="I386" s="212"/>
      <c r="J386" s="212"/>
      <c r="K386" s="253"/>
      <c r="L386" s="253"/>
      <c r="M386" s="75"/>
    </row>
    <row r="387" spans="2:15" ht="24.95" customHeight="1">
      <c r="B387" s="73"/>
      <c r="C387" s="640" t="s">
        <v>136</v>
      </c>
      <c r="D387" s="640"/>
      <c r="E387" s="2"/>
      <c r="I387" s="611" t="s">
        <v>116</v>
      </c>
      <c r="J387" s="611"/>
      <c r="K387" s="612">
        <f>+K385+K379</f>
        <v>8500000</v>
      </c>
      <c r="L387" s="612"/>
      <c r="M387" s="75"/>
    </row>
    <row r="388" spans="2:15" ht="9.9499999999999993" customHeight="1">
      <c r="B388" s="73"/>
      <c r="C388" s="641"/>
      <c r="D388" s="641"/>
      <c r="E388" s="2"/>
      <c r="F388" s="225"/>
      <c r="G388" s="225"/>
      <c r="M388" s="75"/>
    </row>
    <row r="389" spans="2:15" ht="15" customHeight="1">
      <c r="B389" s="73"/>
      <c r="C389" s="642" t="s">
        <v>132</v>
      </c>
      <c r="D389" s="1" t="s">
        <v>133</v>
      </c>
      <c r="E389" s="2"/>
      <c r="F389" s="225"/>
      <c r="G389" s="225"/>
      <c r="I389" s="234" t="s">
        <v>131</v>
      </c>
      <c r="J389" s="234" t="s">
        <v>130</v>
      </c>
      <c r="K389" s="234" t="s">
        <v>129</v>
      </c>
      <c r="L389" s="234" t="s">
        <v>128</v>
      </c>
      <c r="M389" s="75"/>
    </row>
    <row r="390" spans="2:15" ht="30" customHeight="1">
      <c r="B390" s="73"/>
      <c r="C390" s="643"/>
      <c r="D390" s="114"/>
      <c r="E390" s="2"/>
      <c r="F390" s="225"/>
      <c r="G390" s="225"/>
      <c r="I390" s="235"/>
      <c r="J390" s="234"/>
      <c r="K390" s="234"/>
      <c r="L390" s="234"/>
      <c r="M390" s="75"/>
    </row>
    <row r="391" spans="2:15" ht="15" customHeight="1">
      <c r="B391" s="73"/>
      <c r="C391" s="644"/>
      <c r="D391" s="114"/>
      <c r="F391" s="226"/>
      <c r="G391" s="226"/>
      <c r="I391" s="236" t="s">
        <v>114</v>
      </c>
      <c r="J391" s="237" t="s">
        <v>113</v>
      </c>
      <c r="K391" s="238" t="s">
        <v>112</v>
      </c>
      <c r="L391" s="234" t="s">
        <v>16</v>
      </c>
      <c r="M391" s="75"/>
    </row>
    <row r="392" spans="2:15" ht="20.100000000000001" customHeight="1" thickBot="1">
      <c r="B392" s="83"/>
      <c r="C392" s="84"/>
      <c r="D392" s="84"/>
      <c r="E392" s="85"/>
      <c r="F392" s="85"/>
      <c r="G392" s="85"/>
      <c r="H392" s="85"/>
      <c r="I392" s="85"/>
      <c r="J392" s="85"/>
      <c r="K392" s="85"/>
      <c r="L392" s="84"/>
      <c r="M392" s="86"/>
    </row>
    <row r="393" spans="2:15" s="254" customFormat="1" ht="9" customHeight="1" thickTop="1" thickBot="1">
      <c r="E393" s="255"/>
      <c r="F393" s="255"/>
      <c r="G393" s="255"/>
      <c r="H393" s="255"/>
      <c r="I393" s="255"/>
      <c r="J393" s="255"/>
      <c r="K393" s="255"/>
      <c r="O393" s="265"/>
    </row>
    <row r="394" spans="2:15" ht="18" customHeight="1" thickTop="1">
      <c r="B394" s="210" t="s">
        <v>138</v>
      </c>
      <c r="C394" s="203"/>
      <c r="D394" s="203"/>
      <c r="E394" s="204"/>
      <c r="F394" s="204"/>
      <c r="G394" s="204"/>
      <c r="H394" s="204"/>
      <c r="I394" s="204"/>
      <c r="J394" s="204"/>
      <c r="K394" s="204"/>
      <c r="L394" s="203"/>
      <c r="M394" s="205"/>
    </row>
    <row r="395" spans="2:15" ht="18" customHeight="1">
      <c r="B395" s="632" t="s">
        <v>119</v>
      </c>
      <c r="C395" s="633"/>
      <c r="D395" s="76" t="s">
        <v>122</v>
      </c>
      <c r="E395" s="2"/>
      <c r="F395" s="2"/>
      <c r="H395" s="224"/>
      <c r="I395" s="224"/>
      <c r="J395" s="227" t="s">
        <v>124</v>
      </c>
      <c r="K395" s="228" t="s">
        <v>126</v>
      </c>
      <c r="L395" s="229"/>
      <c r="M395" s="75"/>
    </row>
    <row r="396" spans="2:15" ht="18" customHeight="1">
      <c r="B396" s="626" t="s">
        <v>120</v>
      </c>
      <c r="C396" s="627"/>
      <c r="D396" s="2" t="s">
        <v>196</v>
      </c>
      <c r="I396" s="211"/>
      <c r="J396" s="230" t="s">
        <v>173</v>
      </c>
      <c r="K396" s="211" t="s">
        <v>137</v>
      </c>
      <c r="L396" s="231"/>
      <c r="M396" s="75"/>
    </row>
    <row r="397" spans="2:15" ht="18" customHeight="1">
      <c r="B397" s="626" t="s">
        <v>121</v>
      </c>
      <c r="C397" s="627"/>
      <c r="D397" s="3" t="s">
        <v>195</v>
      </c>
      <c r="J397" s="232" t="s">
        <v>125</v>
      </c>
      <c r="K397" s="239" t="s">
        <v>194</v>
      </c>
      <c r="L397" s="233"/>
      <c r="M397" s="75"/>
    </row>
    <row r="398" spans="2:15" ht="9.9499999999999993" customHeight="1">
      <c r="B398" s="73"/>
      <c r="M398" s="75"/>
    </row>
    <row r="399" spans="2:15" ht="20.100000000000001" customHeight="1">
      <c r="B399" s="73"/>
      <c r="C399" s="628" t="s">
        <v>165</v>
      </c>
      <c r="D399" s="213" t="s">
        <v>3</v>
      </c>
      <c r="E399" s="214">
        <v>43416</v>
      </c>
      <c r="F399" s="214">
        <v>43417</v>
      </c>
      <c r="G399" s="214">
        <v>43418</v>
      </c>
      <c r="H399" s="214">
        <v>43419</v>
      </c>
      <c r="I399" s="214">
        <v>43420</v>
      </c>
      <c r="J399" s="215">
        <v>43421</v>
      </c>
      <c r="K399" s="215">
        <v>43422</v>
      </c>
      <c r="L399" s="630" t="s">
        <v>63</v>
      </c>
      <c r="M399" s="75"/>
    </row>
    <row r="400" spans="2:15" ht="20.100000000000001" customHeight="1">
      <c r="B400" s="73"/>
      <c r="C400" s="629"/>
      <c r="D400" s="213" t="s">
        <v>2</v>
      </c>
      <c r="E400" s="213" t="s">
        <v>4</v>
      </c>
      <c r="F400" s="213" t="s">
        <v>23</v>
      </c>
      <c r="G400" s="213" t="s">
        <v>29</v>
      </c>
      <c r="H400" s="213" t="s">
        <v>30</v>
      </c>
      <c r="I400" s="213" t="s">
        <v>59</v>
      </c>
      <c r="J400" s="216" t="s">
        <v>40</v>
      </c>
      <c r="K400" s="216" t="s">
        <v>43</v>
      </c>
      <c r="L400" s="630"/>
      <c r="M400" s="75"/>
    </row>
    <row r="401" spans="2:13" ht="18" customHeight="1">
      <c r="B401" s="79"/>
      <c r="C401" s="649" t="s">
        <v>163</v>
      </c>
      <c r="D401" s="217" t="s">
        <v>134</v>
      </c>
      <c r="E401" s="208" t="s">
        <v>81</v>
      </c>
      <c r="F401" s="208" t="s">
        <v>81</v>
      </c>
      <c r="G401" s="208" t="s">
        <v>81</v>
      </c>
      <c r="H401" s="208" t="s">
        <v>81</v>
      </c>
      <c r="I401" s="208" t="s">
        <v>81</v>
      </c>
      <c r="J401" s="218" t="s">
        <v>13</v>
      </c>
      <c r="K401" s="218" t="s">
        <v>13</v>
      </c>
      <c r="L401" s="631">
        <f>SUM(E402:K402)</f>
        <v>4250000</v>
      </c>
      <c r="M401" s="80"/>
    </row>
    <row r="402" spans="2:13" ht="18" customHeight="1">
      <c r="B402" s="81"/>
      <c r="C402" s="649"/>
      <c r="D402" s="219" t="s">
        <v>135</v>
      </c>
      <c r="E402" s="220">
        <v>850000</v>
      </c>
      <c r="F402" s="220">
        <v>850000</v>
      </c>
      <c r="G402" s="220">
        <v>850000</v>
      </c>
      <c r="H402" s="220">
        <v>850000</v>
      </c>
      <c r="I402" s="220">
        <v>850000</v>
      </c>
      <c r="J402" s="221" t="s">
        <v>13</v>
      </c>
      <c r="K402" s="221" t="s">
        <v>13</v>
      </c>
      <c r="L402" s="631"/>
      <c r="M402" s="82"/>
    </row>
    <row r="403" spans="2:13" ht="24.95" customHeight="1">
      <c r="B403" s="73"/>
      <c r="D403" s="206"/>
      <c r="E403" s="207"/>
      <c r="F403" s="207"/>
      <c r="G403" s="207"/>
      <c r="H403" s="207"/>
      <c r="I403" s="651" t="s">
        <v>118</v>
      </c>
      <c r="J403" s="651"/>
      <c r="K403" s="652">
        <f>SUM(L401:L402)</f>
        <v>4250000</v>
      </c>
      <c r="L403" s="652"/>
      <c r="M403" s="75"/>
    </row>
    <row r="404" spans="2:13" ht="24.95" customHeight="1">
      <c r="B404" s="73"/>
      <c r="D404" s="206"/>
      <c r="E404" s="207"/>
      <c r="F404" s="207"/>
      <c r="G404" s="207"/>
      <c r="H404" s="207"/>
      <c r="I404" s="251"/>
      <c r="J404" s="251"/>
      <c r="K404" s="252"/>
      <c r="L404" s="252"/>
      <c r="M404" s="75"/>
    </row>
    <row r="405" spans="2:13" ht="20.100000000000001" customHeight="1">
      <c r="B405" s="73"/>
      <c r="C405" s="634" t="s">
        <v>162</v>
      </c>
      <c r="D405" s="213" t="s">
        <v>3</v>
      </c>
      <c r="E405" s="214">
        <v>43416</v>
      </c>
      <c r="F405" s="214">
        <v>43417</v>
      </c>
      <c r="G405" s="214">
        <v>43418</v>
      </c>
      <c r="H405" s="214">
        <v>43419</v>
      </c>
      <c r="I405" s="214">
        <v>43420</v>
      </c>
      <c r="J405" s="215">
        <v>43421</v>
      </c>
      <c r="K405" s="215">
        <v>43422</v>
      </c>
      <c r="L405" s="645" t="s">
        <v>62</v>
      </c>
      <c r="M405" s="75"/>
    </row>
    <row r="406" spans="2:13" ht="20.100000000000001" customHeight="1">
      <c r="B406" s="73"/>
      <c r="C406" s="635"/>
      <c r="D406" s="213" t="s">
        <v>2</v>
      </c>
      <c r="E406" s="213" t="s">
        <v>4</v>
      </c>
      <c r="F406" s="213" t="s">
        <v>23</v>
      </c>
      <c r="G406" s="213" t="s">
        <v>29</v>
      </c>
      <c r="H406" s="213" t="s">
        <v>30</v>
      </c>
      <c r="I406" s="213" t="s">
        <v>59</v>
      </c>
      <c r="J406" s="216" t="s">
        <v>40</v>
      </c>
      <c r="K406" s="216" t="s">
        <v>43</v>
      </c>
      <c r="L406" s="646"/>
      <c r="M406" s="75"/>
    </row>
    <row r="407" spans="2:13" ht="18" customHeight="1">
      <c r="B407" s="79"/>
      <c r="C407" s="649" t="s">
        <v>70</v>
      </c>
      <c r="D407" s="217" t="s">
        <v>134</v>
      </c>
      <c r="E407" s="208" t="s">
        <v>81</v>
      </c>
      <c r="F407" s="208" t="s">
        <v>81</v>
      </c>
      <c r="G407" s="208" t="s">
        <v>81</v>
      </c>
      <c r="H407" s="208" t="s">
        <v>81</v>
      </c>
      <c r="I407" s="208" t="s">
        <v>81</v>
      </c>
      <c r="J407" s="218" t="s">
        <v>13</v>
      </c>
      <c r="K407" s="218" t="s">
        <v>13</v>
      </c>
      <c r="L407" s="631">
        <f>SUM(E408:K408)</f>
        <v>4250000</v>
      </c>
      <c r="M407" s="80"/>
    </row>
    <row r="408" spans="2:13" ht="18" customHeight="1">
      <c r="B408" s="81"/>
      <c r="C408" s="649"/>
      <c r="D408" s="219" t="s">
        <v>135</v>
      </c>
      <c r="E408" s="220">
        <v>850000</v>
      </c>
      <c r="F408" s="220">
        <v>850000</v>
      </c>
      <c r="G408" s="220">
        <v>850000</v>
      </c>
      <c r="H408" s="220">
        <v>850000</v>
      </c>
      <c r="I408" s="220">
        <v>850000</v>
      </c>
      <c r="J408" s="221" t="s">
        <v>13</v>
      </c>
      <c r="K408" s="221" t="s">
        <v>13</v>
      </c>
      <c r="L408" s="631"/>
      <c r="M408" s="82"/>
    </row>
    <row r="409" spans="2:13" ht="24.95" customHeight="1">
      <c r="B409" s="73"/>
      <c r="F409" s="209"/>
      <c r="I409" s="611" t="s">
        <v>117</v>
      </c>
      <c r="J409" s="611"/>
      <c r="K409" s="650">
        <f>SUM(L405:L408)</f>
        <v>4250000</v>
      </c>
      <c r="L409" s="650"/>
      <c r="M409" s="75"/>
    </row>
    <row r="410" spans="2:13" ht="24.95" customHeight="1">
      <c r="B410" s="73"/>
      <c r="F410" s="209"/>
      <c r="I410" s="212"/>
      <c r="J410" s="212"/>
      <c r="K410" s="253"/>
      <c r="L410" s="253"/>
      <c r="M410" s="75"/>
    </row>
    <row r="411" spans="2:13" ht="24.95" customHeight="1">
      <c r="B411" s="73"/>
      <c r="C411" s="640" t="s">
        <v>136</v>
      </c>
      <c r="D411" s="640"/>
      <c r="E411" s="2"/>
      <c r="I411" s="611" t="s">
        <v>116</v>
      </c>
      <c r="J411" s="611"/>
      <c r="K411" s="612">
        <f>+K409+K403</f>
        <v>8500000</v>
      </c>
      <c r="L411" s="612"/>
      <c r="M411" s="75"/>
    </row>
    <row r="412" spans="2:13" ht="9.9499999999999993" customHeight="1">
      <c r="B412" s="73"/>
      <c r="C412" s="641"/>
      <c r="D412" s="641"/>
      <c r="E412" s="2"/>
      <c r="F412" s="225"/>
      <c r="G412" s="225"/>
      <c r="M412" s="75"/>
    </row>
    <row r="413" spans="2:13" ht="15" customHeight="1">
      <c r="B413" s="73"/>
      <c r="C413" s="642" t="s">
        <v>132</v>
      </c>
      <c r="D413" s="1" t="s">
        <v>133</v>
      </c>
      <c r="E413" s="2"/>
      <c r="F413" s="225"/>
      <c r="G413" s="225"/>
      <c r="I413" s="234" t="s">
        <v>131</v>
      </c>
      <c r="J413" s="234" t="s">
        <v>130</v>
      </c>
      <c r="K413" s="234" t="s">
        <v>129</v>
      </c>
      <c r="L413" s="234" t="s">
        <v>128</v>
      </c>
      <c r="M413" s="75"/>
    </row>
    <row r="414" spans="2:13" ht="30" customHeight="1">
      <c r="B414" s="73"/>
      <c r="C414" s="643"/>
      <c r="D414" s="114"/>
      <c r="E414" s="2"/>
      <c r="F414" s="225"/>
      <c r="G414" s="225"/>
      <c r="I414" s="235"/>
      <c r="J414" s="234"/>
      <c r="K414" s="234"/>
      <c r="L414" s="234"/>
      <c r="M414" s="75"/>
    </row>
    <row r="415" spans="2:13" ht="15" customHeight="1">
      <c r="B415" s="73"/>
      <c r="C415" s="644"/>
      <c r="D415" s="114"/>
      <c r="F415" s="226"/>
      <c r="G415" s="226"/>
      <c r="I415" s="236" t="s">
        <v>114</v>
      </c>
      <c r="J415" s="237" t="s">
        <v>113</v>
      </c>
      <c r="K415" s="238" t="s">
        <v>112</v>
      </c>
      <c r="L415" s="234" t="s">
        <v>16</v>
      </c>
      <c r="M415" s="75"/>
    </row>
    <row r="416" spans="2:13" ht="20.100000000000001" customHeight="1" thickBot="1">
      <c r="B416" s="83"/>
      <c r="C416" s="84"/>
      <c r="D416" s="84"/>
      <c r="E416" s="85"/>
      <c r="F416" s="85"/>
      <c r="G416" s="85"/>
      <c r="H416" s="85"/>
      <c r="I416" s="85"/>
      <c r="J416" s="85"/>
      <c r="K416" s="85"/>
      <c r="L416" s="84"/>
      <c r="M416" s="86"/>
    </row>
    <row r="417" spans="2:15" s="254" customFormat="1" ht="9" customHeight="1" thickTop="1" thickBot="1">
      <c r="E417" s="255"/>
      <c r="F417" s="255"/>
      <c r="G417" s="255"/>
      <c r="H417" s="255"/>
      <c r="I417" s="255"/>
      <c r="J417" s="255"/>
      <c r="K417" s="255"/>
      <c r="O417" s="265"/>
    </row>
    <row r="418" spans="2:15" ht="18" customHeight="1" thickTop="1">
      <c r="B418" s="210" t="s">
        <v>138</v>
      </c>
      <c r="C418" s="203"/>
      <c r="D418" s="203"/>
      <c r="E418" s="204"/>
      <c r="F418" s="204"/>
      <c r="G418" s="204"/>
      <c r="H418" s="204"/>
      <c r="I418" s="204"/>
      <c r="J418" s="204"/>
      <c r="K418" s="204"/>
      <c r="L418" s="203"/>
      <c r="M418" s="205"/>
    </row>
    <row r="419" spans="2:15" ht="18" customHeight="1">
      <c r="B419" s="632" t="s">
        <v>119</v>
      </c>
      <c r="C419" s="633"/>
      <c r="D419" s="76" t="s">
        <v>122</v>
      </c>
      <c r="E419" s="2"/>
      <c r="F419" s="2"/>
      <c r="H419" s="224"/>
      <c r="I419" s="224"/>
      <c r="J419" s="227" t="s">
        <v>124</v>
      </c>
      <c r="K419" s="228" t="s">
        <v>126</v>
      </c>
      <c r="L419" s="229"/>
      <c r="M419" s="75"/>
    </row>
    <row r="420" spans="2:15" ht="18" customHeight="1">
      <c r="B420" s="626" t="s">
        <v>120</v>
      </c>
      <c r="C420" s="627"/>
      <c r="D420" s="2" t="s">
        <v>198</v>
      </c>
      <c r="I420" s="211"/>
      <c r="J420" s="230" t="s">
        <v>173</v>
      </c>
      <c r="K420" s="211" t="s">
        <v>137</v>
      </c>
      <c r="L420" s="231"/>
      <c r="M420" s="75"/>
    </row>
    <row r="421" spans="2:15" ht="18" customHeight="1">
      <c r="B421" s="626" t="s">
        <v>121</v>
      </c>
      <c r="C421" s="627"/>
      <c r="D421" s="3" t="s">
        <v>197</v>
      </c>
      <c r="J421" s="232" t="s">
        <v>125</v>
      </c>
      <c r="K421" s="239" t="s">
        <v>194</v>
      </c>
      <c r="L421" s="233"/>
      <c r="M421" s="75"/>
    </row>
    <row r="422" spans="2:15" ht="9.9499999999999993" customHeight="1">
      <c r="B422" s="73"/>
      <c r="M422" s="75"/>
    </row>
    <row r="423" spans="2:15" ht="20.100000000000001" customHeight="1">
      <c r="B423" s="73"/>
      <c r="C423" s="628" t="s">
        <v>165</v>
      </c>
      <c r="D423" s="213" t="s">
        <v>3</v>
      </c>
      <c r="E423" s="214">
        <v>43423</v>
      </c>
      <c r="F423" s="215">
        <v>43424</v>
      </c>
      <c r="G423" s="214">
        <v>43425</v>
      </c>
      <c r="H423" s="214">
        <v>43426</v>
      </c>
      <c r="I423" s="214">
        <v>43427</v>
      </c>
      <c r="J423" s="215">
        <v>43428</v>
      </c>
      <c r="K423" s="215">
        <v>43429</v>
      </c>
      <c r="L423" s="630" t="s">
        <v>63</v>
      </c>
      <c r="M423" s="75"/>
    </row>
    <row r="424" spans="2:15" ht="20.100000000000001" customHeight="1">
      <c r="B424" s="73"/>
      <c r="C424" s="629"/>
      <c r="D424" s="213" t="s">
        <v>2</v>
      </c>
      <c r="E424" s="213" t="s">
        <v>4</v>
      </c>
      <c r="F424" s="216" t="s">
        <v>23</v>
      </c>
      <c r="G424" s="213" t="s">
        <v>29</v>
      </c>
      <c r="H424" s="213" t="s">
        <v>30</v>
      </c>
      <c r="I424" s="213" t="s">
        <v>59</v>
      </c>
      <c r="J424" s="216" t="s">
        <v>40</v>
      </c>
      <c r="K424" s="216" t="s">
        <v>43</v>
      </c>
      <c r="L424" s="630"/>
      <c r="M424" s="75"/>
    </row>
    <row r="425" spans="2:15" ht="18" customHeight="1">
      <c r="B425" s="79"/>
      <c r="C425" s="649" t="s">
        <v>163</v>
      </c>
      <c r="D425" s="217" t="s">
        <v>134</v>
      </c>
      <c r="E425" s="208" t="s">
        <v>81</v>
      </c>
      <c r="F425" s="208"/>
      <c r="G425" s="208" t="s">
        <v>81</v>
      </c>
      <c r="H425" s="208" t="s">
        <v>81</v>
      </c>
      <c r="I425" s="208" t="s">
        <v>81</v>
      </c>
      <c r="J425" s="218" t="s">
        <v>13</v>
      </c>
      <c r="K425" s="218" t="s">
        <v>13</v>
      </c>
      <c r="L425" s="631">
        <f>SUM(E426:K426)</f>
        <v>3400000</v>
      </c>
      <c r="M425" s="80"/>
    </row>
    <row r="426" spans="2:15" ht="18" customHeight="1">
      <c r="B426" s="81"/>
      <c r="C426" s="649"/>
      <c r="D426" s="219" t="s">
        <v>135</v>
      </c>
      <c r="E426" s="220">
        <v>850000</v>
      </c>
      <c r="F426" s="220"/>
      <c r="G426" s="220">
        <v>850000</v>
      </c>
      <c r="H426" s="220">
        <v>850000</v>
      </c>
      <c r="I426" s="220">
        <v>850000</v>
      </c>
      <c r="J426" s="221" t="s">
        <v>13</v>
      </c>
      <c r="K426" s="221" t="s">
        <v>13</v>
      </c>
      <c r="L426" s="631"/>
      <c r="M426" s="82"/>
    </row>
    <row r="427" spans="2:15" ht="24.95" customHeight="1">
      <c r="B427" s="73"/>
      <c r="D427" s="206"/>
      <c r="E427" s="207"/>
      <c r="F427" s="207"/>
      <c r="G427" s="207"/>
      <c r="H427" s="207"/>
      <c r="I427" s="651" t="s">
        <v>118</v>
      </c>
      <c r="J427" s="651"/>
      <c r="K427" s="652">
        <f>SUM(L425:L426)</f>
        <v>3400000</v>
      </c>
      <c r="L427" s="652"/>
      <c r="M427" s="75"/>
    </row>
    <row r="428" spans="2:15" ht="24.95" customHeight="1">
      <c r="B428" s="73"/>
      <c r="D428" s="206"/>
      <c r="E428" s="207"/>
      <c r="F428" s="207"/>
      <c r="G428" s="207"/>
      <c r="H428" s="207"/>
      <c r="I428" s="251"/>
      <c r="J428" s="251"/>
      <c r="K428" s="252"/>
      <c r="L428" s="252"/>
      <c r="M428" s="75"/>
    </row>
    <row r="429" spans="2:15" ht="20.100000000000001" customHeight="1">
      <c r="B429" s="73"/>
      <c r="C429" s="634" t="s">
        <v>162</v>
      </c>
      <c r="D429" s="213" t="s">
        <v>3</v>
      </c>
      <c r="E429" s="214">
        <v>43423</v>
      </c>
      <c r="F429" s="215">
        <v>43424</v>
      </c>
      <c r="G429" s="214">
        <v>43425</v>
      </c>
      <c r="H429" s="214">
        <v>43426</v>
      </c>
      <c r="I429" s="214">
        <v>43427</v>
      </c>
      <c r="J429" s="215">
        <v>43428</v>
      </c>
      <c r="K429" s="215">
        <v>43429</v>
      </c>
      <c r="L429" s="645" t="s">
        <v>62</v>
      </c>
      <c r="M429" s="75"/>
    </row>
    <row r="430" spans="2:15" ht="20.100000000000001" customHeight="1">
      <c r="B430" s="73"/>
      <c r="C430" s="635"/>
      <c r="D430" s="213" t="s">
        <v>2</v>
      </c>
      <c r="E430" s="213" t="s">
        <v>4</v>
      </c>
      <c r="F430" s="216" t="s">
        <v>23</v>
      </c>
      <c r="G430" s="213" t="s">
        <v>29</v>
      </c>
      <c r="H430" s="213" t="s">
        <v>30</v>
      </c>
      <c r="I430" s="213" t="s">
        <v>59</v>
      </c>
      <c r="J430" s="216" t="s">
        <v>40</v>
      </c>
      <c r="K430" s="216" t="s">
        <v>43</v>
      </c>
      <c r="L430" s="646"/>
      <c r="M430" s="75"/>
    </row>
    <row r="431" spans="2:15" ht="18" customHeight="1">
      <c r="B431" s="79"/>
      <c r="C431" s="649" t="s">
        <v>70</v>
      </c>
      <c r="D431" s="217" t="s">
        <v>134</v>
      </c>
      <c r="E431" s="208" t="s">
        <v>81</v>
      </c>
      <c r="F431" s="208"/>
      <c r="G431" s="208" t="s">
        <v>81</v>
      </c>
      <c r="H431" s="208" t="s">
        <v>81</v>
      </c>
      <c r="I431" s="208" t="s">
        <v>81</v>
      </c>
      <c r="J431" s="218" t="s">
        <v>13</v>
      </c>
      <c r="K431" s="218" t="s">
        <v>13</v>
      </c>
      <c r="L431" s="631">
        <f>SUM(E432:K432)</f>
        <v>3400000</v>
      </c>
      <c r="M431" s="80"/>
    </row>
    <row r="432" spans="2:15" ht="18" customHeight="1">
      <c r="B432" s="81"/>
      <c r="C432" s="649"/>
      <c r="D432" s="219" t="s">
        <v>135</v>
      </c>
      <c r="E432" s="220">
        <v>850000</v>
      </c>
      <c r="F432" s="220"/>
      <c r="G432" s="220">
        <v>850000</v>
      </c>
      <c r="H432" s="220">
        <v>850000</v>
      </c>
      <c r="I432" s="220">
        <v>850000</v>
      </c>
      <c r="J432" s="221" t="s">
        <v>13</v>
      </c>
      <c r="K432" s="221" t="s">
        <v>13</v>
      </c>
      <c r="L432" s="631"/>
      <c r="M432" s="82"/>
    </row>
    <row r="433" spans="2:15" ht="24.95" customHeight="1">
      <c r="B433" s="73"/>
      <c r="F433" s="209"/>
      <c r="I433" s="611" t="s">
        <v>117</v>
      </c>
      <c r="J433" s="611"/>
      <c r="K433" s="650">
        <f>SUM(L429:L432)</f>
        <v>3400000</v>
      </c>
      <c r="L433" s="650"/>
      <c r="M433" s="75"/>
    </row>
    <row r="434" spans="2:15" ht="24.95" customHeight="1">
      <c r="B434" s="73"/>
      <c r="F434" s="209"/>
      <c r="I434" s="212"/>
      <c r="J434" s="212"/>
      <c r="K434" s="253"/>
      <c r="L434" s="253"/>
      <c r="M434" s="75"/>
    </row>
    <row r="435" spans="2:15" ht="24.95" customHeight="1">
      <c r="B435" s="73"/>
      <c r="C435" s="640" t="s">
        <v>136</v>
      </c>
      <c r="D435" s="640"/>
      <c r="E435" s="2"/>
      <c r="I435" s="611" t="s">
        <v>116</v>
      </c>
      <c r="J435" s="611"/>
      <c r="K435" s="612">
        <f>+K433+K427</f>
        <v>6800000</v>
      </c>
      <c r="L435" s="612"/>
      <c r="M435" s="75"/>
    </row>
    <row r="436" spans="2:15" ht="9.9499999999999993" customHeight="1">
      <c r="B436" s="73"/>
      <c r="C436" s="641"/>
      <c r="D436" s="641"/>
      <c r="E436" s="2"/>
      <c r="F436" s="225"/>
      <c r="G436" s="225"/>
      <c r="M436" s="75"/>
    </row>
    <row r="437" spans="2:15" ht="15" customHeight="1">
      <c r="B437" s="73"/>
      <c r="C437" s="642" t="s">
        <v>132</v>
      </c>
      <c r="D437" s="1" t="s">
        <v>133</v>
      </c>
      <c r="E437" s="2"/>
      <c r="F437" s="225"/>
      <c r="G437" s="225"/>
      <c r="I437" s="234" t="s">
        <v>131</v>
      </c>
      <c r="J437" s="234" t="s">
        <v>130</v>
      </c>
      <c r="K437" s="234" t="s">
        <v>129</v>
      </c>
      <c r="L437" s="234" t="s">
        <v>128</v>
      </c>
      <c r="M437" s="75"/>
    </row>
    <row r="438" spans="2:15" ht="30" customHeight="1">
      <c r="B438" s="73"/>
      <c r="C438" s="643"/>
      <c r="D438" s="114"/>
      <c r="E438" s="2"/>
      <c r="F438" s="225"/>
      <c r="G438" s="225"/>
      <c r="I438" s="235"/>
      <c r="J438" s="234"/>
      <c r="K438" s="234"/>
      <c r="L438" s="234"/>
      <c r="M438" s="75"/>
    </row>
    <row r="439" spans="2:15" ht="15" customHeight="1">
      <c r="B439" s="73"/>
      <c r="C439" s="644"/>
      <c r="D439" s="114"/>
      <c r="F439" s="226"/>
      <c r="G439" s="226"/>
      <c r="I439" s="236" t="s">
        <v>114</v>
      </c>
      <c r="J439" s="237" t="s">
        <v>113</v>
      </c>
      <c r="K439" s="238" t="s">
        <v>112</v>
      </c>
      <c r="L439" s="234" t="s">
        <v>16</v>
      </c>
      <c r="M439" s="75"/>
    </row>
    <row r="440" spans="2:15" ht="20.100000000000001" customHeight="1" thickBot="1">
      <c r="B440" s="83"/>
      <c r="C440" s="84"/>
      <c r="D440" s="84"/>
      <c r="E440" s="85"/>
      <c r="F440" s="85"/>
      <c r="G440" s="85"/>
      <c r="H440" s="85"/>
      <c r="I440" s="85"/>
      <c r="J440" s="85"/>
      <c r="K440" s="85"/>
      <c r="L440" s="84"/>
      <c r="M440" s="86"/>
    </row>
    <row r="441" spans="2:15" s="254" customFormat="1" ht="9" customHeight="1" thickTop="1" thickBot="1">
      <c r="E441" s="255"/>
      <c r="F441" s="255"/>
      <c r="G441" s="255"/>
      <c r="H441" s="255"/>
      <c r="I441" s="255"/>
      <c r="J441" s="255"/>
      <c r="K441" s="255"/>
      <c r="O441" s="265"/>
    </row>
    <row r="442" spans="2:15" ht="18" customHeight="1" thickTop="1">
      <c r="B442" s="210" t="s">
        <v>138</v>
      </c>
      <c r="C442" s="203"/>
      <c r="D442" s="203"/>
      <c r="E442" s="204"/>
      <c r="F442" s="204"/>
      <c r="G442" s="204"/>
      <c r="H442" s="204"/>
      <c r="I442" s="204"/>
      <c r="J442" s="204"/>
      <c r="K442" s="204"/>
      <c r="L442" s="203"/>
      <c r="M442" s="205"/>
    </row>
    <row r="443" spans="2:15" ht="18" customHeight="1">
      <c r="B443" s="632" t="s">
        <v>119</v>
      </c>
      <c r="C443" s="633"/>
      <c r="D443" s="76" t="s">
        <v>122</v>
      </c>
      <c r="E443" s="2"/>
      <c r="F443" s="2"/>
      <c r="H443" s="224"/>
      <c r="I443" s="224"/>
      <c r="J443" s="227" t="s">
        <v>124</v>
      </c>
      <c r="K443" s="228" t="s">
        <v>126</v>
      </c>
      <c r="L443" s="229"/>
      <c r="M443" s="75"/>
    </row>
    <row r="444" spans="2:15" ht="18" customHeight="1">
      <c r="B444" s="626" t="s">
        <v>120</v>
      </c>
      <c r="C444" s="627"/>
      <c r="D444" s="2" t="s">
        <v>199</v>
      </c>
      <c r="I444" s="211"/>
      <c r="J444" s="230" t="s">
        <v>173</v>
      </c>
      <c r="K444" s="211" t="s">
        <v>137</v>
      </c>
      <c r="L444" s="231"/>
      <c r="M444" s="75"/>
    </row>
    <row r="445" spans="2:15" ht="18" customHeight="1">
      <c r="B445" s="626" t="s">
        <v>121</v>
      </c>
      <c r="C445" s="627"/>
      <c r="D445" s="3" t="s">
        <v>200</v>
      </c>
      <c r="J445" s="232" t="s">
        <v>125</v>
      </c>
      <c r="K445" s="239" t="s">
        <v>194</v>
      </c>
      <c r="L445" s="233"/>
      <c r="M445" s="75"/>
    </row>
    <row r="446" spans="2:15" ht="9.9499999999999993" customHeight="1">
      <c r="B446" s="73"/>
      <c r="M446" s="75"/>
    </row>
    <row r="447" spans="2:15" ht="20.100000000000001" customHeight="1">
      <c r="B447" s="73"/>
      <c r="C447" s="628" t="s">
        <v>165</v>
      </c>
      <c r="D447" s="213" t="s">
        <v>3</v>
      </c>
      <c r="E447" s="214">
        <v>43430</v>
      </c>
      <c r="F447" s="214">
        <v>43431</v>
      </c>
      <c r="G447" s="214">
        <v>43432</v>
      </c>
      <c r="H447" s="214">
        <v>43433</v>
      </c>
      <c r="I447" s="214">
        <v>43434</v>
      </c>
      <c r="J447" s="215">
        <v>43435</v>
      </c>
      <c r="K447" s="215">
        <v>43436</v>
      </c>
      <c r="L447" s="630" t="s">
        <v>63</v>
      </c>
      <c r="M447" s="75"/>
    </row>
    <row r="448" spans="2:15" ht="20.100000000000001" customHeight="1">
      <c r="B448" s="73"/>
      <c r="C448" s="629"/>
      <c r="D448" s="213" t="s">
        <v>2</v>
      </c>
      <c r="E448" s="213" t="s">
        <v>4</v>
      </c>
      <c r="F448" s="213" t="s">
        <v>23</v>
      </c>
      <c r="G448" s="213" t="s">
        <v>29</v>
      </c>
      <c r="H448" s="213" t="s">
        <v>30</v>
      </c>
      <c r="I448" s="213" t="s">
        <v>59</v>
      </c>
      <c r="J448" s="216" t="s">
        <v>40</v>
      </c>
      <c r="K448" s="216" t="s">
        <v>43</v>
      </c>
      <c r="L448" s="630"/>
      <c r="M448" s="75"/>
    </row>
    <row r="449" spans="2:15" ht="18" customHeight="1">
      <c r="B449" s="79"/>
      <c r="C449" s="649" t="s">
        <v>163</v>
      </c>
      <c r="D449" s="217" t="s">
        <v>134</v>
      </c>
      <c r="E449" s="208" t="s">
        <v>81</v>
      </c>
      <c r="F449" s="208" t="s">
        <v>81</v>
      </c>
      <c r="G449" s="208" t="s">
        <v>81</v>
      </c>
      <c r="H449" s="208" t="s">
        <v>81</v>
      </c>
      <c r="I449" s="208" t="s">
        <v>81</v>
      </c>
      <c r="J449" s="218" t="s">
        <v>13</v>
      </c>
      <c r="K449" s="218" t="s">
        <v>13</v>
      </c>
      <c r="L449" s="631">
        <f>SUM(E450:K450)</f>
        <v>4250000</v>
      </c>
      <c r="M449" s="80"/>
    </row>
    <row r="450" spans="2:15" ht="18" customHeight="1">
      <c r="B450" s="81"/>
      <c r="C450" s="649"/>
      <c r="D450" s="219" t="s">
        <v>135</v>
      </c>
      <c r="E450" s="220">
        <v>850000</v>
      </c>
      <c r="F450" s="220">
        <v>850000</v>
      </c>
      <c r="G450" s="220">
        <v>850000</v>
      </c>
      <c r="H450" s="220">
        <v>850000</v>
      </c>
      <c r="I450" s="220">
        <v>850000</v>
      </c>
      <c r="J450" s="221" t="s">
        <v>13</v>
      </c>
      <c r="K450" s="221" t="s">
        <v>13</v>
      </c>
      <c r="L450" s="631"/>
      <c r="M450" s="82"/>
    </row>
    <row r="451" spans="2:15" ht="24.95" customHeight="1">
      <c r="B451" s="73"/>
      <c r="D451" s="206"/>
      <c r="E451" s="207"/>
      <c r="F451" s="207"/>
      <c r="G451" s="207"/>
      <c r="H451" s="207"/>
      <c r="I451" s="651" t="s">
        <v>118</v>
      </c>
      <c r="J451" s="651"/>
      <c r="K451" s="652">
        <f>SUM(L449:L450)</f>
        <v>4250000</v>
      </c>
      <c r="L451" s="652"/>
      <c r="M451" s="75"/>
    </row>
    <row r="452" spans="2:15" ht="24.95" customHeight="1">
      <c r="B452" s="73"/>
      <c r="D452" s="206"/>
      <c r="E452" s="207"/>
      <c r="F452" s="207"/>
      <c r="G452" s="207"/>
      <c r="H452" s="207"/>
      <c r="I452" s="251"/>
      <c r="J452" s="251"/>
      <c r="K452" s="252"/>
      <c r="L452" s="252"/>
      <c r="M452" s="75"/>
    </row>
    <row r="453" spans="2:15" ht="20.100000000000001" customHeight="1">
      <c r="B453" s="73"/>
      <c r="C453" s="634" t="s">
        <v>162</v>
      </c>
      <c r="D453" s="213" t="s">
        <v>3</v>
      </c>
      <c r="E453" s="214">
        <v>43430</v>
      </c>
      <c r="F453" s="214">
        <v>43431</v>
      </c>
      <c r="G453" s="214">
        <v>43432</v>
      </c>
      <c r="H453" s="214">
        <v>43433</v>
      </c>
      <c r="I453" s="214">
        <v>43434</v>
      </c>
      <c r="J453" s="215">
        <v>43435</v>
      </c>
      <c r="K453" s="215">
        <v>43436</v>
      </c>
      <c r="L453" s="645" t="s">
        <v>62</v>
      </c>
      <c r="M453" s="75"/>
    </row>
    <row r="454" spans="2:15" ht="20.100000000000001" customHeight="1">
      <c r="B454" s="73"/>
      <c r="C454" s="635"/>
      <c r="D454" s="213" t="s">
        <v>2</v>
      </c>
      <c r="E454" s="213" t="s">
        <v>4</v>
      </c>
      <c r="F454" s="213" t="s">
        <v>23</v>
      </c>
      <c r="G454" s="213" t="s">
        <v>29</v>
      </c>
      <c r="H454" s="213" t="s">
        <v>30</v>
      </c>
      <c r="I454" s="213" t="s">
        <v>59</v>
      </c>
      <c r="J454" s="216" t="s">
        <v>40</v>
      </c>
      <c r="K454" s="216" t="s">
        <v>43</v>
      </c>
      <c r="L454" s="646"/>
      <c r="M454" s="75"/>
    </row>
    <row r="455" spans="2:15" ht="18" customHeight="1">
      <c r="B455" s="79"/>
      <c r="C455" s="649" t="s">
        <v>70</v>
      </c>
      <c r="D455" s="217" t="s">
        <v>134</v>
      </c>
      <c r="E455" s="208" t="s">
        <v>81</v>
      </c>
      <c r="F455" s="208" t="s">
        <v>81</v>
      </c>
      <c r="G455" s="208" t="s">
        <v>81</v>
      </c>
      <c r="H455" s="208" t="s">
        <v>81</v>
      </c>
      <c r="I455" s="208" t="s">
        <v>81</v>
      </c>
      <c r="J455" s="218" t="s">
        <v>13</v>
      </c>
      <c r="K455" s="218" t="s">
        <v>13</v>
      </c>
      <c r="L455" s="631">
        <f>SUM(E456:K456)</f>
        <v>4250000</v>
      </c>
      <c r="M455" s="80"/>
    </row>
    <row r="456" spans="2:15" ht="18" customHeight="1">
      <c r="B456" s="81"/>
      <c r="C456" s="649"/>
      <c r="D456" s="219" t="s">
        <v>135</v>
      </c>
      <c r="E456" s="220">
        <v>850000</v>
      </c>
      <c r="F456" s="220">
        <v>850000</v>
      </c>
      <c r="G456" s="220">
        <v>850000</v>
      </c>
      <c r="H456" s="220">
        <v>850000</v>
      </c>
      <c r="I456" s="220">
        <v>850000</v>
      </c>
      <c r="J456" s="221" t="s">
        <v>13</v>
      </c>
      <c r="K456" s="221" t="s">
        <v>13</v>
      </c>
      <c r="L456" s="631"/>
      <c r="M456" s="82"/>
    </row>
    <row r="457" spans="2:15" ht="24.95" customHeight="1">
      <c r="B457" s="73"/>
      <c r="F457" s="209"/>
      <c r="I457" s="611" t="s">
        <v>117</v>
      </c>
      <c r="J457" s="611"/>
      <c r="K457" s="650">
        <f>SUM(L453:L456)</f>
        <v>4250000</v>
      </c>
      <c r="L457" s="650"/>
      <c r="M457" s="75"/>
    </row>
    <row r="458" spans="2:15" ht="24.95" customHeight="1">
      <c r="B458" s="73"/>
      <c r="F458" s="209"/>
      <c r="I458" s="212"/>
      <c r="J458" s="212"/>
      <c r="K458" s="253"/>
      <c r="L458" s="253"/>
      <c r="M458" s="75"/>
    </row>
    <row r="459" spans="2:15" ht="24.95" customHeight="1">
      <c r="B459" s="73"/>
      <c r="C459" s="640" t="s">
        <v>136</v>
      </c>
      <c r="D459" s="640"/>
      <c r="E459" s="2"/>
      <c r="I459" s="611" t="s">
        <v>116</v>
      </c>
      <c r="J459" s="611"/>
      <c r="K459" s="612">
        <f>+K457+K451</f>
        <v>8500000</v>
      </c>
      <c r="L459" s="612"/>
      <c r="M459" s="75"/>
    </row>
    <row r="460" spans="2:15" ht="9.9499999999999993" customHeight="1">
      <c r="B460" s="73"/>
      <c r="C460" s="641"/>
      <c r="D460" s="641"/>
      <c r="E460" s="2"/>
      <c r="F460" s="225"/>
      <c r="G460" s="225"/>
      <c r="M460" s="75"/>
    </row>
    <row r="461" spans="2:15" ht="15" customHeight="1">
      <c r="B461" s="73"/>
      <c r="C461" s="642" t="s">
        <v>132</v>
      </c>
      <c r="D461" s="1" t="s">
        <v>133</v>
      </c>
      <c r="E461" s="2"/>
      <c r="F461" s="225"/>
      <c r="G461" s="225"/>
      <c r="I461" s="234" t="s">
        <v>131</v>
      </c>
      <c r="J461" s="234" t="s">
        <v>130</v>
      </c>
      <c r="K461" s="234" t="s">
        <v>129</v>
      </c>
      <c r="L461" s="234" t="s">
        <v>128</v>
      </c>
      <c r="M461" s="75"/>
    </row>
    <row r="462" spans="2:15" ht="30" customHeight="1">
      <c r="B462" s="73"/>
      <c r="C462" s="643"/>
      <c r="D462" s="114"/>
      <c r="E462" s="2"/>
      <c r="F462" s="225"/>
      <c r="G462" s="225"/>
      <c r="I462" s="235"/>
      <c r="J462" s="234"/>
      <c r="K462" s="234"/>
      <c r="L462" s="234"/>
      <c r="M462" s="75"/>
      <c r="O462" s="263">
        <f>+K459+K435+K411+K387</f>
        <v>32300000</v>
      </c>
    </row>
    <row r="463" spans="2:15" ht="15" customHeight="1">
      <c r="B463" s="73"/>
      <c r="C463" s="644"/>
      <c r="D463" s="114"/>
      <c r="F463" s="226"/>
      <c r="G463" s="226"/>
      <c r="I463" s="236" t="s">
        <v>114</v>
      </c>
      <c r="J463" s="237" t="s">
        <v>113</v>
      </c>
      <c r="K463" s="238" t="s">
        <v>112</v>
      </c>
      <c r="L463" s="234" t="s">
        <v>16</v>
      </c>
      <c r="M463" s="75"/>
    </row>
    <row r="464" spans="2:15" ht="20.100000000000001" customHeight="1" thickBot="1">
      <c r="B464" s="83"/>
      <c r="C464" s="84"/>
      <c r="D464" s="84"/>
      <c r="E464" s="85"/>
      <c r="F464" s="85"/>
      <c r="G464" s="85"/>
      <c r="H464" s="85"/>
      <c r="I464" s="85"/>
      <c r="J464" s="85"/>
      <c r="K464" s="85"/>
      <c r="L464" s="84"/>
      <c r="M464" s="86"/>
    </row>
    <row r="465" spans="2:15" s="254" customFormat="1" ht="9" customHeight="1" thickTop="1" thickBot="1">
      <c r="E465" s="255"/>
      <c r="F465" s="255"/>
      <c r="G465" s="255"/>
      <c r="H465" s="255"/>
      <c r="I465" s="255"/>
      <c r="J465" s="255"/>
      <c r="K465" s="255"/>
      <c r="O465" s="265"/>
    </row>
    <row r="466" spans="2:15" ht="18" customHeight="1" thickTop="1">
      <c r="B466" s="210" t="s">
        <v>138</v>
      </c>
      <c r="C466" s="203"/>
      <c r="D466" s="203"/>
      <c r="E466" s="204"/>
      <c r="F466" s="204"/>
      <c r="G466" s="204"/>
      <c r="H466" s="204"/>
      <c r="I466" s="204"/>
      <c r="J466" s="204"/>
      <c r="K466" s="204"/>
      <c r="L466" s="203"/>
      <c r="M466" s="205"/>
    </row>
    <row r="467" spans="2:15" ht="18" customHeight="1">
      <c r="B467" s="632" t="s">
        <v>119</v>
      </c>
      <c r="C467" s="633"/>
      <c r="D467" s="76" t="s">
        <v>122</v>
      </c>
      <c r="E467" s="2"/>
      <c r="F467" s="2"/>
      <c r="H467" s="224"/>
      <c r="I467" s="224"/>
      <c r="J467" s="227" t="s">
        <v>124</v>
      </c>
      <c r="K467" s="228" t="s">
        <v>126</v>
      </c>
      <c r="L467" s="229"/>
      <c r="M467" s="75"/>
    </row>
    <row r="468" spans="2:15" ht="18" customHeight="1">
      <c r="B468" s="626" t="s">
        <v>120</v>
      </c>
      <c r="C468" s="627"/>
      <c r="D468" s="2" t="s">
        <v>206</v>
      </c>
      <c r="I468" s="211"/>
      <c r="J468" s="230" t="s">
        <v>173</v>
      </c>
      <c r="K468" s="211" t="s">
        <v>137</v>
      </c>
      <c r="L468" s="231"/>
      <c r="M468" s="75"/>
    </row>
    <row r="469" spans="2:15" ht="18" customHeight="1">
      <c r="B469" s="626" t="s">
        <v>121</v>
      </c>
      <c r="C469" s="627"/>
      <c r="D469" s="3" t="s">
        <v>201</v>
      </c>
      <c r="J469" s="232" t="s">
        <v>125</v>
      </c>
      <c r="K469" s="239" t="s">
        <v>202</v>
      </c>
      <c r="L469" s="233"/>
      <c r="M469" s="75"/>
    </row>
    <row r="470" spans="2:15" ht="9.9499999999999993" customHeight="1">
      <c r="B470" s="73"/>
      <c r="M470" s="75"/>
    </row>
    <row r="471" spans="2:15" ht="20.100000000000001" customHeight="1">
      <c r="B471" s="73"/>
      <c r="C471" s="628" t="s">
        <v>60</v>
      </c>
      <c r="D471" s="213" t="s">
        <v>3</v>
      </c>
      <c r="E471" s="214">
        <v>43437</v>
      </c>
      <c r="F471" s="214">
        <v>43438</v>
      </c>
      <c r="G471" s="214">
        <v>43439</v>
      </c>
      <c r="H471" s="214">
        <v>43440</v>
      </c>
      <c r="I471" s="214">
        <v>43441</v>
      </c>
      <c r="J471" s="215">
        <v>43442</v>
      </c>
      <c r="K471" s="215">
        <v>43443</v>
      </c>
      <c r="L471" s="630" t="s">
        <v>63</v>
      </c>
      <c r="M471" s="75"/>
    </row>
    <row r="472" spans="2:15" ht="20.100000000000001" customHeight="1">
      <c r="B472" s="73"/>
      <c r="C472" s="629"/>
      <c r="D472" s="213" t="s">
        <v>2</v>
      </c>
      <c r="E472" s="213" t="s">
        <v>4</v>
      </c>
      <c r="F472" s="213" t="s">
        <v>23</v>
      </c>
      <c r="G472" s="213" t="s">
        <v>29</v>
      </c>
      <c r="H472" s="213" t="s">
        <v>30</v>
      </c>
      <c r="I472" s="213" t="s">
        <v>59</v>
      </c>
      <c r="J472" s="216" t="s">
        <v>40</v>
      </c>
      <c r="K472" s="216" t="s">
        <v>43</v>
      </c>
      <c r="L472" s="630"/>
      <c r="M472" s="75"/>
    </row>
    <row r="473" spans="2:15" ht="18" customHeight="1">
      <c r="B473" s="79"/>
      <c r="C473" s="649" t="s">
        <v>163</v>
      </c>
      <c r="D473" s="217" t="s">
        <v>134</v>
      </c>
      <c r="E473" s="208" t="s">
        <v>81</v>
      </c>
      <c r="F473" s="208" t="s">
        <v>81</v>
      </c>
      <c r="G473" s="208" t="s">
        <v>81</v>
      </c>
      <c r="H473" s="208" t="s">
        <v>81</v>
      </c>
      <c r="I473" s="208" t="s">
        <v>81</v>
      </c>
      <c r="J473" s="218" t="s">
        <v>13</v>
      </c>
      <c r="K473" s="218" t="s">
        <v>13</v>
      </c>
      <c r="L473" s="631">
        <f>SUM(E474:K474)</f>
        <v>4250000</v>
      </c>
      <c r="M473" s="80"/>
    </row>
    <row r="474" spans="2:15" ht="18" customHeight="1">
      <c r="B474" s="81"/>
      <c r="C474" s="649"/>
      <c r="D474" s="219" t="s">
        <v>135</v>
      </c>
      <c r="E474" s="220">
        <v>850000</v>
      </c>
      <c r="F474" s="220">
        <v>850000</v>
      </c>
      <c r="G474" s="220">
        <v>850000</v>
      </c>
      <c r="H474" s="220">
        <v>850000</v>
      </c>
      <c r="I474" s="220">
        <v>850000</v>
      </c>
      <c r="J474" s="221" t="s">
        <v>13</v>
      </c>
      <c r="K474" s="221" t="s">
        <v>13</v>
      </c>
      <c r="L474" s="631"/>
      <c r="M474" s="82"/>
    </row>
    <row r="475" spans="2:15" ht="24.95" customHeight="1">
      <c r="B475" s="73"/>
      <c r="D475" s="206"/>
      <c r="E475" s="207"/>
      <c r="F475" s="207"/>
      <c r="G475" s="207"/>
      <c r="H475" s="207"/>
      <c r="I475" s="651" t="s">
        <v>118</v>
      </c>
      <c r="J475" s="651"/>
      <c r="K475" s="652">
        <f>SUM(L473:L474)</f>
        <v>4250000</v>
      </c>
      <c r="L475" s="652"/>
      <c r="M475" s="75"/>
    </row>
    <row r="476" spans="2:15" ht="24.95" customHeight="1">
      <c r="B476" s="73"/>
      <c r="D476" s="206"/>
      <c r="E476" s="207"/>
      <c r="F476" s="207"/>
      <c r="G476" s="207"/>
      <c r="H476" s="207"/>
      <c r="I476" s="251"/>
      <c r="J476" s="251"/>
      <c r="K476" s="252"/>
      <c r="L476" s="252"/>
      <c r="M476" s="75"/>
    </row>
    <row r="477" spans="2:15" ht="20.100000000000001" customHeight="1">
      <c r="B477" s="73"/>
      <c r="C477" s="634" t="s">
        <v>61</v>
      </c>
      <c r="D477" s="213" t="s">
        <v>3</v>
      </c>
      <c r="E477" s="214">
        <v>43437</v>
      </c>
      <c r="F477" s="214">
        <v>43438</v>
      </c>
      <c r="G477" s="214">
        <v>43439</v>
      </c>
      <c r="H477" s="214">
        <v>43440</v>
      </c>
      <c r="I477" s="214">
        <v>43441</v>
      </c>
      <c r="J477" s="215">
        <v>43442</v>
      </c>
      <c r="K477" s="215">
        <v>43443</v>
      </c>
      <c r="L477" s="645" t="s">
        <v>62</v>
      </c>
      <c r="M477" s="75"/>
    </row>
    <row r="478" spans="2:15" ht="20.100000000000001" customHeight="1">
      <c r="B478" s="73"/>
      <c r="C478" s="635"/>
      <c r="D478" s="213" t="s">
        <v>2</v>
      </c>
      <c r="E478" s="213" t="s">
        <v>4</v>
      </c>
      <c r="F478" s="213" t="s">
        <v>23</v>
      </c>
      <c r="G478" s="213" t="s">
        <v>29</v>
      </c>
      <c r="H478" s="213" t="s">
        <v>30</v>
      </c>
      <c r="I478" s="213" t="s">
        <v>59</v>
      </c>
      <c r="J478" s="216" t="s">
        <v>40</v>
      </c>
      <c r="K478" s="216" t="s">
        <v>43</v>
      </c>
      <c r="L478" s="646"/>
      <c r="M478" s="75"/>
    </row>
    <row r="479" spans="2:15" ht="18" customHeight="1">
      <c r="B479" s="79"/>
      <c r="C479" s="649" t="s">
        <v>70</v>
      </c>
      <c r="D479" s="217" t="s">
        <v>134</v>
      </c>
      <c r="E479" s="208" t="s">
        <v>81</v>
      </c>
      <c r="F479" s="208" t="s">
        <v>81</v>
      </c>
      <c r="G479" s="208" t="s">
        <v>81</v>
      </c>
      <c r="H479" s="208" t="s">
        <v>81</v>
      </c>
      <c r="I479" s="208" t="s">
        <v>81</v>
      </c>
      <c r="J479" s="218" t="s">
        <v>13</v>
      </c>
      <c r="K479" s="218" t="s">
        <v>13</v>
      </c>
      <c r="L479" s="631">
        <f>SUM(E480:K480)</f>
        <v>4250000</v>
      </c>
      <c r="M479" s="80"/>
    </row>
    <row r="480" spans="2:15" ht="18" customHeight="1">
      <c r="B480" s="81"/>
      <c r="C480" s="649"/>
      <c r="D480" s="219" t="s">
        <v>135</v>
      </c>
      <c r="E480" s="220">
        <v>850000</v>
      </c>
      <c r="F480" s="220">
        <v>850000</v>
      </c>
      <c r="G480" s="220">
        <v>850000</v>
      </c>
      <c r="H480" s="220">
        <v>850000</v>
      </c>
      <c r="I480" s="220">
        <v>850000</v>
      </c>
      <c r="J480" s="221" t="s">
        <v>13</v>
      </c>
      <c r="K480" s="221" t="s">
        <v>13</v>
      </c>
      <c r="L480" s="631"/>
      <c r="M480" s="82"/>
    </row>
    <row r="481" spans="2:15" ht="24.95" customHeight="1">
      <c r="B481" s="73"/>
      <c r="F481" s="209"/>
      <c r="I481" s="611" t="s">
        <v>117</v>
      </c>
      <c r="J481" s="611"/>
      <c r="K481" s="650">
        <f>SUM(L477:L480)</f>
        <v>4250000</v>
      </c>
      <c r="L481" s="650"/>
      <c r="M481" s="75"/>
    </row>
    <row r="482" spans="2:15" ht="24.95" customHeight="1">
      <c r="B482" s="73"/>
      <c r="F482" s="209"/>
      <c r="I482" s="212"/>
      <c r="J482" s="212"/>
      <c r="K482" s="253"/>
      <c r="L482" s="253"/>
      <c r="M482" s="75"/>
    </row>
    <row r="483" spans="2:15" ht="24.95" customHeight="1">
      <c r="B483" s="73"/>
      <c r="C483" s="640" t="s">
        <v>136</v>
      </c>
      <c r="D483" s="640"/>
      <c r="E483" s="2"/>
      <c r="I483" s="611" t="s">
        <v>116</v>
      </c>
      <c r="J483" s="611"/>
      <c r="K483" s="612">
        <f>+K481+K475</f>
        <v>8500000</v>
      </c>
      <c r="L483" s="612"/>
      <c r="M483" s="75"/>
    </row>
    <row r="484" spans="2:15" ht="9.9499999999999993" customHeight="1">
      <c r="B484" s="73"/>
      <c r="C484" s="641"/>
      <c r="D484" s="641"/>
      <c r="E484" s="2"/>
      <c r="F484" s="225"/>
      <c r="G484" s="225"/>
      <c r="M484" s="75"/>
    </row>
    <row r="485" spans="2:15" ht="15" customHeight="1">
      <c r="B485" s="73"/>
      <c r="C485" s="642" t="s">
        <v>132</v>
      </c>
      <c r="D485" s="1" t="s">
        <v>133</v>
      </c>
      <c r="E485" s="2"/>
      <c r="F485" s="225"/>
      <c r="G485" s="225"/>
      <c r="I485" s="234" t="s">
        <v>131</v>
      </c>
      <c r="J485" s="234" t="s">
        <v>130</v>
      </c>
      <c r="K485" s="234" t="s">
        <v>129</v>
      </c>
      <c r="L485" s="234" t="s">
        <v>128</v>
      </c>
      <c r="M485" s="75"/>
    </row>
    <row r="486" spans="2:15" ht="30" customHeight="1">
      <c r="B486" s="73"/>
      <c r="C486" s="643"/>
      <c r="D486" s="114"/>
      <c r="E486" s="2"/>
      <c r="F486" s="225"/>
      <c r="G486" s="225"/>
      <c r="I486" s="235"/>
      <c r="J486" s="234"/>
      <c r="K486" s="234"/>
      <c r="L486" s="234"/>
      <c r="M486" s="75"/>
    </row>
    <row r="487" spans="2:15" ht="15" customHeight="1">
      <c r="B487" s="73"/>
      <c r="C487" s="644"/>
      <c r="D487" s="114"/>
      <c r="F487" s="226"/>
      <c r="G487" s="226"/>
      <c r="I487" s="236" t="s">
        <v>114</v>
      </c>
      <c r="J487" s="237" t="s">
        <v>113</v>
      </c>
      <c r="K487" s="238" t="s">
        <v>112</v>
      </c>
      <c r="L487" s="234" t="s">
        <v>16</v>
      </c>
      <c r="M487" s="75"/>
    </row>
    <row r="488" spans="2:15" ht="20.100000000000001" customHeight="1" thickBot="1">
      <c r="B488" s="83"/>
      <c r="C488" s="84"/>
      <c r="D488" s="84"/>
      <c r="E488" s="85"/>
      <c r="F488" s="85"/>
      <c r="G488" s="85"/>
      <c r="H488" s="85"/>
      <c r="I488" s="85"/>
      <c r="J488" s="85"/>
      <c r="K488" s="85"/>
      <c r="L488" s="84"/>
      <c r="M488" s="86"/>
    </row>
    <row r="489" spans="2:15" s="254" customFormat="1" ht="9" customHeight="1" thickTop="1" thickBot="1">
      <c r="E489" s="255"/>
      <c r="F489" s="255"/>
      <c r="G489" s="255"/>
      <c r="H489" s="255"/>
      <c r="I489" s="255"/>
      <c r="J489" s="255"/>
      <c r="K489" s="255"/>
      <c r="O489" s="265"/>
    </row>
    <row r="490" spans="2:15" ht="18" customHeight="1" thickTop="1">
      <c r="B490" s="210" t="s">
        <v>138</v>
      </c>
      <c r="C490" s="203"/>
      <c r="D490" s="203"/>
      <c r="E490" s="204"/>
      <c r="F490" s="204"/>
      <c r="G490" s="204"/>
      <c r="H490" s="204"/>
      <c r="I490" s="204"/>
      <c r="J490" s="204"/>
      <c r="K490" s="204"/>
      <c r="L490" s="203"/>
      <c r="M490" s="205"/>
    </row>
    <row r="491" spans="2:15" ht="18" customHeight="1">
      <c r="B491" s="632" t="s">
        <v>119</v>
      </c>
      <c r="C491" s="633"/>
      <c r="D491" s="76" t="s">
        <v>122</v>
      </c>
      <c r="E491" s="2"/>
      <c r="F491" s="2"/>
      <c r="H491" s="224"/>
      <c r="I491" s="224"/>
      <c r="J491" s="227" t="s">
        <v>124</v>
      </c>
      <c r="K491" s="228" t="s">
        <v>126</v>
      </c>
      <c r="L491" s="229"/>
      <c r="M491" s="75"/>
    </row>
    <row r="492" spans="2:15" ht="18" customHeight="1">
      <c r="B492" s="626" t="s">
        <v>120</v>
      </c>
      <c r="C492" s="627"/>
      <c r="D492" s="2" t="s">
        <v>207</v>
      </c>
      <c r="I492" s="211"/>
      <c r="J492" s="230" t="s">
        <v>173</v>
      </c>
      <c r="K492" s="211" t="s">
        <v>137</v>
      </c>
      <c r="L492" s="231"/>
      <c r="M492" s="75"/>
    </row>
    <row r="493" spans="2:15" ht="18" customHeight="1">
      <c r="B493" s="626" t="s">
        <v>121</v>
      </c>
      <c r="C493" s="627"/>
      <c r="D493" s="3" t="s">
        <v>203</v>
      </c>
      <c r="J493" s="232" t="s">
        <v>125</v>
      </c>
      <c r="K493" s="239" t="s">
        <v>202</v>
      </c>
      <c r="L493" s="233"/>
      <c r="M493" s="75"/>
    </row>
    <row r="494" spans="2:15" ht="9.9499999999999993" customHeight="1">
      <c r="B494" s="73"/>
      <c r="M494" s="75"/>
    </row>
    <row r="495" spans="2:15" ht="20.100000000000001" customHeight="1">
      <c r="B495" s="73"/>
      <c r="C495" s="628" t="s">
        <v>60</v>
      </c>
      <c r="D495" s="213" t="s">
        <v>3</v>
      </c>
      <c r="E495" s="214">
        <v>43444</v>
      </c>
      <c r="F495" s="214">
        <v>43445</v>
      </c>
      <c r="G495" s="214">
        <v>43446</v>
      </c>
      <c r="H495" s="214">
        <v>43447</v>
      </c>
      <c r="I495" s="214">
        <v>43448</v>
      </c>
      <c r="J495" s="215">
        <v>43449</v>
      </c>
      <c r="K495" s="215">
        <v>43450</v>
      </c>
      <c r="L495" s="630" t="s">
        <v>63</v>
      </c>
      <c r="M495" s="75"/>
    </row>
    <row r="496" spans="2:15" ht="20.100000000000001" customHeight="1">
      <c r="B496" s="73"/>
      <c r="C496" s="629"/>
      <c r="D496" s="213" t="s">
        <v>2</v>
      </c>
      <c r="E496" s="213" t="s">
        <v>4</v>
      </c>
      <c r="F496" s="213" t="s">
        <v>23</v>
      </c>
      <c r="G496" s="213" t="s">
        <v>29</v>
      </c>
      <c r="H496" s="213" t="s">
        <v>30</v>
      </c>
      <c r="I496" s="213" t="s">
        <v>59</v>
      </c>
      <c r="J496" s="216" t="s">
        <v>40</v>
      </c>
      <c r="K496" s="216" t="s">
        <v>43</v>
      </c>
      <c r="L496" s="630"/>
      <c r="M496" s="75"/>
    </row>
    <row r="497" spans="2:13" ht="18" customHeight="1">
      <c r="B497" s="79"/>
      <c r="C497" s="649" t="s">
        <v>163</v>
      </c>
      <c r="D497" s="217" t="s">
        <v>134</v>
      </c>
      <c r="E497" s="208" t="s">
        <v>81</v>
      </c>
      <c r="F497" s="208" t="s">
        <v>81</v>
      </c>
      <c r="G497" s="208" t="s">
        <v>81</v>
      </c>
      <c r="H497" s="208" t="s">
        <v>81</v>
      </c>
      <c r="I497" s="208" t="s">
        <v>81</v>
      </c>
      <c r="J497" s="218" t="s">
        <v>13</v>
      </c>
      <c r="K497" s="218" t="s">
        <v>13</v>
      </c>
      <c r="L497" s="631">
        <f>SUM(E498:K498)</f>
        <v>4250000</v>
      </c>
      <c r="M497" s="80"/>
    </row>
    <row r="498" spans="2:13" ht="18" customHeight="1">
      <c r="B498" s="81"/>
      <c r="C498" s="649"/>
      <c r="D498" s="219" t="s">
        <v>135</v>
      </c>
      <c r="E498" s="220">
        <v>850000</v>
      </c>
      <c r="F498" s="220">
        <v>850000</v>
      </c>
      <c r="G498" s="220">
        <v>850000</v>
      </c>
      <c r="H498" s="220">
        <v>850000</v>
      </c>
      <c r="I498" s="220">
        <v>850000</v>
      </c>
      <c r="J498" s="221" t="s">
        <v>13</v>
      </c>
      <c r="K498" s="221" t="s">
        <v>13</v>
      </c>
      <c r="L498" s="631"/>
      <c r="M498" s="82"/>
    </row>
    <row r="499" spans="2:13" ht="24.95" customHeight="1">
      <c r="B499" s="73"/>
      <c r="D499" s="206"/>
      <c r="E499" s="207"/>
      <c r="F499" s="207"/>
      <c r="G499" s="207"/>
      <c r="H499" s="207"/>
      <c r="I499" s="651" t="s">
        <v>118</v>
      </c>
      <c r="J499" s="651"/>
      <c r="K499" s="652">
        <f>SUM(L497:L498)</f>
        <v>4250000</v>
      </c>
      <c r="L499" s="652"/>
      <c r="M499" s="75"/>
    </row>
    <row r="500" spans="2:13" ht="24.95" customHeight="1">
      <c r="B500" s="73"/>
      <c r="D500" s="206"/>
      <c r="E500" s="207"/>
      <c r="F500" s="207"/>
      <c r="G500" s="207"/>
      <c r="H500" s="207"/>
      <c r="I500" s="251"/>
      <c r="J500" s="251"/>
      <c r="K500" s="252"/>
      <c r="L500" s="252"/>
      <c r="M500" s="75"/>
    </row>
    <row r="501" spans="2:13" ht="20.100000000000001" customHeight="1">
      <c r="B501" s="73"/>
      <c r="C501" s="634" t="s">
        <v>61</v>
      </c>
      <c r="D501" s="213" t="s">
        <v>3</v>
      </c>
      <c r="E501" s="214">
        <v>43444</v>
      </c>
      <c r="F501" s="214">
        <v>43445</v>
      </c>
      <c r="G501" s="214">
        <v>43446</v>
      </c>
      <c r="H501" s="214">
        <v>43447</v>
      </c>
      <c r="I501" s="214">
        <v>43448</v>
      </c>
      <c r="J501" s="215">
        <v>43449</v>
      </c>
      <c r="K501" s="215">
        <v>43450</v>
      </c>
      <c r="L501" s="645" t="s">
        <v>62</v>
      </c>
      <c r="M501" s="75"/>
    </row>
    <row r="502" spans="2:13" ht="20.100000000000001" customHeight="1">
      <c r="B502" s="73"/>
      <c r="C502" s="635"/>
      <c r="D502" s="213" t="s">
        <v>2</v>
      </c>
      <c r="E502" s="213" t="s">
        <v>4</v>
      </c>
      <c r="F502" s="213" t="s">
        <v>23</v>
      </c>
      <c r="G502" s="213" t="s">
        <v>29</v>
      </c>
      <c r="H502" s="213" t="s">
        <v>30</v>
      </c>
      <c r="I502" s="213" t="s">
        <v>59</v>
      </c>
      <c r="J502" s="216" t="s">
        <v>40</v>
      </c>
      <c r="K502" s="216" t="s">
        <v>43</v>
      </c>
      <c r="L502" s="646"/>
      <c r="M502" s="75"/>
    </row>
    <row r="503" spans="2:13" ht="18" customHeight="1">
      <c r="B503" s="79"/>
      <c r="C503" s="649" t="s">
        <v>70</v>
      </c>
      <c r="D503" s="217" t="s">
        <v>134</v>
      </c>
      <c r="E503" s="208" t="s">
        <v>81</v>
      </c>
      <c r="F503" s="208" t="s">
        <v>81</v>
      </c>
      <c r="G503" s="208" t="s">
        <v>81</v>
      </c>
      <c r="H503" s="208" t="s">
        <v>81</v>
      </c>
      <c r="I503" s="208" t="s">
        <v>81</v>
      </c>
      <c r="J503" s="218" t="s">
        <v>13</v>
      </c>
      <c r="K503" s="218" t="s">
        <v>13</v>
      </c>
      <c r="L503" s="631">
        <f>SUM(E504:K504)</f>
        <v>4250000</v>
      </c>
      <c r="M503" s="80"/>
    </row>
    <row r="504" spans="2:13" ht="18" customHeight="1">
      <c r="B504" s="81"/>
      <c r="C504" s="649"/>
      <c r="D504" s="219" t="s">
        <v>135</v>
      </c>
      <c r="E504" s="220">
        <v>850000</v>
      </c>
      <c r="F504" s="220">
        <v>850000</v>
      </c>
      <c r="G504" s="220">
        <v>850000</v>
      </c>
      <c r="H504" s="220">
        <v>850000</v>
      </c>
      <c r="I504" s="220">
        <v>850000</v>
      </c>
      <c r="J504" s="221" t="s">
        <v>13</v>
      </c>
      <c r="K504" s="221" t="s">
        <v>13</v>
      </c>
      <c r="L504" s="631"/>
      <c r="M504" s="82"/>
    </row>
    <row r="505" spans="2:13" ht="24.95" customHeight="1">
      <c r="B505" s="73"/>
      <c r="F505" s="209"/>
      <c r="I505" s="611" t="s">
        <v>117</v>
      </c>
      <c r="J505" s="611"/>
      <c r="K505" s="650">
        <f>SUM(L501:L504)</f>
        <v>4250000</v>
      </c>
      <c r="L505" s="650"/>
      <c r="M505" s="75"/>
    </row>
    <row r="506" spans="2:13" ht="24.95" customHeight="1">
      <c r="B506" s="73"/>
      <c r="F506" s="209"/>
      <c r="I506" s="212"/>
      <c r="J506" s="212"/>
      <c r="K506" s="253"/>
      <c r="L506" s="253"/>
      <c r="M506" s="75"/>
    </row>
    <row r="507" spans="2:13" ht="24.95" customHeight="1">
      <c r="B507" s="73"/>
      <c r="C507" s="640" t="s">
        <v>136</v>
      </c>
      <c r="D507" s="640"/>
      <c r="E507" s="2"/>
      <c r="I507" s="611" t="s">
        <v>116</v>
      </c>
      <c r="J507" s="611"/>
      <c r="K507" s="612">
        <f>+K505+K499</f>
        <v>8500000</v>
      </c>
      <c r="L507" s="612"/>
      <c r="M507" s="75"/>
    </row>
    <row r="508" spans="2:13" ht="9.9499999999999993" customHeight="1">
      <c r="B508" s="73"/>
      <c r="C508" s="641"/>
      <c r="D508" s="641"/>
      <c r="E508" s="2"/>
      <c r="F508" s="225"/>
      <c r="G508" s="225"/>
      <c r="M508" s="75"/>
    </row>
    <row r="509" spans="2:13" ht="15" customHeight="1">
      <c r="B509" s="73"/>
      <c r="C509" s="642" t="s">
        <v>132</v>
      </c>
      <c r="D509" s="1" t="s">
        <v>133</v>
      </c>
      <c r="E509" s="2"/>
      <c r="F509" s="225"/>
      <c r="G509" s="225"/>
      <c r="I509" s="234" t="s">
        <v>131</v>
      </c>
      <c r="J509" s="234" t="s">
        <v>130</v>
      </c>
      <c r="K509" s="234" t="s">
        <v>129</v>
      </c>
      <c r="L509" s="234" t="s">
        <v>128</v>
      </c>
      <c r="M509" s="75"/>
    </row>
    <row r="510" spans="2:13" ht="30" customHeight="1">
      <c r="B510" s="73"/>
      <c r="C510" s="643"/>
      <c r="D510" s="114"/>
      <c r="E510" s="2"/>
      <c r="F510" s="225"/>
      <c r="G510" s="225"/>
      <c r="I510" s="235"/>
      <c r="J510" s="234"/>
      <c r="K510" s="234"/>
      <c r="L510" s="234"/>
      <c r="M510" s="75"/>
    </row>
    <row r="511" spans="2:13" ht="15" customHeight="1">
      <c r="B511" s="73"/>
      <c r="C511" s="644"/>
      <c r="D511" s="114"/>
      <c r="F511" s="226"/>
      <c r="G511" s="226"/>
      <c r="I511" s="236" t="s">
        <v>114</v>
      </c>
      <c r="J511" s="237" t="s">
        <v>113</v>
      </c>
      <c r="K511" s="238" t="s">
        <v>112</v>
      </c>
      <c r="L511" s="234" t="s">
        <v>16</v>
      </c>
      <c r="M511" s="75"/>
    </row>
    <row r="512" spans="2:13" ht="20.100000000000001" customHeight="1" thickBot="1">
      <c r="B512" s="83"/>
      <c r="C512" s="84"/>
      <c r="D512" s="84"/>
      <c r="E512" s="85"/>
      <c r="F512" s="85"/>
      <c r="G512" s="85"/>
      <c r="H512" s="85"/>
      <c r="I512" s="85"/>
      <c r="J512" s="85"/>
      <c r="K512" s="85"/>
      <c r="L512" s="84"/>
      <c r="M512" s="86"/>
    </row>
    <row r="513" spans="2:15" s="254" customFormat="1" ht="9" customHeight="1" thickTop="1" thickBot="1">
      <c r="E513" s="255"/>
      <c r="F513" s="255"/>
      <c r="G513" s="255"/>
      <c r="H513" s="255"/>
      <c r="I513" s="255"/>
      <c r="J513" s="255"/>
      <c r="K513" s="255"/>
      <c r="O513" s="265"/>
    </row>
    <row r="514" spans="2:15" ht="18" customHeight="1" thickTop="1">
      <c r="B514" s="210" t="s">
        <v>138</v>
      </c>
      <c r="C514" s="203"/>
      <c r="D514" s="203"/>
      <c r="E514" s="204"/>
      <c r="F514" s="204"/>
      <c r="G514" s="204"/>
      <c r="H514" s="204"/>
      <c r="I514" s="204"/>
      <c r="J514" s="204"/>
      <c r="K514" s="204"/>
      <c r="L514" s="203"/>
      <c r="M514" s="205"/>
    </row>
    <row r="515" spans="2:15" ht="18" customHeight="1">
      <c r="B515" s="632" t="s">
        <v>119</v>
      </c>
      <c r="C515" s="633"/>
      <c r="D515" s="76" t="s">
        <v>122</v>
      </c>
      <c r="E515" s="2"/>
      <c r="F515" s="2"/>
      <c r="H515" s="224"/>
      <c r="I515" s="224"/>
      <c r="J515" s="227" t="s">
        <v>124</v>
      </c>
      <c r="K515" s="228" t="s">
        <v>126</v>
      </c>
      <c r="L515" s="229"/>
      <c r="M515" s="75"/>
    </row>
    <row r="516" spans="2:15" ht="18" customHeight="1">
      <c r="B516" s="626" t="s">
        <v>120</v>
      </c>
      <c r="C516" s="627"/>
      <c r="D516" s="2" t="s">
        <v>208</v>
      </c>
      <c r="I516" s="211"/>
      <c r="J516" s="230" t="s">
        <v>173</v>
      </c>
      <c r="K516" s="211" t="s">
        <v>137</v>
      </c>
      <c r="L516" s="231"/>
      <c r="M516" s="75"/>
    </row>
    <row r="517" spans="2:15" ht="18" customHeight="1">
      <c r="B517" s="626" t="s">
        <v>121</v>
      </c>
      <c r="C517" s="627"/>
      <c r="D517" s="3" t="s">
        <v>204</v>
      </c>
      <c r="J517" s="232" t="s">
        <v>125</v>
      </c>
      <c r="K517" s="239" t="s">
        <v>202</v>
      </c>
      <c r="L517" s="233"/>
      <c r="M517" s="75"/>
    </row>
    <row r="518" spans="2:15" ht="9.9499999999999993" customHeight="1">
      <c r="B518" s="73"/>
      <c r="M518" s="75"/>
    </row>
    <row r="519" spans="2:15" ht="20.100000000000001" customHeight="1">
      <c r="B519" s="73"/>
      <c r="C519" s="628" t="s">
        <v>60</v>
      </c>
      <c r="D519" s="213" t="s">
        <v>3</v>
      </c>
      <c r="E519" s="214">
        <v>43451</v>
      </c>
      <c r="F519" s="214">
        <v>43452</v>
      </c>
      <c r="G519" s="214">
        <v>43453</v>
      </c>
      <c r="H519" s="214">
        <v>43454</v>
      </c>
      <c r="I519" s="214">
        <v>43455</v>
      </c>
      <c r="J519" s="215">
        <v>43456</v>
      </c>
      <c r="K519" s="215">
        <v>43457</v>
      </c>
      <c r="L519" s="645" t="s">
        <v>63</v>
      </c>
      <c r="M519" s="75"/>
    </row>
    <row r="520" spans="2:15" ht="20.100000000000001" customHeight="1">
      <c r="B520" s="73"/>
      <c r="C520" s="629"/>
      <c r="D520" s="213" t="s">
        <v>2</v>
      </c>
      <c r="E520" s="213" t="s">
        <v>4</v>
      </c>
      <c r="F520" s="213" t="s">
        <v>23</v>
      </c>
      <c r="G520" s="213" t="s">
        <v>29</v>
      </c>
      <c r="H520" s="213" t="s">
        <v>30</v>
      </c>
      <c r="I520" s="213" t="s">
        <v>59</v>
      </c>
      <c r="J520" s="216" t="s">
        <v>40</v>
      </c>
      <c r="K520" s="216" t="s">
        <v>43</v>
      </c>
      <c r="L520" s="646"/>
      <c r="M520" s="75"/>
    </row>
    <row r="521" spans="2:15" ht="18" customHeight="1">
      <c r="B521" s="79"/>
      <c r="C521" s="560" t="s">
        <v>163</v>
      </c>
      <c r="D521" s="217" t="s">
        <v>134</v>
      </c>
      <c r="E521" s="208" t="s">
        <v>81</v>
      </c>
      <c r="F521" s="208" t="s">
        <v>81</v>
      </c>
      <c r="G521" s="208" t="s">
        <v>81</v>
      </c>
      <c r="H521" s="208" t="s">
        <v>81</v>
      </c>
      <c r="I521" s="208" t="s">
        <v>81</v>
      </c>
      <c r="J521" s="218" t="s">
        <v>13</v>
      </c>
      <c r="K521" s="218" t="s">
        <v>13</v>
      </c>
      <c r="L521" s="636">
        <f>SUM(E522:K522)</f>
        <v>4250000</v>
      </c>
      <c r="M521" s="80"/>
    </row>
    <row r="522" spans="2:15" ht="18" customHeight="1">
      <c r="B522" s="81"/>
      <c r="C522" s="561"/>
      <c r="D522" s="219" t="s">
        <v>135</v>
      </c>
      <c r="E522" s="220">
        <v>850000</v>
      </c>
      <c r="F522" s="220">
        <v>850000</v>
      </c>
      <c r="G522" s="220">
        <v>850000</v>
      </c>
      <c r="H522" s="220">
        <v>850000</v>
      </c>
      <c r="I522" s="220">
        <v>850000</v>
      </c>
      <c r="J522" s="221" t="s">
        <v>13</v>
      </c>
      <c r="K522" s="221" t="s">
        <v>13</v>
      </c>
      <c r="L522" s="637"/>
      <c r="M522" s="82"/>
    </row>
    <row r="523" spans="2:15" ht="24.95" customHeight="1">
      <c r="B523" s="73"/>
      <c r="D523" s="206"/>
      <c r="E523" s="207"/>
      <c r="F523" s="207"/>
      <c r="G523" s="207"/>
      <c r="H523" s="207"/>
      <c r="I523" s="647" t="s">
        <v>118</v>
      </c>
      <c r="J523" s="647"/>
      <c r="K523" s="648">
        <f>SUM(L521:L522)</f>
        <v>4250000</v>
      </c>
      <c r="L523" s="648"/>
      <c r="M523" s="75"/>
    </row>
    <row r="524" spans="2:15" ht="24.95" customHeight="1">
      <c r="B524" s="73"/>
      <c r="D524" s="206"/>
      <c r="E524" s="207"/>
      <c r="F524" s="207"/>
      <c r="G524" s="207"/>
      <c r="H524" s="207"/>
      <c r="I524" s="251"/>
      <c r="J524" s="251"/>
      <c r="K524" s="252"/>
      <c r="L524" s="252"/>
      <c r="M524" s="75"/>
    </row>
    <row r="525" spans="2:15" ht="20.100000000000001" customHeight="1">
      <c r="B525" s="73"/>
      <c r="C525" s="634" t="s">
        <v>61</v>
      </c>
      <c r="D525" s="213" t="s">
        <v>3</v>
      </c>
      <c r="E525" s="214">
        <v>43451</v>
      </c>
      <c r="F525" s="214">
        <v>43452</v>
      </c>
      <c r="G525" s="214">
        <v>43453</v>
      </c>
      <c r="H525" s="214">
        <v>43454</v>
      </c>
      <c r="I525" s="214">
        <v>43455</v>
      </c>
      <c r="J525" s="215">
        <v>43456</v>
      </c>
      <c r="K525" s="215">
        <v>43457</v>
      </c>
      <c r="L525" s="645" t="s">
        <v>63</v>
      </c>
      <c r="M525" s="75"/>
    </row>
    <row r="526" spans="2:15" ht="20.100000000000001" customHeight="1">
      <c r="B526" s="73"/>
      <c r="C526" s="635"/>
      <c r="D526" s="213" t="s">
        <v>2</v>
      </c>
      <c r="E526" s="213" t="s">
        <v>4</v>
      </c>
      <c r="F526" s="213" t="s">
        <v>23</v>
      </c>
      <c r="G526" s="213" t="s">
        <v>29</v>
      </c>
      <c r="H526" s="213" t="s">
        <v>30</v>
      </c>
      <c r="I526" s="213" t="s">
        <v>59</v>
      </c>
      <c r="J526" s="216" t="s">
        <v>40</v>
      </c>
      <c r="K526" s="216" t="s">
        <v>43</v>
      </c>
      <c r="L526" s="646"/>
      <c r="M526" s="75"/>
    </row>
    <row r="527" spans="2:15" ht="18" customHeight="1">
      <c r="B527" s="79"/>
      <c r="C527" s="560" t="s">
        <v>70</v>
      </c>
      <c r="D527" s="217" t="s">
        <v>134</v>
      </c>
      <c r="E527" s="208" t="s">
        <v>81</v>
      </c>
      <c r="F527" s="208" t="s">
        <v>81</v>
      </c>
      <c r="G527" s="208" t="s">
        <v>81</v>
      </c>
      <c r="H527" s="208" t="s">
        <v>81</v>
      </c>
      <c r="I527" s="208" t="s">
        <v>81</v>
      </c>
      <c r="J527" s="218" t="s">
        <v>13</v>
      </c>
      <c r="K527" s="218" t="s">
        <v>13</v>
      </c>
      <c r="L527" s="636">
        <f>SUM(E528:K528)</f>
        <v>4250000</v>
      </c>
      <c r="M527" s="80"/>
    </row>
    <row r="528" spans="2:15" ht="18" customHeight="1">
      <c r="B528" s="81"/>
      <c r="C528" s="561"/>
      <c r="D528" s="219" t="s">
        <v>135</v>
      </c>
      <c r="E528" s="220">
        <v>850000</v>
      </c>
      <c r="F528" s="220">
        <v>850000</v>
      </c>
      <c r="G528" s="220">
        <v>850000</v>
      </c>
      <c r="H528" s="220">
        <v>850000</v>
      </c>
      <c r="I528" s="220">
        <v>850000</v>
      </c>
      <c r="J528" s="221" t="s">
        <v>13</v>
      </c>
      <c r="K528" s="221" t="s">
        <v>13</v>
      </c>
      <c r="L528" s="637"/>
      <c r="M528" s="82"/>
    </row>
    <row r="529" spans="2:15" ht="24.95" customHeight="1">
      <c r="B529" s="73"/>
      <c r="F529" s="209"/>
      <c r="I529" s="638" t="s">
        <v>117</v>
      </c>
      <c r="J529" s="638"/>
      <c r="K529" s="639">
        <f>SUM(L525:L528)</f>
        <v>4250000</v>
      </c>
      <c r="L529" s="639"/>
      <c r="M529" s="75"/>
    </row>
    <row r="530" spans="2:15" ht="24.95" customHeight="1">
      <c r="B530" s="73"/>
      <c r="F530" s="209"/>
      <c r="I530" s="212"/>
      <c r="J530" s="212"/>
      <c r="K530" s="253"/>
      <c r="L530" s="253"/>
      <c r="M530" s="75"/>
    </row>
    <row r="531" spans="2:15" ht="24.95" customHeight="1">
      <c r="B531" s="73"/>
      <c r="C531" s="640" t="s">
        <v>136</v>
      </c>
      <c r="D531" s="640"/>
      <c r="E531" s="2"/>
      <c r="I531" s="611" t="s">
        <v>116</v>
      </c>
      <c r="J531" s="611"/>
      <c r="K531" s="612">
        <f>+K529+K523</f>
        <v>8500000</v>
      </c>
      <c r="L531" s="612"/>
      <c r="M531" s="75"/>
    </row>
    <row r="532" spans="2:15" ht="9.9499999999999993" customHeight="1">
      <c r="B532" s="73"/>
      <c r="C532" s="641"/>
      <c r="D532" s="641"/>
      <c r="E532" s="2"/>
      <c r="F532" s="225"/>
      <c r="G532" s="225"/>
      <c r="M532" s="75"/>
    </row>
    <row r="533" spans="2:15" ht="15" customHeight="1">
      <c r="B533" s="73"/>
      <c r="C533" s="642" t="s">
        <v>132</v>
      </c>
      <c r="D533" s="1" t="s">
        <v>133</v>
      </c>
      <c r="E533" s="2"/>
      <c r="F533" s="225"/>
      <c r="G533" s="225"/>
      <c r="I533" s="234" t="s">
        <v>131</v>
      </c>
      <c r="J533" s="234" t="s">
        <v>130</v>
      </c>
      <c r="K533" s="234" t="s">
        <v>129</v>
      </c>
      <c r="L533" s="234" t="s">
        <v>128</v>
      </c>
      <c r="M533" s="75"/>
    </row>
    <row r="534" spans="2:15" ht="30" customHeight="1">
      <c r="B534" s="73"/>
      <c r="C534" s="643"/>
      <c r="D534" s="114"/>
      <c r="E534" s="2"/>
      <c r="F534" s="225"/>
      <c r="G534" s="225"/>
      <c r="I534" s="235"/>
      <c r="J534" s="234"/>
      <c r="K534" s="234"/>
      <c r="L534" s="234"/>
      <c r="M534" s="75"/>
    </row>
    <row r="535" spans="2:15" ht="15" customHeight="1">
      <c r="B535" s="73"/>
      <c r="C535" s="644"/>
      <c r="D535" s="114"/>
      <c r="F535" s="226"/>
      <c r="G535" s="226"/>
      <c r="I535" s="236" t="s">
        <v>114</v>
      </c>
      <c r="J535" s="237" t="s">
        <v>113</v>
      </c>
      <c r="K535" s="238" t="s">
        <v>112</v>
      </c>
      <c r="L535" s="234" t="s">
        <v>16</v>
      </c>
      <c r="M535" s="75"/>
    </row>
    <row r="536" spans="2:15" ht="20.100000000000001" customHeight="1" thickBot="1">
      <c r="B536" s="83"/>
      <c r="C536" s="84"/>
      <c r="D536" s="84"/>
      <c r="E536" s="85"/>
      <c r="F536" s="85"/>
      <c r="G536" s="85"/>
      <c r="H536" s="85"/>
      <c r="I536" s="85"/>
      <c r="J536" s="85"/>
      <c r="K536" s="85"/>
      <c r="L536" s="84"/>
      <c r="M536" s="86"/>
    </row>
    <row r="537" spans="2:15" s="254" customFormat="1" ht="9" customHeight="1" thickTop="1" thickBot="1">
      <c r="E537" s="255"/>
      <c r="F537" s="255"/>
      <c r="G537" s="255"/>
      <c r="H537" s="255"/>
      <c r="I537" s="255"/>
      <c r="J537" s="255"/>
      <c r="K537" s="255"/>
      <c r="O537" s="265"/>
    </row>
    <row r="538" spans="2:15" ht="18" customHeight="1" thickTop="1">
      <c r="B538" s="210" t="s">
        <v>138</v>
      </c>
      <c r="C538" s="203"/>
      <c r="D538" s="203"/>
      <c r="E538" s="204"/>
      <c r="F538" s="204"/>
      <c r="G538" s="204"/>
      <c r="H538" s="204"/>
      <c r="I538" s="204"/>
      <c r="J538" s="204"/>
      <c r="K538" s="204"/>
      <c r="L538" s="203"/>
      <c r="M538" s="205"/>
    </row>
    <row r="539" spans="2:15" ht="18" customHeight="1">
      <c r="B539" s="632" t="s">
        <v>119</v>
      </c>
      <c r="C539" s="633"/>
      <c r="D539" s="76" t="s">
        <v>122</v>
      </c>
      <c r="E539" s="2"/>
      <c r="F539" s="2"/>
      <c r="H539" s="224"/>
      <c r="I539" s="224"/>
      <c r="J539" s="227" t="s">
        <v>124</v>
      </c>
      <c r="K539" s="228" t="s">
        <v>126</v>
      </c>
      <c r="L539" s="229"/>
      <c r="M539" s="75"/>
    </row>
    <row r="540" spans="2:15" ht="18" customHeight="1">
      <c r="B540" s="626" t="s">
        <v>120</v>
      </c>
      <c r="C540" s="627"/>
      <c r="D540" s="2" t="s">
        <v>209</v>
      </c>
      <c r="I540" s="211"/>
      <c r="J540" s="230" t="s">
        <v>173</v>
      </c>
      <c r="K540" s="211" t="s">
        <v>137</v>
      </c>
      <c r="L540" s="231"/>
      <c r="M540" s="75"/>
    </row>
    <row r="541" spans="2:15" ht="18" customHeight="1">
      <c r="B541" s="626" t="s">
        <v>121</v>
      </c>
      <c r="C541" s="627"/>
      <c r="D541" s="3" t="s">
        <v>205</v>
      </c>
      <c r="J541" s="232" t="s">
        <v>125</v>
      </c>
      <c r="K541" s="239" t="s">
        <v>202</v>
      </c>
      <c r="L541" s="233"/>
      <c r="M541" s="75"/>
    </row>
    <row r="542" spans="2:15" ht="9.9499999999999993" customHeight="1">
      <c r="B542" s="73"/>
      <c r="M542" s="75"/>
    </row>
    <row r="543" spans="2:15" ht="20.100000000000001" customHeight="1">
      <c r="B543" s="73"/>
      <c r="C543" s="628" t="s">
        <v>60</v>
      </c>
      <c r="D543" s="213" t="s">
        <v>3</v>
      </c>
      <c r="E543" s="215">
        <v>43458</v>
      </c>
      <c r="F543" s="215">
        <v>43459</v>
      </c>
      <c r="G543" s="214">
        <v>43460</v>
      </c>
      <c r="H543" s="214">
        <v>43461</v>
      </c>
      <c r="I543" s="214">
        <v>43462</v>
      </c>
      <c r="J543" s="214">
        <v>43463</v>
      </c>
      <c r="K543" s="215">
        <v>43464</v>
      </c>
      <c r="L543" s="645" t="s">
        <v>63</v>
      </c>
      <c r="M543" s="75"/>
    </row>
    <row r="544" spans="2:15" ht="20.100000000000001" customHeight="1">
      <c r="B544" s="73"/>
      <c r="C544" s="629"/>
      <c r="D544" s="213" t="s">
        <v>2</v>
      </c>
      <c r="E544" s="216" t="s">
        <v>4</v>
      </c>
      <c r="F544" s="216" t="s">
        <v>23</v>
      </c>
      <c r="G544" s="213" t="s">
        <v>29</v>
      </c>
      <c r="H544" s="213" t="s">
        <v>30</v>
      </c>
      <c r="I544" s="213" t="s">
        <v>59</v>
      </c>
      <c r="J544" s="213" t="s">
        <v>40</v>
      </c>
      <c r="K544" s="216" t="s">
        <v>43</v>
      </c>
      <c r="L544" s="646"/>
      <c r="M544" s="75"/>
    </row>
    <row r="545" spans="2:15" ht="18" customHeight="1">
      <c r="B545" s="79"/>
      <c r="C545" s="560" t="s">
        <v>163</v>
      </c>
      <c r="D545" s="217" t="s">
        <v>134</v>
      </c>
      <c r="E545" s="218" t="s">
        <v>13</v>
      </c>
      <c r="F545" s="218" t="s">
        <v>13</v>
      </c>
      <c r="G545" s="208" t="s">
        <v>81</v>
      </c>
      <c r="H545" s="208" t="s">
        <v>81</v>
      </c>
      <c r="I545" s="208" t="s">
        <v>81</v>
      </c>
      <c r="J545" s="208" t="s">
        <v>81</v>
      </c>
      <c r="K545" s="218" t="s">
        <v>13</v>
      </c>
      <c r="L545" s="636">
        <f>SUM(E546:K546)</f>
        <v>3400000</v>
      </c>
      <c r="M545" s="80"/>
    </row>
    <row r="546" spans="2:15" ht="18" customHeight="1">
      <c r="B546" s="81"/>
      <c r="C546" s="561"/>
      <c r="D546" s="219" t="s">
        <v>135</v>
      </c>
      <c r="E546" s="221" t="s">
        <v>13</v>
      </c>
      <c r="F546" s="221" t="s">
        <v>13</v>
      </c>
      <c r="G546" s="220">
        <v>850000</v>
      </c>
      <c r="H546" s="220">
        <v>850000</v>
      </c>
      <c r="I546" s="220">
        <v>850000</v>
      </c>
      <c r="J546" s="220">
        <v>850000</v>
      </c>
      <c r="K546" s="221" t="s">
        <v>13</v>
      </c>
      <c r="L546" s="637"/>
      <c r="M546" s="82"/>
    </row>
    <row r="547" spans="2:15" ht="24.95" customHeight="1">
      <c r="B547" s="73"/>
      <c r="D547" s="206"/>
      <c r="E547" s="207"/>
      <c r="F547" s="207"/>
      <c r="G547" s="207"/>
      <c r="H547" s="207"/>
      <c r="I547" s="647" t="s">
        <v>118</v>
      </c>
      <c r="J547" s="647"/>
      <c r="K547" s="648">
        <f>SUM(L545:L546)</f>
        <v>3400000</v>
      </c>
      <c r="L547" s="648"/>
      <c r="M547" s="75"/>
    </row>
    <row r="548" spans="2:15" ht="24.95" customHeight="1">
      <c r="B548" s="73"/>
      <c r="D548" s="206"/>
      <c r="E548" s="207"/>
      <c r="F548" s="207"/>
      <c r="G548" s="207"/>
      <c r="H548" s="207"/>
      <c r="I548" s="251"/>
      <c r="J548" s="251"/>
      <c r="K548" s="252"/>
      <c r="L548" s="252"/>
      <c r="M548" s="75"/>
    </row>
    <row r="549" spans="2:15" ht="20.100000000000001" customHeight="1">
      <c r="B549" s="73"/>
      <c r="C549" s="634" t="s">
        <v>61</v>
      </c>
      <c r="D549" s="213" t="s">
        <v>3</v>
      </c>
      <c r="E549" s="215">
        <v>43458</v>
      </c>
      <c r="F549" s="215">
        <v>43459</v>
      </c>
      <c r="G549" s="214">
        <v>43460</v>
      </c>
      <c r="H549" s="214">
        <v>43461</v>
      </c>
      <c r="I549" s="214">
        <v>43462</v>
      </c>
      <c r="J549" s="214">
        <v>43463</v>
      </c>
      <c r="K549" s="215">
        <v>43464</v>
      </c>
      <c r="L549" s="215">
        <v>43427</v>
      </c>
      <c r="M549" s="75"/>
    </row>
    <row r="550" spans="2:15" ht="20.100000000000001" customHeight="1">
      <c r="B550" s="73"/>
      <c r="C550" s="635"/>
      <c r="D550" s="213" t="s">
        <v>2</v>
      </c>
      <c r="E550" s="216" t="s">
        <v>4</v>
      </c>
      <c r="F550" s="216" t="s">
        <v>23</v>
      </c>
      <c r="G550" s="213" t="s">
        <v>29</v>
      </c>
      <c r="H550" s="213" t="s">
        <v>30</v>
      </c>
      <c r="I550" s="213" t="s">
        <v>59</v>
      </c>
      <c r="J550" s="213" t="s">
        <v>40</v>
      </c>
      <c r="K550" s="216" t="s">
        <v>43</v>
      </c>
      <c r="L550" s="216" t="s">
        <v>43</v>
      </c>
      <c r="M550" s="75"/>
    </row>
    <row r="551" spans="2:15" ht="18" customHeight="1">
      <c r="B551" s="79"/>
      <c r="C551" s="560" t="s">
        <v>70</v>
      </c>
      <c r="D551" s="217" t="s">
        <v>134</v>
      </c>
      <c r="E551" s="218" t="s">
        <v>13</v>
      </c>
      <c r="F551" s="218" t="s">
        <v>13</v>
      </c>
      <c r="G551" s="208" t="s">
        <v>81</v>
      </c>
      <c r="H551" s="208" t="s">
        <v>81</v>
      </c>
      <c r="I551" s="208" t="s">
        <v>81</v>
      </c>
      <c r="J551" s="208" t="s">
        <v>81</v>
      </c>
      <c r="K551" s="218" t="s">
        <v>13</v>
      </c>
      <c r="L551" s="636">
        <f>SUM(E552:K552)</f>
        <v>3400000</v>
      </c>
      <c r="M551" s="80"/>
    </row>
    <row r="552" spans="2:15" ht="18" customHeight="1">
      <c r="B552" s="81"/>
      <c r="C552" s="561"/>
      <c r="D552" s="219" t="s">
        <v>135</v>
      </c>
      <c r="E552" s="221" t="s">
        <v>13</v>
      </c>
      <c r="F552" s="221" t="s">
        <v>13</v>
      </c>
      <c r="G552" s="220">
        <v>850000</v>
      </c>
      <c r="H552" s="220">
        <v>850000</v>
      </c>
      <c r="I552" s="220">
        <v>850000</v>
      </c>
      <c r="J552" s="220">
        <v>850000</v>
      </c>
      <c r="K552" s="221" t="s">
        <v>13</v>
      </c>
      <c r="L552" s="637"/>
      <c r="M552" s="82"/>
    </row>
    <row r="553" spans="2:15" ht="24.95" customHeight="1">
      <c r="B553" s="73"/>
      <c r="F553" s="209"/>
      <c r="I553" s="638" t="s">
        <v>117</v>
      </c>
      <c r="J553" s="638"/>
      <c r="K553" s="639">
        <f>SUM(L549:L552)</f>
        <v>3443427</v>
      </c>
      <c r="L553" s="639"/>
      <c r="M553" s="75"/>
    </row>
    <row r="554" spans="2:15" ht="24.95" customHeight="1">
      <c r="B554" s="73"/>
      <c r="F554" s="209"/>
      <c r="I554" s="212"/>
      <c r="J554" s="212"/>
      <c r="K554" s="253"/>
      <c r="L554" s="253"/>
      <c r="M554" s="75"/>
    </row>
    <row r="555" spans="2:15" ht="24.95" customHeight="1">
      <c r="B555" s="73"/>
      <c r="C555" s="640" t="s">
        <v>136</v>
      </c>
      <c r="D555" s="640"/>
      <c r="E555" s="2"/>
      <c r="I555" s="611" t="s">
        <v>116</v>
      </c>
      <c r="J555" s="611"/>
      <c r="K555" s="612">
        <f>+K553+K547</f>
        <v>6843427</v>
      </c>
      <c r="L555" s="612"/>
      <c r="M555" s="75"/>
    </row>
    <row r="556" spans="2:15" ht="9.9499999999999993" customHeight="1">
      <c r="B556" s="73"/>
      <c r="C556" s="641"/>
      <c r="D556" s="641"/>
      <c r="E556" s="2"/>
      <c r="F556" s="225"/>
      <c r="G556" s="225"/>
      <c r="M556" s="75"/>
    </row>
    <row r="557" spans="2:15" ht="15" customHeight="1">
      <c r="B557" s="73"/>
      <c r="C557" s="642" t="s">
        <v>132</v>
      </c>
      <c r="D557" s="1" t="s">
        <v>133</v>
      </c>
      <c r="E557" s="2"/>
      <c r="F557" s="225"/>
      <c r="G557" s="225"/>
      <c r="I557" s="234" t="s">
        <v>131</v>
      </c>
      <c r="J557" s="234" t="s">
        <v>130</v>
      </c>
      <c r="K557" s="234" t="s">
        <v>129</v>
      </c>
      <c r="L557" s="234" t="s">
        <v>128</v>
      </c>
      <c r="M557" s="75"/>
    </row>
    <row r="558" spans="2:15" ht="30" customHeight="1">
      <c r="B558" s="73"/>
      <c r="C558" s="643"/>
      <c r="D558" s="114"/>
      <c r="E558" s="2"/>
      <c r="F558" s="225"/>
      <c r="G558" s="225"/>
      <c r="I558" s="235"/>
      <c r="J558" s="234"/>
      <c r="K558" s="234"/>
      <c r="L558" s="234"/>
      <c r="M558" s="75"/>
      <c r="O558" s="263">
        <f>+K555+K531+K507+K483</f>
        <v>32343427</v>
      </c>
    </row>
    <row r="559" spans="2:15" ht="15" customHeight="1">
      <c r="B559" s="73"/>
      <c r="C559" s="644"/>
      <c r="D559" s="114"/>
      <c r="F559" s="226"/>
      <c r="G559" s="226"/>
      <c r="I559" s="236" t="s">
        <v>114</v>
      </c>
      <c r="J559" s="237" t="s">
        <v>113</v>
      </c>
      <c r="K559" s="238" t="s">
        <v>112</v>
      </c>
      <c r="L559" s="234" t="s">
        <v>16</v>
      </c>
      <c r="M559" s="75"/>
    </row>
    <row r="560" spans="2:15" ht="20.100000000000001" customHeight="1" thickBot="1">
      <c r="B560" s="83"/>
      <c r="C560" s="84"/>
      <c r="D560" s="84"/>
      <c r="E560" s="85"/>
      <c r="F560" s="85"/>
      <c r="G560" s="85"/>
      <c r="H560" s="85"/>
      <c r="I560" s="85"/>
      <c r="J560" s="85"/>
      <c r="K560" s="85"/>
      <c r="L560" s="84"/>
      <c r="M560" s="86"/>
    </row>
    <row r="561" ht="12.75" thickTop="1"/>
  </sheetData>
  <mergeCells count="462">
    <mergeCell ref="C120:C122"/>
    <mergeCell ref="C115:C116"/>
    <mergeCell ref="L115:L116"/>
    <mergeCell ref="I117:J117"/>
    <mergeCell ref="K117:L117"/>
    <mergeCell ref="C118:D119"/>
    <mergeCell ref="I118:J118"/>
    <mergeCell ref="K118:L118"/>
    <mergeCell ref="C110:C111"/>
    <mergeCell ref="L110:L111"/>
    <mergeCell ref="C112:C113"/>
    <mergeCell ref="L112:L113"/>
    <mergeCell ref="C114:L114"/>
    <mergeCell ref="C106:L106"/>
    <mergeCell ref="C107:C108"/>
    <mergeCell ref="L107:L108"/>
    <mergeCell ref="I109:J109"/>
    <mergeCell ref="K109:L109"/>
    <mergeCell ref="L100:L101"/>
    <mergeCell ref="C102:C103"/>
    <mergeCell ref="L102:L103"/>
    <mergeCell ref="C104:C105"/>
    <mergeCell ref="L104:L105"/>
    <mergeCell ref="C89:C91"/>
    <mergeCell ref="B96:C96"/>
    <mergeCell ref="B97:C97"/>
    <mergeCell ref="B98:C98"/>
    <mergeCell ref="C100:C101"/>
    <mergeCell ref="I86:J86"/>
    <mergeCell ref="K86:L86"/>
    <mergeCell ref="C87:D88"/>
    <mergeCell ref="I87:J87"/>
    <mergeCell ref="K87:L87"/>
    <mergeCell ref="C81:C82"/>
    <mergeCell ref="L81:L82"/>
    <mergeCell ref="C83:L83"/>
    <mergeCell ref="C84:C85"/>
    <mergeCell ref="L84:L85"/>
    <mergeCell ref="C76:C77"/>
    <mergeCell ref="L76:L77"/>
    <mergeCell ref="I78:J78"/>
    <mergeCell ref="K78:L78"/>
    <mergeCell ref="C79:C80"/>
    <mergeCell ref="L79:L80"/>
    <mergeCell ref="C71:C72"/>
    <mergeCell ref="L71:L72"/>
    <mergeCell ref="C73:C74"/>
    <mergeCell ref="L73:L74"/>
    <mergeCell ref="C75:L75"/>
    <mergeCell ref="B65:C65"/>
    <mergeCell ref="B66:C66"/>
    <mergeCell ref="B67:C67"/>
    <mergeCell ref="C69:C70"/>
    <mergeCell ref="L69:L70"/>
    <mergeCell ref="B5:C5"/>
    <mergeCell ref="B4:C4"/>
    <mergeCell ref="B3:C3"/>
    <mergeCell ref="C14:C15"/>
    <mergeCell ref="L14:L15"/>
    <mergeCell ref="L7:L8"/>
    <mergeCell ref="C9:C10"/>
    <mergeCell ref="L9:L10"/>
    <mergeCell ref="C7:C8"/>
    <mergeCell ref="C11:C12"/>
    <mergeCell ref="L11:L12"/>
    <mergeCell ref="K25:L25"/>
    <mergeCell ref="C42:C43"/>
    <mergeCell ref="L42:L43"/>
    <mergeCell ref="L45:L46"/>
    <mergeCell ref="C27:C29"/>
    <mergeCell ref="B34:C34"/>
    <mergeCell ref="B35:C35"/>
    <mergeCell ref="B36:C36"/>
    <mergeCell ref="C25:D26"/>
    <mergeCell ref="C45:C46"/>
    <mergeCell ref="I25:J25"/>
    <mergeCell ref="C38:C39"/>
    <mergeCell ref="L38:L39"/>
    <mergeCell ref="C40:C41"/>
    <mergeCell ref="L40:L41"/>
    <mergeCell ref="C44:L44"/>
    <mergeCell ref="C17:C18"/>
    <mergeCell ref="C13:L13"/>
    <mergeCell ref="C21:L21"/>
    <mergeCell ref="I16:J16"/>
    <mergeCell ref="I24:J24"/>
    <mergeCell ref="K16:L16"/>
    <mergeCell ref="L17:L18"/>
    <mergeCell ref="C19:C20"/>
    <mergeCell ref="L19:L20"/>
    <mergeCell ref="C22:C23"/>
    <mergeCell ref="L22:L23"/>
    <mergeCell ref="K24:L24"/>
    <mergeCell ref="C56:D57"/>
    <mergeCell ref="I56:J56"/>
    <mergeCell ref="K56:L56"/>
    <mergeCell ref="I47:J47"/>
    <mergeCell ref="K47:L47"/>
    <mergeCell ref="C48:C49"/>
    <mergeCell ref="C58:C60"/>
    <mergeCell ref="L48:L49"/>
    <mergeCell ref="C52:L52"/>
    <mergeCell ref="C53:C54"/>
    <mergeCell ref="L53:L54"/>
    <mergeCell ref="I55:J55"/>
    <mergeCell ref="K55:L55"/>
    <mergeCell ref="C50:C51"/>
    <mergeCell ref="L50:L51"/>
    <mergeCell ref="B127:C127"/>
    <mergeCell ref="B128:C128"/>
    <mergeCell ref="B129:C129"/>
    <mergeCell ref="C131:C132"/>
    <mergeCell ref="L131:L132"/>
    <mergeCell ref="C133:C134"/>
    <mergeCell ref="L133:L134"/>
    <mergeCell ref="C135:C136"/>
    <mergeCell ref="L135:L136"/>
    <mergeCell ref="C137:L137"/>
    <mergeCell ref="C138:C139"/>
    <mergeCell ref="L138:L139"/>
    <mergeCell ref="I140:J140"/>
    <mergeCell ref="K140:L140"/>
    <mergeCell ref="C141:C142"/>
    <mergeCell ref="L141:L142"/>
    <mergeCell ref="C143:C144"/>
    <mergeCell ref="L143:L144"/>
    <mergeCell ref="C145:L145"/>
    <mergeCell ref="C146:C147"/>
    <mergeCell ref="L146:L147"/>
    <mergeCell ref="I148:J148"/>
    <mergeCell ref="K148:L148"/>
    <mergeCell ref="C149:D150"/>
    <mergeCell ref="I149:J149"/>
    <mergeCell ref="K149:L149"/>
    <mergeCell ref="C151:C153"/>
    <mergeCell ref="B158:C158"/>
    <mergeCell ref="B159:C159"/>
    <mergeCell ref="B160:C160"/>
    <mergeCell ref="C162:C163"/>
    <mergeCell ref="L162:L163"/>
    <mergeCell ref="C164:C165"/>
    <mergeCell ref="L164:L165"/>
    <mergeCell ref="C166:C167"/>
    <mergeCell ref="L166:L167"/>
    <mergeCell ref="C168:L168"/>
    <mergeCell ref="C169:C170"/>
    <mergeCell ref="L169:L170"/>
    <mergeCell ref="I171:J171"/>
    <mergeCell ref="K171:L171"/>
    <mergeCell ref="C172:C173"/>
    <mergeCell ref="L172:L173"/>
    <mergeCell ref="C174:C175"/>
    <mergeCell ref="L174:L175"/>
    <mergeCell ref="C176:L176"/>
    <mergeCell ref="C177:C178"/>
    <mergeCell ref="L177:L178"/>
    <mergeCell ref="I179:J179"/>
    <mergeCell ref="K179:L179"/>
    <mergeCell ref="C180:D181"/>
    <mergeCell ref="I180:J180"/>
    <mergeCell ref="K180:L180"/>
    <mergeCell ref="C182:C184"/>
    <mergeCell ref="B189:C189"/>
    <mergeCell ref="B190:C190"/>
    <mergeCell ref="B191:C191"/>
    <mergeCell ref="C193:C194"/>
    <mergeCell ref="L193:L194"/>
    <mergeCell ref="C195:C196"/>
    <mergeCell ref="L195:L196"/>
    <mergeCell ref="C197:C198"/>
    <mergeCell ref="L197:L198"/>
    <mergeCell ref="C199:L199"/>
    <mergeCell ref="C200:C201"/>
    <mergeCell ref="L200:L201"/>
    <mergeCell ref="I202:J202"/>
    <mergeCell ref="K202:L202"/>
    <mergeCell ref="C203:C204"/>
    <mergeCell ref="L203:L204"/>
    <mergeCell ref="C205:C206"/>
    <mergeCell ref="L205:L206"/>
    <mergeCell ref="C207:L207"/>
    <mergeCell ref="C208:C209"/>
    <mergeCell ref="L208:L209"/>
    <mergeCell ref="I210:J210"/>
    <mergeCell ref="K210:L210"/>
    <mergeCell ref="C211:D212"/>
    <mergeCell ref="I211:J211"/>
    <mergeCell ref="K211:L211"/>
    <mergeCell ref="C213:C215"/>
    <mergeCell ref="B220:C220"/>
    <mergeCell ref="B221:C221"/>
    <mergeCell ref="B222:C222"/>
    <mergeCell ref="C224:C225"/>
    <mergeCell ref="L224:L225"/>
    <mergeCell ref="C226:C227"/>
    <mergeCell ref="L226:L227"/>
    <mergeCell ref="C228:C229"/>
    <mergeCell ref="L228:L229"/>
    <mergeCell ref="C230:L230"/>
    <mergeCell ref="C231:C232"/>
    <mergeCell ref="L231:L232"/>
    <mergeCell ref="I233:J233"/>
    <mergeCell ref="K233:L233"/>
    <mergeCell ref="C234:C235"/>
    <mergeCell ref="L234:L235"/>
    <mergeCell ref="C236:C237"/>
    <mergeCell ref="L236:L237"/>
    <mergeCell ref="C238:L238"/>
    <mergeCell ref="C239:C240"/>
    <mergeCell ref="L239:L240"/>
    <mergeCell ref="I241:J241"/>
    <mergeCell ref="K241:L241"/>
    <mergeCell ref="C242:D243"/>
    <mergeCell ref="I242:J242"/>
    <mergeCell ref="K242:L242"/>
    <mergeCell ref="C244:C246"/>
    <mergeCell ref="I259:J259"/>
    <mergeCell ref="K259:L259"/>
    <mergeCell ref="C261:C262"/>
    <mergeCell ref="L261:L262"/>
    <mergeCell ref="C263:C264"/>
    <mergeCell ref="L263:L264"/>
    <mergeCell ref="B251:C251"/>
    <mergeCell ref="B252:C252"/>
    <mergeCell ref="B253:C253"/>
    <mergeCell ref="C255:C256"/>
    <mergeCell ref="L255:L256"/>
    <mergeCell ref="C257:C258"/>
    <mergeCell ref="L257:L258"/>
    <mergeCell ref="B275:C275"/>
    <mergeCell ref="B276:C276"/>
    <mergeCell ref="B277:C277"/>
    <mergeCell ref="C279:C280"/>
    <mergeCell ref="L279:L280"/>
    <mergeCell ref="C281:C282"/>
    <mergeCell ref="L281:L282"/>
    <mergeCell ref="I265:J265"/>
    <mergeCell ref="K265:L265"/>
    <mergeCell ref="C267:D268"/>
    <mergeCell ref="I267:J267"/>
    <mergeCell ref="K267:L267"/>
    <mergeCell ref="C269:C271"/>
    <mergeCell ref="I289:J289"/>
    <mergeCell ref="K289:L289"/>
    <mergeCell ref="C291:D292"/>
    <mergeCell ref="I291:J291"/>
    <mergeCell ref="K291:L291"/>
    <mergeCell ref="C293:C295"/>
    <mergeCell ref="I283:J283"/>
    <mergeCell ref="K283:L283"/>
    <mergeCell ref="C285:C286"/>
    <mergeCell ref="L285:L286"/>
    <mergeCell ref="C287:C288"/>
    <mergeCell ref="L287:L288"/>
    <mergeCell ref="I307:J307"/>
    <mergeCell ref="K307:L307"/>
    <mergeCell ref="B299:C299"/>
    <mergeCell ref="B300:C300"/>
    <mergeCell ref="B301:C301"/>
    <mergeCell ref="C303:C304"/>
    <mergeCell ref="L303:L304"/>
    <mergeCell ref="C305:C306"/>
    <mergeCell ref="L305:L306"/>
    <mergeCell ref="I313:J313"/>
    <mergeCell ref="K313:L313"/>
    <mergeCell ref="C315:D316"/>
    <mergeCell ref="I315:J315"/>
    <mergeCell ref="K315:L315"/>
    <mergeCell ref="C317:C319"/>
    <mergeCell ref="L311:L312"/>
    <mergeCell ref="C311:C312"/>
    <mergeCell ref="L309:L310"/>
    <mergeCell ref="C309:C310"/>
    <mergeCell ref="I331:J331"/>
    <mergeCell ref="K331:L331"/>
    <mergeCell ref="C333:C334"/>
    <mergeCell ref="L333:L334"/>
    <mergeCell ref="C335:C336"/>
    <mergeCell ref="L335:L336"/>
    <mergeCell ref="B323:C323"/>
    <mergeCell ref="B324:C324"/>
    <mergeCell ref="B325:C325"/>
    <mergeCell ref="C327:C328"/>
    <mergeCell ref="L327:L328"/>
    <mergeCell ref="C329:C330"/>
    <mergeCell ref="L329:L330"/>
    <mergeCell ref="B347:C347"/>
    <mergeCell ref="B348:C348"/>
    <mergeCell ref="B349:C349"/>
    <mergeCell ref="C351:C352"/>
    <mergeCell ref="L351:L352"/>
    <mergeCell ref="C353:C354"/>
    <mergeCell ref="L353:L354"/>
    <mergeCell ref="I337:J337"/>
    <mergeCell ref="K337:L337"/>
    <mergeCell ref="C339:D340"/>
    <mergeCell ref="I339:J339"/>
    <mergeCell ref="K339:L339"/>
    <mergeCell ref="C341:C343"/>
    <mergeCell ref="I361:J361"/>
    <mergeCell ref="K361:L361"/>
    <mergeCell ref="C363:D364"/>
    <mergeCell ref="I363:J363"/>
    <mergeCell ref="K363:L363"/>
    <mergeCell ref="C365:C367"/>
    <mergeCell ref="I355:J355"/>
    <mergeCell ref="K355:L355"/>
    <mergeCell ref="C357:C358"/>
    <mergeCell ref="L357:L358"/>
    <mergeCell ref="C359:C360"/>
    <mergeCell ref="L359:L360"/>
    <mergeCell ref="B371:C371"/>
    <mergeCell ref="B372:C372"/>
    <mergeCell ref="B373:C373"/>
    <mergeCell ref="C375:C376"/>
    <mergeCell ref="L375:L376"/>
    <mergeCell ref="C377:C378"/>
    <mergeCell ref="L377:L378"/>
    <mergeCell ref="I379:J379"/>
    <mergeCell ref="K379:L379"/>
    <mergeCell ref="C381:C382"/>
    <mergeCell ref="L381:L382"/>
    <mergeCell ref="C383:C384"/>
    <mergeCell ref="L383:L384"/>
    <mergeCell ref="I385:J385"/>
    <mergeCell ref="K385:L385"/>
    <mergeCell ref="C387:D388"/>
    <mergeCell ref="I387:J387"/>
    <mergeCell ref="K387:L387"/>
    <mergeCell ref="C389:C391"/>
    <mergeCell ref="B395:C395"/>
    <mergeCell ref="B396:C396"/>
    <mergeCell ref="B397:C397"/>
    <mergeCell ref="C399:C400"/>
    <mergeCell ref="L399:L400"/>
    <mergeCell ref="C401:C402"/>
    <mergeCell ref="L401:L402"/>
    <mergeCell ref="I403:J403"/>
    <mergeCell ref="K403:L403"/>
    <mergeCell ref="C405:C406"/>
    <mergeCell ref="L405:L406"/>
    <mergeCell ref="C407:C408"/>
    <mergeCell ref="L407:L408"/>
    <mergeCell ref="I409:J409"/>
    <mergeCell ref="K409:L409"/>
    <mergeCell ref="C411:D412"/>
    <mergeCell ref="I411:J411"/>
    <mergeCell ref="K411:L411"/>
    <mergeCell ref="C413:C415"/>
    <mergeCell ref="B419:C419"/>
    <mergeCell ref="B420:C420"/>
    <mergeCell ref="B421:C421"/>
    <mergeCell ref="C423:C424"/>
    <mergeCell ref="L423:L424"/>
    <mergeCell ref="C425:C426"/>
    <mergeCell ref="L425:L426"/>
    <mergeCell ref="I427:J427"/>
    <mergeCell ref="K427:L427"/>
    <mergeCell ref="C429:C430"/>
    <mergeCell ref="L429:L430"/>
    <mergeCell ref="C431:C432"/>
    <mergeCell ref="L431:L432"/>
    <mergeCell ref="I433:J433"/>
    <mergeCell ref="K433:L433"/>
    <mergeCell ref="C435:D436"/>
    <mergeCell ref="I435:J435"/>
    <mergeCell ref="K435:L435"/>
    <mergeCell ref="C437:C439"/>
    <mergeCell ref="B443:C443"/>
    <mergeCell ref="B444:C444"/>
    <mergeCell ref="B445:C445"/>
    <mergeCell ref="C447:C448"/>
    <mergeCell ref="L447:L448"/>
    <mergeCell ref="C449:C450"/>
    <mergeCell ref="L449:L450"/>
    <mergeCell ref="I451:J451"/>
    <mergeCell ref="K451:L451"/>
    <mergeCell ref="C461:C463"/>
    <mergeCell ref="C453:C454"/>
    <mergeCell ref="L453:L454"/>
    <mergeCell ref="C455:C456"/>
    <mergeCell ref="L455:L456"/>
    <mergeCell ref="I457:J457"/>
    <mergeCell ref="K457:L457"/>
    <mergeCell ref="C459:D460"/>
    <mergeCell ref="I459:J459"/>
    <mergeCell ref="K459:L459"/>
    <mergeCell ref="B467:C467"/>
    <mergeCell ref="B468:C468"/>
    <mergeCell ref="B469:C469"/>
    <mergeCell ref="C471:C472"/>
    <mergeCell ref="L471:L472"/>
    <mergeCell ref="C473:C474"/>
    <mergeCell ref="L473:L474"/>
    <mergeCell ref="I475:J475"/>
    <mergeCell ref="K475:L475"/>
    <mergeCell ref="C477:C478"/>
    <mergeCell ref="L477:L478"/>
    <mergeCell ref="C479:C480"/>
    <mergeCell ref="L479:L480"/>
    <mergeCell ref="I481:J481"/>
    <mergeCell ref="K481:L481"/>
    <mergeCell ref="C483:D484"/>
    <mergeCell ref="I483:J483"/>
    <mergeCell ref="K483:L483"/>
    <mergeCell ref="C485:C487"/>
    <mergeCell ref="B491:C491"/>
    <mergeCell ref="B492:C492"/>
    <mergeCell ref="B493:C493"/>
    <mergeCell ref="C495:C496"/>
    <mergeCell ref="L495:L496"/>
    <mergeCell ref="C497:C498"/>
    <mergeCell ref="L497:L498"/>
    <mergeCell ref="I499:J499"/>
    <mergeCell ref="K499:L499"/>
    <mergeCell ref="C501:C502"/>
    <mergeCell ref="L501:L502"/>
    <mergeCell ref="C503:C504"/>
    <mergeCell ref="L503:L504"/>
    <mergeCell ref="I505:J505"/>
    <mergeCell ref="K505:L505"/>
    <mergeCell ref="C507:D508"/>
    <mergeCell ref="I507:J507"/>
    <mergeCell ref="K507:L507"/>
    <mergeCell ref="C509:C511"/>
    <mergeCell ref="B515:C515"/>
    <mergeCell ref="B516:C516"/>
    <mergeCell ref="B517:C517"/>
    <mergeCell ref="C519:C520"/>
    <mergeCell ref="L519:L520"/>
    <mergeCell ref="C521:C522"/>
    <mergeCell ref="L521:L522"/>
    <mergeCell ref="I523:J523"/>
    <mergeCell ref="K523:L523"/>
    <mergeCell ref="C525:C526"/>
    <mergeCell ref="L525:L526"/>
    <mergeCell ref="C527:C528"/>
    <mergeCell ref="L527:L528"/>
    <mergeCell ref="I529:J529"/>
    <mergeCell ref="K529:L529"/>
    <mergeCell ref="C531:D532"/>
    <mergeCell ref="I531:J531"/>
    <mergeCell ref="K531:L531"/>
    <mergeCell ref="C533:C535"/>
    <mergeCell ref="B539:C539"/>
    <mergeCell ref="B540:C540"/>
    <mergeCell ref="B541:C541"/>
    <mergeCell ref="C543:C544"/>
    <mergeCell ref="L543:L544"/>
    <mergeCell ref="C545:C546"/>
    <mergeCell ref="L545:L546"/>
    <mergeCell ref="I547:J547"/>
    <mergeCell ref="K547:L547"/>
    <mergeCell ref="C549:C550"/>
    <mergeCell ref="C551:C552"/>
    <mergeCell ref="L551:L552"/>
    <mergeCell ref="I553:J553"/>
    <mergeCell ref="K553:L553"/>
    <mergeCell ref="C555:D556"/>
    <mergeCell ref="I555:J555"/>
    <mergeCell ref="K555:L555"/>
    <mergeCell ref="C557:C559"/>
  </mergeCells>
  <printOptions horizontalCentered="1" verticalCentered="1"/>
  <pageMargins left="0.31496062992125984" right="0.15748031496062992" top="1.9685039370078741" bottom="0.39370078740157483" header="1.9685039370078741" footer="0.39370078740157483"/>
  <pageSetup scale="7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25"/>
  <sheetViews>
    <sheetView workbookViewId="0">
      <selection activeCell="H16" sqref="H16"/>
    </sheetView>
  </sheetViews>
  <sheetFormatPr defaultRowHeight="12.75"/>
  <cols>
    <col min="1" max="1" width="9.140625" style="183"/>
    <col min="2" max="4" width="20.7109375" style="183" customWidth="1"/>
    <col min="5" max="16384" width="9.140625" style="183"/>
  </cols>
  <sheetData>
    <row r="1" spans="2:4" ht="17.100000000000001" customHeight="1"/>
    <row r="2" spans="2:4" ht="17.100000000000001" customHeight="1"/>
    <row r="3" spans="2:4" ht="17.100000000000001" customHeight="1"/>
    <row r="4" spans="2:4" ht="17.100000000000001" customHeight="1"/>
    <row r="5" spans="2:4" ht="20.100000000000001" customHeight="1">
      <c r="B5" s="172" t="s">
        <v>76</v>
      </c>
      <c r="C5" s="173" t="s">
        <v>77</v>
      </c>
      <c r="D5" s="174" t="s">
        <v>78</v>
      </c>
    </row>
    <row r="6" spans="2:4" ht="20.100000000000001" customHeight="1" thickBot="1">
      <c r="B6" s="175">
        <f>12800000+4600000</f>
        <v>17400000</v>
      </c>
      <c r="C6" s="176">
        <f>4%*B6</f>
        <v>696000</v>
      </c>
      <c r="D6" s="177">
        <f>+B6-C6</f>
        <v>16704000</v>
      </c>
    </row>
    <row r="7" spans="2:4" ht="20.100000000000001" customHeight="1" thickTop="1"/>
    <row r="8" spans="2:4" ht="20.100000000000001" customHeight="1"/>
    <row r="9" spans="2:4" ht="20.100000000000001" customHeight="1">
      <c r="B9" s="172" t="s">
        <v>76</v>
      </c>
      <c r="C9" s="173" t="s">
        <v>77</v>
      </c>
      <c r="D9" s="174" t="s">
        <v>78</v>
      </c>
    </row>
    <row r="10" spans="2:4" ht="20.100000000000001" customHeight="1" thickBot="1">
      <c r="B10" s="175">
        <f>12800000+4600000+1500000</f>
        <v>18900000</v>
      </c>
      <c r="C10" s="176">
        <f>4%*B10</f>
        <v>756000</v>
      </c>
      <c r="D10" s="177">
        <f>+B10-C10</f>
        <v>18144000</v>
      </c>
    </row>
    <row r="11" spans="2:4" ht="20.100000000000001" customHeight="1" thickTop="1"/>
    <row r="12" spans="2:4" ht="20.100000000000001" customHeight="1"/>
    <row r="13" spans="2:4" ht="20.100000000000001" customHeight="1"/>
    <row r="14" spans="2:4" ht="20.100000000000001" customHeight="1">
      <c r="B14" s="183">
        <v>1</v>
      </c>
    </row>
    <row r="15" spans="2:4" ht="20.100000000000001" customHeight="1"/>
    <row r="16" spans="2:4" ht="17.100000000000001" customHeight="1"/>
    <row r="17" ht="17.100000000000001" customHeight="1"/>
    <row r="18" ht="17.100000000000001" customHeight="1"/>
    <row r="19" ht="17.100000000000001" customHeight="1"/>
    <row r="20" ht="17.100000000000001" customHeight="1"/>
    <row r="21" ht="17.100000000000001" customHeight="1"/>
    <row r="22" ht="17.100000000000001" customHeight="1"/>
    <row r="23" ht="17.100000000000001" customHeight="1"/>
    <row r="24" ht="17.100000000000001" customHeight="1"/>
    <row r="25" ht="17.100000000000001" customHeight="1"/>
    <row r="26" ht="17.100000000000001" customHeight="1"/>
    <row r="27" ht="17.100000000000001" customHeight="1"/>
    <row r="28" ht="17.100000000000001" customHeight="1"/>
    <row r="29" ht="17.100000000000001" customHeight="1"/>
    <row r="30" ht="17.100000000000001" customHeight="1"/>
    <row r="31" ht="17.100000000000001" customHeight="1"/>
    <row r="32" ht="17.100000000000001" customHeight="1"/>
    <row r="33" ht="17.100000000000001" customHeight="1"/>
    <row r="34" ht="17.100000000000001" customHeight="1"/>
    <row r="35" ht="17.100000000000001" customHeight="1"/>
    <row r="36" ht="17.100000000000001" customHeight="1"/>
    <row r="37" ht="17.100000000000001" customHeight="1"/>
    <row r="38" ht="17.100000000000001" customHeight="1"/>
    <row r="39" ht="17.100000000000001" customHeight="1"/>
    <row r="40" ht="17.100000000000001" customHeight="1"/>
    <row r="41" ht="17.100000000000001" customHeight="1"/>
    <row r="42" ht="17.100000000000001" customHeight="1"/>
    <row r="43" ht="17.100000000000001" customHeight="1"/>
    <row r="44" ht="17.100000000000001" customHeight="1"/>
    <row r="45" ht="17.100000000000001" customHeight="1"/>
    <row r="46" ht="17.100000000000001" customHeight="1"/>
    <row r="47" ht="17.100000000000001" customHeight="1"/>
    <row r="48" ht="17.100000000000001" customHeight="1"/>
    <row r="49" ht="17.100000000000001" customHeight="1"/>
    <row r="50" ht="17.100000000000001" customHeight="1"/>
    <row r="51" ht="17.100000000000001" customHeight="1"/>
    <row r="52" ht="17.100000000000001" customHeight="1"/>
    <row r="53" ht="17.100000000000001" customHeight="1"/>
    <row r="54" ht="17.100000000000001" customHeight="1"/>
    <row r="55" ht="17.100000000000001" customHeight="1"/>
    <row r="56" ht="17.100000000000001" customHeight="1"/>
    <row r="57" ht="17.100000000000001" customHeight="1"/>
    <row r="58" ht="17.100000000000001" customHeight="1"/>
    <row r="59" ht="17.100000000000001" customHeight="1"/>
    <row r="60" ht="17.100000000000001" customHeight="1"/>
    <row r="61" ht="17.100000000000001" customHeight="1"/>
    <row r="62" ht="17.100000000000001" customHeight="1"/>
    <row r="63" ht="17.100000000000001" customHeight="1"/>
    <row r="64" ht="17.100000000000001" customHeight="1"/>
    <row r="65" ht="17.100000000000001" customHeight="1"/>
    <row r="66" ht="17.100000000000001" customHeight="1"/>
    <row r="67" ht="17.100000000000001" customHeight="1"/>
    <row r="68" ht="17.100000000000001" customHeight="1"/>
    <row r="69" ht="17.100000000000001" customHeight="1"/>
    <row r="70" ht="17.100000000000001" customHeight="1"/>
    <row r="71" ht="17.100000000000001" customHeight="1"/>
    <row r="72" ht="17.100000000000001" customHeight="1"/>
    <row r="73" ht="17.100000000000001" customHeight="1"/>
    <row r="74" ht="17.100000000000001" customHeight="1"/>
    <row r="75" ht="17.100000000000001" customHeight="1"/>
    <row r="76" ht="17.100000000000001" customHeight="1"/>
    <row r="77" ht="17.100000000000001" customHeight="1"/>
    <row r="78" ht="17.100000000000001" customHeight="1"/>
    <row r="79" ht="17.100000000000001" customHeight="1"/>
    <row r="80" ht="17.100000000000001" customHeight="1"/>
    <row r="81" ht="17.100000000000001" customHeight="1"/>
    <row r="82" ht="17.100000000000001" customHeight="1"/>
    <row r="83" ht="17.100000000000001" customHeight="1"/>
    <row r="84" ht="17.100000000000001" customHeight="1"/>
    <row r="85" ht="17.100000000000001" customHeight="1"/>
    <row r="86" ht="17.100000000000001" customHeight="1"/>
    <row r="87" ht="17.100000000000001" customHeight="1"/>
    <row r="88" ht="17.100000000000001" customHeight="1"/>
    <row r="89" ht="17.100000000000001" customHeight="1"/>
    <row r="90" ht="17.100000000000001" customHeight="1"/>
    <row r="91" ht="17.100000000000001" customHeight="1"/>
    <row r="92" ht="17.100000000000001" customHeight="1"/>
    <row r="93" ht="17.100000000000001" customHeight="1"/>
    <row r="94" ht="17.100000000000001" customHeight="1"/>
    <row r="95" ht="17.100000000000001" customHeight="1"/>
    <row r="96" ht="17.100000000000001" customHeight="1"/>
    <row r="97" ht="17.100000000000001" customHeight="1"/>
    <row r="98" ht="17.100000000000001" customHeight="1"/>
    <row r="99" ht="17.100000000000001" customHeight="1"/>
    <row r="100" ht="17.100000000000001" customHeight="1"/>
    <row r="101" ht="17.100000000000001" customHeight="1"/>
    <row r="102" ht="17.100000000000001" customHeight="1"/>
    <row r="103" ht="17.100000000000001" customHeight="1"/>
    <row r="104" ht="17.100000000000001" customHeight="1"/>
    <row r="105" ht="17.100000000000001" customHeight="1"/>
    <row r="106" ht="17.100000000000001" customHeight="1"/>
    <row r="107" ht="17.100000000000001" customHeight="1"/>
    <row r="108" ht="17.100000000000001" customHeight="1"/>
    <row r="109" ht="17.100000000000001" customHeight="1"/>
    <row r="110" ht="17.100000000000001" customHeight="1"/>
    <row r="111" ht="17.100000000000001" customHeight="1"/>
    <row r="112" ht="17.100000000000001" customHeight="1"/>
    <row r="113" ht="17.100000000000001" customHeight="1"/>
    <row r="114" ht="17.100000000000001" customHeight="1"/>
    <row r="115" ht="17.100000000000001" customHeight="1"/>
    <row r="116" ht="17.100000000000001" customHeight="1"/>
    <row r="117" ht="17.100000000000001" customHeight="1"/>
    <row r="118" ht="17.100000000000001" customHeight="1"/>
    <row r="119" ht="17.100000000000001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  <row r="371" ht="17.100000000000001" customHeight="1"/>
    <row r="372" ht="17.100000000000001" customHeight="1"/>
    <row r="373" ht="17.100000000000001" customHeight="1"/>
    <row r="374" ht="17.100000000000001" customHeight="1"/>
    <row r="375" ht="17.100000000000001" customHeight="1"/>
    <row r="376" ht="17.100000000000001" customHeight="1"/>
    <row r="377" ht="17.100000000000001" customHeight="1"/>
    <row r="378" ht="17.100000000000001" customHeight="1"/>
    <row r="379" ht="17.100000000000001" customHeight="1"/>
    <row r="380" ht="17.100000000000001" customHeight="1"/>
    <row r="381" ht="17.100000000000001" customHeight="1"/>
    <row r="382" ht="17.100000000000001" customHeight="1"/>
    <row r="383" ht="17.100000000000001" customHeight="1"/>
    <row r="384" ht="17.100000000000001" customHeight="1"/>
    <row r="385" ht="17.100000000000001" customHeight="1"/>
    <row r="386" ht="17.100000000000001" customHeight="1"/>
    <row r="387" ht="17.100000000000001" customHeight="1"/>
    <row r="388" ht="17.100000000000001" customHeight="1"/>
    <row r="389" ht="17.100000000000001" customHeight="1"/>
    <row r="390" ht="17.100000000000001" customHeight="1"/>
    <row r="391" ht="17.100000000000001" customHeight="1"/>
    <row r="392" ht="17.100000000000001" customHeight="1"/>
    <row r="393" ht="17.100000000000001" customHeight="1"/>
    <row r="394" ht="17.100000000000001" customHeight="1"/>
    <row r="395" ht="17.100000000000001" customHeight="1"/>
    <row r="396" ht="17.100000000000001" customHeight="1"/>
    <row r="397" ht="17.100000000000001" customHeight="1"/>
    <row r="398" ht="17.100000000000001" customHeight="1"/>
    <row r="399" ht="17.100000000000001" customHeight="1"/>
    <row r="400" ht="17.100000000000001" customHeight="1"/>
    <row r="401" ht="17.100000000000001" customHeight="1"/>
    <row r="402" ht="17.100000000000001" customHeight="1"/>
    <row r="403" ht="17.100000000000001" customHeight="1"/>
    <row r="404" ht="17.100000000000001" customHeight="1"/>
    <row r="405" ht="17.100000000000001" customHeight="1"/>
    <row r="406" ht="17.100000000000001" customHeight="1"/>
    <row r="407" ht="17.100000000000001" customHeight="1"/>
    <row r="408" ht="17.100000000000001" customHeight="1"/>
    <row r="409" ht="17.100000000000001" customHeight="1"/>
    <row r="410" ht="17.100000000000001" customHeight="1"/>
    <row r="411" ht="17.100000000000001" customHeight="1"/>
    <row r="412" ht="17.100000000000001" customHeight="1"/>
    <row r="413" ht="17.100000000000001" customHeight="1"/>
    <row r="414" ht="17.100000000000001" customHeight="1"/>
    <row r="415" ht="17.100000000000001" customHeight="1"/>
    <row r="416" ht="17.100000000000001" customHeight="1"/>
    <row r="417" ht="17.100000000000001" customHeight="1"/>
    <row r="418" ht="17.100000000000001" customHeight="1"/>
    <row r="419" ht="17.100000000000001" customHeight="1"/>
    <row r="420" ht="17.100000000000001" customHeight="1"/>
    <row r="421" ht="17.100000000000001" customHeight="1"/>
    <row r="422" ht="17.100000000000001" customHeight="1"/>
    <row r="423" ht="17.100000000000001" customHeight="1"/>
    <row r="424" ht="17.100000000000001" customHeight="1"/>
    <row r="425" ht="17.100000000000001" customHeight="1"/>
    <row r="426" ht="17.100000000000001" customHeight="1"/>
    <row r="427" ht="17.100000000000001" customHeight="1"/>
    <row r="428" ht="17.100000000000001" customHeight="1"/>
    <row r="429" ht="17.100000000000001" customHeight="1"/>
    <row r="430" ht="17.100000000000001" customHeight="1"/>
    <row r="431" ht="17.100000000000001" customHeight="1"/>
    <row r="432" ht="17.100000000000001" customHeight="1"/>
    <row r="433" ht="17.100000000000001" customHeight="1"/>
    <row r="434" ht="17.100000000000001" customHeight="1"/>
    <row r="435" ht="17.100000000000001" customHeight="1"/>
    <row r="436" ht="17.100000000000001" customHeight="1"/>
    <row r="437" ht="17.100000000000001" customHeight="1"/>
    <row r="438" ht="17.100000000000001" customHeight="1"/>
    <row r="439" ht="17.100000000000001" customHeight="1"/>
    <row r="440" ht="17.100000000000001" customHeight="1"/>
    <row r="441" ht="17.100000000000001" customHeight="1"/>
    <row r="442" ht="17.100000000000001" customHeight="1"/>
    <row r="443" ht="17.100000000000001" customHeight="1"/>
    <row r="444" ht="17.100000000000001" customHeight="1"/>
    <row r="445" ht="17.100000000000001" customHeight="1"/>
    <row r="446" ht="17.100000000000001" customHeight="1"/>
    <row r="447" ht="17.100000000000001" customHeight="1"/>
    <row r="448" ht="17.100000000000001" customHeight="1"/>
    <row r="449" ht="17.100000000000001" customHeight="1"/>
    <row r="450" ht="17.100000000000001" customHeight="1"/>
    <row r="451" ht="17.100000000000001" customHeight="1"/>
    <row r="452" ht="17.100000000000001" customHeight="1"/>
    <row r="453" ht="17.100000000000001" customHeight="1"/>
    <row r="454" ht="17.100000000000001" customHeight="1"/>
    <row r="455" ht="17.100000000000001" customHeight="1"/>
    <row r="456" ht="17.100000000000001" customHeight="1"/>
    <row r="457" ht="17.100000000000001" customHeight="1"/>
    <row r="458" ht="17.100000000000001" customHeight="1"/>
    <row r="459" ht="17.100000000000001" customHeight="1"/>
    <row r="460" ht="17.100000000000001" customHeight="1"/>
    <row r="461" ht="17.100000000000001" customHeight="1"/>
    <row r="462" ht="17.100000000000001" customHeight="1"/>
    <row r="463" ht="17.100000000000001" customHeight="1"/>
    <row r="464" ht="17.100000000000001" customHeight="1"/>
    <row r="465" ht="17.100000000000001" customHeight="1"/>
    <row r="466" ht="17.100000000000001" customHeight="1"/>
    <row r="467" ht="17.100000000000001" customHeight="1"/>
    <row r="468" ht="17.100000000000001" customHeight="1"/>
    <row r="469" ht="17.100000000000001" customHeight="1"/>
    <row r="470" ht="17.100000000000001" customHeight="1"/>
    <row r="471" ht="17.100000000000001" customHeight="1"/>
    <row r="472" ht="17.100000000000001" customHeight="1"/>
    <row r="473" ht="17.100000000000001" customHeight="1"/>
    <row r="474" ht="17.100000000000001" customHeight="1"/>
    <row r="475" ht="17.100000000000001" customHeight="1"/>
    <row r="476" ht="17.100000000000001" customHeight="1"/>
    <row r="477" ht="17.100000000000001" customHeight="1"/>
    <row r="478" ht="17.100000000000001" customHeight="1"/>
    <row r="479" ht="17.100000000000001" customHeight="1"/>
    <row r="480" ht="17.100000000000001" customHeight="1"/>
    <row r="481" ht="17.100000000000001" customHeight="1"/>
    <row r="482" ht="17.100000000000001" customHeight="1"/>
    <row r="483" ht="17.100000000000001" customHeight="1"/>
    <row r="484" ht="17.100000000000001" customHeight="1"/>
    <row r="485" ht="17.100000000000001" customHeight="1"/>
    <row r="486" ht="17.100000000000001" customHeight="1"/>
    <row r="487" ht="17.100000000000001" customHeight="1"/>
    <row r="488" ht="17.100000000000001" customHeight="1"/>
    <row r="489" ht="17.100000000000001" customHeight="1"/>
    <row r="490" ht="17.100000000000001" customHeight="1"/>
    <row r="491" ht="17.100000000000001" customHeight="1"/>
    <row r="492" ht="17.100000000000001" customHeight="1"/>
    <row r="493" ht="17.100000000000001" customHeight="1"/>
    <row r="494" ht="17.100000000000001" customHeight="1"/>
    <row r="495" ht="17.100000000000001" customHeight="1"/>
    <row r="496" ht="17.100000000000001" customHeight="1"/>
    <row r="497" ht="17.100000000000001" customHeight="1"/>
    <row r="498" ht="17.100000000000001" customHeight="1"/>
    <row r="499" ht="17.100000000000001" customHeight="1"/>
    <row r="500" ht="17.100000000000001" customHeight="1"/>
    <row r="501" ht="17.100000000000001" customHeight="1"/>
    <row r="502" ht="17.100000000000001" customHeight="1"/>
    <row r="503" ht="17.100000000000001" customHeight="1"/>
    <row r="504" ht="17.100000000000001" customHeight="1"/>
    <row r="505" ht="17.100000000000001" customHeight="1"/>
    <row r="506" ht="17.100000000000001" customHeight="1"/>
    <row r="507" ht="17.100000000000001" customHeight="1"/>
    <row r="508" ht="17.100000000000001" customHeight="1"/>
    <row r="509" ht="17.100000000000001" customHeight="1"/>
    <row r="510" ht="17.100000000000001" customHeight="1"/>
    <row r="511" ht="17.100000000000001" customHeight="1"/>
    <row r="512" ht="17.100000000000001" customHeight="1"/>
    <row r="513" ht="17.100000000000001" customHeight="1"/>
    <row r="514" ht="17.100000000000001" customHeight="1"/>
    <row r="515" ht="17.100000000000001" customHeight="1"/>
    <row r="516" ht="17.100000000000001" customHeight="1"/>
    <row r="517" ht="17.100000000000001" customHeight="1"/>
    <row r="518" ht="17.100000000000001" customHeight="1"/>
    <row r="519" ht="17.100000000000001" customHeight="1"/>
    <row r="520" ht="17.100000000000001" customHeight="1"/>
    <row r="521" ht="17.100000000000001" customHeight="1"/>
    <row r="522" ht="17.100000000000001" customHeight="1"/>
    <row r="523" ht="17.100000000000001" customHeight="1"/>
    <row r="524" ht="17.100000000000001" customHeight="1"/>
    <row r="525" ht="17.100000000000001" customHeight="1"/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530"/>
  <sheetViews>
    <sheetView topLeftCell="A511" zoomScale="115" zoomScaleNormal="115" workbookViewId="0">
      <selection activeCell="K276" sqref="K276:L276"/>
    </sheetView>
  </sheetViews>
  <sheetFormatPr defaultRowHeight="12"/>
  <cols>
    <col min="1" max="1" width="2.28515625" style="2" customWidth="1"/>
    <col min="2" max="2" width="2.7109375" style="2" customWidth="1"/>
    <col min="3" max="3" width="9.7109375" style="2" customWidth="1"/>
    <col min="4" max="4" width="15.7109375" style="2" customWidth="1"/>
    <col min="5" max="11" width="13.7109375" style="4" customWidth="1"/>
    <col min="12" max="12" width="13.7109375" style="2" customWidth="1"/>
    <col min="13" max="13" width="2.7109375" style="2" customWidth="1"/>
    <col min="14" max="14" width="9.140625" style="2"/>
    <col min="15" max="15" width="11.7109375" style="2" bestFit="1" customWidth="1"/>
    <col min="16" max="16384" width="9.140625" style="2"/>
  </cols>
  <sheetData>
    <row r="1" spans="2:13" s="254" customFormat="1" ht="9" customHeight="1" thickBot="1">
      <c r="E1" s="255"/>
      <c r="F1" s="255"/>
      <c r="G1" s="255"/>
      <c r="H1" s="255"/>
      <c r="I1" s="255"/>
      <c r="J1" s="255"/>
      <c r="K1" s="255"/>
    </row>
    <row r="2" spans="2:13" ht="18" customHeight="1" thickTop="1">
      <c r="B2" s="210" t="s">
        <v>138</v>
      </c>
      <c r="C2" s="203"/>
      <c r="D2" s="203"/>
      <c r="E2" s="204"/>
      <c r="F2" s="204"/>
      <c r="G2" s="204"/>
      <c r="H2" s="204"/>
      <c r="I2" s="204"/>
      <c r="J2" s="204"/>
      <c r="K2" s="204"/>
      <c r="L2" s="203"/>
      <c r="M2" s="205"/>
    </row>
    <row r="3" spans="2:13" ht="18" customHeight="1">
      <c r="B3" s="632" t="s">
        <v>119</v>
      </c>
      <c r="C3" s="633"/>
      <c r="D3" s="76" t="s">
        <v>122</v>
      </c>
      <c r="E3" s="2"/>
      <c r="F3" s="2"/>
      <c r="H3" s="224"/>
      <c r="I3" s="224"/>
      <c r="J3" s="227" t="s">
        <v>124</v>
      </c>
      <c r="K3" s="228" t="s">
        <v>126</v>
      </c>
      <c r="L3" s="229"/>
      <c r="M3" s="75"/>
    </row>
    <row r="4" spans="2:13" ht="18" customHeight="1">
      <c r="B4" s="626" t="s">
        <v>120</v>
      </c>
      <c r="C4" s="627"/>
      <c r="D4" s="2" t="s">
        <v>211</v>
      </c>
      <c r="I4" s="211"/>
      <c r="J4" s="230" t="s">
        <v>173</v>
      </c>
      <c r="K4" s="211" t="s">
        <v>137</v>
      </c>
      <c r="L4" s="231"/>
      <c r="M4" s="75"/>
    </row>
    <row r="5" spans="2:13" ht="18" customHeight="1">
      <c r="B5" s="626" t="s">
        <v>121</v>
      </c>
      <c r="C5" s="627"/>
      <c r="D5" s="3" t="s">
        <v>210</v>
      </c>
      <c r="J5" s="232" t="s">
        <v>125</v>
      </c>
      <c r="K5" s="239" t="s">
        <v>175</v>
      </c>
      <c r="L5" s="233"/>
      <c r="M5" s="75"/>
    </row>
    <row r="6" spans="2:13" ht="9.9499999999999993" customHeight="1">
      <c r="B6" s="73"/>
      <c r="M6" s="75"/>
    </row>
    <row r="7" spans="2:13" ht="20.100000000000001" customHeight="1">
      <c r="B7" s="73"/>
      <c r="C7" s="628" t="s">
        <v>60</v>
      </c>
      <c r="D7" s="213" t="s">
        <v>3</v>
      </c>
      <c r="E7" s="257">
        <v>43465</v>
      </c>
      <c r="F7" s="257">
        <v>43101</v>
      </c>
      <c r="G7" s="256">
        <v>43102</v>
      </c>
      <c r="H7" s="256">
        <v>43103</v>
      </c>
      <c r="I7" s="256">
        <v>43104</v>
      </c>
      <c r="J7" s="257">
        <v>43105</v>
      </c>
      <c r="K7" s="257">
        <v>43106</v>
      </c>
      <c r="L7" s="645" t="s">
        <v>63</v>
      </c>
      <c r="M7" s="75"/>
    </row>
    <row r="8" spans="2:13" ht="20.100000000000001" customHeight="1">
      <c r="B8" s="73"/>
      <c r="C8" s="629"/>
      <c r="D8" s="213" t="s">
        <v>2</v>
      </c>
      <c r="E8" s="258" t="s">
        <v>4</v>
      </c>
      <c r="F8" s="258" t="s">
        <v>23</v>
      </c>
      <c r="G8" s="213" t="s">
        <v>29</v>
      </c>
      <c r="H8" s="213" t="s">
        <v>30</v>
      </c>
      <c r="I8" s="213" t="s">
        <v>59</v>
      </c>
      <c r="J8" s="258" t="s">
        <v>40</v>
      </c>
      <c r="K8" s="258" t="s">
        <v>43</v>
      </c>
      <c r="L8" s="646"/>
      <c r="M8" s="75"/>
    </row>
    <row r="9" spans="2:13" ht="18" customHeight="1">
      <c r="B9" s="79"/>
      <c r="C9" s="560" t="s">
        <v>163</v>
      </c>
      <c r="D9" s="217" t="s">
        <v>134</v>
      </c>
      <c r="E9" s="259" t="s">
        <v>13</v>
      </c>
      <c r="F9" s="259" t="s">
        <v>13</v>
      </c>
      <c r="G9" s="208" t="s">
        <v>81</v>
      </c>
      <c r="H9" s="208" t="s">
        <v>81</v>
      </c>
      <c r="I9" s="208" t="s">
        <v>81</v>
      </c>
      <c r="J9" s="259" t="s">
        <v>13</v>
      </c>
      <c r="K9" s="259" t="s">
        <v>13</v>
      </c>
      <c r="L9" s="636">
        <f>SUM(E10:K10)</f>
        <v>2550000</v>
      </c>
      <c r="M9" s="80"/>
    </row>
    <row r="10" spans="2:13" ht="18" customHeight="1">
      <c r="B10" s="81"/>
      <c r="C10" s="561"/>
      <c r="D10" s="219" t="s">
        <v>135</v>
      </c>
      <c r="E10" s="260" t="s">
        <v>13</v>
      </c>
      <c r="F10" s="260" t="s">
        <v>13</v>
      </c>
      <c r="G10" s="220">
        <v>850000</v>
      </c>
      <c r="H10" s="220">
        <v>850000</v>
      </c>
      <c r="I10" s="220">
        <v>850000</v>
      </c>
      <c r="J10" s="260" t="s">
        <v>13</v>
      </c>
      <c r="K10" s="260" t="s">
        <v>13</v>
      </c>
      <c r="L10" s="637"/>
      <c r="M10" s="82"/>
    </row>
    <row r="11" spans="2:13" ht="24.95" customHeight="1">
      <c r="B11" s="73"/>
      <c r="D11" s="206"/>
      <c r="E11" s="207"/>
      <c r="F11" s="207"/>
      <c r="G11" s="207"/>
      <c r="H11" s="207"/>
      <c r="I11" s="647" t="s">
        <v>118</v>
      </c>
      <c r="J11" s="647"/>
      <c r="K11" s="648">
        <f>SUM(L9:L10)</f>
        <v>2550000</v>
      </c>
      <c r="L11" s="648"/>
      <c r="M11" s="75"/>
    </row>
    <row r="12" spans="2:13" ht="24.95" customHeight="1">
      <c r="B12" s="73"/>
      <c r="D12" s="206"/>
      <c r="E12" s="207"/>
      <c r="F12" s="207"/>
      <c r="G12" s="207"/>
      <c r="H12" s="207"/>
      <c r="I12" s="251"/>
      <c r="J12" s="251"/>
      <c r="K12" s="252"/>
      <c r="L12" s="252"/>
      <c r="M12" s="75"/>
    </row>
    <row r="13" spans="2:13" ht="20.100000000000001" customHeight="1">
      <c r="B13" s="73"/>
      <c r="C13" s="634" t="s">
        <v>61</v>
      </c>
      <c r="D13" s="213" t="s">
        <v>3</v>
      </c>
      <c r="E13" s="257">
        <v>43465</v>
      </c>
      <c r="F13" s="257">
        <v>43101</v>
      </c>
      <c r="G13" s="256">
        <v>43102</v>
      </c>
      <c r="H13" s="256">
        <v>43103</v>
      </c>
      <c r="I13" s="256">
        <v>43104</v>
      </c>
      <c r="J13" s="257">
        <v>43105</v>
      </c>
      <c r="K13" s="257">
        <v>43106</v>
      </c>
      <c r="L13" s="215">
        <v>43427</v>
      </c>
      <c r="M13" s="75"/>
    </row>
    <row r="14" spans="2:13" ht="20.100000000000001" customHeight="1">
      <c r="B14" s="73"/>
      <c r="C14" s="635"/>
      <c r="D14" s="213" t="s">
        <v>2</v>
      </c>
      <c r="E14" s="258" t="s">
        <v>4</v>
      </c>
      <c r="F14" s="258" t="s">
        <v>23</v>
      </c>
      <c r="G14" s="213" t="s">
        <v>29</v>
      </c>
      <c r="H14" s="213" t="s">
        <v>30</v>
      </c>
      <c r="I14" s="213" t="s">
        <v>59</v>
      </c>
      <c r="J14" s="258" t="s">
        <v>40</v>
      </c>
      <c r="K14" s="258" t="s">
        <v>43</v>
      </c>
      <c r="L14" s="216" t="s">
        <v>43</v>
      </c>
      <c r="M14" s="75"/>
    </row>
    <row r="15" spans="2:13" ht="18" customHeight="1">
      <c r="B15" s="79"/>
      <c r="C15" s="560" t="s">
        <v>70</v>
      </c>
      <c r="D15" s="217" t="s">
        <v>134</v>
      </c>
      <c r="E15" s="259" t="s">
        <v>13</v>
      </c>
      <c r="F15" s="259" t="s">
        <v>13</v>
      </c>
      <c r="G15" s="208" t="s">
        <v>81</v>
      </c>
      <c r="H15" s="208" t="s">
        <v>81</v>
      </c>
      <c r="I15" s="208" t="s">
        <v>81</v>
      </c>
      <c r="J15" s="259" t="s">
        <v>13</v>
      </c>
      <c r="K15" s="259" t="s">
        <v>13</v>
      </c>
      <c r="L15" s="636">
        <f>SUM(E16:K16)</f>
        <v>2550000</v>
      </c>
      <c r="M15" s="80"/>
    </row>
    <row r="16" spans="2:13" ht="18" customHeight="1">
      <c r="B16" s="81"/>
      <c r="C16" s="561"/>
      <c r="D16" s="219" t="s">
        <v>135</v>
      </c>
      <c r="E16" s="260" t="s">
        <v>13</v>
      </c>
      <c r="F16" s="260" t="s">
        <v>13</v>
      </c>
      <c r="G16" s="220">
        <v>850000</v>
      </c>
      <c r="H16" s="220">
        <v>850000</v>
      </c>
      <c r="I16" s="220">
        <v>850000</v>
      </c>
      <c r="J16" s="260" t="s">
        <v>13</v>
      </c>
      <c r="K16" s="260" t="s">
        <v>13</v>
      </c>
      <c r="L16" s="637"/>
      <c r="M16" s="82"/>
    </row>
    <row r="17" spans="2:15" ht="24.95" customHeight="1">
      <c r="B17" s="73"/>
      <c r="F17" s="209"/>
      <c r="I17" s="638" t="s">
        <v>117</v>
      </c>
      <c r="J17" s="638"/>
      <c r="K17" s="639">
        <f>+L15</f>
        <v>2550000</v>
      </c>
      <c r="L17" s="639"/>
      <c r="M17" s="75"/>
      <c r="O17" s="261"/>
    </row>
    <row r="18" spans="2:15" ht="24.95" customHeight="1">
      <c r="B18" s="73"/>
      <c r="F18" s="209"/>
      <c r="I18" s="212"/>
      <c r="J18" s="212"/>
      <c r="K18" s="253"/>
      <c r="L18" s="253"/>
      <c r="M18" s="75"/>
    </row>
    <row r="19" spans="2:15" ht="24.95" customHeight="1">
      <c r="B19" s="73"/>
      <c r="C19" s="640" t="s">
        <v>136</v>
      </c>
      <c r="D19" s="640"/>
      <c r="E19" s="2"/>
      <c r="I19" s="611" t="s">
        <v>116</v>
      </c>
      <c r="J19" s="611"/>
      <c r="K19" s="612">
        <f>+K17+K11</f>
        <v>5100000</v>
      </c>
      <c r="L19" s="612"/>
      <c r="M19" s="75"/>
      <c r="O19" s="261">
        <f>+SUM(E10:K10)+SUM(E16:K16)</f>
        <v>5100000</v>
      </c>
    </row>
    <row r="20" spans="2:15" ht="9.9499999999999993" customHeight="1">
      <c r="B20" s="73"/>
      <c r="C20" s="641"/>
      <c r="D20" s="641"/>
      <c r="E20" s="2"/>
      <c r="F20" s="225"/>
      <c r="G20" s="225"/>
      <c r="M20" s="75"/>
    </row>
    <row r="21" spans="2:15" ht="15" customHeight="1">
      <c r="B21" s="73"/>
      <c r="C21" s="642" t="s">
        <v>132</v>
      </c>
      <c r="D21" s="1" t="s">
        <v>133</v>
      </c>
      <c r="E21" s="2"/>
      <c r="F21" s="225"/>
      <c r="G21" s="225"/>
      <c r="I21" s="234" t="s">
        <v>131</v>
      </c>
      <c r="J21" s="234" t="s">
        <v>130</v>
      </c>
      <c r="K21" s="234" t="s">
        <v>129</v>
      </c>
      <c r="L21" s="234" t="s">
        <v>128</v>
      </c>
      <c r="M21" s="75"/>
    </row>
    <row r="22" spans="2:15" ht="30" customHeight="1">
      <c r="B22" s="73"/>
      <c r="C22" s="643"/>
      <c r="D22" s="114"/>
      <c r="E22" s="2"/>
      <c r="F22" s="225"/>
      <c r="G22" s="225"/>
      <c r="I22" s="235"/>
      <c r="J22" s="234"/>
      <c r="K22" s="234"/>
      <c r="L22" s="234"/>
      <c r="M22" s="75"/>
    </row>
    <row r="23" spans="2:15" ht="15" customHeight="1">
      <c r="B23" s="73"/>
      <c r="C23" s="644"/>
      <c r="D23" s="114"/>
      <c r="F23" s="226"/>
      <c r="G23" s="226"/>
      <c r="I23" s="236" t="s">
        <v>114</v>
      </c>
      <c r="J23" s="237" t="s">
        <v>113</v>
      </c>
      <c r="K23" s="238" t="s">
        <v>112</v>
      </c>
      <c r="L23" s="234" t="s">
        <v>16</v>
      </c>
      <c r="M23" s="75"/>
    </row>
    <row r="24" spans="2:15" ht="20.100000000000001" customHeight="1" thickBot="1">
      <c r="B24" s="83"/>
      <c r="C24" s="84"/>
      <c r="D24" s="84"/>
      <c r="E24" s="85"/>
      <c r="F24" s="85"/>
      <c r="G24" s="85"/>
      <c r="H24" s="85"/>
      <c r="I24" s="85"/>
      <c r="J24" s="85"/>
      <c r="K24" s="85"/>
      <c r="L24" s="84"/>
      <c r="M24" s="86"/>
    </row>
    <row r="25" spans="2:15" s="254" customFormat="1" ht="9" customHeight="1" thickTop="1" thickBot="1">
      <c r="E25" s="255"/>
      <c r="F25" s="255"/>
      <c r="G25" s="255"/>
      <c r="H25" s="255"/>
      <c r="I25" s="255"/>
      <c r="J25" s="255"/>
      <c r="K25" s="255"/>
    </row>
    <row r="26" spans="2:15" ht="18" customHeight="1" thickTop="1">
      <c r="B26" s="210" t="s">
        <v>138</v>
      </c>
      <c r="C26" s="203"/>
      <c r="D26" s="203"/>
      <c r="E26" s="204"/>
      <c r="F26" s="204"/>
      <c r="G26" s="204"/>
      <c r="H26" s="204"/>
      <c r="I26" s="204"/>
      <c r="J26" s="204"/>
      <c r="K26" s="204"/>
      <c r="L26" s="203"/>
      <c r="M26" s="205"/>
    </row>
    <row r="27" spans="2:15" ht="18" customHeight="1">
      <c r="B27" s="632" t="s">
        <v>119</v>
      </c>
      <c r="C27" s="633"/>
      <c r="D27" s="76" t="s">
        <v>122</v>
      </c>
      <c r="E27" s="2"/>
      <c r="F27" s="2"/>
      <c r="H27" s="224"/>
      <c r="I27" s="224"/>
      <c r="J27" s="227" t="s">
        <v>124</v>
      </c>
      <c r="K27" s="228" t="s">
        <v>126</v>
      </c>
      <c r="L27" s="229"/>
      <c r="M27" s="75"/>
    </row>
    <row r="28" spans="2:15" ht="18" customHeight="1">
      <c r="B28" s="626" t="s">
        <v>120</v>
      </c>
      <c r="C28" s="627"/>
      <c r="D28" s="2" t="s">
        <v>212</v>
      </c>
      <c r="I28" s="211"/>
      <c r="J28" s="230" t="s">
        <v>173</v>
      </c>
      <c r="K28" s="211" t="s">
        <v>137</v>
      </c>
      <c r="L28" s="231"/>
      <c r="M28" s="75"/>
    </row>
    <row r="29" spans="2:15" ht="18" customHeight="1">
      <c r="B29" s="626" t="s">
        <v>121</v>
      </c>
      <c r="C29" s="627"/>
      <c r="D29" s="3" t="s">
        <v>213</v>
      </c>
      <c r="J29" s="232" t="s">
        <v>125</v>
      </c>
      <c r="K29" s="239" t="s">
        <v>175</v>
      </c>
      <c r="L29" s="233"/>
      <c r="M29" s="75"/>
    </row>
    <row r="30" spans="2:15" ht="9.9499999999999993" customHeight="1">
      <c r="B30" s="73"/>
      <c r="M30" s="75"/>
    </row>
    <row r="31" spans="2:15" ht="20.100000000000001" customHeight="1">
      <c r="B31" s="73"/>
      <c r="C31" s="628" t="s">
        <v>60</v>
      </c>
      <c r="D31" s="213" t="s">
        <v>3</v>
      </c>
      <c r="E31" s="256">
        <v>43107</v>
      </c>
      <c r="F31" s="256">
        <v>43108</v>
      </c>
      <c r="G31" s="256">
        <v>43109</v>
      </c>
      <c r="H31" s="256">
        <v>43110</v>
      </c>
      <c r="I31" s="256">
        <v>43111</v>
      </c>
      <c r="J31" s="257">
        <v>43112</v>
      </c>
      <c r="K31" s="257">
        <v>43113</v>
      </c>
      <c r="L31" s="645" t="s">
        <v>63</v>
      </c>
      <c r="M31" s="75"/>
    </row>
    <row r="32" spans="2:15" ht="20.100000000000001" customHeight="1">
      <c r="B32" s="73"/>
      <c r="C32" s="629"/>
      <c r="D32" s="213" t="s">
        <v>2</v>
      </c>
      <c r="E32" s="213" t="s">
        <v>4</v>
      </c>
      <c r="F32" s="213" t="s">
        <v>23</v>
      </c>
      <c r="G32" s="213" t="s">
        <v>29</v>
      </c>
      <c r="H32" s="213" t="s">
        <v>30</v>
      </c>
      <c r="I32" s="213" t="s">
        <v>59</v>
      </c>
      <c r="J32" s="258" t="s">
        <v>40</v>
      </c>
      <c r="K32" s="258" t="s">
        <v>43</v>
      </c>
      <c r="L32" s="646"/>
      <c r="M32" s="75"/>
    </row>
    <row r="33" spans="2:15" ht="18" customHeight="1">
      <c r="B33" s="79"/>
      <c r="C33" s="560" t="s">
        <v>163</v>
      </c>
      <c r="D33" s="217" t="s">
        <v>134</v>
      </c>
      <c r="E33" s="208" t="s">
        <v>81</v>
      </c>
      <c r="F33" s="208" t="s">
        <v>81</v>
      </c>
      <c r="G33" s="208" t="s">
        <v>81</v>
      </c>
      <c r="H33" s="208" t="s">
        <v>81</v>
      </c>
      <c r="I33" s="208" t="s">
        <v>81</v>
      </c>
      <c r="J33" s="259" t="s">
        <v>13</v>
      </c>
      <c r="K33" s="259" t="s">
        <v>13</v>
      </c>
      <c r="L33" s="636">
        <f>SUM(E34:K34)</f>
        <v>4250000</v>
      </c>
      <c r="M33" s="80"/>
    </row>
    <row r="34" spans="2:15" ht="18" customHeight="1">
      <c r="B34" s="81"/>
      <c r="C34" s="561"/>
      <c r="D34" s="219" t="s">
        <v>135</v>
      </c>
      <c r="E34" s="220">
        <v>850000</v>
      </c>
      <c r="F34" s="220">
        <v>850000</v>
      </c>
      <c r="G34" s="220">
        <v>850000</v>
      </c>
      <c r="H34" s="220">
        <v>850000</v>
      </c>
      <c r="I34" s="220">
        <v>850000</v>
      </c>
      <c r="J34" s="260" t="s">
        <v>13</v>
      </c>
      <c r="K34" s="260" t="s">
        <v>13</v>
      </c>
      <c r="L34" s="637"/>
      <c r="M34" s="82"/>
    </row>
    <row r="35" spans="2:15" ht="24.95" customHeight="1">
      <c r="B35" s="73"/>
      <c r="D35" s="206"/>
      <c r="E35" s="207"/>
      <c r="F35" s="207"/>
      <c r="G35" s="207"/>
      <c r="H35" s="207"/>
      <c r="I35" s="647" t="s">
        <v>118</v>
      </c>
      <c r="J35" s="647"/>
      <c r="K35" s="648">
        <f>SUM(L33:L34)</f>
        <v>4250000</v>
      </c>
      <c r="L35" s="648"/>
      <c r="M35" s="75"/>
    </row>
    <row r="36" spans="2:15" ht="24.95" customHeight="1">
      <c r="B36" s="73"/>
      <c r="D36" s="206"/>
      <c r="E36" s="207"/>
      <c r="F36" s="207"/>
      <c r="G36" s="207"/>
      <c r="H36" s="207"/>
      <c r="I36" s="251"/>
      <c r="J36" s="251"/>
      <c r="K36" s="252"/>
      <c r="L36" s="252"/>
      <c r="M36" s="75"/>
    </row>
    <row r="37" spans="2:15" ht="20.100000000000001" customHeight="1">
      <c r="B37" s="73"/>
      <c r="C37" s="634" t="s">
        <v>61</v>
      </c>
      <c r="D37" s="213" t="s">
        <v>3</v>
      </c>
      <c r="E37" s="256">
        <v>43107</v>
      </c>
      <c r="F37" s="256">
        <v>43108</v>
      </c>
      <c r="G37" s="256">
        <v>43109</v>
      </c>
      <c r="H37" s="256">
        <v>43110</v>
      </c>
      <c r="I37" s="256">
        <v>43111</v>
      </c>
      <c r="J37" s="257">
        <v>43112</v>
      </c>
      <c r="K37" s="257">
        <v>43113</v>
      </c>
      <c r="L37" s="215">
        <v>43427</v>
      </c>
      <c r="M37" s="75"/>
    </row>
    <row r="38" spans="2:15" ht="20.100000000000001" customHeight="1">
      <c r="B38" s="73"/>
      <c r="C38" s="635"/>
      <c r="D38" s="213" t="s">
        <v>2</v>
      </c>
      <c r="E38" s="213" t="s">
        <v>4</v>
      </c>
      <c r="F38" s="213" t="s">
        <v>23</v>
      </c>
      <c r="G38" s="213" t="s">
        <v>29</v>
      </c>
      <c r="H38" s="213" t="s">
        <v>30</v>
      </c>
      <c r="I38" s="213" t="s">
        <v>59</v>
      </c>
      <c r="J38" s="258" t="s">
        <v>40</v>
      </c>
      <c r="K38" s="258" t="s">
        <v>43</v>
      </c>
      <c r="L38" s="216" t="s">
        <v>43</v>
      </c>
      <c r="M38" s="75"/>
    </row>
    <row r="39" spans="2:15" ht="18" customHeight="1">
      <c r="B39" s="79"/>
      <c r="C39" s="560" t="s">
        <v>70</v>
      </c>
      <c r="D39" s="217" t="s">
        <v>134</v>
      </c>
      <c r="E39" s="208" t="s">
        <v>81</v>
      </c>
      <c r="F39" s="208" t="s">
        <v>81</v>
      </c>
      <c r="G39" s="208" t="s">
        <v>81</v>
      </c>
      <c r="H39" s="208" t="s">
        <v>81</v>
      </c>
      <c r="I39" s="208" t="s">
        <v>81</v>
      </c>
      <c r="J39" s="259" t="s">
        <v>13</v>
      </c>
      <c r="K39" s="259" t="s">
        <v>13</v>
      </c>
      <c r="L39" s="636">
        <f>SUM(E40:K40)</f>
        <v>4250000</v>
      </c>
      <c r="M39" s="80"/>
    </row>
    <row r="40" spans="2:15" ht="18" customHeight="1">
      <c r="B40" s="81"/>
      <c r="C40" s="561"/>
      <c r="D40" s="219" t="s">
        <v>135</v>
      </c>
      <c r="E40" s="220">
        <v>850000</v>
      </c>
      <c r="F40" s="220">
        <v>850000</v>
      </c>
      <c r="G40" s="220">
        <v>850000</v>
      </c>
      <c r="H40" s="220">
        <v>850000</v>
      </c>
      <c r="I40" s="220">
        <v>850000</v>
      </c>
      <c r="J40" s="260" t="s">
        <v>13</v>
      </c>
      <c r="K40" s="260" t="s">
        <v>13</v>
      </c>
      <c r="L40" s="637"/>
      <c r="M40" s="82"/>
    </row>
    <row r="41" spans="2:15" ht="24.95" customHeight="1">
      <c r="B41" s="73"/>
      <c r="F41" s="209"/>
      <c r="I41" s="638" t="s">
        <v>117</v>
      </c>
      <c r="J41" s="638"/>
      <c r="K41" s="639">
        <f>+L39</f>
        <v>4250000</v>
      </c>
      <c r="L41" s="639"/>
      <c r="M41" s="75"/>
      <c r="O41" s="261"/>
    </row>
    <row r="42" spans="2:15" ht="24.95" customHeight="1">
      <c r="B42" s="73"/>
      <c r="F42" s="209"/>
      <c r="I42" s="212"/>
      <c r="J42" s="212"/>
      <c r="K42" s="253"/>
      <c r="L42" s="253"/>
      <c r="M42" s="75"/>
    </row>
    <row r="43" spans="2:15" ht="24.95" customHeight="1">
      <c r="B43" s="73"/>
      <c r="C43" s="640" t="s">
        <v>136</v>
      </c>
      <c r="D43" s="640"/>
      <c r="E43" s="2"/>
      <c r="I43" s="611" t="s">
        <v>116</v>
      </c>
      <c r="J43" s="611"/>
      <c r="K43" s="612">
        <f>+K41+K35</f>
        <v>8500000</v>
      </c>
      <c r="L43" s="612"/>
      <c r="M43" s="75"/>
      <c r="O43" s="261">
        <f>+SUM(E34:K34)+SUM(E40:K40)</f>
        <v>8500000</v>
      </c>
    </row>
    <row r="44" spans="2:15" ht="9.9499999999999993" customHeight="1">
      <c r="B44" s="73"/>
      <c r="C44" s="641"/>
      <c r="D44" s="641"/>
      <c r="E44" s="2"/>
      <c r="F44" s="225"/>
      <c r="G44" s="225"/>
      <c r="M44" s="75"/>
    </row>
    <row r="45" spans="2:15" ht="15" customHeight="1">
      <c r="B45" s="73"/>
      <c r="C45" s="642" t="s">
        <v>132</v>
      </c>
      <c r="D45" s="1" t="s">
        <v>133</v>
      </c>
      <c r="E45" s="2"/>
      <c r="F45" s="225"/>
      <c r="G45" s="225"/>
      <c r="I45" s="234" t="s">
        <v>131</v>
      </c>
      <c r="J45" s="234" t="s">
        <v>130</v>
      </c>
      <c r="K45" s="234" t="s">
        <v>129</v>
      </c>
      <c r="L45" s="234" t="s">
        <v>128</v>
      </c>
      <c r="M45" s="75"/>
    </row>
    <row r="46" spans="2:15" ht="30" customHeight="1">
      <c r="B46" s="73"/>
      <c r="C46" s="643"/>
      <c r="D46" s="114"/>
      <c r="E46" s="2"/>
      <c r="F46" s="225"/>
      <c r="G46" s="225"/>
      <c r="I46" s="235"/>
      <c r="J46" s="234"/>
      <c r="K46" s="234"/>
      <c r="L46" s="234"/>
      <c r="M46" s="75"/>
    </row>
    <row r="47" spans="2:15" ht="15" customHeight="1">
      <c r="B47" s="73"/>
      <c r="C47" s="644"/>
      <c r="D47" s="114"/>
      <c r="F47" s="226"/>
      <c r="G47" s="226"/>
      <c r="I47" s="236" t="s">
        <v>114</v>
      </c>
      <c r="J47" s="237" t="s">
        <v>113</v>
      </c>
      <c r="K47" s="238" t="s">
        <v>112</v>
      </c>
      <c r="L47" s="234" t="s">
        <v>16</v>
      </c>
      <c r="M47" s="75"/>
    </row>
    <row r="48" spans="2:15" ht="20.100000000000001" customHeight="1" thickBot="1">
      <c r="B48" s="83"/>
      <c r="C48" s="84"/>
      <c r="D48" s="84"/>
      <c r="E48" s="85"/>
      <c r="F48" s="85"/>
      <c r="G48" s="85"/>
      <c r="H48" s="85"/>
      <c r="I48" s="85"/>
      <c r="J48" s="85"/>
      <c r="K48" s="85"/>
      <c r="L48" s="84"/>
      <c r="M48" s="86"/>
    </row>
    <row r="49" spans="2:13" s="254" customFormat="1" ht="9" customHeight="1" thickTop="1" thickBot="1">
      <c r="E49" s="255"/>
      <c r="F49" s="255"/>
      <c r="G49" s="255"/>
      <c r="H49" s="255"/>
      <c r="I49" s="255"/>
      <c r="J49" s="255"/>
      <c r="K49" s="255"/>
    </row>
    <row r="50" spans="2:13" ht="18" customHeight="1" thickTop="1">
      <c r="B50" s="210" t="s">
        <v>138</v>
      </c>
      <c r="C50" s="203"/>
      <c r="D50" s="203"/>
      <c r="E50" s="204"/>
      <c r="F50" s="204"/>
      <c r="G50" s="204"/>
      <c r="H50" s="204"/>
      <c r="I50" s="204"/>
      <c r="J50" s="204"/>
      <c r="K50" s="204"/>
      <c r="L50" s="203"/>
      <c r="M50" s="205"/>
    </row>
    <row r="51" spans="2:13" ht="18" customHeight="1">
      <c r="B51" s="632" t="s">
        <v>119</v>
      </c>
      <c r="C51" s="633"/>
      <c r="D51" s="76" t="s">
        <v>122</v>
      </c>
      <c r="E51" s="2"/>
      <c r="F51" s="2"/>
      <c r="H51" s="224"/>
      <c r="I51" s="224"/>
      <c r="J51" s="227" t="s">
        <v>124</v>
      </c>
      <c r="K51" s="228" t="s">
        <v>126</v>
      </c>
      <c r="L51" s="229"/>
      <c r="M51" s="75"/>
    </row>
    <row r="52" spans="2:13" ht="18" customHeight="1">
      <c r="B52" s="626" t="s">
        <v>120</v>
      </c>
      <c r="C52" s="627"/>
      <c r="D52" s="2" t="s">
        <v>215</v>
      </c>
      <c r="I52" s="211"/>
      <c r="J52" s="230" t="s">
        <v>173</v>
      </c>
      <c r="K52" s="211" t="s">
        <v>137</v>
      </c>
      <c r="L52" s="231"/>
      <c r="M52" s="75"/>
    </row>
    <row r="53" spans="2:13" ht="18" customHeight="1">
      <c r="B53" s="626" t="s">
        <v>121</v>
      </c>
      <c r="C53" s="627"/>
      <c r="D53" s="3" t="s">
        <v>214</v>
      </c>
      <c r="J53" s="232" t="s">
        <v>125</v>
      </c>
      <c r="K53" s="239" t="s">
        <v>175</v>
      </c>
      <c r="L53" s="233"/>
      <c r="M53" s="75"/>
    </row>
    <row r="54" spans="2:13" ht="9.9499999999999993" customHeight="1">
      <c r="B54" s="73"/>
      <c r="M54" s="75"/>
    </row>
    <row r="55" spans="2:13" ht="20.100000000000001" customHeight="1">
      <c r="B55" s="73"/>
      <c r="C55" s="628" t="s">
        <v>60</v>
      </c>
      <c r="D55" s="213" t="s">
        <v>3</v>
      </c>
      <c r="E55" s="256">
        <v>43114</v>
      </c>
      <c r="F55" s="256">
        <v>43115</v>
      </c>
      <c r="G55" s="256">
        <v>43116</v>
      </c>
      <c r="H55" s="256">
        <v>43117</v>
      </c>
      <c r="I55" s="256">
        <v>43118</v>
      </c>
      <c r="J55" s="257">
        <v>43119</v>
      </c>
      <c r="K55" s="257">
        <v>43120</v>
      </c>
      <c r="L55" s="645" t="s">
        <v>63</v>
      </c>
      <c r="M55" s="75"/>
    </row>
    <row r="56" spans="2:13" ht="20.100000000000001" customHeight="1">
      <c r="B56" s="73"/>
      <c r="C56" s="629"/>
      <c r="D56" s="213" t="s">
        <v>2</v>
      </c>
      <c r="E56" s="213" t="s">
        <v>4</v>
      </c>
      <c r="F56" s="213" t="s">
        <v>23</v>
      </c>
      <c r="G56" s="213" t="s">
        <v>29</v>
      </c>
      <c r="H56" s="213" t="s">
        <v>30</v>
      </c>
      <c r="I56" s="213" t="s">
        <v>59</v>
      </c>
      <c r="J56" s="258" t="s">
        <v>40</v>
      </c>
      <c r="K56" s="258" t="s">
        <v>43</v>
      </c>
      <c r="L56" s="646"/>
      <c r="M56" s="75"/>
    </row>
    <row r="57" spans="2:13" ht="18" customHeight="1">
      <c r="B57" s="79"/>
      <c r="C57" s="560" t="s">
        <v>163</v>
      </c>
      <c r="D57" s="217" t="s">
        <v>134</v>
      </c>
      <c r="E57" s="208" t="s">
        <v>81</v>
      </c>
      <c r="F57" s="208" t="s">
        <v>81</v>
      </c>
      <c r="G57" s="208" t="s">
        <v>81</v>
      </c>
      <c r="H57" s="208" t="s">
        <v>81</v>
      </c>
      <c r="I57" s="208" t="s">
        <v>81</v>
      </c>
      <c r="J57" s="259" t="s">
        <v>13</v>
      </c>
      <c r="K57" s="259" t="s">
        <v>13</v>
      </c>
      <c r="L57" s="636">
        <f>SUM(E58:K58)</f>
        <v>4250000</v>
      </c>
      <c r="M57" s="80"/>
    </row>
    <row r="58" spans="2:13" ht="18" customHeight="1">
      <c r="B58" s="81"/>
      <c r="C58" s="561"/>
      <c r="D58" s="219" t="s">
        <v>135</v>
      </c>
      <c r="E58" s="220">
        <v>850000</v>
      </c>
      <c r="F58" s="220">
        <v>850000</v>
      </c>
      <c r="G58" s="220">
        <v>850000</v>
      </c>
      <c r="H58" s="220">
        <v>850000</v>
      </c>
      <c r="I58" s="220">
        <v>850000</v>
      </c>
      <c r="J58" s="260" t="s">
        <v>13</v>
      </c>
      <c r="K58" s="260" t="s">
        <v>13</v>
      </c>
      <c r="L58" s="637"/>
      <c r="M58" s="82"/>
    </row>
    <row r="59" spans="2:13" ht="24.95" customHeight="1">
      <c r="B59" s="73"/>
      <c r="D59" s="206"/>
      <c r="E59" s="207"/>
      <c r="F59" s="207"/>
      <c r="G59" s="207"/>
      <c r="H59" s="207"/>
      <c r="I59" s="647" t="s">
        <v>118</v>
      </c>
      <c r="J59" s="647"/>
      <c r="K59" s="648">
        <f>SUM(L57:L58)</f>
        <v>4250000</v>
      </c>
      <c r="L59" s="648"/>
      <c r="M59" s="75"/>
    </row>
    <row r="60" spans="2:13" ht="24.95" customHeight="1">
      <c r="B60" s="73"/>
      <c r="D60" s="206"/>
      <c r="E60" s="207"/>
      <c r="F60" s="207"/>
      <c r="G60" s="207"/>
      <c r="H60" s="207"/>
      <c r="I60" s="251"/>
      <c r="J60" s="251"/>
      <c r="K60" s="252"/>
      <c r="L60" s="252"/>
      <c r="M60" s="75"/>
    </row>
    <row r="61" spans="2:13" ht="20.100000000000001" customHeight="1">
      <c r="B61" s="73"/>
      <c r="C61" s="634" t="s">
        <v>61</v>
      </c>
      <c r="D61" s="213" t="s">
        <v>3</v>
      </c>
      <c r="E61" s="256">
        <v>43114</v>
      </c>
      <c r="F61" s="256">
        <v>43115</v>
      </c>
      <c r="G61" s="256">
        <v>43116</v>
      </c>
      <c r="H61" s="256">
        <v>43117</v>
      </c>
      <c r="I61" s="256">
        <v>43118</v>
      </c>
      <c r="J61" s="257">
        <v>43119</v>
      </c>
      <c r="K61" s="257">
        <v>43120</v>
      </c>
      <c r="L61" s="215">
        <v>43427</v>
      </c>
      <c r="M61" s="75"/>
    </row>
    <row r="62" spans="2:13" ht="20.100000000000001" customHeight="1">
      <c r="B62" s="73"/>
      <c r="C62" s="635"/>
      <c r="D62" s="213" t="s">
        <v>2</v>
      </c>
      <c r="E62" s="213" t="s">
        <v>4</v>
      </c>
      <c r="F62" s="213" t="s">
        <v>23</v>
      </c>
      <c r="G62" s="213" t="s">
        <v>29</v>
      </c>
      <c r="H62" s="213" t="s">
        <v>30</v>
      </c>
      <c r="I62" s="213" t="s">
        <v>59</v>
      </c>
      <c r="J62" s="258" t="s">
        <v>40</v>
      </c>
      <c r="K62" s="258" t="s">
        <v>43</v>
      </c>
      <c r="L62" s="216" t="s">
        <v>43</v>
      </c>
      <c r="M62" s="75"/>
    </row>
    <row r="63" spans="2:13" ht="18" customHeight="1">
      <c r="B63" s="79"/>
      <c r="C63" s="560" t="s">
        <v>70</v>
      </c>
      <c r="D63" s="217" t="s">
        <v>134</v>
      </c>
      <c r="E63" s="208" t="s">
        <v>81</v>
      </c>
      <c r="F63" s="208" t="s">
        <v>81</v>
      </c>
      <c r="G63" s="208" t="s">
        <v>81</v>
      </c>
      <c r="H63" s="208" t="s">
        <v>81</v>
      </c>
      <c r="I63" s="208" t="s">
        <v>81</v>
      </c>
      <c r="J63" s="259" t="s">
        <v>13</v>
      </c>
      <c r="K63" s="259" t="s">
        <v>13</v>
      </c>
      <c r="L63" s="636">
        <f>SUM(E64:K64)</f>
        <v>4250000</v>
      </c>
      <c r="M63" s="80"/>
    </row>
    <row r="64" spans="2:13" ht="18" customHeight="1">
      <c r="B64" s="81"/>
      <c r="C64" s="561"/>
      <c r="D64" s="219" t="s">
        <v>135</v>
      </c>
      <c r="E64" s="220">
        <v>850000</v>
      </c>
      <c r="F64" s="220">
        <v>850000</v>
      </c>
      <c r="G64" s="220">
        <v>850000</v>
      </c>
      <c r="H64" s="220">
        <v>850000</v>
      </c>
      <c r="I64" s="220">
        <v>850000</v>
      </c>
      <c r="J64" s="260" t="s">
        <v>13</v>
      </c>
      <c r="K64" s="260" t="s">
        <v>13</v>
      </c>
      <c r="L64" s="637"/>
      <c r="M64" s="82"/>
    </row>
    <row r="65" spans="2:15" ht="24.95" customHeight="1">
      <c r="B65" s="73"/>
      <c r="F65" s="209"/>
      <c r="I65" s="638" t="s">
        <v>117</v>
      </c>
      <c r="J65" s="638"/>
      <c r="K65" s="639">
        <f>+L63</f>
        <v>4250000</v>
      </c>
      <c r="L65" s="639"/>
      <c r="M65" s="75"/>
      <c r="O65" s="261"/>
    </row>
    <row r="66" spans="2:15" ht="24.95" customHeight="1">
      <c r="B66" s="73"/>
      <c r="F66" s="209"/>
      <c r="I66" s="212"/>
      <c r="J66" s="212"/>
      <c r="K66" s="253"/>
      <c r="L66" s="253"/>
      <c r="M66" s="75"/>
    </row>
    <row r="67" spans="2:15" ht="24.95" customHeight="1">
      <c r="B67" s="73"/>
      <c r="C67" s="640" t="s">
        <v>136</v>
      </c>
      <c r="D67" s="640"/>
      <c r="E67" s="2"/>
      <c r="I67" s="611" t="s">
        <v>116</v>
      </c>
      <c r="J67" s="611"/>
      <c r="K67" s="612">
        <f>+K65+K59</f>
        <v>8500000</v>
      </c>
      <c r="L67" s="612"/>
      <c r="M67" s="75"/>
      <c r="O67" s="261">
        <f>+SUM(E58:K58)+SUM(E64:K64)</f>
        <v>8500000</v>
      </c>
    </row>
    <row r="68" spans="2:15" ht="9.9499999999999993" customHeight="1">
      <c r="B68" s="73"/>
      <c r="C68" s="641"/>
      <c r="D68" s="641"/>
      <c r="E68" s="2"/>
      <c r="F68" s="225"/>
      <c r="G68" s="225"/>
      <c r="M68" s="75"/>
    </row>
    <row r="69" spans="2:15" ht="15" customHeight="1">
      <c r="B69" s="73"/>
      <c r="C69" s="642" t="s">
        <v>132</v>
      </c>
      <c r="D69" s="1" t="s">
        <v>133</v>
      </c>
      <c r="E69" s="2"/>
      <c r="F69" s="225"/>
      <c r="G69" s="225"/>
      <c r="I69" s="234" t="s">
        <v>131</v>
      </c>
      <c r="J69" s="234" t="s">
        <v>130</v>
      </c>
      <c r="K69" s="234" t="s">
        <v>129</v>
      </c>
      <c r="L69" s="234" t="s">
        <v>128</v>
      </c>
      <c r="M69" s="75"/>
    </row>
    <row r="70" spans="2:15" ht="30" customHeight="1">
      <c r="B70" s="73"/>
      <c r="C70" s="643"/>
      <c r="D70" s="114"/>
      <c r="E70" s="2"/>
      <c r="F70" s="225"/>
      <c r="G70" s="225"/>
      <c r="I70" s="235"/>
      <c r="J70" s="234"/>
      <c r="K70" s="234"/>
      <c r="L70" s="234"/>
      <c r="M70" s="75"/>
    </row>
    <row r="71" spans="2:15" ht="15" customHeight="1">
      <c r="B71" s="73"/>
      <c r="C71" s="644"/>
      <c r="D71" s="114"/>
      <c r="F71" s="226"/>
      <c r="G71" s="226"/>
      <c r="I71" s="236" t="s">
        <v>114</v>
      </c>
      <c r="J71" s="237" t="s">
        <v>113</v>
      </c>
      <c r="K71" s="238" t="s">
        <v>112</v>
      </c>
      <c r="L71" s="234" t="s">
        <v>16</v>
      </c>
      <c r="M71" s="75"/>
    </row>
    <row r="72" spans="2:15" ht="20.100000000000001" customHeight="1" thickBot="1">
      <c r="B72" s="83"/>
      <c r="C72" s="84"/>
      <c r="D72" s="84"/>
      <c r="E72" s="85"/>
      <c r="F72" s="85"/>
      <c r="G72" s="85"/>
      <c r="H72" s="85"/>
      <c r="I72" s="85"/>
      <c r="J72" s="85"/>
      <c r="K72" s="85"/>
      <c r="L72" s="84"/>
      <c r="M72" s="86"/>
    </row>
    <row r="73" spans="2:15" s="254" customFormat="1" ht="9" customHeight="1" thickTop="1" thickBot="1">
      <c r="E73" s="255"/>
      <c r="F73" s="255"/>
      <c r="G73" s="255"/>
      <c r="H73" s="255"/>
      <c r="I73" s="255"/>
      <c r="J73" s="255"/>
      <c r="K73" s="255"/>
    </row>
    <row r="74" spans="2:15" ht="18" customHeight="1" thickTop="1">
      <c r="B74" s="210" t="s">
        <v>138</v>
      </c>
      <c r="C74" s="203"/>
      <c r="D74" s="203"/>
      <c r="E74" s="204"/>
      <c r="F74" s="204"/>
      <c r="G74" s="204"/>
      <c r="H74" s="204"/>
      <c r="I74" s="204"/>
      <c r="J74" s="204"/>
      <c r="K74" s="204"/>
      <c r="L74" s="203"/>
      <c r="M74" s="205"/>
    </row>
    <row r="75" spans="2:15" ht="18" customHeight="1">
      <c r="B75" s="632" t="s">
        <v>119</v>
      </c>
      <c r="C75" s="633"/>
      <c r="D75" s="76" t="s">
        <v>122</v>
      </c>
      <c r="E75" s="2"/>
      <c r="F75" s="2"/>
      <c r="H75" s="224"/>
      <c r="I75" s="224"/>
      <c r="J75" s="227" t="s">
        <v>124</v>
      </c>
      <c r="K75" s="228" t="s">
        <v>126</v>
      </c>
      <c r="L75" s="229"/>
      <c r="M75" s="75"/>
    </row>
    <row r="76" spans="2:15" ht="18" customHeight="1">
      <c r="B76" s="626" t="s">
        <v>120</v>
      </c>
      <c r="C76" s="627"/>
      <c r="D76" s="2" t="s">
        <v>218</v>
      </c>
      <c r="I76" s="211"/>
      <c r="J76" s="230" t="s">
        <v>173</v>
      </c>
      <c r="K76" s="211" t="s">
        <v>137</v>
      </c>
      <c r="L76" s="231"/>
      <c r="M76" s="75"/>
    </row>
    <row r="77" spans="2:15" ht="18" customHeight="1">
      <c r="B77" s="626" t="s">
        <v>121</v>
      </c>
      <c r="C77" s="627"/>
      <c r="D77" s="3" t="s">
        <v>216</v>
      </c>
      <c r="J77" s="232" t="s">
        <v>125</v>
      </c>
      <c r="K77" s="239" t="s">
        <v>175</v>
      </c>
      <c r="L77" s="233"/>
      <c r="M77" s="75"/>
    </row>
    <row r="78" spans="2:15" ht="9.9499999999999993" customHeight="1">
      <c r="B78" s="73"/>
      <c r="M78" s="75"/>
    </row>
    <row r="79" spans="2:15" ht="20.100000000000001" customHeight="1">
      <c r="B79" s="73"/>
      <c r="C79" s="628" t="s">
        <v>60</v>
      </c>
      <c r="D79" s="213" t="s">
        <v>3</v>
      </c>
      <c r="E79" s="256">
        <v>43121</v>
      </c>
      <c r="F79" s="256">
        <v>43122</v>
      </c>
      <c r="G79" s="256">
        <v>43123</v>
      </c>
      <c r="H79" s="256">
        <v>43124</v>
      </c>
      <c r="I79" s="256">
        <v>43125</v>
      </c>
      <c r="J79" s="257">
        <v>43126</v>
      </c>
      <c r="K79" s="257">
        <v>43127</v>
      </c>
      <c r="L79" s="645" t="s">
        <v>63</v>
      </c>
      <c r="M79" s="75"/>
    </row>
    <row r="80" spans="2:15" ht="20.100000000000001" customHeight="1">
      <c r="B80" s="73"/>
      <c r="C80" s="629"/>
      <c r="D80" s="213" t="s">
        <v>2</v>
      </c>
      <c r="E80" s="213" t="s">
        <v>4</v>
      </c>
      <c r="F80" s="213" t="s">
        <v>23</v>
      </c>
      <c r="G80" s="213" t="s">
        <v>29</v>
      </c>
      <c r="H80" s="213" t="s">
        <v>30</v>
      </c>
      <c r="I80" s="213" t="s">
        <v>59</v>
      </c>
      <c r="J80" s="258" t="s">
        <v>40</v>
      </c>
      <c r="K80" s="258" t="s">
        <v>43</v>
      </c>
      <c r="L80" s="646"/>
      <c r="M80" s="75"/>
    </row>
    <row r="81" spans="2:15" ht="18" customHeight="1">
      <c r="B81" s="79"/>
      <c r="C81" s="560" t="s">
        <v>163</v>
      </c>
      <c r="D81" s="217" t="s">
        <v>134</v>
      </c>
      <c r="E81" s="208" t="s">
        <v>81</v>
      </c>
      <c r="F81" s="208" t="s">
        <v>81</v>
      </c>
      <c r="G81" s="208" t="s">
        <v>81</v>
      </c>
      <c r="H81" s="208" t="s">
        <v>81</v>
      </c>
      <c r="I81" s="208" t="s">
        <v>81</v>
      </c>
      <c r="J81" s="259" t="s">
        <v>13</v>
      </c>
      <c r="K81" s="259" t="s">
        <v>13</v>
      </c>
      <c r="L81" s="636">
        <f>SUM(E82:K82)</f>
        <v>4250000</v>
      </c>
      <c r="M81" s="80"/>
    </row>
    <row r="82" spans="2:15" ht="18" customHeight="1">
      <c r="B82" s="81"/>
      <c r="C82" s="561"/>
      <c r="D82" s="219" t="s">
        <v>135</v>
      </c>
      <c r="E82" s="220">
        <v>850000</v>
      </c>
      <c r="F82" s="220">
        <v>850000</v>
      </c>
      <c r="G82" s="220">
        <v>850000</v>
      </c>
      <c r="H82" s="220">
        <v>850000</v>
      </c>
      <c r="I82" s="220">
        <v>850000</v>
      </c>
      <c r="J82" s="260" t="s">
        <v>13</v>
      </c>
      <c r="K82" s="260" t="s">
        <v>13</v>
      </c>
      <c r="L82" s="637"/>
      <c r="M82" s="82"/>
    </row>
    <row r="83" spans="2:15" ht="24.95" customHeight="1">
      <c r="B83" s="73"/>
      <c r="D83" s="206"/>
      <c r="E83" s="207"/>
      <c r="F83" s="207"/>
      <c r="G83" s="207"/>
      <c r="H83" s="207"/>
      <c r="I83" s="647" t="s">
        <v>118</v>
      </c>
      <c r="J83" s="647"/>
      <c r="K83" s="648">
        <f>SUM(L81:L82)</f>
        <v>4250000</v>
      </c>
      <c r="L83" s="648"/>
      <c r="M83" s="75"/>
    </row>
    <row r="84" spans="2:15" ht="24.95" customHeight="1">
      <c r="B84" s="73"/>
      <c r="D84" s="206"/>
      <c r="E84" s="207"/>
      <c r="F84" s="207"/>
      <c r="G84" s="207"/>
      <c r="H84" s="207"/>
      <c r="I84" s="251"/>
      <c r="J84" s="251"/>
      <c r="K84" s="252"/>
      <c r="L84" s="252"/>
      <c r="M84" s="75"/>
    </row>
    <row r="85" spans="2:15" ht="20.100000000000001" customHeight="1">
      <c r="B85" s="73"/>
      <c r="C85" s="634" t="s">
        <v>61</v>
      </c>
      <c r="D85" s="213" t="s">
        <v>3</v>
      </c>
      <c r="E85" s="256">
        <v>43121</v>
      </c>
      <c r="F85" s="256">
        <v>43122</v>
      </c>
      <c r="G85" s="256">
        <v>43123</v>
      </c>
      <c r="H85" s="256">
        <v>43124</v>
      </c>
      <c r="I85" s="256">
        <v>43125</v>
      </c>
      <c r="J85" s="257">
        <v>43126</v>
      </c>
      <c r="K85" s="257">
        <v>43127</v>
      </c>
      <c r="L85" s="215">
        <v>43427</v>
      </c>
      <c r="M85" s="75"/>
    </row>
    <row r="86" spans="2:15" ht="20.100000000000001" customHeight="1">
      <c r="B86" s="73"/>
      <c r="C86" s="635"/>
      <c r="D86" s="213" t="s">
        <v>2</v>
      </c>
      <c r="E86" s="213" t="s">
        <v>4</v>
      </c>
      <c r="F86" s="213" t="s">
        <v>23</v>
      </c>
      <c r="G86" s="213" t="s">
        <v>29</v>
      </c>
      <c r="H86" s="213" t="s">
        <v>30</v>
      </c>
      <c r="I86" s="213" t="s">
        <v>59</v>
      </c>
      <c r="J86" s="258" t="s">
        <v>40</v>
      </c>
      <c r="K86" s="258" t="s">
        <v>43</v>
      </c>
      <c r="L86" s="216" t="s">
        <v>43</v>
      </c>
      <c r="M86" s="75"/>
    </row>
    <row r="87" spans="2:15" ht="18" customHeight="1">
      <c r="B87" s="79"/>
      <c r="C87" s="560" t="s">
        <v>70</v>
      </c>
      <c r="D87" s="217" t="s">
        <v>134</v>
      </c>
      <c r="E87" s="208" t="s">
        <v>81</v>
      </c>
      <c r="F87" s="208" t="s">
        <v>81</v>
      </c>
      <c r="G87" s="208" t="s">
        <v>81</v>
      </c>
      <c r="H87" s="208" t="s">
        <v>81</v>
      </c>
      <c r="I87" s="208" t="s">
        <v>81</v>
      </c>
      <c r="J87" s="259" t="s">
        <v>13</v>
      </c>
      <c r="K87" s="259" t="s">
        <v>13</v>
      </c>
      <c r="L87" s="636">
        <f>SUM(E88:K88)</f>
        <v>4250000</v>
      </c>
      <c r="M87" s="80"/>
    </row>
    <row r="88" spans="2:15" ht="18" customHeight="1">
      <c r="B88" s="81"/>
      <c r="C88" s="561"/>
      <c r="D88" s="219" t="s">
        <v>135</v>
      </c>
      <c r="E88" s="220">
        <v>850000</v>
      </c>
      <c r="F88" s="220">
        <v>850000</v>
      </c>
      <c r="G88" s="220">
        <v>850000</v>
      </c>
      <c r="H88" s="220">
        <v>850000</v>
      </c>
      <c r="I88" s="220">
        <v>850000</v>
      </c>
      <c r="J88" s="260" t="s">
        <v>13</v>
      </c>
      <c r="K88" s="260" t="s">
        <v>13</v>
      </c>
      <c r="L88" s="637"/>
      <c r="M88" s="82"/>
    </row>
    <row r="89" spans="2:15" ht="24.95" customHeight="1">
      <c r="B89" s="73"/>
      <c r="F89" s="209"/>
      <c r="I89" s="638" t="s">
        <v>117</v>
      </c>
      <c r="J89" s="638"/>
      <c r="K89" s="639">
        <f>+L87</f>
        <v>4250000</v>
      </c>
      <c r="L89" s="639"/>
      <c r="M89" s="75"/>
      <c r="O89" s="261"/>
    </row>
    <row r="90" spans="2:15" ht="24.95" customHeight="1">
      <c r="B90" s="73"/>
      <c r="F90" s="209"/>
      <c r="I90" s="212"/>
      <c r="J90" s="212"/>
      <c r="K90" s="253"/>
      <c r="L90" s="253"/>
      <c r="M90" s="75"/>
    </row>
    <row r="91" spans="2:15" ht="24.95" customHeight="1">
      <c r="B91" s="73"/>
      <c r="C91" s="640" t="s">
        <v>136</v>
      </c>
      <c r="D91" s="640"/>
      <c r="E91" s="2"/>
      <c r="I91" s="611" t="s">
        <v>116</v>
      </c>
      <c r="J91" s="611"/>
      <c r="K91" s="612">
        <f>+K89+K83</f>
        <v>8500000</v>
      </c>
      <c r="L91" s="612"/>
      <c r="M91" s="75"/>
      <c r="O91" s="261">
        <f>+SUM(E82:K82)+SUM(E88:K88)</f>
        <v>8500000</v>
      </c>
    </row>
    <row r="92" spans="2:15" ht="9.9499999999999993" customHeight="1">
      <c r="B92" s="73"/>
      <c r="C92" s="641"/>
      <c r="D92" s="641"/>
      <c r="E92" s="2"/>
      <c r="F92" s="225"/>
      <c r="G92" s="225"/>
      <c r="M92" s="75"/>
    </row>
    <row r="93" spans="2:15" ht="15" customHeight="1">
      <c r="B93" s="73"/>
      <c r="C93" s="642" t="s">
        <v>132</v>
      </c>
      <c r="D93" s="1" t="s">
        <v>133</v>
      </c>
      <c r="E93" s="2"/>
      <c r="F93" s="225"/>
      <c r="G93" s="225"/>
      <c r="I93" s="234" t="s">
        <v>131</v>
      </c>
      <c r="J93" s="234" t="s">
        <v>130</v>
      </c>
      <c r="K93" s="234" t="s">
        <v>129</v>
      </c>
      <c r="L93" s="234" t="s">
        <v>128</v>
      </c>
      <c r="M93" s="75"/>
    </row>
    <row r="94" spans="2:15" ht="30" customHeight="1">
      <c r="B94" s="73"/>
      <c r="C94" s="643"/>
      <c r="D94" s="114"/>
      <c r="E94" s="2"/>
      <c r="F94" s="225"/>
      <c r="G94" s="225"/>
      <c r="I94" s="235"/>
      <c r="J94" s="234"/>
      <c r="K94" s="234"/>
      <c r="L94" s="234"/>
      <c r="M94" s="75"/>
    </row>
    <row r="95" spans="2:15" ht="15" customHeight="1">
      <c r="B95" s="73"/>
      <c r="C95" s="644"/>
      <c r="D95" s="114"/>
      <c r="F95" s="226"/>
      <c r="G95" s="226"/>
      <c r="I95" s="236" t="s">
        <v>114</v>
      </c>
      <c r="J95" s="237" t="s">
        <v>113</v>
      </c>
      <c r="K95" s="238" t="s">
        <v>112</v>
      </c>
      <c r="L95" s="234" t="s">
        <v>16</v>
      </c>
      <c r="M95" s="75"/>
    </row>
    <row r="96" spans="2:15" ht="20.100000000000001" customHeight="1" thickBot="1">
      <c r="B96" s="83"/>
      <c r="C96" s="84"/>
      <c r="D96" s="84"/>
      <c r="E96" s="85"/>
      <c r="F96" s="85"/>
      <c r="G96" s="85"/>
      <c r="H96" s="85"/>
      <c r="I96" s="85"/>
      <c r="J96" s="85"/>
      <c r="K96" s="85"/>
      <c r="L96" s="84"/>
      <c r="M96" s="86"/>
    </row>
    <row r="97" spans="2:13" s="254" customFormat="1" ht="9" customHeight="1" thickTop="1" thickBot="1">
      <c r="E97" s="255"/>
      <c r="F97" s="255"/>
      <c r="G97" s="255"/>
      <c r="H97" s="255"/>
      <c r="I97" s="255"/>
      <c r="J97" s="255"/>
      <c r="K97" s="255"/>
    </row>
    <row r="98" spans="2:13" ht="18" customHeight="1" thickTop="1">
      <c r="B98" s="210" t="s">
        <v>138</v>
      </c>
      <c r="C98" s="203"/>
      <c r="D98" s="203"/>
      <c r="E98" s="204"/>
      <c r="F98" s="204"/>
      <c r="G98" s="204"/>
      <c r="H98" s="204"/>
      <c r="I98" s="204"/>
      <c r="J98" s="204"/>
      <c r="K98" s="204"/>
      <c r="L98" s="203"/>
      <c r="M98" s="205"/>
    </row>
    <row r="99" spans="2:13" ht="18" customHeight="1">
      <c r="B99" s="632" t="s">
        <v>119</v>
      </c>
      <c r="C99" s="633"/>
      <c r="D99" s="76" t="s">
        <v>122</v>
      </c>
      <c r="E99" s="2"/>
      <c r="F99" s="2"/>
      <c r="H99" s="224"/>
      <c r="I99" s="224"/>
      <c r="J99" s="227" t="s">
        <v>124</v>
      </c>
      <c r="K99" s="228" t="s">
        <v>126</v>
      </c>
      <c r="L99" s="229"/>
      <c r="M99" s="75"/>
    </row>
    <row r="100" spans="2:13" ht="18" customHeight="1">
      <c r="B100" s="626" t="s">
        <v>120</v>
      </c>
      <c r="C100" s="627"/>
      <c r="D100" s="2" t="s">
        <v>217</v>
      </c>
      <c r="I100" s="211"/>
      <c r="J100" s="230" t="s">
        <v>173</v>
      </c>
      <c r="K100" s="211" t="s">
        <v>137</v>
      </c>
      <c r="L100" s="231"/>
      <c r="M100" s="75"/>
    </row>
    <row r="101" spans="2:13" ht="18" customHeight="1">
      <c r="B101" s="626" t="s">
        <v>121</v>
      </c>
      <c r="C101" s="627"/>
      <c r="D101" s="3" t="s">
        <v>219</v>
      </c>
      <c r="J101" s="232" t="s">
        <v>125</v>
      </c>
      <c r="K101" s="239" t="s">
        <v>175</v>
      </c>
      <c r="L101" s="233"/>
      <c r="M101" s="75"/>
    </row>
    <row r="102" spans="2:13" ht="9.9499999999999993" customHeight="1">
      <c r="B102" s="73"/>
      <c r="M102" s="75"/>
    </row>
    <row r="103" spans="2:13" ht="20.100000000000001" customHeight="1">
      <c r="B103" s="73"/>
      <c r="C103" s="628" t="s">
        <v>60</v>
      </c>
      <c r="D103" s="213" t="s">
        <v>3</v>
      </c>
      <c r="E103" s="256">
        <v>43128</v>
      </c>
      <c r="F103" s="256">
        <v>43129</v>
      </c>
      <c r="G103" s="256">
        <v>43130</v>
      </c>
      <c r="H103" s="256">
        <v>43131</v>
      </c>
      <c r="I103" s="256">
        <v>43132</v>
      </c>
      <c r="J103" s="256">
        <v>43133</v>
      </c>
      <c r="K103" s="257">
        <v>43134</v>
      </c>
      <c r="L103" s="645" t="s">
        <v>63</v>
      </c>
      <c r="M103" s="75"/>
    </row>
    <row r="104" spans="2:13" ht="20.100000000000001" customHeight="1">
      <c r="B104" s="73"/>
      <c r="C104" s="629"/>
      <c r="D104" s="213" t="s">
        <v>2</v>
      </c>
      <c r="E104" s="213" t="s">
        <v>4</v>
      </c>
      <c r="F104" s="213" t="s">
        <v>23</v>
      </c>
      <c r="G104" s="213" t="s">
        <v>29</v>
      </c>
      <c r="H104" s="213" t="s">
        <v>30</v>
      </c>
      <c r="I104" s="213" t="s">
        <v>59</v>
      </c>
      <c r="J104" s="213" t="s">
        <v>40</v>
      </c>
      <c r="K104" s="258" t="s">
        <v>43</v>
      </c>
      <c r="L104" s="646"/>
      <c r="M104" s="75"/>
    </row>
    <row r="105" spans="2:13" ht="18" customHeight="1">
      <c r="B105" s="79"/>
      <c r="C105" s="560" t="s">
        <v>163</v>
      </c>
      <c r="D105" s="217" t="s">
        <v>134</v>
      </c>
      <c r="E105" s="208" t="s">
        <v>81</v>
      </c>
      <c r="F105" s="208" t="s">
        <v>81</v>
      </c>
      <c r="G105" s="208" t="s">
        <v>81</v>
      </c>
      <c r="H105" s="208" t="s">
        <v>81</v>
      </c>
      <c r="I105" s="208" t="s">
        <v>81</v>
      </c>
      <c r="J105" s="208" t="s">
        <v>81</v>
      </c>
      <c r="K105" s="259" t="s">
        <v>13</v>
      </c>
      <c r="L105" s="636">
        <f>SUM(E106:K106)</f>
        <v>5100000</v>
      </c>
      <c r="M105" s="80"/>
    </row>
    <row r="106" spans="2:13" ht="18" customHeight="1">
      <c r="B106" s="81"/>
      <c r="C106" s="561"/>
      <c r="D106" s="219" t="s">
        <v>135</v>
      </c>
      <c r="E106" s="220">
        <v>850000</v>
      </c>
      <c r="F106" s="220">
        <v>850000</v>
      </c>
      <c r="G106" s="220">
        <v>850000</v>
      </c>
      <c r="H106" s="220">
        <v>850000</v>
      </c>
      <c r="I106" s="220">
        <v>850000</v>
      </c>
      <c r="J106" s="220">
        <v>850000</v>
      </c>
      <c r="K106" s="260" t="s">
        <v>13</v>
      </c>
      <c r="L106" s="637"/>
      <c r="M106" s="82"/>
    </row>
    <row r="107" spans="2:13" ht="24.95" customHeight="1">
      <c r="B107" s="73"/>
      <c r="D107" s="206"/>
      <c r="E107" s="207"/>
      <c r="F107" s="207"/>
      <c r="G107" s="207"/>
      <c r="H107" s="207"/>
      <c r="I107" s="647" t="s">
        <v>118</v>
      </c>
      <c r="J107" s="647"/>
      <c r="K107" s="648">
        <f>SUM(L105:L106)</f>
        <v>5100000</v>
      </c>
      <c r="L107" s="648"/>
      <c r="M107" s="75"/>
    </row>
    <row r="108" spans="2:13" ht="24.95" customHeight="1">
      <c r="B108" s="73"/>
      <c r="D108" s="206"/>
      <c r="E108" s="207"/>
      <c r="F108" s="207"/>
      <c r="G108" s="207"/>
      <c r="H108" s="207"/>
      <c r="I108" s="251"/>
      <c r="J108" s="251"/>
      <c r="K108" s="252"/>
      <c r="L108" s="252"/>
      <c r="M108" s="75"/>
    </row>
    <row r="109" spans="2:13" ht="20.100000000000001" customHeight="1">
      <c r="B109" s="73"/>
      <c r="C109" s="634" t="s">
        <v>61</v>
      </c>
      <c r="D109" s="213" t="s">
        <v>3</v>
      </c>
      <c r="E109" s="256">
        <v>43128</v>
      </c>
      <c r="F109" s="256">
        <v>43129</v>
      </c>
      <c r="G109" s="256">
        <v>43130</v>
      </c>
      <c r="H109" s="256">
        <v>43131</v>
      </c>
      <c r="I109" s="256">
        <v>43132</v>
      </c>
      <c r="J109" s="256">
        <v>43133</v>
      </c>
      <c r="K109" s="257">
        <v>43134</v>
      </c>
      <c r="L109" s="215">
        <v>43427</v>
      </c>
      <c r="M109" s="75"/>
    </row>
    <row r="110" spans="2:13" ht="20.100000000000001" customHeight="1">
      <c r="B110" s="73"/>
      <c r="C110" s="635"/>
      <c r="D110" s="213" t="s">
        <v>2</v>
      </c>
      <c r="E110" s="213" t="s">
        <v>4</v>
      </c>
      <c r="F110" s="213" t="s">
        <v>23</v>
      </c>
      <c r="G110" s="213" t="s">
        <v>29</v>
      </c>
      <c r="H110" s="213" t="s">
        <v>30</v>
      </c>
      <c r="I110" s="213" t="s">
        <v>59</v>
      </c>
      <c r="J110" s="213" t="s">
        <v>40</v>
      </c>
      <c r="K110" s="258" t="s">
        <v>43</v>
      </c>
      <c r="L110" s="216" t="s">
        <v>43</v>
      </c>
      <c r="M110" s="75"/>
    </row>
    <row r="111" spans="2:13" ht="18" customHeight="1">
      <c r="B111" s="79"/>
      <c r="C111" s="560" t="s">
        <v>70</v>
      </c>
      <c r="D111" s="217" t="s">
        <v>134</v>
      </c>
      <c r="E111" s="208" t="s">
        <v>81</v>
      </c>
      <c r="F111" s="208" t="s">
        <v>81</v>
      </c>
      <c r="G111" s="208" t="s">
        <v>81</v>
      </c>
      <c r="H111" s="208" t="s">
        <v>81</v>
      </c>
      <c r="I111" s="208" t="s">
        <v>81</v>
      </c>
      <c r="J111" s="208" t="s">
        <v>81</v>
      </c>
      <c r="K111" s="259" t="s">
        <v>13</v>
      </c>
      <c r="L111" s="636">
        <f>SUM(E112:K112)</f>
        <v>5100000</v>
      </c>
      <c r="M111" s="80"/>
    </row>
    <row r="112" spans="2:13" ht="18" customHeight="1">
      <c r="B112" s="81"/>
      <c r="C112" s="561"/>
      <c r="D112" s="219" t="s">
        <v>135</v>
      </c>
      <c r="E112" s="220">
        <v>850000</v>
      </c>
      <c r="F112" s="220">
        <v>850000</v>
      </c>
      <c r="G112" s="220">
        <v>850000</v>
      </c>
      <c r="H112" s="220">
        <v>850000</v>
      </c>
      <c r="I112" s="220">
        <v>850000</v>
      </c>
      <c r="J112" s="220">
        <v>850000</v>
      </c>
      <c r="K112" s="260" t="s">
        <v>13</v>
      </c>
      <c r="L112" s="637"/>
      <c r="M112" s="82"/>
    </row>
    <row r="113" spans="2:15" ht="24.95" customHeight="1">
      <c r="B113" s="73"/>
      <c r="F113" s="209"/>
      <c r="I113" s="638" t="s">
        <v>117</v>
      </c>
      <c r="J113" s="638"/>
      <c r="K113" s="639">
        <f>+L111</f>
        <v>5100000</v>
      </c>
      <c r="L113" s="639"/>
      <c r="M113" s="75"/>
      <c r="O113" s="261"/>
    </row>
    <row r="114" spans="2:15" ht="24.95" customHeight="1">
      <c r="B114" s="73"/>
      <c r="F114" s="209"/>
      <c r="I114" s="212"/>
      <c r="J114" s="212"/>
      <c r="K114" s="253"/>
      <c r="L114" s="253"/>
      <c r="M114" s="75"/>
    </row>
    <row r="115" spans="2:15" ht="24.95" customHeight="1">
      <c r="B115" s="73"/>
      <c r="C115" s="640" t="s">
        <v>136</v>
      </c>
      <c r="D115" s="640"/>
      <c r="E115" s="2"/>
      <c r="I115" s="611" t="s">
        <v>116</v>
      </c>
      <c r="J115" s="611"/>
      <c r="K115" s="612">
        <f>+K113+K107</f>
        <v>10200000</v>
      </c>
      <c r="L115" s="612"/>
      <c r="M115" s="75"/>
      <c r="O115" s="261">
        <f>+SUM(E106:K106)+SUM(E112:K112)</f>
        <v>10200000</v>
      </c>
    </row>
    <row r="116" spans="2:15" ht="9.9499999999999993" customHeight="1">
      <c r="B116" s="73"/>
      <c r="C116" s="641"/>
      <c r="D116" s="641"/>
      <c r="E116" s="2"/>
      <c r="F116" s="225"/>
      <c r="G116" s="225"/>
      <c r="M116" s="75"/>
    </row>
    <row r="117" spans="2:15" ht="15" customHeight="1">
      <c r="B117" s="73"/>
      <c r="C117" s="642" t="s">
        <v>132</v>
      </c>
      <c r="D117" s="1" t="s">
        <v>133</v>
      </c>
      <c r="E117" s="2"/>
      <c r="F117" s="225"/>
      <c r="G117" s="225"/>
      <c r="I117" s="234" t="s">
        <v>131</v>
      </c>
      <c r="J117" s="234" t="s">
        <v>130</v>
      </c>
      <c r="K117" s="234" t="s">
        <v>129</v>
      </c>
      <c r="L117" s="234" t="s">
        <v>128</v>
      </c>
      <c r="M117" s="75"/>
    </row>
    <row r="118" spans="2:15" ht="30" customHeight="1">
      <c r="B118" s="73"/>
      <c r="C118" s="643"/>
      <c r="D118" s="114"/>
      <c r="E118" s="2"/>
      <c r="F118" s="225"/>
      <c r="G118" s="225"/>
      <c r="I118" s="235"/>
      <c r="J118" s="234"/>
      <c r="K118" s="234"/>
      <c r="L118" s="234"/>
      <c r="M118" s="75"/>
    </row>
    <row r="119" spans="2:15" ht="15" customHeight="1">
      <c r="B119" s="73"/>
      <c r="C119" s="644"/>
      <c r="D119" s="114"/>
      <c r="F119" s="226"/>
      <c r="G119" s="226"/>
      <c r="I119" s="236" t="s">
        <v>114</v>
      </c>
      <c r="J119" s="237" t="s">
        <v>113</v>
      </c>
      <c r="K119" s="238" t="s">
        <v>112</v>
      </c>
      <c r="L119" s="234" t="s">
        <v>16</v>
      </c>
      <c r="M119" s="75"/>
    </row>
    <row r="120" spans="2:15" ht="20.100000000000001" customHeight="1" thickBot="1">
      <c r="B120" s="83"/>
      <c r="C120" s="84"/>
      <c r="D120" s="84"/>
      <c r="E120" s="85"/>
      <c r="F120" s="85"/>
      <c r="G120" s="85"/>
      <c r="H120" s="85"/>
      <c r="I120" s="85"/>
      <c r="J120" s="85"/>
      <c r="K120" s="85"/>
      <c r="L120" s="84"/>
      <c r="M120" s="86"/>
    </row>
    <row r="121" spans="2:15" s="254" customFormat="1" ht="9" customHeight="1" thickTop="1" thickBot="1">
      <c r="E121" s="255"/>
      <c r="F121" s="255"/>
      <c r="G121" s="255"/>
      <c r="H121" s="255"/>
      <c r="I121" s="255"/>
      <c r="J121" s="255"/>
      <c r="K121" s="255"/>
    </row>
    <row r="122" spans="2:15" ht="18" customHeight="1" thickTop="1">
      <c r="B122" s="210" t="s">
        <v>138</v>
      </c>
      <c r="C122" s="203"/>
      <c r="D122" s="203"/>
      <c r="E122" s="204"/>
      <c r="F122" s="204"/>
      <c r="G122" s="204"/>
      <c r="H122" s="204"/>
      <c r="I122" s="204"/>
      <c r="J122" s="204"/>
      <c r="K122" s="204"/>
      <c r="L122" s="203"/>
      <c r="M122" s="205"/>
    </row>
    <row r="123" spans="2:15" ht="18" customHeight="1">
      <c r="B123" s="632" t="s">
        <v>119</v>
      </c>
      <c r="C123" s="633"/>
      <c r="D123" s="76" t="s">
        <v>122</v>
      </c>
      <c r="E123" s="2"/>
      <c r="F123" s="2"/>
      <c r="H123" s="224"/>
      <c r="I123" s="224"/>
      <c r="J123" s="227" t="s">
        <v>124</v>
      </c>
      <c r="K123" s="228" t="s">
        <v>126</v>
      </c>
      <c r="L123" s="229"/>
      <c r="M123" s="75"/>
    </row>
    <row r="124" spans="2:15" ht="18" customHeight="1">
      <c r="B124" s="626" t="s">
        <v>120</v>
      </c>
      <c r="C124" s="627"/>
      <c r="D124" s="2" t="s">
        <v>220</v>
      </c>
      <c r="I124" s="211"/>
      <c r="J124" s="230" t="s">
        <v>173</v>
      </c>
      <c r="K124" s="211" t="s">
        <v>137</v>
      </c>
      <c r="L124" s="231"/>
      <c r="M124" s="75"/>
    </row>
    <row r="125" spans="2:15" ht="18" customHeight="1">
      <c r="B125" s="626" t="s">
        <v>121</v>
      </c>
      <c r="C125" s="627"/>
      <c r="D125" s="3" t="s">
        <v>221</v>
      </c>
      <c r="J125" s="232" t="s">
        <v>125</v>
      </c>
      <c r="K125" s="239" t="s">
        <v>175</v>
      </c>
      <c r="L125" s="233"/>
      <c r="M125" s="75"/>
    </row>
    <row r="126" spans="2:15" ht="9.9499999999999993" customHeight="1">
      <c r="B126" s="73"/>
      <c r="M126" s="75"/>
    </row>
    <row r="127" spans="2:15" ht="20.100000000000001" customHeight="1">
      <c r="B127" s="73"/>
      <c r="C127" s="628" t="s">
        <v>60</v>
      </c>
      <c r="D127" s="213" t="s">
        <v>3</v>
      </c>
      <c r="E127" s="257">
        <v>43500</v>
      </c>
      <c r="F127" s="257">
        <v>43501</v>
      </c>
      <c r="G127" s="256">
        <v>43502</v>
      </c>
      <c r="H127" s="256">
        <v>43503</v>
      </c>
      <c r="I127" s="256">
        <v>43504</v>
      </c>
      <c r="J127" s="257">
        <v>43505</v>
      </c>
      <c r="K127" s="257">
        <v>43506</v>
      </c>
      <c r="L127" s="645" t="s">
        <v>63</v>
      </c>
      <c r="M127" s="75"/>
    </row>
    <row r="128" spans="2:15" ht="20.100000000000001" customHeight="1">
      <c r="B128" s="73"/>
      <c r="C128" s="629"/>
      <c r="D128" s="213" t="s">
        <v>2</v>
      </c>
      <c r="E128" s="258" t="s">
        <v>4</v>
      </c>
      <c r="F128" s="258" t="s">
        <v>23</v>
      </c>
      <c r="G128" s="213" t="s">
        <v>29</v>
      </c>
      <c r="H128" s="213" t="s">
        <v>30</v>
      </c>
      <c r="I128" s="213" t="s">
        <v>59</v>
      </c>
      <c r="J128" s="258" t="s">
        <v>40</v>
      </c>
      <c r="K128" s="258" t="s">
        <v>43</v>
      </c>
      <c r="L128" s="646"/>
      <c r="M128" s="75"/>
    </row>
    <row r="129" spans="2:15" ht="18" customHeight="1">
      <c r="B129" s="79"/>
      <c r="C129" s="560" t="s">
        <v>163</v>
      </c>
      <c r="D129" s="217" t="s">
        <v>134</v>
      </c>
      <c r="E129" s="259" t="s">
        <v>13</v>
      </c>
      <c r="F129" s="259" t="s">
        <v>13</v>
      </c>
      <c r="G129" s="208" t="s">
        <v>81</v>
      </c>
      <c r="H129" s="208" t="s">
        <v>81</v>
      </c>
      <c r="I129" s="208" t="s">
        <v>81</v>
      </c>
      <c r="J129" s="259" t="s">
        <v>13</v>
      </c>
      <c r="K129" s="259" t="s">
        <v>13</v>
      </c>
      <c r="L129" s="636">
        <f>SUM(E130:K130)</f>
        <v>2550000</v>
      </c>
      <c r="M129" s="80"/>
    </row>
    <row r="130" spans="2:15" ht="18" customHeight="1">
      <c r="B130" s="81"/>
      <c r="C130" s="561"/>
      <c r="D130" s="219" t="s">
        <v>135</v>
      </c>
      <c r="E130" s="260" t="s">
        <v>13</v>
      </c>
      <c r="F130" s="260" t="s">
        <v>13</v>
      </c>
      <c r="G130" s="220">
        <v>850000</v>
      </c>
      <c r="H130" s="220">
        <v>850000</v>
      </c>
      <c r="I130" s="220">
        <v>850000</v>
      </c>
      <c r="J130" s="260" t="s">
        <v>13</v>
      </c>
      <c r="K130" s="260" t="s">
        <v>13</v>
      </c>
      <c r="L130" s="637"/>
      <c r="M130" s="82"/>
    </row>
    <row r="131" spans="2:15" ht="24.95" customHeight="1">
      <c r="B131" s="73"/>
      <c r="D131" s="206"/>
      <c r="E131" s="268"/>
      <c r="F131" s="268"/>
      <c r="G131" s="207"/>
      <c r="H131" s="207"/>
      <c r="I131" s="647" t="s">
        <v>118</v>
      </c>
      <c r="J131" s="647"/>
      <c r="K131" s="648">
        <f>SUM(L129:L130)</f>
        <v>2550000</v>
      </c>
      <c r="L131" s="648"/>
      <c r="M131" s="75"/>
    </row>
    <row r="132" spans="2:15" ht="24.95" customHeight="1">
      <c r="B132" s="73"/>
      <c r="D132" s="206"/>
      <c r="E132" s="268"/>
      <c r="F132" s="268"/>
      <c r="G132" s="207"/>
      <c r="H132" s="207"/>
      <c r="I132" s="251"/>
      <c r="J132" s="251"/>
      <c r="K132" s="252"/>
      <c r="L132" s="252"/>
      <c r="M132" s="75"/>
    </row>
    <row r="133" spans="2:15" ht="20.100000000000001" customHeight="1">
      <c r="B133" s="73"/>
      <c r="C133" s="634" t="s">
        <v>61</v>
      </c>
      <c r="D133" s="213" t="s">
        <v>3</v>
      </c>
      <c r="E133" s="257">
        <v>43500</v>
      </c>
      <c r="F133" s="257">
        <v>43501</v>
      </c>
      <c r="G133" s="256">
        <v>43502</v>
      </c>
      <c r="H133" s="256">
        <v>43503</v>
      </c>
      <c r="I133" s="256">
        <v>43504</v>
      </c>
      <c r="J133" s="257">
        <v>43505</v>
      </c>
      <c r="K133" s="257">
        <v>43506</v>
      </c>
      <c r="L133" s="215">
        <v>43427</v>
      </c>
      <c r="M133" s="75"/>
    </row>
    <row r="134" spans="2:15" ht="20.100000000000001" customHeight="1">
      <c r="B134" s="73"/>
      <c r="C134" s="635"/>
      <c r="D134" s="213" t="s">
        <v>2</v>
      </c>
      <c r="E134" s="258" t="s">
        <v>4</v>
      </c>
      <c r="F134" s="258" t="s">
        <v>23</v>
      </c>
      <c r="G134" s="213" t="s">
        <v>29</v>
      </c>
      <c r="H134" s="213" t="s">
        <v>30</v>
      </c>
      <c r="I134" s="213" t="s">
        <v>59</v>
      </c>
      <c r="J134" s="258" t="s">
        <v>40</v>
      </c>
      <c r="K134" s="258" t="s">
        <v>43</v>
      </c>
      <c r="L134" s="216" t="s">
        <v>43</v>
      </c>
      <c r="M134" s="75"/>
    </row>
    <row r="135" spans="2:15" ht="18" customHeight="1">
      <c r="B135" s="79"/>
      <c r="C135" s="560" t="s">
        <v>70</v>
      </c>
      <c r="D135" s="217" t="s">
        <v>134</v>
      </c>
      <c r="E135" s="259" t="s">
        <v>13</v>
      </c>
      <c r="F135" s="259" t="s">
        <v>13</v>
      </c>
      <c r="G135" s="208" t="s">
        <v>81</v>
      </c>
      <c r="H135" s="208" t="s">
        <v>81</v>
      </c>
      <c r="I135" s="208" t="s">
        <v>81</v>
      </c>
      <c r="J135" s="259" t="s">
        <v>13</v>
      </c>
      <c r="K135" s="259" t="s">
        <v>13</v>
      </c>
      <c r="L135" s="636">
        <f>SUM(E136:K136)</f>
        <v>2550000</v>
      </c>
      <c r="M135" s="80"/>
    </row>
    <row r="136" spans="2:15" ht="18" customHeight="1">
      <c r="B136" s="81"/>
      <c r="C136" s="561"/>
      <c r="D136" s="219" t="s">
        <v>135</v>
      </c>
      <c r="E136" s="260" t="s">
        <v>13</v>
      </c>
      <c r="F136" s="260" t="s">
        <v>13</v>
      </c>
      <c r="G136" s="220">
        <v>850000</v>
      </c>
      <c r="H136" s="220">
        <v>850000</v>
      </c>
      <c r="I136" s="220">
        <v>850000</v>
      </c>
      <c r="J136" s="260" t="s">
        <v>13</v>
      </c>
      <c r="K136" s="260" t="s">
        <v>13</v>
      </c>
      <c r="L136" s="637"/>
      <c r="M136" s="82"/>
    </row>
    <row r="137" spans="2:15" ht="24.95" customHeight="1">
      <c r="B137" s="73"/>
      <c r="F137" s="209"/>
      <c r="I137" s="638" t="s">
        <v>117</v>
      </c>
      <c r="J137" s="638"/>
      <c r="K137" s="639">
        <f>+L135</f>
        <v>2550000</v>
      </c>
      <c r="L137" s="639"/>
      <c r="M137" s="75"/>
      <c r="O137" s="261"/>
    </row>
    <row r="138" spans="2:15" ht="24.95" customHeight="1">
      <c r="B138" s="73"/>
      <c r="F138" s="209"/>
      <c r="I138" s="212"/>
      <c r="J138" s="212"/>
      <c r="K138" s="253"/>
      <c r="L138" s="253"/>
      <c r="M138" s="75"/>
    </row>
    <row r="139" spans="2:15" ht="24.95" customHeight="1">
      <c r="B139" s="73"/>
      <c r="C139" s="640" t="s">
        <v>136</v>
      </c>
      <c r="D139" s="640"/>
      <c r="E139" s="2"/>
      <c r="I139" s="611" t="s">
        <v>116</v>
      </c>
      <c r="J139" s="611"/>
      <c r="K139" s="612">
        <f>+K137+K131</f>
        <v>5100000</v>
      </c>
      <c r="L139" s="612"/>
      <c r="M139" s="75"/>
      <c r="O139" s="261">
        <f>+SUM(E130:K130)+SUM(E136:K136)</f>
        <v>5100000</v>
      </c>
    </row>
    <row r="140" spans="2:15" ht="9.9499999999999993" customHeight="1">
      <c r="B140" s="73"/>
      <c r="C140" s="641"/>
      <c r="D140" s="641"/>
      <c r="E140" s="2"/>
      <c r="F140" s="225"/>
      <c r="G140" s="225"/>
      <c r="M140" s="75"/>
    </row>
    <row r="141" spans="2:15" ht="15" customHeight="1">
      <c r="B141" s="73"/>
      <c r="C141" s="642" t="s">
        <v>132</v>
      </c>
      <c r="D141" s="1" t="s">
        <v>133</v>
      </c>
      <c r="E141" s="2"/>
      <c r="F141" s="225"/>
      <c r="G141" s="225"/>
      <c r="I141" s="234" t="s">
        <v>131</v>
      </c>
      <c r="J141" s="234" t="s">
        <v>130</v>
      </c>
      <c r="K141" s="234" t="s">
        <v>129</v>
      </c>
      <c r="L141" s="234" t="s">
        <v>128</v>
      </c>
      <c r="M141" s="75"/>
    </row>
    <row r="142" spans="2:15" ht="30" customHeight="1">
      <c r="B142" s="73"/>
      <c r="C142" s="643"/>
      <c r="D142" s="114"/>
      <c r="E142" s="2"/>
      <c r="F142" s="225"/>
      <c r="G142" s="225"/>
      <c r="I142" s="235"/>
      <c r="J142" s="234"/>
      <c r="K142" s="234"/>
      <c r="L142" s="234"/>
      <c r="M142" s="75"/>
    </row>
    <row r="143" spans="2:15" ht="15" customHeight="1">
      <c r="B143" s="73"/>
      <c r="C143" s="644"/>
      <c r="D143" s="114"/>
      <c r="F143" s="226"/>
      <c r="G143" s="226"/>
      <c r="I143" s="236" t="s">
        <v>114</v>
      </c>
      <c r="J143" s="237" t="s">
        <v>113</v>
      </c>
      <c r="K143" s="238" t="s">
        <v>112</v>
      </c>
      <c r="L143" s="234" t="s">
        <v>16</v>
      </c>
      <c r="M143" s="75"/>
    </row>
    <row r="144" spans="2:15" ht="20.100000000000001" customHeight="1" thickBot="1">
      <c r="B144" s="83"/>
      <c r="C144" s="84"/>
      <c r="D144" s="84"/>
      <c r="E144" s="85"/>
      <c r="F144" s="85"/>
      <c r="G144" s="85"/>
      <c r="H144" s="85"/>
      <c r="I144" s="85"/>
      <c r="J144" s="85"/>
      <c r="K144" s="85"/>
      <c r="L144" s="84"/>
      <c r="M144" s="86"/>
    </row>
    <row r="145" spans="2:13" s="254" customFormat="1" ht="9" customHeight="1" thickTop="1" thickBot="1">
      <c r="E145" s="255"/>
      <c r="F145" s="255"/>
      <c r="G145" s="255"/>
      <c r="H145" s="255"/>
      <c r="I145" s="255"/>
      <c r="J145" s="255"/>
      <c r="K145" s="255"/>
    </row>
    <row r="146" spans="2:13" ht="18" customHeight="1" thickTop="1">
      <c r="B146" s="210" t="s">
        <v>138</v>
      </c>
      <c r="C146" s="203"/>
      <c r="D146" s="203"/>
      <c r="E146" s="204"/>
      <c r="F146" s="204"/>
      <c r="G146" s="204"/>
      <c r="H146" s="204"/>
      <c r="I146" s="204"/>
      <c r="J146" s="204"/>
      <c r="K146" s="204"/>
      <c r="L146" s="203"/>
      <c r="M146" s="205"/>
    </row>
    <row r="147" spans="2:13" ht="18" customHeight="1">
      <c r="B147" s="632" t="s">
        <v>119</v>
      </c>
      <c r="C147" s="633"/>
      <c r="D147" s="76" t="s">
        <v>122</v>
      </c>
      <c r="E147" s="2"/>
      <c r="F147" s="2"/>
      <c r="H147" s="224"/>
      <c r="I147" s="224"/>
      <c r="J147" s="227" t="s">
        <v>124</v>
      </c>
      <c r="K147" s="228" t="s">
        <v>126</v>
      </c>
      <c r="L147" s="229"/>
      <c r="M147" s="75"/>
    </row>
    <row r="148" spans="2:13" ht="18" customHeight="1">
      <c r="B148" s="626" t="s">
        <v>120</v>
      </c>
      <c r="C148" s="627"/>
      <c r="D148" s="2" t="s">
        <v>223</v>
      </c>
      <c r="I148" s="211"/>
      <c r="J148" s="230" t="s">
        <v>173</v>
      </c>
      <c r="K148" s="211" t="s">
        <v>137</v>
      </c>
      <c r="L148" s="231"/>
      <c r="M148" s="75"/>
    </row>
    <row r="149" spans="2:13" ht="18" customHeight="1">
      <c r="B149" s="626" t="s">
        <v>121</v>
      </c>
      <c r="C149" s="627"/>
      <c r="D149" s="3" t="s">
        <v>222</v>
      </c>
      <c r="J149" s="232" t="s">
        <v>125</v>
      </c>
      <c r="K149" s="239" t="s">
        <v>175</v>
      </c>
      <c r="L149" s="233"/>
      <c r="M149" s="75"/>
    </row>
    <row r="150" spans="2:13" ht="9.9499999999999993" customHeight="1">
      <c r="B150" s="73"/>
      <c r="M150" s="75"/>
    </row>
    <row r="151" spans="2:13" ht="20.100000000000001" customHeight="1">
      <c r="B151" s="73"/>
      <c r="C151" s="628" t="s">
        <v>60</v>
      </c>
      <c r="D151" s="213" t="s">
        <v>3</v>
      </c>
      <c r="E151" s="256">
        <v>43507</v>
      </c>
      <c r="F151" s="256">
        <v>43508</v>
      </c>
      <c r="G151" s="256">
        <v>43509</v>
      </c>
      <c r="H151" s="256">
        <v>43510</v>
      </c>
      <c r="I151" s="256">
        <v>43511</v>
      </c>
      <c r="J151" s="257">
        <v>43512</v>
      </c>
      <c r="K151" s="257">
        <v>43513</v>
      </c>
      <c r="L151" s="645" t="s">
        <v>63</v>
      </c>
      <c r="M151" s="75"/>
    </row>
    <row r="152" spans="2:13" ht="20.100000000000001" customHeight="1">
      <c r="B152" s="73"/>
      <c r="C152" s="629"/>
      <c r="D152" s="213" t="s">
        <v>2</v>
      </c>
      <c r="E152" s="213" t="s">
        <v>4</v>
      </c>
      <c r="F152" s="213" t="s">
        <v>23</v>
      </c>
      <c r="G152" s="213" t="s">
        <v>29</v>
      </c>
      <c r="H152" s="213" t="s">
        <v>30</v>
      </c>
      <c r="I152" s="213" t="s">
        <v>59</v>
      </c>
      <c r="J152" s="258" t="s">
        <v>40</v>
      </c>
      <c r="K152" s="258" t="s">
        <v>43</v>
      </c>
      <c r="L152" s="646"/>
      <c r="M152" s="75"/>
    </row>
    <row r="153" spans="2:13" ht="18" customHeight="1">
      <c r="B153" s="79"/>
      <c r="C153" s="560" t="s">
        <v>163</v>
      </c>
      <c r="D153" s="217" t="s">
        <v>134</v>
      </c>
      <c r="E153" s="208" t="s">
        <v>81</v>
      </c>
      <c r="F153" s="208" t="s">
        <v>81</v>
      </c>
      <c r="G153" s="208" t="s">
        <v>81</v>
      </c>
      <c r="H153" s="208" t="s">
        <v>81</v>
      </c>
      <c r="I153" s="208" t="s">
        <v>81</v>
      </c>
      <c r="J153" s="259" t="s">
        <v>13</v>
      </c>
      <c r="K153" s="259" t="s">
        <v>13</v>
      </c>
      <c r="L153" s="636">
        <f>SUM(E154:K154)</f>
        <v>4250000</v>
      </c>
      <c r="M153" s="80"/>
    </row>
    <row r="154" spans="2:13" ht="18" customHeight="1">
      <c r="B154" s="81"/>
      <c r="C154" s="561"/>
      <c r="D154" s="219" t="s">
        <v>135</v>
      </c>
      <c r="E154" s="220">
        <v>850000</v>
      </c>
      <c r="F154" s="220">
        <v>850000</v>
      </c>
      <c r="G154" s="220">
        <v>850000</v>
      </c>
      <c r="H154" s="220">
        <v>850000</v>
      </c>
      <c r="I154" s="220">
        <v>850000</v>
      </c>
      <c r="J154" s="260" t="s">
        <v>13</v>
      </c>
      <c r="K154" s="260" t="s">
        <v>13</v>
      </c>
      <c r="L154" s="637"/>
      <c r="M154" s="82"/>
    </row>
    <row r="155" spans="2:13" ht="24.95" customHeight="1">
      <c r="B155" s="73"/>
      <c r="D155" s="206"/>
      <c r="E155" s="268"/>
      <c r="F155" s="268"/>
      <c r="G155" s="207"/>
      <c r="H155" s="207"/>
      <c r="I155" s="647" t="s">
        <v>118</v>
      </c>
      <c r="J155" s="647"/>
      <c r="K155" s="648">
        <f>SUM(L153:L154)</f>
        <v>4250000</v>
      </c>
      <c r="L155" s="648"/>
      <c r="M155" s="75"/>
    </row>
    <row r="156" spans="2:13" ht="24.95" customHeight="1">
      <c r="B156" s="73"/>
      <c r="D156" s="206"/>
      <c r="E156" s="268"/>
      <c r="F156" s="268"/>
      <c r="G156" s="207"/>
      <c r="H156" s="207"/>
      <c r="I156" s="251"/>
      <c r="J156" s="251"/>
      <c r="K156" s="252"/>
      <c r="L156" s="252"/>
      <c r="M156" s="75"/>
    </row>
    <row r="157" spans="2:13" ht="20.100000000000001" customHeight="1">
      <c r="B157" s="73"/>
      <c r="C157" s="634" t="s">
        <v>61</v>
      </c>
      <c r="D157" s="213" t="s">
        <v>3</v>
      </c>
      <c r="E157" s="256">
        <v>43507</v>
      </c>
      <c r="F157" s="256">
        <v>43508</v>
      </c>
      <c r="G157" s="256">
        <v>43509</v>
      </c>
      <c r="H157" s="256">
        <v>43510</v>
      </c>
      <c r="I157" s="256">
        <v>43511</v>
      </c>
      <c r="J157" s="257">
        <v>43512</v>
      </c>
      <c r="K157" s="257">
        <v>43513</v>
      </c>
      <c r="L157" s="645" t="s">
        <v>63</v>
      </c>
      <c r="M157" s="75"/>
    </row>
    <row r="158" spans="2:13" ht="20.100000000000001" customHeight="1">
      <c r="B158" s="73"/>
      <c r="C158" s="635"/>
      <c r="D158" s="213" t="s">
        <v>2</v>
      </c>
      <c r="E158" s="213" t="s">
        <v>4</v>
      </c>
      <c r="F158" s="213" t="s">
        <v>23</v>
      </c>
      <c r="G158" s="213" t="s">
        <v>29</v>
      </c>
      <c r="H158" s="213" t="s">
        <v>30</v>
      </c>
      <c r="I158" s="213" t="s">
        <v>59</v>
      </c>
      <c r="J158" s="258" t="s">
        <v>40</v>
      </c>
      <c r="K158" s="258" t="s">
        <v>43</v>
      </c>
      <c r="L158" s="646"/>
      <c r="M158" s="75"/>
    </row>
    <row r="159" spans="2:13" ht="18" customHeight="1">
      <c r="B159" s="79"/>
      <c r="C159" s="560" t="s">
        <v>70</v>
      </c>
      <c r="D159" s="217" t="s">
        <v>134</v>
      </c>
      <c r="E159" s="208" t="s">
        <v>81</v>
      </c>
      <c r="F159" s="208" t="s">
        <v>81</v>
      </c>
      <c r="G159" s="208" t="s">
        <v>81</v>
      </c>
      <c r="H159" s="208" t="s">
        <v>81</v>
      </c>
      <c r="I159" s="208" t="s">
        <v>81</v>
      </c>
      <c r="J159" s="259" t="s">
        <v>13</v>
      </c>
      <c r="K159" s="259" t="s">
        <v>13</v>
      </c>
      <c r="L159" s="636">
        <f>SUM(E160:K160)</f>
        <v>4250000</v>
      </c>
      <c r="M159" s="80"/>
    </row>
    <row r="160" spans="2:13" ht="18" customHeight="1">
      <c r="B160" s="81"/>
      <c r="C160" s="561"/>
      <c r="D160" s="219" t="s">
        <v>135</v>
      </c>
      <c r="E160" s="220">
        <v>850000</v>
      </c>
      <c r="F160" s="220">
        <v>850000</v>
      </c>
      <c r="G160" s="220">
        <v>850000</v>
      </c>
      <c r="H160" s="220">
        <v>850000</v>
      </c>
      <c r="I160" s="220">
        <v>850000</v>
      </c>
      <c r="J160" s="260" t="s">
        <v>13</v>
      </c>
      <c r="K160" s="260" t="s">
        <v>13</v>
      </c>
      <c r="L160" s="637"/>
      <c r="M160" s="82"/>
    </row>
    <row r="161" spans="2:15" ht="24.95" customHeight="1">
      <c r="B161" s="73"/>
      <c r="F161" s="209"/>
      <c r="I161" s="638" t="s">
        <v>117</v>
      </c>
      <c r="J161" s="638"/>
      <c r="K161" s="639">
        <f>+L159</f>
        <v>4250000</v>
      </c>
      <c r="L161" s="639"/>
      <c r="M161" s="75"/>
      <c r="O161" s="261"/>
    </row>
    <row r="162" spans="2:15" ht="24.95" customHeight="1">
      <c r="B162" s="73"/>
      <c r="F162" s="209"/>
      <c r="I162" s="212"/>
      <c r="J162" s="212"/>
      <c r="K162" s="253"/>
      <c r="L162" s="253"/>
      <c r="M162" s="75"/>
    </row>
    <row r="163" spans="2:15" ht="24.95" customHeight="1">
      <c r="B163" s="73"/>
      <c r="C163" s="640" t="s">
        <v>136</v>
      </c>
      <c r="D163" s="640"/>
      <c r="E163" s="2"/>
      <c r="I163" s="611" t="s">
        <v>116</v>
      </c>
      <c r="J163" s="611"/>
      <c r="K163" s="612">
        <f>+K161+K155</f>
        <v>8500000</v>
      </c>
      <c r="L163" s="612"/>
      <c r="M163" s="75"/>
      <c r="O163" s="261">
        <f>+SUM(E154:K154)+SUM(E160:K160)</f>
        <v>8500000</v>
      </c>
    </row>
    <row r="164" spans="2:15" ht="9.9499999999999993" customHeight="1">
      <c r="B164" s="73"/>
      <c r="C164" s="641"/>
      <c r="D164" s="641"/>
      <c r="E164" s="2"/>
      <c r="F164" s="225"/>
      <c r="G164" s="225"/>
      <c r="M164" s="75"/>
    </row>
    <row r="165" spans="2:15" ht="15" customHeight="1">
      <c r="B165" s="73"/>
      <c r="C165" s="642" t="s">
        <v>132</v>
      </c>
      <c r="D165" s="1" t="s">
        <v>133</v>
      </c>
      <c r="E165" s="2"/>
      <c r="F165" s="225"/>
      <c r="G165" s="225"/>
      <c r="I165" s="234" t="s">
        <v>131</v>
      </c>
      <c r="J165" s="234" t="s">
        <v>130</v>
      </c>
      <c r="K165" s="234" t="s">
        <v>129</v>
      </c>
      <c r="L165" s="234" t="s">
        <v>128</v>
      </c>
      <c r="M165" s="75"/>
    </row>
    <row r="166" spans="2:15" ht="30" customHeight="1">
      <c r="B166" s="73"/>
      <c r="C166" s="643"/>
      <c r="D166" s="114"/>
      <c r="E166" s="2"/>
      <c r="F166" s="225"/>
      <c r="G166" s="225"/>
      <c r="I166" s="235"/>
      <c r="J166" s="234"/>
      <c r="K166" s="234"/>
      <c r="L166" s="234"/>
      <c r="M166" s="75"/>
    </row>
    <row r="167" spans="2:15" ht="15" customHeight="1">
      <c r="B167" s="73"/>
      <c r="C167" s="644"/>
      <c r="D167" s="114"/>
      <c r="F167" s="226"/>
      <c r="G167" s="226"/>
      <c r="I167" s="236" t="s">
        <v>114</v>
      </c>
      <c r="J167" s="237" t="s">
        <v>113</v>
      </c>
      <c r="K167" s="238" t="s">
        <v>112</v>
      </c>
      <c r="L167" s="234" t="s">
        <v>16</v>
      </c>
      <c r="M167" s="75"/>
    </row>
    <row r="168" spans="2:15" ht="20.100000000000001" customHeight="1" thickBot="1">
      <c r="B168" s="83"/>
      <c r="C168" s="84"/>
      <c r="D168" s="84"/>
      <c r="E168" s="85"/>
      <c r="F168" s="85"/>
      <c r="G168" s="85"/>
      <c r="H168" s="85"/>
      <c r="I168" s="85"/>
      <c r="J168" s="85"/>
      <c r="K168" s="85"/>
      <c r="L168" s="84"/>
      <c r="M168" s="86"/>
    </row>
    <row r="169" spans="2:15" s="254" customFormat="1" ht="9" customHeight="1" thickTop="1" thickBot="1">
      <c r="E169" s="255"/>
      <c r="F169" s="255"/>
      <c r="G169" s="255"/>
      <c r="H169" s="255"/>
      <c r="I169" s="255"/>
      <c r="J169" s="255"/>
      <c r="K169" s="255"/>
    </row>
    <row r="170" spans="2:15" ht="18" customHeight="1" thickTop="1">
      <c r="B170" s="210" t="s">
        <v>138</v>
      </c>
      <c r="C170" s="203"/>
      <c r="D170" s="203"/>
      <c r="E170" s="204"/>
      <c r="F170" s="204"/>
      <c r="G170" s="204"/>
      <c r="H170" s="204"/>
      <c r="I170" s="204"/>
      <c r="J170" s="204"/>
      <c r="K170" s="204"/>
      <c r="L170" s="203"/>
      <c r="M170" s="205"/>
    </row>
    <row r="171" spans="2:15" ht="18" customHeight="1">
      <c r="B171" s="632" t="s">
        <v>119</v>
      </c>
      <c r="C171" s="633"/>
      <c r="D171" s="76" t="s">
        <v>122</v>
      </c>
      <c r="E171" s="2"/>
      <c r="F171" s="2"/>
      <c r="H171" s="224"/>
      <c r="I171" s="224"/>
      <c r="J171" s="227" t="s">
        <v>124</v>
      </c>
      <c r="K171" s="228" t="s">
        <v>126</v>
      </c>
      <c r="L171" s="229"/>
      <c r="M171" s="75"/>
    </row>
    <row r="172" spans="2:15" ht="18" customHeight="1">
      <c r="B172" s="626" t="s">
        <v>120</v>
      </c>
      <c r="C172" s="627"/>
      <c r="D172" s="2" t="s">
        <v>224</v>
      </c>
      <c r="I172" s="211"/>
      <c r="J172" s="230" t="s">
        <v>173</v>
      </c>
      <c r="K172" s="211" t="s">
        <v>137</v>
      </c>
      <c r="L172" s="231"/>
      <c r="M172" s="75"/>
    </row>
    <row r="173" spans="2:15" ht="18" customHeight="1">
      <c r="B173" s="626" t="s">
        <v>121</v>
      </c>
      <c r="C173" s="627"/>
      <c r="D173" s="3" t="s">
        <v>225</v>
      </c>
      <c r="J173" s="232" t="s">
        <v>125</v>
      </c>
      <c r="K173" s="239" t="s">
        <v>175</v>
      </c>
      <c r="L173" s="233"/>
      <c r="M173" s="75"/>
    </row>
    <row r="174" spans="2:15" ht="9.9499999999999993" customHeight="1">
      <c r="B174" s="73"/>
      <c r="M174" s="75"/>
    </row>
    <row r="175" spans="2:15" ht="20.100000000000001" customHeight="1">
      <c r="B175" s="73"/>
      <c r="C175" s="628" t="s">
        <v>60</v>
      </c>
      <c r="D175" s="213" t="s">
        <v>3</v>
      </c>
      <c r="E175" s="256">
        <v>43514</v>
      </c>
      <c r="F175" s="256">
        <v>43515</v>
      </c>
      <c r="G175" s="256">
        <v>43516</v>
      </c>
      <c r="H175" s="256">
        <v>43517</v>
      </c>
      <c r="I175" s="256">
        <v>43518</v>
      </c>
      <c r="J175" s="257">
        <v>43519</v>
      </c>
      <c r="K175" s="257">
        <v>43520</v>
      </c>
      <c r="L175" s="645" t="s">
        <v>63</v>
      </c>
      <c r="M175" s="75"/>
    </row>
    <row r="176" spans="2:15" ht="20.100000000000001" customHeight="1">
      <c r="B176" s="73"/>
      <c r="C176" s="629"/>
      <c r="D176" s="213" t="s">
        <v>2</v>
      </c>
      <c r="E176" s="213" t="s">
        <v>4</v>
      </c>
      <c r="F176" s="213" t="s">
        <v>23</v>
      </c>
      <c r="G176" s="213" t="s">
        <v>29</v>
      </c>
      <c r="H176" s="213" t="s">
        <v>30</v>
      </c>
      <c r="I176" s="213" t="s">
        <v>59</v>
      </c>
      <c r="J176" s="258" t="s">
        <v>40</v>
      </c>
      <c r="K176" s="258" t="s">
        <v>43</v>
      </c>
      <c r="L176" s="646"/>
      <c r="M176" s="75"/>
    </row>
    <row r="177" spans="2:15" ht="18" customHeight="1">
      <c r="B177" s="79"/>
      <c r="C177" s="560" t="s">
        <v>163</v>
      </c>
      <c r="D177" s="217" t="s">
        <v>134</v>
      </c>
      <c r="E177" s="208" t="s">
        <v>81</v>
      </c>
      <c r="F177" s="208" t="s">
        <v>81</v>
      </c>
      <c r="G177" s="208" t="s">
        <v>81</v>
      </c>
      <c r="H177" s="208" t="s">
        <v>81</v>
      </c>
      <c r="I177" s="208" t="s">
        <v>81</v>
      </c>
      <c r="J177" s="259" t="s">
        <v>13</v>
      </c>
      <c r="K177" s="259" t="s">
        <v>13</v>
      </c>
      <c r="L177" s="636">
        <f>SUM(E178:K178)</f>
        <v>4250000</v>
      </c>
      <c r="M177" s="80"/>
    </row>
    <row r="178" spans="2:15" ht="18" customHeight="1">
      <c r="B178" s="81"/>
      <c r="C178" s="561"/>
      <c r="D178" s="219" t="s">
        <v>135</v>
      </c>
      <c r="E178" s="220">
        <v>850000</v>
      </c>
      <c r="F178" s="220">
        <v>850000</v>
      </c>
      <c r="G178" s="220">
        <v>850000</v>
      </c>
      <c r="H178" s="220">
        <v>850000</v>
      </c>
      <c r="I178" s="220">
        <v>850000</v>
      </c>
      <c r="J178" s="260" t="s">
        <v>13</v>
      </c>
      <c r="K178" s="260" t="s">
        <v>13</v>
      </c>
      <c r="L178" s="637"/>
      <c r="M178" s="82"/>
    </row>
    <row r="179" spans="2:15" ht="24.95" customHeight="1">
      <c r="B179" s="73"/>
      <c r="D179" s="206"/>
      <c r="E179" s="268"/>
      <c r="F179" s="268"/>
      <c r="G179" s="207"/>
      <c r="H179" s="207"/>
      <c r="I179" s="647" t="s">
        <v>118</v>
      </c>
      <c r="J179" s="647"/>
      <c r="K179" s="648">
        <f>SUM(L177:L178)</f>
        <v>4250000</v>
      </c>
      <c r="L179" s="648"/>
      <c r="M179" s="75"/>
    </row>
    <row r="180" spans="2:15" ht="24.95" customHeight="1">
      <c r="B180" s="73"/>
      <c r="D180" s="206"/>
      <c r="E180" s="268"/>
      <c r="F180" s="268"/>
      <c r="G180" s="207"/>
      <c r="H180" s="207"/>
      <c r="I180" s="251"/>
      <c r="J180" s="251"/>
      <c r="K180" s="252"/>
      <c r="L180" s="252"/>
      <c r="M180" s="75"/>
    </row>
    <row r="181" spans="2:15" ht="20.100000000000001" customHeight="1">
      <c r="B181" s="73"/>
      <c r="C181" s="634" t="s">
        <v>61</v>
      </c>
      <c r="D181" s="213" t="s">
        <v>3</v>
      </c>
      <c r="E181" s="256">
        <v>43514</v>
      </c>
      <c r="F181" s="256">
        <v>43515</v>
      </c>
      <c r="G181" s="256">
        <v>43516</v>
      </c>
      <c r="H181" s="256">
        <v>43517</v>
      </c>
      <c r="I181" s="256">
        <v>43518</v>
      </c>
      <c r="J181" s="257">
        <v>43519</v>
      </c>
      <c r="K181" s="257">
        <v>43520</v>
      </c>
      <c r="L181" s="645" t="s">
        <v>63</v>
      </c>
      <c r="M181" s="75"/>
    </row>
    <row r="182" spans="2:15" ht="20.100000000000001" customHeight="1">
      <c r="B182" s="73"/>
      <c r="C182" s="635"/>
      <c r="D182" s="213" t="s">
        <v>2</v>
      </c>
      <c r="E182" s="213" t="s">
        <v>4</v>
      </c>
      <c r="F182" s="213" t="s">
        <v>23</v>
      </c>
      <c r="G182" s="213" t="s">
        <v>29</v>
      </c>
      <c r="H182" s="213" t="s">
        <v>30</v>
      </c>
      <c r="I182" s="213" t="s">
        <v>59</v>
      </c>
      <c r="J182" s="258" t="s">
        <v>40</v>
      </c>
      <c r="K182" s="258" t="s">
        <v>43</v>
      </c>
      <c r="L182" s="646"/>
      <c r="M182" s="75"/>
    </row>
    <row r="183" spans="2:15" ht="18" customHeight="1">
      <c r="B183" s="79"/>
      <c r="C183" s="560" t="s">
        <v>70</v>
      </c>
      <c r="D183" s="217" t="s">
        <v>134</v>
      </c>
      <c r="E183" s="208" t="s">
        <v>81</v>
      </c>
      <c r="F183" s="208" t="s">
        <v>81</v>
      </c>
      <c r="G183" s="208" t="s">
        <v>81</v>
      </c>
      <c r="H183" s="208" t="s">
        <v>81</v>
      </c>
      <c r="I183" s="208" t="s">
        <v>81</v>
      </c>
      <c r="J183" s="259" t="s">
        <v>13</v>
      </c>
      <c r="K183" s="259" t="s">
        <v>13</v>
      </c>
      <c r="L183" s="636">
        <f>SUM(E184:K184)</f>
        <v>4250000</v>
      </c>
      <c r="M183" s="80"/>
    </row>
    <row r="184" spans="2:15" ht="18" customHeight="1">
      <c r="B184" s="81"/>
      <c r="C184" s="561"/>
      <c r="D184" s="219" t="s">
        <v>135</v>
      </c>
      <c r="E184" s="220">
        <v>850000</v>
      </c>
      <c r="F184" s="220">
        <v>850000</v>
      </c>
      <c r="G184" s="220">
        <v>850000</v>
      </c>
      <c r="H184" s="220">
        <v>850000</v>
      </c>
      <c r="I184" s="220">
        <v>850000</v>
      </c>
      <c r="J184" s="260" t="s">
        <v>13</v>
      </c>
      <c r="K184" s="260" t="s">
        <v>13</v>
      </c>
      <c r="L184" s="637"/>
      <c r="M184" s="82"/>
    </row>
    <row r="185" spans="2:15" ht="24.95" customHeight="1">
      <c r="B185" s="73"/>
      <c r="F185" s="209"/>
      <c r="I185" s="638" t="s">
        <v>117</v>
      </c>
      <c r="J185" s="638"/>
      <c r="K185" s="639">
        <f>+L183</f>
        <v>4250000</v>
      </c>
      <c r="L185" s="639"/>
      <c r="M185" s="75"/>
      <c r="O185" s="261"/>
    </row>
    <row r="186" spans="2:15" ht="24.95" customHeight="1">
      <c r="B186" s="73"/>
      <c r="F186" s="209"/>
      <c r="I186" s="212"/>
      <c r="J186" s="212"/>
      <c r="K186" s="253"/>
      <c r="L186" s="253"/>
      <c r="M186" s="75"/>
    </row>
    <row r="187" spans="2:15" ht="24.95" customHeight="1">
      <c r="B187" s="73"/>
      <c r="C187" s="640" t="s">
        <v>136</v>
      </c>
      <c r="D187" s="640"/>
      <c r="E187" s="2"/>
      <c r="I187" s="611" t="s">
        <v>116</v>
      </c>
      <c r="J187" s="611"/>
      <c r="K187" s="612">
        <f>+K185+K179</f>
        <v>8500000</v>
      </c>
      <c r="L187" s="612"/>
      <c r="M187" s="75"/>
      <c r="O187" s="261">
        <f>+SUM(E178:K178)+SUM(E184:K184)</f>
        <v>8500000</v>
      </c>
    </row>
    <row r="188" spans="2:15" ht="9.9499999999999993" customHeight="1">
      <c r="B188" s="73"/>
      <c r="C188" s="641"/>
      <c r="D188" s="641"/>
      <c r="E188" s="2"/>
      <c r="F188" s="225"/>
      <c r="G188" s="225"/>
      <c r="M188" s="75"/>
    </row>
    <row r="189" spans="2:15" ht="15" customHeight="1">
      <c r="B189" s="73"/>
      <c r="C189" s="642" t="s">
        <v>132</v>
      </c>
      <c r="D189" s="1" t="s">
        <v>133</v>
      </c>
      <c r="E189" s="2"/>
      <c r="F189" s="225"/>
      <c r="G189" s="225"/>
      <c r="I189" s="234" t="s">
        <v>131</v>
      </c>
      <c r="J189" s="234" t="s">
        <v>130</v>
      </c>
      <c r="K189" s="234" t="s">
        <v>129</v>
      </c>
      <c r="L189" s="234" t="s">
        <v>128</v>
      </c>
      <c r="M189" s="75"/>
    </row>
    <row r="190" spans="2:15" ht="30" customHeight="1">
      <c r="B190" s="73"/>
      <c r="C190" s="643"/>
      <c r="D190" s="114"/>
      <c r="E190" s="2"/>
      <c r="F190" s="225"/>
      <c r="G190" s="225"/>
      <c r="I190" s="235"/>
      <c r="J190" s="234"/>
      <c r="K190" s="234"/>
      <c r="L190" s="234"/>
      <c r="M190" s="75"/>
    </row>
    <row r="191" spans="2:15" ht="15" customHeight="1">
      <c r="B191" s="73"/>
      <c r="C191" s="644"/>
      <c r="D191" s="114"/>
      <c r="F191" s="226"/>
      <c r="G191" s="226"/>
      <c r="I191" s="236" t="s">
        <v>114</v>
      </c>
      <c r="J191" s="237" t="s">
        <v>113</v>
      </c>
      <c r="K191" s="238" t="s">
        <v>112</v>
      </c>
      <c r="L191" s="234" t="s">
        <v>16</v>
      </c>
      <c r="M191" s="75"/>
    </row>
    <row r="192" spans="2:15" ht="20.100000000000001" customHeight="1" thickBot="1">
      <c r="B192" s="83"/>
      <c r="C192" s="84"/>
      <c r="D192" s="84"/>
      <c r="E192" s="85"/>
      <c r="F192" s="85"/>
      <c r="G192" s="85"/>
      <c r="H192" s="85"/>
      <c r="I192" s="85"/>
      <c r="J192" s="85"/>
      <c r="K192" s="85"/>
      <c r="L192" s="84"/>
      <c r="M192" s="86"/>
    </row>
    <row r="193" spans="2:13" s="254" customFormat="1" ht="9" customHeight="1" thickTop="1" thickBot="1">
      <c r="E193" s="255"/>
      <c r="F193" s="255"/>
      <c r="G193" s="255"/>
      <c r="H193" s="255"/>
      <c r="I193" s="255"/>
      <c r="J193" s="255"/>
      <c r="K193" s="255"/>
    </row>
    <row r="194" spans="2:13" ht="18" customHeight="1" thickTop="1">
      <c r="B194" s="210" t="s">
        <v>138</v>
      </c>
      <c r="C194" s="203"/>
      <c r="D194" s="203"/>
      <c r="E194" s="204"/>
      <c r="F194" s="204"/>
      <c r="G194" s="204"/>
      <c r="H194" s="204"/>
      <c r="I194" s="204"/>
      <c r="J194" s="204"/>
      <c r="K194" s="204"/>
      <c r="L194" s="203"/>
      <c r="M194" s="205"/>
    </row>
    <row r="195" spans="2:13" ht="18" customHeight="1">
      <c r="B195" s="632" t="s">
        <v>119</v>
      </c>
      <c r="C195" s="633"/>
      <c r="D195" s="76" t="s">
        <v>122</v>
      </c>
      <c r="E195" s="2"/>
      <c r="F195" s="2"/>
      <c r="H195" s="224"/>
      <c r="I195" s="224"/>
      <c r="J195" s="227" t="s">
        <v>124</v>
      </c>
      <c r="K195" s="228" t="s">
        <v>126</v>
      </c>
      <c r="L195" s="229"/>
      <c r="M195" s="75"/>
    </row>
    <row r="196" spans="2:13" ht="18" customHeight="1">
      <c r="B196" s="626" t="s">
        <v>120</v>
      </c>
      <c r="C196" s="627"/>
      <c r="D196" s="2" t="s">
        <v>227</v>
      </c>
      <c r="I196" s="211"/>
      <c r="J196" s="230" t="s">
        <v>173</v>
      </c>
      <c r="K196" s="211" t="s">
        <v>137</v>
      </c>
      <c r="L196" s="231"/>
      <c r="M196" s="75"/>
    </row>
    <row r="197" spans="2:13" ht="18" customHeight="1">
      <c r="B197" s="626" t="s">
        <v>121</v>
      </c>
      <c r="C197" s="627"/>
      <c r="D197" s="3" t="s">
        <v>226</v>
      </c>
      <c r="J197" s="232" t="s">
        <v>125</v>
      </c>
      <c r="K197" s="239" t="s">
        <v>175</v>
      </c>
      <c r="L197" s="233"/>
      <c r="M197" s="75"/>
    </row>
    <row r="198" spans="2:13" ht="9.9499999999999993" customHeight="1">
      <c r="B198" s="73"/>
      <c r="M198" s="75"/>
    </row>
    <row r="199" spans="2:13" ht="20.100000000000001" customHeight="1">
      <c r="B199" s="73"/>
      <c r="C199" s="628" t="s">
        <v>60</v>
      </c>
      <c r="D199" s="213" t="s">
        <v>3</v>
      </c>
      <c r="E199" s="256">
        <v>43521</v>
      </c>
      <c r="F199" s="256">
        <v>43522</v>
      </c>
      <c r="G199" s="256">
        <v>43523</v>
      </c>
      <c r="H199" s="256">
        <v>43524</v>
      </c>
      <c r="I199" s="256">
        <v>43525</v>
      </c>
      <c r="J199" s="256">
        <v>43526</v>
      </c>
      <c r="K199" s="257">
        <v>43527</v>
      </c>
      <c r="L199" s="645" t="s">
        <v>63</v>
      </c>
      <c r="M199" s="75"/>
    </row>
    <row r="200" spans="2:13" ht="20.100000000000001" customHeight="1">
      <c r="B200" s="73"/>
      <c r="C200" s="629"/>
      <c r="D200" s="213" t="s">
        <v>2</v>
      </c>
      <c r="E200" s="213" t="s">
        <v>4</v>
      </c>
      <c r="F200" s="213" t="s">
        <v>23</v>
      </c>
      <c r="G200" s="213" t="s">
        <v>29</v>
      </c>
      <c r="H200" s="213" t="s">
        <v>30</v>
      </c>
      <c r="I200" s="213" t="s">
        <v>59</v>
      </c>
      <c r="J200" s="213" t="s">
        <v>40</v>
      </c>
      <c r="K200" s="258" t="s">
        <v>43</v>
      </c>
      <c r="L200" s="646"/>
      <c r="M200" s="75"/>
    </row>
    <row r="201" spans="2:13" ht="18" customHeight="1">
      <c r="B201" s="79"/>
      <c r="C201" s="560" t="s">
        <v>163</v>
      </c>
      <c r="D201" s="217" t="s">
        <v>134</v>
      </c>
      <c r="E201" s="208" t="s">
        <v>81</v>
      </c>
      <c r="F201" s="208" t="s">
        <v>81</v>
      </c>
      <c r="G201" s="208" t="s">
        <v>81</v>
      </c>
      <c r="H201" s="208" t="s">
        <v>81</v>
      </c>
      <c r="I201" s="208" t="s">
        <v>81</v>
      </c>
      <c r="J201" s="208" t="s">
        <v>81</v>
      </c>
      <c r="K201" s="259" t="s">
        <v>13</v>
      </c>
      <c r="L201" s="636">
        <f>SUM(E202:K202)</f>
        <v>5100000</v>
      </c>
      <c r="M201" s="80"/>
    </row>
    <row r="202" spans="2:13" ht="18" customHeight="1">
      <c r="B202" s="81"/>
      <c r="C202" s="561"/>
      <c r="D202" s="219" t="s">
        <v>135</v>
      </c>
      <c r="E202" s="220">
        <v>850000</v>
      </c>
      <c r="F202" s="220">
        <v>850000</v>
      </c>
      <c r="G202" s="220">
        <v>850000</v>
      </c>
      <c r="H202" s="220">
        <v>850000</v>
      </c>
      <c r="I202" s="220">
        <v>850000</v>
      </c>
      <c r="J202" s="220">
        <v>850000</v>
      </c>
      <c r="K202" s="260" t="s">
        <v>13</v>
      </c>
      <c r="L202" s="637"/>
      <c r="M202" s="82"/>
    </row>
    <row r="203" spans="2:13" ht="24.95" customHeight="1">
      <c r="B203" s="73"/>
      <c r="D203" s="206"/>
      <c r="E203" s="268"/>
      <c r="F203" s="268"/>
      <c r="G203" s="207"/>
      <c r="H203" s="207"/>
      <c r="I203" s="647" t="s">
        <v>118</v>
      </c>
      <c r="J203" s="647"/>
      <c r="K203" s="648">
        <f>SUM(L201:L202)</f>
        <v>5100000</v>
      </c>
      <c r="L203" s="648"/>
      <c r="M203" s="75"/>
    </row>
    <row r="204" spans="2:13" ht="24.95" customHeight="1">
      <c r="B204" s="73"/>
      <c r="D204" s="206"/>
      <c r="E204" s="268"/>
      <c r="F204" s="268"/>
      <c r="G204" s="207"/>
      <c r="H204" s="207"/>
      <c r="I204" s="251"/>
      <c r="J204" s="251"/>
      <c r="K204" s="252"/>
      <c r="L204" s="252"/>
      <c r="M204" s="75"/>
    </row>
    <row r="205" spans="2:13" ht="20.100000000000001" customHeight="1">
      <c r="B205" s="73"/>
      <c r="C205" s="634" t="s">
        <v>61</v>
      </c>
      <c r="D205" s="213" t="s">
        <v>3</v>
      </c>
      <c r="E205" s="256">
        <v>43521</v>
      </c>
      <c r="F205" s="256">
        <v>43522</v>
      </c>
      <c r="G205" s="256">
        <v>43523</v>
      </c>
      <c r="H205" s="256">
        <v>43524</v>
      </c>
      <c r="I205" s="256">
        <v>43525</v>
      </c>
      <c r="J205" s="256">
        <v>43526</v>
      </c>
      <c r="K205" s="257">
        <v>43527</v>
      </c>
      <c r="L205" s="645" t="s">
        <v>63</v>
      </c>
      <c r="M205" s="75"/>
    </row>
    <row r="206" spans="2:13" ht="20.100000000000001" customHeight="1">
      <c r="B206" s="73"/>
      <c r="C206" s="635"/>
      <c r="D206" s="213" t="s">
        <v>2</v>
      </c>
      <c r="E206" s="213" t="s">
        <v>4</v>
      </c>
      <c r="F206" s="213" t="s">
        <v>23</v>
      </c>
      <c r="G206" s="213" t="s">
        <v>29</v>
      </c>
      <c r="H206" s="213" t="s">
        <v>30</v>
      </c>
      <c r="I206" s="213" t="s">
        <v>59</v>
      </c>
      <c r="J206" s="213" t="s">
        <v>40</v>
      </c>
      <c r="K206" s="258" t="s">
        <v>43</v>
      </c>
      <c r="L206" s="646"/>
      <c r="M206" s="75"/>
    </row>
    <row r="207" spans="2:13" ht="18" customHeight="1">
      <c r="B207" s="79"/>
      <c r="C207" s="560" t="s">
        <v>70</v>
      </c>
      <c r="D207" s="217" t="s">
        <v>134</v>
      </c>
      <c r="E207" s="208" t="s">
        <v>81</v>
      </c>
      <c r="F207" s="208" t="s">
        <v>81</v>
      </c>
      <c r="G207" s="208" t="s">
        <v>81</v>
      </c>
      <c r="H207" s="208" t="s">
        <v>81</v>
      </c>
      <c r="I207" s="208" t="s">
        <v>81</v>
      </c>
      <c r="J207" s="208" t="s">
        <v>81</v>
      </c>
      <c r="K207" s="259" t="s">
        <v>13</v>
      </c>
      <c r="L207" s="636">
        <f>SUM(E208:K208)</f>
        <v>5100000</v>
      </c>
      <c r="M207" s="80"/>
    </row>
    <row r="208" spans="2:13" ht="18" customHeight="1">
      <c r="B208" s="81"/>
      <c r="C208" s="561"/>
      <c r="D208" s="219" t="s">
        <v>135</v>
      </c>
      <c r="E208" s="220">
        <v>850000</v>
      </c>
      <c r="F208" s="220">
        <v>850000</v>
      </c>
      <c r="G208" s="220">
        <v>850000</v>
      </c>
      <c r="H208" s="220">
        <v>850000</v>
      </c>
      <c r="I208" s="220">
        <v>850000</v>
      </c>
      <c r="J208" s="220">
        <v>850000</v>
      </c>
      <c r="K208" s="260" t="s">
        <v>13</v>
      </c>
      <c r="L208" s="637"/>
      <c r="M208" s="82"/>
    </row>
    <row r="209" spans="2:15" ht="24.95" customHeight="1">
      <c r="B209" s="73"/>
      <c r="F209" s="209"/>
      <c r="I209" s="638" t="s">
        <v>117</v>
      </c>
      <c r="J209" s="638"/>
      <c r="K209" s="639">
        <f>+L207</f>
        <v>5100000</v>
      </c>
      <c r="L209" s="639"/>
      <c r="M209" s="75"/>
      <c r="O209" s="261"/>
    </row>
    <row r="210" spans="2:15" ht="24.95" customHeight="1">
      <c r="B210" s="73"/>
      <c r="F210" s="209"/>
      <c r="I210" s="212"/>
      <c r="J210" s="212"/>
      <c r="K210" s="253"/>
      <c r="L210" s="253"/>
      <c r="M210" s="75"/>
    </row>
    <row r="211" spans="2:15" ht="24.95" customHeight="1">
      <c r="B211" s="73"/>
      <c r="C211" s="640" t="s">
        <v>136</v>
      </c>
      <c r="D211" s="640"/>
      <c r="E211" s="2"/>
      <c r="I211" s="611" t="s">
        <v>116</v>
      </c>
      <c r="J211" s="611"/>
      <c r="K211" s="612">
        <f>+K209+K203</f>
        <v>10200000</v>
      </c>
      <c r="L211" s="612"/>
      <c r="M211" s="75"/>
      <c r="O211" s="261">
        <f>+SUM(E202:K202)+SUM(E208:K208)</f>
        <v>10200000</v>
      </c>
    </row>
    <row r="212" spans="2:15" ht="9.9499999999999993" customHeight="1">
      <c r="B212" s="73"/>
      <c r="C212" s="641"/>
      <c r="D212" s="641"/>
      <c r="E212" s="2"/>
      <c r="F212" s="225"/>
      <c r="G212" s="225"/>
      <c r="M212" s="75"/>
    </row>
    <row r="213" spans="2:15" ht="15" customHeight="1">
      <c r="B213" s="73"/>
      <c r="C213" s="642" t="s">
        <v>132</v>
      </c>
      <c r="D213" s="1" t="s">
        <v>133</v>
      </c>
      <c r="E213" s="2"/>
      <c r="F213" s="225"/>
      <c r="G213" s="225"/>
      <c r="I213" s="234" t="s">
        <v>131</v>
      </c>
      <c r="J213" s="234" t="s">
        <v>130</v>
      </c>
      <c r="K213" s="234" t="s">
        <v>129</v>
      </c>
      <c r="L213" s="234" t="s">
        <v>128</v>
      </c>
      <c r="M213" s="75"/>
    </row>
    <row r="214" spans="2:15" ht="30" customHeight="1">
      <c r="B214" s="73"/>
      <c r="C214" s="643"/>
      <c r="D214" s="114"/>
      <c r="E214" s="2"/>
      <c r="F214" s="225"/>
      <c r="G214" s="225"/>
      <c r="I214" s="235"/>
      <c r="J214" s="234"/>
      <c r="K214" s="234"/>
      <c r="L214" s="234"/>
      <c r="M214" s="75"/>
    </row>
    <row r="215" spans="2:15" ht="15" customHeight="1">
      <c r="B215" s="73"/>
      <c r="C215" s="644"/>
      <c r="D215" s="114"/>
      <c r="F215" s="226"/>
      <c r="G215" s="226"/>
      <c r="I215" s="236" t="s">
        <v>114</v>
      </c>
      <c r="J215" s="237" t="s">
        <v>113</v>
      </c>
      <c r="K215" s="238" t="s">
        <v>112</v>
      </c>
      <c r="L215" s="234" t="s">
        <v>16</v>
      </c>
      <c r="M215" s="75"/>
    </row>
    <row r="216" spans="2:15" ht="20.100000000000001" customHeight="1" thickBot="1">
      <c r="B216" s="83"/>
      <c r="C216" s="84"/>
      <c r="D216" s="84"/>
      <c r="E216" s="85"/>
      <c r="F216" s="85"/>
      <c r="G216" s="85"/>
      <c r="H216" s="85"/>
      <c r="I216" s="85"/>
      <c r="J216" s="85"/>
      <c r="K216" s="85"/>
      <c r="L216" s="84"/>
      <c r="M216" s="86"/>
    </row>
    <row r="217" spans="2:15" ht="12.75" thickTop="1"/>
    <row r="218" spans="2:15" s="254" customFormat="1" ht="9" customHeight="1" thickBot="1">
      <c r="E218" s="255"/>
      <c r="F218" s="255"/>
      <c r="G218" s="255"/>
      <c r="H218" s="255"/>
      <c r="I218" s="255"/>
      <c r="J218" s="255"/>
      <c r="K218" s="255"/>
    </row>
    <row r="219" spans="2:15" ht="18" customHeight="1" thickTop="1">
      <c r="B219" s="210" t="s">
        <v>138</v>
      </c>
      <c r="C219" s="203"/>
      <c r="D219" s="203"/>
      <c r="E219" s="204"/>
      <c r="F219" s="204"/>
      <c r="G219" s="204"/>
      <c r="H219" s="204"/>
      <c r="I219" s="204"/>
      <c r="J219" s="204"/>
      <c r="K219" s="204"/>
      <c r="L219" s="203"/>
      <c r="M219" s="205"/>
    </row>
    <row r="220" spans="2:15" ht="18" customHeight="1">
      <c r="B220" s="632" t="s">
        <v>119</v>
      </c>
      <c r="C220" s="633"/>
      <c r="D220" s="76" t="s">
        <v>122</v>
      </c>
      <c r="E220" s="2"/>
      <c r="F220" s="2"/>
      <c r="H220" s="224"/>
      <c r="I220" s="224"/>
      <c r="J220" s="227" t="s">
        <v>124</v>
      </c>
      <c r="K220" s="228" t="s">
        <v>126</v>
      </c>
      <c r="L220" s="229"/>
      <c r="M220" s="75"/>
    </row>
    <row r="221" spans="2:15" ht="18" customHeight="1">
      <c r="B221" s="626" t="s">
        <v>120</v>
      </c>
      <c r="C221" s="627"/>
      <c r="D221" s="2" t="s">
        <v>228</v>
      </c>
      <c r="I221" s="211"/>
      <c r="J221" s="230" t="s">
        <v>173</v>
      </c>
      <c r="K221" s="211" t="s">
        <v>137</v>
      </c>
      <c r="L221" s="231"/>
      <c r="M221" s="75"/>
    </row>
    <row r="222" spans="2:15" ht="18" customHeight="1">
      <c r="B222" s="626" t="s">
        <v>121</v>
      </c>
      <c r="C222" s="627"/>
      <c r="D222" s="3" t="s">
        <v>229</v>
      </c>
      <c r="J222" s="232" t="s">
        <v>125</v>
      </c>
      <c r="K222" s="239" t="s">
        <v>175</v>
      </c>
      <c r="L222" s="233"/>
      <c r="M222" s="75"/>
    </row>
    <row r="223" spans="2:15" ht="9.9499999999999993" customHeight="1">
      <c r="B223" s="73"/>
      <c r="M223" s="75"/>
    </row>
    <row r="224" spans="2:15" ht="20.100000000000001" customHeight="1">
      <c r="B224" s="73"/>
      <c r="C224" s="628" t="s">
        <v>60</v>
      </c>
      <c r="D224" s="213" t="s">
        <v>3</v>
      </c>
      <c r="E224" s="256">
        <v>43528</v>
      </c>
      <c r="F224" s="256">
        <v>43529</v>
      </c>
      <c r="G224" s="256">
        <v>43530</v>
      </c>
      <c r="H224" s="257">
        <v>43531</v>
      </c>
      <c r="I224" s="257">
        <v>43532</v>
      </c>
      <c r="J224" s="257">
        <v>43533</v>
      </c>
      <c r="K224" s="257">
        <v>43534</v>
      </c>
      <c r="L224" s="645" t="s">
        <v>63</v>
      </c>
      <c r="M224" s="75"/>
    </row>
    <row r="225" spans="2:15" ht="20.100000000000001" customHeight="1">
      <c r="B225" s="73"/>
      <c r="C225" s="629"/>
      <c r="D225" s="213" t="s">
        <v>2</v>
      </c>
      <c r="E225" s="213" t="s">
        <v>4</v>
      </c>
      <c r="F225" s="213" t="s">
        <v>23</v>
      </c>
      <c r="G225" s="213" t="s">
        <v>29</v>
      </c>
      <c r="H225" s="258" t="s">
        <v>30</v>
      </c>
      <c r="I225" s="258" t="s">
        <v>59</v>
      </c>
      <c r="J225" s="258" t="s">
        <v>40</v>
      </c>
      <c r="K225" s="258" t="s">
        <v>43</v>
      </c>
      <c r="L225" s="646"/>
      <c r="M225" s="75"/>
    </row>
    <row r="226" spans="2:15" ht="18" customHeight="1">
      <c r="B226" s="79"/>
      <c r="C226" s="560" t="s">
        <v>163</v>
      </c>
      <c r="D226" s="217" t="s">
        <v>134</v>
      </c>
      <c r="E226" s="208" t="s">
        <v>81</v>
      </c>
      <c r="F226" s="208" t="s">
        <v>81</v>
      </c>
      <c r="G226" s="208" t="s">
        <v>81</v>
      </c>
      <c r="H226" s="259" t="s">
        <v>13</v>
      </c>
      <c r="I226" s="259" t="s">
        <v>13</v>
      </c>
      <c r="J226" s="259" t="s">
        <v>13</v>
      </c>
      <c r="K226" s="259" t="s">
        <v>13</v>
      </c>
      <c r="L226" s="636">
        <f>SUM(E227:K227)</f>
        <v>2550000</v>
      </c>
      <c r="M226" s="80"/>
    </row>
    <row r="227" spans="2:15" ht="18" customHeight="1">
      <c r="B227" s="81"/>
      <c r="C227" s="561"/>
      <c r="D227" s="219" t="s">
        <v>135</v>
      </c>
      <c r="E227" s="220">
        <v>850000</v>
      </c>
      <c r="F227" s="220">
        <v>850000</v>
      </c>
      <c r="G227" s="220">
        <v>850000</v>
      </c>
      <c r="H227" s="260" t="s">
        <v>13</v>
      </c>
      <c r="I227" s="260" t="s">
        <v>13</v>
      </c>
      <c r="J227" s="260" t="s">
        <v>13</v>
      </c>
      <c r="K227" s="260" t="s">
        <v>13</v>
      </c>
      <c r="L227" s="637"/>
      <c r="M227" s="82"/>
    </row>
    <row r="228" spans="2:15" ht="24.95" customHeight="1">
      <c r="B228" s="73"/>
      <c r="D228" s="206"/>
      <c r="E228" s="268"/>
      <c r="F228" s="268"/>
      <c r="G228" s="207"/>
      <c r="H228" s="207"/>
      <c r="I228" s="647" t="s">
        <v>118</v>
      </c>
      <c r="J228" s="647"/>
      <c r="K228" s="648">
        <f>SUM(L226:L227)</f>
        <v>2550000</v>
      </c>
      <c r="L228" s="648"/>
      <c r="M228" s="75"/>
    </row>
    <row r="229" spans="2:15" ht="24.95" customHeight="1">
      <c r="B229" s="73"/>
      <c r="D229" s="206"/>
      <c r="E229" s="268"/>
      <c r="F229" s="268"/>
      <c r="G229" s="207"/>
      <c r="H229" s="207"/>
      <c r="I229" s="251"/>
      <c r="J229" s="251"/>
      <c r="K229" s="252"/>
      <c r="L229" s="252"/>
      <c r="M229" s="75"/>
    </row>
    <row r="230" spans="2:15" ht="20.100000000000001" customHeight="1">
      <c r="B230" s="73"/>
      <c r="C230" s="634" t="s">
        <v>61</v>
      </c>
      <c r="D230" s="213" t="s">
        <v>3</v>
      </c>
      <c r="E230" s="256">
        <v>43528</v>
      </c>
      <c r="F230" s="256">
        <v>43529</v>
      </c>
      <c r="G230" s="256">
        <v>43530</v>
      </c>
      <c r="H230" s="257">
        <v>43531</v>
      </c>
      <c r="I230" s="257">
        <v>43532</v>
      </c>
      <c r="J230" s="257">
        <v>43533</v>
      </c>
      <c r="K230" s="257">
        <v>43534</v>
      </c>
      <c r="L230" s="645" t="s">
        <v>63</v>
      </c>
      <c r="M230" s="75"/>
    </row>
    <row r="231" spans="2:15" ht="20.100000000000001" customHeight="1">
      <c r="B231" s="73"/>
      <c r="C231" s="635"/>
      <c r="D231" s="213" t="s">
        <v>2</v>
      </c>
      <c r="E231" s="213" t="s">
        <v>4</v>
      </c>
      <c r="F231" s="213" t="s">
        <v>23</v>
      </c>
      <c r="G231" s="213" t="s">
        <v>29</v>
      </c>
      <c r="H231" s="258" t="s">
        <v>30</v>
      </c>
      <c r="I231" s="258" t="s">
        <v>59</v>
      </c>
      <c r="J231" s="258" t="s">
        <v>40</v>
      </c>
      <c r="K231" s="258" t="s">
        <v>43</v>
      </c>
      <c r="L231" s="646"/>
      <c r="M231" s="75"/>
    </row>
    <row r="232" spans="2:15" ht="18" customHeight="1">
      <c r="B232" s="79"/>
      <c r="C232" s="560" t="s">
        <v>70</v>
      </c>
      <c r="D232" s="217" t="s">
        <v>134</v>
      </c>
      <c r="E232" s="208" t="s">
        <v>81</v>
      </c>
      <c r="F232" s="208" t="s">
        <v>81</v>
      </c>
      <c r="G232" s="208" t="s">
        <v>81</v>
      </c>
      <c r="H232" s="259" t="s">
        <v>13</v>
      </c>
      <c r="I232" s="259" t="s">
        <v>13</v>
      </c>
      <c r="J232" s="259" t="s">
        <v>13</v>
      </c>
      <c r="K232" s="259" t="s">
        <v>13</v>
      </c>
      <c r="L232" s="636">
        <f>SUM(E233:K233)</f>
        <v>2550000</v>
      </c>
      <c r="M232" s="80"/>
    </row>
    <row r="233" spans="2:15" ht="18" customHeight="1">
      <c r="B233" s="81"/>
      <c r="C233" s="561"/>
      <c r="D233" s="219" t="s">
        <v>135</v>
      </c>
      <c r="E233" s="220">
        <v>850000</v>
      </c>
      <c r="F233" s="220">
        <v>850000</v>
      </c>
      <c r="G233" s="220">
        <v>850000</v>
      </c>
      <c r="H233" s="260" t="s">
        <v>13</v>
      </c>
      <c r="I233" s="260" t="s">
        <v>13</v>
      </c>
      <c r="J233" s="260" t="s">
        <v>13</v>
      </c>
      <c r="K233" s="260" t="s">
        <v>13</v>
      </c>
      <c r="L233" s="637"/>
      <c r="M233" s="82"/>
    </row>
    <row r="234" spans="2:15" ht="24.95" customHeight="1">
      <c r="B234" s="73"/>
      <c r="F234" s="209"/>
      <c r="I234" s="638" t="s">
        <v>117</v>
      </c>
      <c r="J234" s="638"/>
      <c r="K234" s="639">
        <f>+L232</f>
        <v>2550000</v>
      </c>
      <c r="L234" s="639"/>
      <c r="M234" s="75"/>
      <c r="O234" s="261"/>
    </row>
    <row r="235" spans="2:15" ht="24.95" customHeight="1">
      <c r="B235" s="73"/>
      <c r="F235" s="209"/>
      <c r="I235" s="212"/>
      <c r="J235" s="212"/>
      <c r="K235" s="253"/>
      <c r="L235" s="253"/>
      <c r="M235" s="75"/>
    </row>
    <row r="236" spans="2:15" ht="24.95" customHeight="1">
      <c r="B236" s="73"/>
      <c r="C236" s="640" t="s">
        <v>136</v>
      </c>
      <c r="D236" s="640"/>
      <c r="E236" s="2"/>
      <c r="I236" s="611" t="s">
        <v>116</v>
      </c>
      <c r="J236" s="611"/>
      <c r="K236" s="612">
        <f>+K234+K228</f>
        <v>5100000</v>
      </c>
      <c r="L236" s="612"/>
      <c r="M236" s="75"/>
      <c r="O236" s="261">
        <f>+SUM(E227:K227)+SUM(E233:K233)</f>
        <v>5100000</v>
      </c>
    </row>
    <row r="237" spans="2:15" ht="9.9499999999999993" customHeight="1">
      <c r="B237" s="73"/>
      <c r="C237" s="641"/>
      <c r="D237" s="641"/>
      <c r="E237" s="2"/>
      <c r="F237" s="225"/>
      <c r="G237" s="225"/>
      <c r="M237" s="75"/>
    </row>
    <row r="238" spans="2:15" ht="15" customHeight="1">
      <c r="B238" s="73"/>
      <c r="C238" s="642" t="s">
        <v>132</v>
      </c>
      <c r="D238" s="1" t="s">
        <v>133</v>
      </c>
      <c r="E238" s="2"/>
      <c r="F238" s="225"/>
      <c r="G238" s="225"/>
      <c r="I238" s="234" t="s">
        <v>131</v>
      </c>
      <c r="J238" s="234" t="s">
        <v>130</v>
      </c>
      <c r="K238" s="234" t="s">
        <v>129</v>
      </c>
      <c r="L238" s="234" t="s">
        <v>128</v>
      </c>
      <c r="M238" s="75"/>
    </row>
    <row r="239" spans="2:15" ht="30" customHeight="1">
      <c r="B239" s="73"/>
      <c r="C239" s="643"/>
      <c r="D239" s="114"/>
      <c r="E239" s="2"/>
      <c r="F239" s="225"/>
      <c r="G239" s="225"/>
      <c r="I239" s="235"/>
      <c r="J239" s="234"/>
      <c r="K239" s="234"/>
      <c r="L239" s="234"/>
      <c r="M239" s="75"/>
    </row>
    <row r="240" spans="2:15" ht="15" customHeight="1">
      <c r="B240" s="73"/>
      <c r="C240" s="644"/>
      <c r="D240" s="114"/>
      <c r="F240" s="226"/>
      <c r="G240" s="226"/>
      <c r="I240" s="236" t="s">
        <v>114</v>
      </c>
      <c r="J240" s="237" t="s">
        <v>113</v>
      </c>
      <c r="K240" s="238" t="s">
        <v>112</v>
      </c>
      <c r="L240" s="234" t="s">
        <v>16</v>
      </c>
      <c r="M240" s="75"/>
    </row>
    <row r="241" spans="2:13" ht="20.100000000000001" customHeight="1" thickBot="1">
      <c r="B241" s="83"/>
      <c r="C241" s="84"/>
      <c r="D241" s="84"/>
      <c r="E241" s="85"/>
      <c r="F241" s="85"/>
      <c r="G241" s="85"/>
      <c r="H241" s="85"/>
      <c r="I241" s="85"/>
      <c r="J241" s="85"/>
      <c r="K241" s="85"/>
      <c r="L241" s="84"/>
      <c r="M241" s="86"/>
    </row>
    <row r="242" spans="2:13" s="254" customFormat="1" ht="9" customHeight="1" thickTop="1" thickBot="1">
      <c r="E242" s="255"/>
      <c r="F242" s="255"/>
      <c r="G242" s="255"/>
      <c r="H242" s="255"/>
      <c r="I242" s="255"/>
      <c r="J242" s="255"/>
      <c r="K242" s="255"/>
    </row>
    <row r="243" spans="2:13" ht="18" customHeight="1" thickTop="1">
      <c r="B243" s="210" t="s">
        <v>138</v>
      </c>
      <c r="C243" s="203"/>
      <c r="D243" s="203"/>
      <c r="E243" s="204"/>
      <c r="F243" s="204"/>
      <c r="G243" s="204"/>
      <c r="H243" s="204"/>
      <c r="I243" s="204"/>
      <c r="J243" s="204"/>
      <c r="K243" s="204"/>
      <c r="L243" s="203"/>
      <c r="M243" s="205"/>
    </row>
    <row r="244" spans="2:13" ht="18" customHeight="1">
      <c r="B244" s="632" t="s">
        <v>119</v>
      </c>
      <c r="C244" s="633"/>
      <c r="D244" s="76" t="s">
        <v>122</v>
      </c>
      <c r="E244" s="2"/>
      <c r="F244" s="2"/>
      <c r="H244" s="224"/>
      <c r="I244" s="224"/>
      <c r="J244" s="227" t="s">
        <v>124</v>
      </c>
      <c r="K244" s="228" t="s">
        <v>126</v>
      </c>
      <c r="L244" s="229"/>
      <c r="M244" s="75"/>
    </row>
    <row r="245" spans="2:13" ht="18" customHeight="1">
      <c r="B245" s="626" t="s">
        <v>120</v>
      </c>
      <c r="C245" s="627"/>
      <c r="D245" s="2" t="s">
        <v>231</v>
      </c>
      <c r="I245" s="211"/>
      <c r="J245" s="230" t="s">
        <v>173</v>
      </c>
      <c r="K245" s="211" t="s">
        <v>137</v>
      </c>
      <c r="L245" s="231"/>
      <c r="M245" s="75"/>
    </row>
    <row r="246" spans="2:13" ht="18" customHeight="1">
      <c r="B246" s="626" t="s">
        <v>121</v>
      </c>
      <c r="C246" s="627"/>
      <c r="D246" s="3" t="s">
        <v>230</v>
      </c>
      <c r="J246" s="232" t="s">
        <v>125</v>
      </c>
      <c r="K246" s="239" t="s">
        <v>175</v>
      </c>
      <c r="L246" s="233"/>
      <c r="M246" s="75"/>
    </row>
    <row r="247" spans="2:13" ht="9.9499999999999993" customHeight="1">
      <c r="B247" s="73"/>
      <c r="M247" s="75"/>
    </row>
    <row r="248" spans="2:13" ht="20.100000000000001" customHeight="1">
      <c r="B248" s="73"/>
      <c r="C248" s="628" t="s">
        <v>60</v>
      </c>
      <c r="D248" s="213" t="s">
        <v>3</v>
      </c>
      <c r="E248" s="256">
        <v>43535</v>
      </c>
      <c r="F248" s="256">
        <v>43536</v>
      </c>
      <c r="G248" s="256">
        <v>43537</v>
      </c>
      <c r="H248" s="256">
        <v>43538</v>
      </c>
      <c r="I248" s="256">
        <v>43539</v>
      </c>
      <c r="J248" s="257">
        <v>43540</v>
      </c>
      <c r="K248" s="257">
        <v>43541</v>
      </c>
      <c r="L248" s="645" t="s">
        <v>63</v>
      </c>
      <c r="M248" s="75"/>
    </row>
    <row r="249" spans="2:13" ht="20.100000000000001" customHeight="1">
      <c r="B249" s="73"/>
      <c r="C249" s="629"/>
      <c r="D249" s="213" t="s">
        <v>2</v>
      </c>
      <c r="E249" s="213" t="s">
        <v>4</v>
      </c>
      <c r="F249" s="213" t="s">
        <v>23</v>
      </c>
      <c r="G249" s="213" t="s">
        <v>29</v>
      </c>
      <c r="H249" s="213" t="s">
        <v>30</v>
      </c>
      <c r="I249" s="213" t="s">
        <v>59</v>
      </c>
      <c r="J249" s="258" t="s">
        <v>40</v>
      </c>
      <c r="K249" s="258" t="s">
        <v>43</v>
      </c>
      <c r="L249" s="646"/>
      <c r="M249" s="75"/>
    </row>
    <row r="250" spans="2:13" ht="18" customHeight="1">
      <c r="B250" s="79"/>
      <c r="C250" s="560" t="s">
        <v>163</v>
      </c>
      <c r="D250" s="217" t="s">
        <v>134</v>
      </c>
      <c r="E250" s="208" t="s">
        <v>81</v>
      </c>
      <c r="F250" s="208" t="s">
        <v>81</v>
      </c>
      <c r="G250" s="208" t="s">
        <v>81</v>
      </c>
      <c r="H250" s="208" t="s">
        <v>81</v>
      </c>
      <c r="I250" s="208" t="s">
        <v>81</v>
      </c>
      <c r="J250" s="259" t="s">
        <v>13</v>
      </c>
      <c r="K250" s="259" t="s">
        <v>13</v>
      </c>
      <c r="L250" s="636">
        <f>SUM(E251:K251)</f>
        <v>4250000</v>
      </c>
      <c r="M250" s="80"/>
    </row>
    <row r="251" spans="2:13" ht="18" customHeight="1">
      <c r="B251" s="81"/>
      <c r="C251" s="561"/>
      <c r="D251" s="219" t="s">
        <v>135</v>
      </c>
      <c r="E251" s="220">
        <v>850000</v>
      </c>
      <c r="F251" s="220">
        <v>850000</v>
      </c>
      <c r="G251" s="220">
        <v>850000</v>
      </c>
      <c r="H251" s="220">
        <v>850000</v>
      </c>
      <c r="I251" s="220">
        <v>850000</v>
      </c>
      <c r="J251" s="260" t="s">
        <v>13</v>
      </c>
      <c r="K251" s="260" t="s">
        <v>13</v>
      </c>
      <c r="L251" s="637"/>
      <c r="M251" s="82"/>
    </row>
    <row r="252" spans="2:13" ht="24.95" customHeight="1">
      <c r="B252" s="73"/>
      <c r="D252" s="206"/>
      <c r="E252" s="268"/>
      <c r="F252" s="268"/>
      <c r="G252" s="207"/>
      <c r="H252" s="207"/>
      <c r="I252" s="647" t="s">
        <v>118</v>
      </c>
      <c r="J252" s="647"/>
      <c r="K252" s="648">
        <f>SUM(L250:L251)</f>
        <v>4250000</v>
      </c>
      <c r="L252" s="648"/>
      <c r="M252" s="75"/>
    </row>
    <row r="253" spans="2:13" ht="24.95" customHeight="1">
      <c r="B253" s="73"/>
      <c r="D253" s="206"/>
      <c r="E253" s="268"/>
      <c r="F253" s="268"/>
      <c r="G253" s="207"/>
      <c r="H253" s="207"/>
      <c r="I253" s="251"/>
      <c r="J253" s="251"/>
      <c r="K253" s="252"/>
      <c r="L253" s="252"/>
      <c r="M253" s="75"/>
    </row>
    <row r="254" spans="2:13" ht="20.100000000000001" customHeight="1">
      <c r="B254" s="73"/>
      <c r="C254" s="634" t="s">
        <v>61</v>
      </c>
      <c r="D254" s="213" t="s">
        <v>3</v>
      </c>
      <c r="E254" s="256">
        <v>43535</v>
      </c>
      <c r="F254" s="256">
        <v>43536</v>
      </c>
      <c r="G254" s="256">
        <v>43537</v>
      </c>
      <c r="H254" s="256">
        <v>43538</v>
      </c>
      <c r="I254" s="256">
        <v>43539</v>
      </c>
      <c r="J254" s="257">
        <v>43540</v>
      </c>
      <c r="K254" s="257">
        <v>43541</v>
      </c>
      <c r="L254" s="645" t="s">
        <v>63</v>
      </c>
      <c r="M254" s="75"/>
    </row>
    <row r="255" spans="2:13" ht="20.100000000000001" customHeight="1">
      <c r="B255" s="73"/>
      <c r="C255" s="635"/>
      <c r="D255" s="213" t="s">
        <v>2</v>
      </c>
      <c r="E255" s="213" t="s">
        <v>4</v>
      </c>
      <c r="F255" s="213" t="s">
        <v>23</v>
      </c>
      <c r="G255" s="213" t="s">
        <v>29</v>
      </c>
      <c r="H255" s="213" t="s">
        <v>30</v>
      </c>
      <c r="I255" s="213" t="s">
        <v>59</v>
      </c>
      <c r="J255" s="258" t="s">
        <v>40</v>
      </c>
      <c r="K255" s="258" t="s">
        <v>43</v>
      </c>
      <c r="L255" s="646"/>
      <c r="M255" s="75"/>
    </row>
    <row r="256" spans="2:13" ht="18" customHeight="1">
      <c r="B256" s="79"/>
      <c r="C256" s="560" t="s">
        <v>70</v>
      </c>
      <c r="D256" s="217" t="s">
        <v>134</v>
      </c>
      <c r="E256" s="208" t="s">
        <v>81</v>
      </c>
      <c r="F256" s="208" t="s">
        <v>81</v>
      </c>
      <c r="G256" s="208" t="s">
        <v>81</v>
      </c>
      <c r="H256" s="208" t="s">
        <v>81</v>
      </c>
      <c r="I256" s="208" t="s">
        <v>81</v>
      </c>
      <c r="J256" s="259" t="s">
        <v>13</v>
      </c>
      <c r="K256" s="259" t="s">
        <v>13</v>
      </c>
      <c r="L256" s="636">
        <f>SUM(E257:K257)</f>
        <v>4250000</v>
      </c>
      <c r="M256" s="80"/>
    </row>
    <row r="257" spans="2:15" ht="18" customHeight="1">
      <c r="B257" s="81"/>
      <c r="C257" s="561"/>
      <c r="D257" s="219" t="s">
        <v>135</v>
      </c>
      <c r="E257" s="220">
        <v>850000</v>
      </c>
      <c r="F257" s="220">
        <v>850000</v>
      </c>
      <c r="G257" s="220">
        <v>850000</v>
      </c>
      <c r="H257" s="220">
        <v>850000</v>
      </c>
      <c r="I257" s="220">
        <v>850000</v>
      </c>
      <c r="J257" s="260" t="s">
        <v>13</v>
      </c>
      <c r="K257" s="260" t="s">
        <v>13</v>
      </c>
      <c r="L257" s="637"/>
      <c r="M257" s="82"/>
    </row>
    <row r="258" spans="2:15" ht="24.95" customHeight="1">
      <c r="B258" s="73"/>
      <c r="F258" s="209"/>
      <c r="I258" s="638" t="s">
        <v>117</v>
      </c>
      <c r="J258" s="638"/>
      <c r="K258" s="639">
        <f>+L256</f>
        <v>4250000</v>
      </c>
      <c r="L258" s="639"/>
      <c r="M258" s="75"/>
      <c r="O258" s="261"/>
    </row>
    <row r="259" spans="2:15" ht="24.95" customHeight="1">
      <c r="B259" s="73"/>
      <c r="F259" s="209"/>
      <c r="I259" s="212"/>
      <c r="J259" s="212"/>
      <c r="K259" s="253"/>
      <c r="L259" s="253"/>
      <c r="M259" s="75"/>
    </row>
    <row r="260" spans="2:15" ht="24.95" customHeight="1">
      <c r="B260" s="73"/>
      <c r="C260" s="640" t="s">
        <v>136</v>
      </c>
      <c r="D260" s="640"/>
      <c r="E260" s="2"/>
      <c r="I260" s="611" t="s">
        <v>116</v>
      </c>
      <c r="J260" s="611"/>
      <c r="K260" s="612">
        <f>+K258+K252</f>
        <v>8500000</v>
      </c>
      <c r="L260" s="612"/>
      <c r="M260" s="75"/>
      <c r="O260" s="261">
        <f>+SUM(E251:K251)+SUM(E257:K257)</f>
        <v>8500000</v>
      </c>
    </row>
    <row r="261" spans="2:15" ht="9.9499999999999993" customHeight="1">
      <c r="B261" s="73"/>
      <c r="C261" s="641"/>
      <c r="D261" s="641"/>
      <c r="E261" s="2"/>
      <c r="F261" s="225"/>
      <c r="G261" s="225"/>
      <c r="M261" s="75"/>
    </row>
    <row r="262" spans="2:15" ht="15" customHeight="1">
      <c r="B262" s="73"/>
      <c r="C262" s="642" t="s">
        <v>132</v>
      </c>
      <c r="D262" s="1" t="s">
        <v>133</v>
      </c>
      <c r="E262" s="2"/>
      <c r="F262" s="225"/>
      <c r="G262" s="225"/>
      <c r="I262" s="234" t="s">
        <v>131</v>
      </c>
      <c r="J262" s="234" t="s">
        <v>130</v>
      </c>
      <c r="K262" s="234" t="s">
        <v>129</v>
      </c>
      <c r="L262" s="234" t="s">
        <v>128</v>
      </c>
      <c r="M262" s="75"/>
    </row>
    <row r="263" spans="2:15" ht="30" customHeight="1">
      <c r="B263" s="73"/>
      <c r="C263" s="643"/>
      <c r="D263" s="114"/>
      <c r="E263" s="2"/>
      <c r="F263" s="225"/>
      <c r="G263" s="225"/>
      <c r="I263" s="235"/>
      <c r="J263" s="234"/>
      <c r="K263" s="234"/>
      <c r="L263" s="234"/>
      <c r="M263" s="75"/>
    </row>
    <row r="264" spans="2:15" ht="15" customHeight="1">
      <c r="B264" s="73"/>
      <c r="C264" s="644"/>
      <c r="D264" s="114"/>
      <c r="F264" s="226"/>
      <c r="G264" s="226"/>
      <c r="I264" s="236" t="s">
        <v>114</v>
      </c>
      <c r="J264" s="237" t="s">
        <v>113</v>
      </c>
      <c r="K264" s="238" t="s">
        <v>112</v>
      </c>
      <c r="L264" s="234" t="s">
        <v>16</v>
      </c>
      <c r="M264" s="75"/>
    </row>
    <row r="265" spans="2:15" ht="20.100000000000001" customHeight="1" thickBot="1">
      <c r="B265" s="83"/>
      <c r="C265" s="84"/>
      <c r="D265" s="84"/>
      <c r="E265" s="85"/>
      <c r="F265" s="85"/>
      <c r="G265" s="85"/>
      <c r="H265" s="85"/>
      <c r="I265" s="85"/>
      <c r="J265" s="85"/>
      <c r="K265" s="85"/>
      <c r="L265" s="84"/>
      <c r="M265" s="86"/>
    </row>
    <row r="266" spans="2:15" s="254" customFormat="1" ht="9" customHeight="1" thickTop="1" thickBot="1">
      <c r="E266" s="255"/>
      <c r="F266" s="255"/>
      <c r="G266" s="255"/>
      <c r="H266" s="255"/>
      <c r="I266" s="255"/>
      <c r="J266" s="255"/>
      <c r="K266" s="255"/>
    </row>
    <row r="267" spans="2:15" ht="18" customHeight="1" thickTop="1">
      <c r="B267" s="210" t="s">
        <v>138</v>
      </c>
      <c r="C267" s="203"/>
      <c r="D267" s="203"/>
      <c r="E267" s="204"/>
      <c r="F267" s="204"/>
      <c r="G267" s="204"/>
      <c r="H267" s="204"/>
      <c r="I267" s="204"/>
      <c r="J267" s="204"/>
      <c r="K267" s="204"/>
      <c r="L267" s="203"/>
      <c r="M267" s="205"/>
    </row>
    <row r="268" spans="2:15" ht="18" customHeight="1">
      <c r="B268" s="632" t="s">
        <v>119</v>
      </c>
      <c r="C268" s="633"/>
      <c r="D268" s="76" t="s">
        <v>122</v>
      </c>
      <c r="E268" s="2"/>
      <c r="F268" s="2"/>
      <c r="H268" s="224"/>
      <c r="I268" s="224"/>
      <c r="J268" s="227" t="s">
        <v>124</v>
      </c>
      <c r="K268" s="228" t="s">
        <v>126</v>
      </c>
      <c r="L268" s="229"/>
      <c r="M268" s="75"/>
    </row>
    <row r="269" spans="2:15" ht="18" customHeight="1">
      <c r="B269" s="626" t="s">
        <v>120</v>
      </c>
      <c r="C269" s="627"/>
      <c r="D269" s="2" t="s">
        <v>233</v>
      </c>
      <c r="I269" s="211"/>
      <c r="J269" s="230" t="s">
        <v>173</v>
      </c>
      <c r="K269" s="211" t="s">
        <v>137</v>
      </c>
      <c r="L269" s="231"/>
      <c r="M269" s="75"/>
    </row>
    <row r="270" spans="2:15" ht="18" customHeight="1">
      <c r="B270" s="626" t="s">
        <v>121</v>
      </c>
      <c r="C270" s="627"/>
      <c r="D270" s="3" t="s">
        <v>232</v>
      </c>
      <c r="J270" s="232" t="s">
        <v>125</v>
      </c>
      <c r="K270" s="239" t="s">
        <v>175</v>
      </c>
      <c r="L270" s="233"/>
      <c r="M270" s="75"/>
    </row>
    <row r="271" spans="2:15" ht="9.9499999999999993" customHeight="1">
      <c r="B271" s="73"/>
      <c r="M271" s="75"/>
    </row>
    <row r="272" spans="2:15" ht="20.100000000000001" customHeight="1">
      <c r="B272" s="73"/>
      <c r="C272" s="628" t="s">
        <v>60</v>
      </c>
      <c r="D272" s="213" t="s">
        <v>3</v>
      </c>
      <c r="E272" s="256">
        <v>43542</v>
      </c>
      <c r="F272" s="256">
        <v>43543</v>
      </c>
      <c r="G272" s="256">
        <v>43544</v>
      </c>
      <c r="H272" s="256">
        <v>43545</v>
      </c>
      <c r="I272" s="256">
        <v>43546</v>
      </c>
      <c r="J272" s="257">
        <v>43547</v>
      </c>
      <c r="K272" s="257">
        <v>43548</v>
      </c>
      <c r="L272" s="645" t="s">
        <v>63</v>
      </c>
      <c r="M272" s="75"/>
    </row>
    <row r="273" spans="2:15" ht="20.100000000000001" customHeight="1">
      <c r="B273" s="73"/>
      <c r="C273" s="629"/>
      <c r="D273" s="213" t="s">
        <v>2</v>
      </c>
      <c r="E273" s="213" t="s">
        <v>4</v>
      </c>
      <c r="F273" s="213" t="s">
        <v>23</v>
      </c>
      <c r="G273" s="213" t="s">
        <v>29</v>
      </c>
      <c r="H273" s="213" t="s">
        <v>30</v>
      </c>
      <c r="I273" s="213" t="s">
        <v>59</v>
      </c>
      <c r="J273" s="258" t="s">
        <v>40</v>
      </c>
      <c r="K273" s="258" t="s">
        <v>43</v>
      </c>
      <c r="L273" s="646"/>
      <c r="M273" s="75"/>
    </row>
    <row r="274" spans="2:15" ht="18" customHeight="1">
      <c r="B274" s="79"/>
      <c r="C274" s="560" t="s">
        <v>163</v>
      </c>
      <c r="D274" s="217" t="s">
        <v>134</v>
      </c>
      <c r="E274" s="208" t="s">
        <v>81</v>
      </c>
      <c r="F274" s="208" t="s">
        <v>81</v>
      </c>
      <c r="G274" s="208" t="s">
        <v>81</v>
      </c>
      <c r="H274" s="208" t="s">
        <v>81</v>
      </c>
      <c r="I274" s="208" t="s">
        <v>81</v>
      </c>
      <c r="J274" s="259" t="s">
        <v>13</v>
      </c>
      <c r="K274" s="259" t="s">
        <v>13</v>
      </c>
      <c r="L274" s="636">
        <f>SUM(E275:K275)</f>
        <v>4250000</v>
      </c>
      <c r="M274" s="80"/>
    </row>
    <row r="275" spans="2:15" ht="18" customHeight="1">
      <c r="B275" s="81"/>
      <c r="C275" s="561"/>
      <c r="D275" s="219" t="s">
        <v>135</v>
      </c>
      <c r="E275" s="220">
        <v>850000</v>
      </c>
      <c r="F275" s="220">
        <v>850000</v>
      </c>
      <c r="G275" s="220">
        <v>850000</v>
      </c>
      <c r="H275" s="220">
        <v>850000</v>
      </c>
      <c r="I275" s="220">
        <v>850000</v>
      </c>
      <c r="J275" s="260" t="s">
        <v>13</v>
      </c>
      <c r="K275" s="260" t="s">
        <v>13</v>
      </c>
      <c r="L275" s="637"/>
      <c r="M275" s="82"/>
    </row>
    <row r="276" spans="2:15" ht="24.95" customHeight="1">
      <c r="B276" s="73"/>
      <c r="D276" s="206"/>
      <c r="E276" s="268"/>
      <c r="F276" s="268"/>
      <c r="G276" s="207"/>
      <c r="H276" s="207"/>
      <c r="I276" s="647" t="s">
        <v>118</v>
      </c>
      <c r="J276" s="647"/>
      <c r="K276" s="648">
        <f>SUM(L274:L275)</f>
        <v>4250000</v>
      </c>
      <c r="L276" s="648"/>
      <c r="M276" s="75"/>
    </row>
    <row r="277" spans="2:15" ht="24.95" customHeight="1">
      <c r="B277" s="73"/>
      <c r="D277" s="206"/>
      <c r="E277" s="268"/>
      <c r="F277" s="268"/>
      <c r="G277" s="207"/>
      <c r="H277" s="207"/>
      <c r="I277" s="251"/>
      <c r="J277" s="251"/>
      <c r="K277" s="252"/>
      <c r="L277" s="252"/>
      <c r="M277" s="75"/>
    </row>
    <row r="278" spans="2:15" ht="20.100000000000001" customHeight="1">
      <c r="B278" s="73"/>
      <c r="C278" s="634" t="s">
        <v>61</v>
      </c>
      <c r="D278" s="213" t="s">
        <v>3</v>
      </c>
      <c r="E278" s="256">
        <v>43542</v>
      </c>
      <c r="F278" s="256">
        <v>43543</v>
      </c>
      <c r="G278" s="256">
        <v>43544</v>
      </c>
      <c r="H278" s="256">
        <v>43545</v>
      </c>
      <c r="I278" s="256">
        <v>43546</v>
      </c>
      <c r="J278" s="257">
        <v>43547</v>
      </c>
      <c r="K278" s="257">
        <v>43548</v>
      </c>
      <c r="L278" s="645" t="s">
        <v>63</v>
      </c>
      <c r="M278" s="75"/>
    </row>
    <row r="279" spans="2:15" ht="20.100000000000001" customHeight="1">
      <c r="B279" s="73"/>
      <c r="C279" s="635"/>
      <c r="D279" s="213" t="s">
        <v>2</v>
      </c>
      <c r="E279" s="213" t="s">
        <v>4</v>
      </c>
      <c r="F279" s="213" t="s">
        <v>23</v>
      </c>
      <c r="G279" s="213" t="s">
        <v>29</v>
      </c>
      <c r="H279" s="213" t="s">
        <v>30</v>
      </c>
      <c r="I279" s="213" t="s">
        <v>59</v>
      </c>
      <c r="J279" s="258" t="s">
        <v>40</v>
      </c>
      <c r="K279" s="258" t="s">
        <v>43</v>
      </c>
      <c r="L279" s="646"/>
      <c r="M279" s="75"/>
    </row>
    <row r="280" spans="2:15" ht="18" customHeight="1">
      <c r="B280" s="79"/>
      <c r="C280" s="560" t="s">
        <v>70</v>
      </c>
      <c r="D280" s="217" t="s">
        <v>134</v>
      </c>
      <c r="E280" s="208" t="s">
        <v>81</v>
      </c>
      <c r="F280" s="208" t="s">
        <v>81</v>
      </c>
      <c r="G280" s="208" t="s">
        <v>81</v>
      </c>
      <c r="H280" s="208" t="s">
        <v>81</v>
      </c>
      <c r="I280" s="208" t="s">
        <v>81</v>
      </c>
      <c r="J280" s="259" t="s">
        <v>13</v>
      </c>
      <c r="K280" s="259" t="s">
        <v>13</v>
      </c>
      <c r="L280" s="636">
        <f>SUM(E281:K281)</f>
        <v>4250000</v>
      </c>
      <c r="M280" s="80"/>
    </row>
    <row r="281" spans="2:15" ht="18" customHeight="1">
      <c r="B281" s="81"/>
      <c r="C281" s="561"/>
      <c r="D281" s="219" t="s">
        <v>135</v>
      </c>
      <c r="E281" s="220">
        <v>850000</v>
      </c>
      <c r="F281" s="220">
        <v>850000</v>
      </c>
      <c r="G281" s="220">
        <v>850000</v>
      </c>
      <c r="H281" s="220">
        <v>850000</v>
      </c>
      <c r="I281" s="220">
        <v>850000</v>
      </c>
      <c r="J281" s="260" t="s">
        <v>13</v>
      </c>
      <c r="K281" s="260" t="s">
        <v>13</v>
      </c>
      <c r="L281" s="637"/>
      <c r="M281" s="82"/>
    </row>
    <row r="282" spans="2:15" ht="24.95" customHeight="1">
      <c r="B282" s="73"/>
      <c r="F282" s="209"/>
      <c r="I282" s="638" t="s">
        <v>117</v>
      </c>
      <c r="J282" s="638"/>
      <c r="K282" s="639">
        <f>+L280</f>
        <v>4250000</v>
      </c>
      <c r="L282" s="639"/>
      <c r="M282" s="75"/>
      <c r="O282" s="261"/>
    </row>
    <row r="283" spans="2:15" ht="24.95" customHeight="1">
      <c r="B283" s="73"/>
      <c r="F283" s="209"/>
      <c r="I283" s="212"/>
      <c r="J283" s="212"/>
      <c r="K283" s="253"/>
      <c r="L283" s="253"/>
      <c r="M283" s="75"/>
    </row>
    <row r="284" spans="2:15" ht="24.95" customHeight="1">
      <c r="B284" s="73"/>
      <c r="C284" s="640" t="s">
        <v>136</v>
      </c>
      <c r="D284" s="640"/>
      <c r="E284" s="2"/>
      <c r="I284" s="611" t="s">
        <v>116</v>
      </c>
      <c r="J284" s="611"/>
      <c r="K284" s="612">
        <f>+K282+K276</f>
        <v>8500000</v>
      </c>
      <c r="L284" s="612"/>
      <c r="M284" s="75"/>
      <c r="O284" s="261">
        <f>+SUM(E275:K275)+SUM(E281:K281)</f>
        <v>8500000</v>
      </c>
    </row>
    <row r="285" spans="2:15" ht="9.9499999999999993" customHeight="1">
      <c r="B285" s="73"/>
      <c r="C285" s="641"/>
      <c r="D285" s="641"/>
      <c r="E285" s="2"/>
      <c r="F285" s="225"/>
      <c r="G285" s="225"/>
      <c r="M285" s="75"/>
    </row>
    <row r="286" spans="2:15" ht="15" customHeight="1">
      <c r="B286" s="73"/>
      <c r="C286" s="642" t="s">
        <v>132</v>
      </c>
      <c r="D286" s="1" t="s">
        <v>133</v>
      </c>
      <c r="E286" s="2"/>
      <c r="F286" s="225"/>
      <c r="G286" s="225"/>
      <c r="I286" s="234" t="s">
        <v>131</v>
      </c>
      <c r="J286" s="234" t="s">
        <v>130</v>
      </c>
      <c r="K286" s="234" t="s">
        <v>129</v>
      </c>
      <c r="L286" s="234" t="s">
        <v>128</v>
      </c>
      <c r="M286" s="75"/>
    </row>
    <row r="287" spans="2:15" ht="30" customHeight="1">
      <c r="B287" s="73"/>
      <c r="C287" s="643"/>
      <c r="D287" s="114"/>
      <c r="E287" s="2"/>
      <c r="F287" s="225"/>
      <c r="G287" s="225"/>
      <c r="I287" s="235"/>
      <c r="J287" s="234"/>
      <c r="K287" s="234"/>
      <c r="L287" s="234"/>
      <c r="M287" s="75"/>
    </row>
    <row r="288" spans="2:15" ht="15" customHeight="1">
      <c r="B288" s="73"/>
      <c r="C288" s="644"/>
      <c r="D288" s="114"/>
      <c r="F288" s="226"/>
      <c r="G288" s="226"/>
      <c r="I288" s="236" t="s">
        <v>114</v>
      </c>
      <c r="J288" s="237" t="s">
        <v>113</v>
      </c>
      <c r="K288" s="238" t="s">
        <v>112</v>
      </c>
      <c r="L288" s="234" t="s">
        <v>16</v>
      </c>
      <c r="M288" s="75"/>
    </row>
    <row r="289" spans="2:13" ht="20.100000000000001" customHeight="1" thickBot="1">
      <c r="B289" s="83"/>
      <c r="C289" s="84"/>
      <c r="D289" s="84"/>
      <c r="E289" s="85"/>
      <c r="F289" s="85"/>
      <c r="G289" s="85"/>
      <c r="H289" s="85"/>
      <c r="I289" s="85"/>
      <c r="J289" s="85"/>
      <c r="K289" s="85"/>
      <c r="L289" s="84"/>
      <c r="M289" s="86"/>
    </row>
    <row r="290" spans="2:13" s="254" customFormat="1" ht="9" customHeight="1" thickTop="1" thickBot="1">
      <c r="E290" s="255"/>
      <c r="F290" s="255"/>
      <c r="G290" s="255"/>
      <c r="H290" s="255"/>
      <c r="I290" s="255"/>
      <c r="J290" s="255"/>
      <c r="K290" s="255"/>
    </row>
    <row r="291" spans="2:13" ht="18" customHeight="1" thickTop="1">
      <c r="B291" s="210" t="s">
        <v>138</v>
      </c>
      <c r="C291" s="203"/>
      <c r="D291" s="203"/>
      <c r="E291" s="204"/>
      <c r="F291" s="204"/>
      <c r="G291" s="204"/>
      <c r="H291" s="204"/>
      <c r="I291" s="204"/>
      <c r="J291" s="204"/>
      <c r="K291" s="204"/>
      <c r="L291" s="203"/>
      <c r="M291" s="205"/>
    </row>
    <row r="292" spans="2:13" ht="18" customHeight="1">
      <c r="B292" s="632" t="s">
        <v>119</v>
      </c>
      <c r="C292" s="633"/>
      <c r="D292" s="76" t="s">
        <v>122</v>
      </c>
      <c r="E292" s="2"/>
      <c r="F292" s="2"/>
      <c r="H292" s="224"/>
      <c r="I292" s="224"/>
      <c r="J292" s="227" t="s">
        <v>124</v>
      </c>
      <c r="K292" s="228" t="s">
        <v>126</v>
      </c>
      <c r="L292" s="229"/>
      <c r="M292" s="75"/>
    </row>
    <row r="293" spans="2:13" ht="18" customHeight="1">
      <c r="B293" s="626" t="s">
        <v>120</v>
      </c>
      <c r="C293" s="627"/>
      <c r="D293" s="2" t="s">
        <v>235</v>
      </c>
      <c r="I293" s="211"/>
      <c r="J293" s="230" t="s">
        <v>173</v>
      </c>
      <c r="K293" s="211" t="s">
        <v>137</v>
      </c>
      <c r="L293" s="231"/>
      <c r="M293" s="75"/>
    </row>
    <row r="294" spans="2:13" ht="18" customHeight="1">
      <c r="B294" s="626" t="s">
        <v>121</v>
      </c>
      <c r="C294" s="627"/>
      <c r="D294" s="3" t="s">
        <v>234</v>
      </c>
      <c r="J294" s="232" t="s">
        <v>125</v>
      </c>
      <c r="K294" s="239" t="s">
        <v>175</v>
      </c>
      <c r="L294" s="233"/>
      <c r="M294" s="75"/>
    </row>
    <row r="295" spans="2:13" ht="9.9499999999999993" customHeight="1">
      <c r="B295" s="73"/>
      <c r="M295" s="75"/>
    </row>
    <row r="296" spans="2:13" ht="20.100000000000001" customHeight="1">
      <c r="B296" s="73"/>
      <c r="C296" s="628" t="s">
        <v>60</v>
      </c>
      <c r="D296" s="213" t="s">
        <v>3</v>
      </c>
      <c r="E296" s="256">
        <v>43549</v>
      </c>
      <c r="F296" s="256">
        <v>43550</v>
      </c>
      <c r="G296" s="256">
        <v>43551</v>
      </c>
      <c r="H296" s="256">
        <v>43552</v>
      </c>
      <c r="I296" s="256">
        <v>43553</v>
      </c>
      <c r="J296" s="257">
        <v>43554</v>
      </c>
      <c r="K296" s="257">
        <v>43555</v>
      </c>
      <c r="L296" s="645" t="s">
        <v>63</v>
      </c>
      <c r="M296" s="75"/>
    </row>
    <row r="297" spans="2:13" ht="20.100000000000001" customHeight="1">
      <c r="B297" s="73"/>
      <c r="C297" s="629"/>
      <c r="D297" s="213" t="s">
        <v>2</v>
      </c>
      <c r="E297" s="213" t="s">
        <v>4</v>
      </c>
      <c r="F297" s="213" t="s">
        <v>23</v>
      </c>
      <c r="G297" s="213" t="s">
        <v>29</v>
      </c>
      <c r="H297" s="213" t="s">
        <v>30</v>
      </c>
      <c r="I297" s="213" t="s">
        <v>59</v>
      </c>
      <c r="J297" s="258" t="s">
        <v>40</v>
      </c>
      <c r="K297" s="258" t="s">
        <v>43</v>
      </c>
      <c r="L297" s="646"/>
      <c r="M297" s="75"/>
    </row>
    <row r="298" spans="2:13" ht="18" customHeight="1">
      <c r="B298" s="79"/>
      <c r="C298" s="560" t="s">
        <v>163</v>
      </c>
      <c r="D298" s="217" t="s">
        <v>134</v>
      </c>
      <c r="E298" s="208" t="s">
        <v>81</v>
      </c>
      <c r="F298" s="208" t="s">
        <v>81</v>
      </c>
      <c r="G298" s="208" t="s">
        <v>81</v>
      </c>
      <c r="H298" s="208" t="s">
        <v>81</v>
      </c>
      <c r="I298" s="208" t="s">
        <v>81</v>
      </c>
      <c r="J298" s="259" t="s">
        <v>13</v>
      </c>
      <c r="K298" s="259" t="s">
        <v>13</v>
      </c>
      <c r="L298" s="636">
        <f>SUM(E299:K299)</f>
        <v>4250000</v>
      </c>
      <c r="M298" s="80"/>
    </row>
    <row r="299" spans="2:13" ht="18" customHeight="1">
      <c r="B299" s="81"/>
      <c r="C299" s="561"/>
      <c r="D299" s="219" t="s">
        <v>135</v>
      </c>
      <c r="E299" s="220">
        <v>850000</v>
      </c>
      <c r="F299" s="220">
        <v>850000</v>
      </c>
      <c r="G299" s="220">
        <v>850000</v>
      </c>
      <c r="H299" s="220">
        <v>850000</v>
      </c>
      <c r="I299" s="220">
        <v>850000</v>
      </c>
      <c r="J299" s="260" t="s">
        <v>13</v>
      </c>
      <c r="K299" s="260" t="s">
        <v>13</v>
      </c>
      <c r="L299" s="637"/>
      <c r="M299" s="82"/>
    </row>
    <row r="300" spans="2:13" ht="24.95" customHeight="1">
      <c r="B300" s="73"/>
      <c r="D300" s="206"/>
      <c r="E300" s="268"/>
      <c r="F300" s="268"/>
      <c r="G300" s="207"/>
      <c r="H300" s="207"/>
      <c r="I300" s="647" t="s">
        <v>118</v>
      </c>
      <c r="J300" s="647"/>
      <c r="K300" s="648">
        <f>SUM(L298:L299)</f>
        <v>4250000</v>
      </c>
      <c r="L300" s="648"/>
      <c r="M300" s="75"/>
    </row>
    <row r="301" spans="2:13" ht="24.95" customHeight="1">
      <c r="B301" s="73"/>
      <c r="D301" s="206"/>
      <c r="E301" s="268"/>
      <c r="F301" s="268"/>
      <c r="G301" s="207"/>
      <c r="H301" s="207"/>
      <c r="I301" s="251"/>
      <c r="J301" s="251"/>
      <c r="K301" s="252"/>
      <c r="L301" s="252"/>
      <c r="M301" s="75"/>
    </row>
    <row r="302" spans="2:13" ht="20.100000000000001" customHeight="1">
      <c r="B302" s="73"/>
      <c r="C302" s="634" t="s">
        <v>61</v>
      </c>
      <c r="D302" s="213" t="s">
        <v>3</v>
      </c>
      <c r="E302" s="256">
        <v>43549</v>
      </c>
      <c r="F302" s="256">
        <v>43550</v>
      </c>
      <c r="G302" s="256">
        <v>43551</v>
      </c>
      <c r="H302" s="256">
        <v>43552</v>
      </c>
      <c r="I302" s="256">
        <v>43553</v>
      </c>
      <c r="J302" s="257">
        <v>43554</v>
      </c>
      <c r="K302" s="257">
        <v>43555</v>
      </c>
      <c r="L302" s="645" t="s">
        <v>63</v>
      </c>
      <c r="M302" s="75"/>
    </row>
    <row r="303" spans="2:13" ht="20.100000000000001" customHeight="1">
      <c r="B303" s="73"/>
      <c r="C303" s="635"/>
      <c r="D303" s="213" t="s">
        <v>2</v>
      </c>
      <c r="E303" s="213" t="s">
        <v>4</v>
      </c>
      <c r="F303" s="213" t="s">
        <v>23</v>
      </c>
      <c r="G303" s="213" t="s">
        <v>29</v>
      </c>
      <c r="H303" s="213" t="s">
        <v>30</v>
      </c>
      <c r="I303" s="213" t="s">
        <v>59</v>
      </c>
      <c r="J303" s="258" t="s">
        <v>40</v>
      </c>
      <c r="K303" s="258" t="s">
        <v>43</v>
      </c>
      <c r="L303" s="646"/>
      <c r="M303" s="75"/>
    </row>
    <row r="304" spans="2:13" ht="18" customHeight="1">
      <c r="B304" s="79"/>
      <c r="C304" s="560" t="s">
        <v>70</v>
      </c>
      <c r="D304" s="217" t="s">
        <v>134</v>
      </c>
      <c r="E304" s="208" t="s">
        <v>81</v>
      </c>
      <c r="F304" s="208" t="s">
        <v>81</v>
      </c>
      <c r="G304" s="208" t="s">
        <v>81</v>
      </c>
      <c r="H304" s="208" t="s">
        <v>81</v>
      </c>
      <c r="I304" s="208" t="s">
        <v>81</v>
      </c>
      <c r="J304" s="259" t="s">
        <v>13</v>
      </c>
      <c r="K304" s="259" t="s">
        <v>13</v>
      </c>
      <c r="L304" s="636">
        <f>SUM(E305:K305)</f>
        <v>4250000</v>
      </c>
      <c r="M304" s="80"/>
    </row>
    <row r="305" spans="2:15" ht="18" customHeight="1">
      <c r="B305" s="81"/>
      <c r="C305" s="561"/>
      <c r="D305" s="219" t="s">
        <v>135</v>
      </c>
      <c r="E305" s="220">
        <v>850000</v>
      </c>
      <c r="F305" s="220">
        <v>850000</v>
      </c>
      <c r="G305" s="220">
        <v>850000</v>
      </c>
      <c r="H305" s="220">
        <v>850000</v>
      </c>
      <c r="I305" s="220">
        <v>850000</v>
      </c>
      <c r="J305" s="260" t="s">
        <v>13</v>
      </c>
      <c r="K305" s="260" t="s">
        <v>13</v>
      </c>
      <c r="L305" s="637"/>
      <c r="M305" s="82"/>
    </row>
    <row r="306" spans="2:15" ht="24.95" customHeight="1">
      <c r="B306" s="73"/>
      <c r="F306" s="209"/>
      <c r="I306" s="638" t="s">
        <v>117</v>
      </c>
      <c r="J306" s="638"/>
      <c r="K306" s="639">
        <f>+L304</f>
        <v>4250000</v>
      </c>
      <c r="L306" s="639"/>
      <c r="M306" s="75"/>
      <c r="O306" s="261"/>
    </row>
    <row r="307" spans="2:15" ht="24.95" customHeight="1">
      <c r="B307" s="73"/>
      <c r="F307" s="209"/>
      <c r="I307" s="212"/>
      <c r="J307" s="212"/>
      <c r="K307" s="253"/>
      <c r="L307" s="253"/>
      <c r="M307" s="75"/>
    </row>
    <row r="308" spans="2:15" ht="24.95" customHeight="1">
      <c r="B308" s="73"/>
      <c r="C308" s="640" t="s">
        <v>136</v>
      </c>
      <c r="D308" s="640"/>
      <c r="E308" s="2"/>
      <c r="I308" s="611" t="s">
        <v>116</v>
      </c>
      <c r="J308" s="611"/>
      <c r="K308" s="612">
        <f>+K306+K300</f>
        <v>8500000</v>
      </c>
      <c r="L308" s="612"/>
      <c r="M308" s="75"/>
      <c r="O308" s="261">
        <f>+SUM(E299:K299)+SUM(E305:K305)</f>
        <v>8500000</v>
      </c>
    </row>
    <row r="309" spans="2:15" ht="9.9499999999999993" customHeight="1">
      <c r="B309" s="73"/>
      <c r="C309" s="641"/>
      <c r="D309" s="641"/>
      <c r="E309" s="2"/>
      <c r="F309" s="225"/>
      <c r="G309" s="225"/>
      <c r="M309" s="75"/>
    </row>
    <row r="310" spans="2:15" ht="15" customHeight="1">
      <c r="B310" s="73"/>
      <c r="C310" s="642" t="s">
        <v>132</v>
      </c>
      <c r="D310" s="1" t="s">
        <v>133</v>
      </c>
      <c r="E310" s="2"/>
      <c r="F310" s="225"/>
      <c r="G310" s="225"/>
      <c r="I310" s="234" t="s">
        <v>131</v>
      </c>
      <c r="J310" s="234" t="s">
        <v>130</v>
      </c>
      <c r="K310" s="234" t="s">
        <v>129</v>
      </c>
      <c r="L310" s="234" t="s">
        <v>128</v>
      </c>
      <c r="M310" s="75"/>
    </row>
    <row r="311" spans="2:15" ht="30" customHeight="1">
      <c r="B311" s="73"/>
      <c r="C311" s="643"/>
      <c r="D311" s="114"/>
      <c r="E311" s="2"/>
      <c r="F311" s="225"/>
      <c r="G311" s="225"/>
      <c r="I311" s="235"/>
      <c r="J311" s="234"/>
      <c r="K311" s="234"/>
      <c r="L311" s="234"/>
      <c r="M311" s="75"/>
    </row>
    <row r="312" spans="2:15" ht="15" customHeight="1">
      <c r="B312" s="73"/>
      <c r="C312" s="644"/>
      <c r="D312" s="114"/>
      <c r="F312" s="226"/>
      <c r="G312" s="226"/>
      <c r="I312" s="236" t="s">
        <v>114</v>
      </c>
      <c r="J312" s="237" t="s">
        <v>113</v>
      </c>
      <c r="K312" s="238" t="s">
        <v>112</v>
      </c>
      <c r="L312" s="234" t="s">
        <v>16</v>
      </c>
      <c r="M312" s="75"/>
    </row>
    <row r="313" spans="2:15" ht="20.100000000000001" customHeight="1" thickBot="1">
      <c r="B313" s="83"/>
      <c r="C313" s="84"/>
      <c r="D313" s="84"/>
      <c r="E313" s="85"/>
      <c r="F313" s="85"/>
      <c r="G313" s="85"/>
      <c r="H313" s="85"/>
      <c r="I313" s="85"/>
      <c r="J313" s="85"/>
      <c r="K313" s="85"/>
      <c r="L313" s="84"/>
      <c r="M313" s="86"/>
    </row>
    <row r="314" spans="2:15" s="269" customFormat="1" ht="9" customHeight="1" thickTop="1" thickBot="1">
      <c r="E314" s="270"/>
      <c r="F314" s="270"/>
      <c r="G314" s="270"/>
      <c r="H314" s="270"/>
      <c r="I314" s="270"/>
      <c r="J314" s="270"/>
      <c r="K314" s="270"/>
    </row>
    <row r="315" spans="2:15" ht="18" customHeight="1" thickTop="1">
      <c r="B315" s="210" t="s">
        <v>138</v>
      </c>
      <c r="C315" s="203"/>
      <c r="D315" s="203"/>
      <c r="E315" s="204"/>
      <c r="F315" s="204"/>
      <c r="G315" s="204"/>
      <c r="H315" s="204"/>
      <c r="I315" s="204"/>
      <c r="J315" s="204"/>
      <c r="K315" s="204"/>
      <c r="L315" s="203"/>
      <c r="M315" s="205"/>
    </row>
    <row r="316" spans="2:15" ht="18" customHeight="1">
      <c r="B316" s="632" t="s">
        <v>119</v>
      </c>
      <c r="C316" s="633"/>
      <c r="D316" s="76" t="s">
        <v>244</v>
      </c>
      <c r="E316" s="2"/>
      <c r="F316" s="2"/>
      <c r="H316" s="224"/>
      <c r="I316" s="224"/>
      <c r="J316" s="227" t="s">
        <v>124</v>
      </c>
      <c r="K316" s="228" t="s">
        <v>126</v>
      </c>
      <c r="L316" s="229"/>
      <c r="M316" s="75"/>
    </row>
    <row r="317" spans="2:15" ht="18" customHeight="1">
      <c r="B317" s="626" t="s">
        <v>120</v>
      </c>
      <c r="C317" s="627"/>
      <c r="D317" s="2" t="s">
        <v>236</v>
      </c>
      <c r="I317" s="211"/>
      <c r="J317" s="230" t="s">
        <v>173</v>
      </c>
      <c r="K317" s="211" t="s">
        <v>137</v>
      </c>
      <c r="L317" s="231"/>
      <c r="M317" s="75"/>
    </row>
    <row r="318" spans="2:15" ht="18" customHeight="1">
      <c r="B318" s="626" t="s">
        <v>121</v>
      </c>
      <c r="C318" s="627"/>
      <c r="D318" s="3" t="s">
        <v>237</v>
      </c>
      <c r="J318" s="232" t="s">
        <v>125</v>
      </c>
      <c r="K318" s="239" t="s">
        <v>175</v>
      </c>
      <c r="L318" s="233"/>
      <c r="M318" s="75"/>
    </row>
    <row r="319" spans="2:15" ht="9.9499999999999993" customHeight="1">
      <c r="B319" s="73"/>
      <c r="M319" s="75"/>
    </row>
    <row r="320" spans="2:15" ht="20.100000000000001" customHeight="1">
      <c r="B320" s="73"/>
      <c r="C320" s="628" t="s">
        <v>60</v>
      </c>
      <c r="D320" s="213" t="s">
        <v>3</v>
      </c>
      <c r="E320" s="256">
        <v>43556</v>
      </c>
      <c r="F320" s="256">
        <v>43557</v>
      </c>
      <c r="G320" s="257">
        <v>43558</v>
      </c>
      <c r="H320" s="256">
        <v>43559</v>
      </c>
      <c r="I320" s="256">
        <v>43560</v>
      </c>
      <c r="J320" s="256">
        <v>43561</v>
      </c>
      <c r="K320" s="257">
        <v>43562</v>
      </c>
      <c r="L320" s="645" t="s">
        <v>63</v>
      </c>
      <c r="M320" s="75"/>
    </row>
    <row r="321" spans="2:15" ht="20.100000000000001" customHeight="1">
      <c r="B321" s="73"/>
      <c r="C321" s="629"/>
      <c r="D321" s="213" t="s">
        <v>2</v>
      </c>
      <c r="E321" s="213" t="s">
        <v>4</v>
      </c>
      <c r="F321" s="213" t="s">
        <v>23</v>
      </c>
      <c r="G321" s="258" t="s">
        <v>29</v>
      </c>
      <c r="H321" s="213" t="s">
        <v>30</v>
      </c>
      <c r="I321" s="213" t="s">
        <v>59</v>
      </c>
      <c r="J321" s="213" t="s">
        <v>40</v>
      </c>
      <c r="K321" s="258" t="s">
        <v>43</v>
      </c>
      <c r="L321" s="646"/>
      <c r="M321" s="75"/>
    </row>
    <row r="322" spans="2:15" ht="18" customHeight="1">
      <c r="B322" s="79"/>
      <c r="C322" s="560" t="s">
        <v>163</v>
      </c>
      <c r="D322" s="217" t="s">
        <v>134</v>
      </c>
      <c r="E322" s="208" t="s">
        <v>81</v>
      </c>
      <c r="F322" s="208" t="s">
        <v>81</v>
      </c>
      <c r="G322" s="271"/>
      <c r="H322" s="208" t="s">
        <v>81</v>
      </c>
      <c r="I322" s="208" t="s">
        <v>81</v>
      </c>
      <c r="J322" s="208" t="s">
        <v>81</v>
      </c>
      <c r="K322" s="259" t="s">
        <v>13</v>
      </c>
      <c r="L322" s="636">
        <f>SUM(E323:K323)</f>
        <v>4250000</v>
      </c>
      <c r="M322" s="80"/>
    </row>
    <row r="323" spans="2:15" ht="18" customHeight="1">
      <c r="B323" s="81"/>
      <c r="C323" s="561"/>
      <c r="D323" s="219" t="s">
        <v>135</v>
      </c>
      <c r="E323" s="220">
        <v>850000</v>
      </c>
      <c r="F323" s="220">
        <v>850000</v>
      </c>
      <c r="G323" s="272"/>
      <c r="H323" s="220">
        <v>850000</v>
      </c>
      <c r="I323" s="220">
        <v>850000</v>
      </c>
      <c r="J323" s="220">
        <v>850000</v>
      </c>
      <c r="K323" s="260" t="s">
        <v>13</v>
      </c>
      <c r="L323" s="637"/>
      <c r="M323" s="82"/>
    </row>
    <row r="324" spans="2:15" ht="24.95" customHeight="1">
      <c r="B324" s="73"/>
      <c r="D324" s="206"/>
      <c r="E324" s="268"/>
      <c r="F324" s="268"/>
      <c r="G324" s="207"/>
      <c r="H324" s="207"/>
      <c r="I324" s="647" t="s">
        <v>118</v>
      </c>
      <c r="J324" s="647"/>
      <c r="K324" s="648">
        <f>SUM(L322:L323)</f>
        <v>4250000</v>
      </c>
      <c r="L324" s="648"/>
      <c r="M324" s="75"/>
    </row>
    <row r="325" spans="2:15" ht="24.95" customHeight="1">
      <c r="B325" s="73"/>
      <c r="D325" s="206"/>
      <c r="E325" s="268"/>
      <c r="F325" s="268"/>
      <c r="G325" s="207"/>
      <c r="H325" s="207"/>
      <c r="I325" s="251"/>
      <c r="J325" s="251"/>
      <c r="K325" s="252"/>
      <c r="L325" s="252"/>
      <c r="M325" s="75"/>
    </row>
    <row r="326" spans="2:15" ht="20.100000000000001" customHeight="1">
      <c r="B326" s="73"/>
      <c r="C326" s="634" t="s">
        <v>61</v>
      </c>
      <c r="D326" s="213" t="s">
        <v>3</v>
      </c>
      <c r="E326" s="256">
        <v>43556</v>
      </c>
      <c r="F326" s="256">
        <v>43557</v>
      </c>
      <c r="G326" s="257">
        <v>43558</v>
      </c>
      <c r="H326" s="256">
        <v>43559</v>
      </c>
      <c r="I326" s="256">
        <v>43560</v>
      </c>
      <c r="J326" s="256">
        <v>43561</v>
      </c>
      <c r="K326" s="257">
        <v>43562</v>
      </c>
      <c r="L326" s="645" t="s">
        <v>63</v>
      </c>
      <c r="M326" s="75"/>
    </row>
    <row r="327" spans="2:15" ht="20.100000000000001" customHeight="1">
      <c r="B327" s="73"/>
      <c r="C327" s="635"/>
      <c r="D327" s="213" t="s">
        <v>2</v>
      </c>
      <c r="E327" s="213" t="s">
        <v>4</v>
      </c>
      <c r="F327" s="213" t="s">
        <v>23</v>
      </c>
      <c r="G327" s="258" t="s">
        <v>29</v>
      </c>
      <c r="H327" s="213" t="s">
        <v>30</v>
      </c>
      <c r="I327" s="213" t="s">
        <v>59</v>
      </c>
      <c r="J327" s="213" t="s">
        <v>40</v>
      </c>
      <c r="K327" s="258" t="s">
        <v>43</v>
      </c>
      <c r="L327" s="646"/>
      <c r="M327" s="75"/>
    </row>
    <row r="328" spans="2:15" ht="18" customHeight="1">
      <c r="B328" s="79"/>
      <c r="C328" s="560" t="s">
        <v>70</v>
      </c>
      <c r="D328" s="217" t="s">
        <v>134</v>
      </c>
      <c r="E328" s="208" t="s">
        <v>81</v>
      </c>
      <c r="F328" s="208" t="s">
        <v>81</v>
      </c>
      <c r="G328" s="271"/>
      <c r="H328" s="208" t="s">
        <v>81</v>
      </c>
      <c r="I328" s="208" t="s">
        <v>81</v>
      </c>
      <c r="J328" s="208" t="s">
        <v>81</v>
      </c>
      <c r="K328" s="259" t="s">
        <v>13</v>
      </c>
      <c r="L328" s="636">
        <f>SUM(E329:K329)</f>
        <v>4250000</v>
      </c>
      <c r="M328" s="80"/>
    </row>
    <row r="329" spans="2:15" ht="18" customHeight="1">
      <c r="B329" s="81"/>
      <c r="C329" s="561"/>
      <c r="D329" s="219" t="s">
        <v>135</v>
      </c>
      <c r="E329" s="220">
        <v>850000</v>
      </c>
      <c r="F329" s="220">
        <v>850000</v>
      </c>
      <c r="G329" s="272"/>
      <c r="H329" s="220">
        <v>850000</v>
      </c>
      <c r="I329" s="220">
        <v>850000</v>
      </c>
      <c r="J329" s="220">
        <v>850000</v>
      </c>
      <c r="K329" s="260" t="s">
        <v>13</v>
      </c>
      <c r="L329" s="637"/>
      <c r="M329" s="82"/>
    </row>
    <row r="330" spans="2:15" ht="24.95" customHeight="1">
      <c r="B330" s="73"/>
      <c r="F330" s="209"/>
      <c r="I330" s="638" t="s">
        <v>117</v>
      </c>
      <c r="J330" s="638"/>
      <c r="K330" s="639">
        <f>+L328</f>
        <v>4250000</v>
      </c>
      <c r="L330" s="639"/>
      <c r="M330" s="75"/>
      <c r="O330" s="261"/>
    </row>
    <row r="331" spans="2:15" ht="24.95" customHeight="1">
      <c r="B331" s="73"/>
      <c r="F331" s="209"/>
      <c r="I331" s="212"/>
      <c r="J331" s="212"/>
      <c r="K331" s="253"/>
      <c r="L331" s="253"/>
      <c r="M331" s="75"/>
    </row>
    <row r="332" spans="2:15" ht="24.95" customHeight="1">
      <c r="B332" s="73"/>
      <c r="C332" s="640" t="s">
        <v>136</v>
      </c>
      <c r="D332" s="640"/>
      <c r="E332" s="2"/>
      <c r="I332" s="611" t="s">
        <v>116</v>
      </c>
      <c r="J332" s="611"/>
      <c r="K332" s="612">
        <f>+K330+K324</f>
        <v>8500000</v>
      </c>
      <c r="L332" s="612"/>
      <c r="M332" s="75"/>
      <c r="O332" s="261">
        <f>+SUM(E323:K323)+SUM(E329:K329)</f>
        <v>8500000</v>
      </c>
    </row>
    <row r="333" spans="2:15" ht="9.9499999999999993" customHeight="1">
      <c r="B333" s="73"/>
      <c r="C333" s="641"/>
      <c r="D333" s="641"/>
      <c r="E333" s="2"/>
      <c r="F333" s="225"/>
      <c r="G333" s="225"/>
      <c r="M333" s="75"/>
    </row>
    <row r="334" spans="2:15" ht="15" customHeight="1">
      <c r="B334" s="73"/>
      <c r="C334" s="642" t="s">
        <v>132</v>
      </c>
      <c r="D334" s="1" t="s">
        <v>133</v>
      </c>
      <c r="E334" s="2"/>
      <c r="F334" s="225"/>
      <c r="G334" s="225"/>
      <c r="I334" s="234" t="s">
        <v>131</v>
      </c>
      <c r="J334" s="234" t="s">
        <v>130</v>
      </c>
      <c r="K334" s="234" t="s">
        <v>129</v>
      </c>
      <c r="L334" s="234" t="s">
        <v>128</v>
      </c>
      <c r="M334" s="75"/>
    </row>
    <row r="335" spans="2:15" ht="30" customHeight="1">
      <c r="B335" s="73"/>
      <c r="C335" s="643"/>
      <c r="D335" s="114"/>
      <c r="E335" s="2"/>
      <c r="F335" s="225"/>
      <c r="G335" s="225"/>
      <c r="I335" s="235"/>
      <c r="J335" s="234"/>
      <c r="K335" s="234"/>
      <c r="L335" s="234"/>
      <c r="M335" s="75"/>
    </row>
    <row r="336" spans="2:15" ht="15" customHeight="1">
      <c r="B336" s="73"/>
      <c r="C336" s="644"/>
      <c r="D336" s="114"/>
      <c r="F336" s="226"/>
      <c r="G336" s="226"/>
      <c r="I336" s="236" t="s">
        <v>114</v>
      </c>
      <c r="J336" s="237" t="s">
        <v>113</v>
      </c>
      <c r="K336" s="238" t="s">
        <v>112</v>
      </c>
      <c r="L336" s="234" t="s">
        <v>16</v>
      </c>
      <c r="M336" s="75"/>
    </row>
    <row r="337" spans="2:13" ht="20.100000000000001" customHeight="1" thickBot="1">
      <c r="B337" s="83"/>
      <c r="C337" s="84"/>
      <c r="D337" s="84"/>
      <c r="E337" s="85"/>
      <c r="F337" s="85"/>
      <c r="G337" s="85"/>
      <c r="H337" s="85"/>
      <c r="I337" s="85"/>
      <c r="J337" s="85"/>
      <c r="K337" s="85"/>
      <c r="L337" s="84"/>
      <c r="M337" s="86"/>
    </row>
    <row r="338" spans="2:13" s="269" customFormat="1" ht="9" customHeight="1" thickTop="1" thickBot="1">
      <c r="E338" s="270"/>
      <c r="F338" s="270"/>
      <c r="G338" s="270"/>
      <c r="H338" s="270"/>
      <c r="I338" s="270"/>
      <c r="J338" s="270"/>
      <c r="K338" s="270"/>
    </row>
    <row r="339" spans="2:13" ht="18" customHeight="1" thickTop="1">
      <c r="B339" s="210" t="s">
        <v>138</v>
      </c>
      <c r="C339" s="203"/>
      <c r="D339" s="203"/>
      <c r="E339" s="204"/>
      <c r="F339" s="204"/>
      <c r="G339" s="204"/>
      <c r="H339" s="204"/>
      <c r="I339" s="204"/>
      <c r="J339" s="204"/>
      <c r="K339" s="204"/>
      <c r="L339" s="203"/>
      <c r="M339" s="205"/>
    </row>
    <row r="340" spans="2:13" ht="18" customHeight="1">
      <c r="B340" s="632" t="s">
        <v>119</v>
      </c>
      <c r="C340" s="633"/>
      <c r="D340" s="76" t="s">
        <v>244</v>
      </c>
      <c r="E340" s="2"/>
      <c r="F340" s="2"/>
      <c r="H340" s="224"/>
      <c r="I340" s="224"/>
      <c r="J340" s="227" t="s">
        <v>124</v>
      </c>
      <c r="K340" s="228" t="s">
        <v>126</v>
      </c>
      <c r="L340" s="229"/>
      <c r="M340" s="75"/>
    </row>
    <row r="341" spans="2:13" ht="18" customHeight="1">
      <c r="B341" s="626" t="s">
        <v>120</v>
      </c>
      <c r="C341" s="627"/>
      <c r="D341" s="2" t="s">
        <v>238</v>
      </c>
      <c r="I341" s="211"/>
      <c r="J341" s="230" t="s">
        <v>173</v>
      </c>
      <c r="K341" s="211" t="s">
        <v>137</v>
      </c>
      <c r="L341" s="231"/>
      <c r="M341" s="75"/>
    </row>
    <row r="342" spans="2:13" ht="18" customHeight="1">
      <c r="B342" s="626" t="s">
        <v>121</v>
      </c>
      <c r="C342" s="627"/>
      <c r="D342" s="3" t="s">
        <v>239</v>
      </c>
      <c r="J342" s="232" t="s">
        <v>125</v>
      </c>
      <c r="K342" s="239" t="s">
        <v>175</v>
      </c>
      <c r="L342" s="233"/>
      <c r="M342" s="75"/>
    </row>
    <row r="343" spans="2:13" ht="9.9499999999999993" customHeight="1">
      <c r="B343" s="73"/>
      <c r="M343" s="75"/>
    </row>
    <row r="344" spans="2:13" ht="20.100000000000001" customHeight="1">
      <c r="B344" s="73"/>
      <c r="C344" s="628" t="s">
        <v>60</v>
      </c>
      <c r="D344" s="213" t="s">
        <v>3</v>
      </c>
      <c r="E344" s="256">
        <v>43563</v>
      </c>
      <c r="F344" s="256">
        <v>43564</v>
      </c>
      <c r="G344" s="256">
        <v>43565</v>
      </c>
      <c r="H344" s="256">
        <v>43566</v>
      </c>
      <c r="I344" s="256">
        <v>43567</v>
      </c>
      <c r="J344" s="257">
        <v>43568</v>
      </c>
      <c r="K344" s="257">
        <v>43569</v>
      </c>
      <c r="L344" s="645" t="s">
        <v>63</v>
      </c>
      <c r="M344" s="75"/>
    </row>
    <row r="345" spans="2:13" ht="20.100000000000001" customHeight="1">
      <c r="B345" s="73"/>
      <c r="C345" s="629"/>
      <c r="D345" s="213" t="s">
        <v>2</v>
      </c>
      <c r="E345" s="213" t="s">
        <v>4</v>
      </c>
      <c r="F345" s="213" t="s">
        <v>23</v>
      </c>
      <c r="G345" s="213" t="s">
        <v>29</v>
      </c>
      <c r="H345" s="213" t="s">
        <v>30</v>
      </c>
      <c r="I345" s="213" t="s">
        <v>59</v>
      </c>
      <c r="J345" s="258" t="s">
        <v>40</v>
      </c>
      <c r="K345" s="258" t="s">
        <v>43</v>
      </c>
      <c r="L345" s="646"/>
      <c r="M345" s="75"/>
    </row>
    <row r="346" spans="2:13" ht="18" customHeight="1">
      <c r="B346" s="79"/>
      <c r="C346" s="560" t="s">
        <v>163</v>
      </c>
      <c r="D346" s="217" t="s">
        <v>134</v>
      </c>
      <c r="E346" s="208" t="s">
        <v>81</v>
      </c>
      <c r="F346" s="208" t="s">
        <v>81</v>
      </c>
      <c r="G346" s="208" t="s">
        <v>81</v>
      </c>
      <c r="H346" s="208" t="s">
        <v>81</v>
      </c>
      <c r="I346" s="208" t="s">
        <v>81</v>
      </c>
      <c r="J346" s="259" t="s">
        <v>13</v>
      </c>
      <c r="K346" s="259" t="s">
        <v>13</v>
      </c>
      <c r="L346" s="636">
        <f>SUM(E347:K347)</f>
        <v>4250000</v>
      </c>
      <c r="M346" s="80"/>
    </row>
    <row r="347" spans="2:13" ht="18" customHeight="1">
      <c r="B347" s="81"/>
      <c r="C347" s="561"/>
      <c r="D347" s="219" t="s">
        <v>135</v>
      </c>
      <c r="E347" s="220">
        <v>850000</v>
      </c>
      <c r="F347" s="220">
        <v>850000</v>
      </c>
      <c r="G347" s="220">
        <v>850000</v>
      </c>
      <c r="H347" s="220">
        <v>850000</v>
      </c>
      <c r="I347" s="220">
        <v>850000</v>
      </c>
      <c r="J347" s="260" t="s">
        <v>13</v>
      </c>
      <c r="K347" s="260" t="s">
        <v>13</v>
      </c>
      <c r="L347" s="637"/>
      <c r="M347" s="82"/>
    </row>
    <row r="348" spans="2:13" ht="24.95" customHeight="1">
      <c r="B348" s="73"/>
      <c r="D348" s="206"/>
      <c r="E348" s="268"/>
      <c r="F348" s="268"/>
      <c r="G348" s="207"/>
      <c r="H348" s="207"/>
      <c r="I348" s="647" t="s">
        <v>118</v>
      </c>
      <c r="J348" s="647"/>
      <c r="K348" s="648">
        <f>SUM(L346:L347)</f>
        <v>4250000</v>
      </c>
      <c r="L348" s="648"/>
      <c r="M348" s="75"/>
    </row>
    <row r="349" spans="2:13" ht="24.95" customHeight="1">
      <c r="B349" s="73"/>
      <c r="D349" s="206"/>
      <c r="E349" s="268"/>
      <c r="F349" s="268"/>
      <c r="G349" s="207"/>
      <c r="H349" s="207"/>
      <c r="I349" s="251"/>
      <c r="J349" s="251"/>
      <c r="K349" s="252"/>
      <c r="L349" s="252"/>
      <c r="M349" s="75"/>
    </row>
    <row r="350" spans="2:13" ht="20.100000000000001" customHeight="1">
      <c r="B350" s="73"/>
      <c r="C350" s="634" t="s">
        <v>61</v>
      </c>
      <c r="D350" s="213" t="s">
        <v>3</v>
      </c>
      <c r="E350" s="256">
        <v>43563</v>
      </c>
      <c r="F350" s="256">
        <v>43564</v>
      </c>
      <c r="G350" s="256">
        <v>43565</v>
      </c>
      <c r="H350" s="256">
        <v>43566</v>
      </c>
      <c r="I350" s="256">
        <v>43567</v>
      </c>
      <c r="J350" s="257">
        <v>43568</v>
      </c>
      <c r="K350" s="257">
        <v>43569</v>
      </c>
      <c r="L350" s="645" t="s">
        <v>63</v>
      </c>
      <c r="M350" s="75"/>
    </row>
    <row r="351" spans="2:13" ht="20.100000000000001" customHeight="1">
      <c r="B351" s="73"/>
      <c r="C351" s="635"/>
      <c r="D351" s="213" t="s">
        <v>2</v>
      </c>
      <c r="E351" s="213" t="s">
        <v>4</v>
      </c>
      <c r="F351" s="213" t="s">
        <v>23</v>
      </c>
      <c r="G351" s="213" t="s">
        <v>29</v>
      </c>
      <c r="H351" s="213" t="s">
        <v>30</v>
      </c>
      <c r="I351" s="213" t="s">
        <v>59</v>
      </c>
      <c r="J351" s="258" t="s">
        <v>40</v>
      </c>
      <c r="K351" s="258" t="s">
        <v>43</v>
      </c>
      <c r="L351" s="646"/>
      <c r="M351" s="75"/>
    </row>
    <row r="352" spans="2:13" ht="18" customHeight="1">
      <c r="B352" s="79"/>
      <c r="C352" s="560" t="s">
        <v>70</v>
      </c>
      <c r="D352" s="217" t="s">
        <v>134</v>
      </c>
      <c r="E352" s="208" t="s">
        <v>81</v>
      </c>
      <c r="F352" s="208" t="s">
        <v>81</v>
      </c>
      <c r="G352" s="208" t="s">
        <v>81</v>
      </c>
      <c r="H352" s="208" t="s">
        <v>81</v>
      </c>
      <c r="I352" s="208" t="s">
        <v>81</v>
      </c>
      <c r="J352" s="259" t="s">
        <v>13</v>
      </c>
      <c r="K352" s="259" t="s">
        <v>13</v>
      </c>
      <c r="L352" s="636">
        <f>SUM(E353:K353)</f>
        <v>4250000</v>
      </c>
      <c r="M352" s="80"/>
    </row>
    <row r="353" spans="2:15" ht="18" customHeight="1">
      <c r="B353" s="81"/>
      <c r="C353" s="561"/>
      <c r="D353" s="219" t="s">
        <v>135</v>
      </c>
      <c r="E353" s="220">
        <v>850000</v>
      </c>
      <c r="F353" s="220">
        <v>850000</v>
      </c>
      <c r="G353" s="220">
        <v>850000</v>
      </c>
      <c r="H353" s="220">
        <v>850000</v>
      </c>
      <c r="I353" s="220">
        <v>850000</v>
      </c>
      <c r="J353" s="260" t="s">
        <v>13</v>
      </c>
      <c r="K353" s="260" t="s">
        <v>13</v>
      </c>
      <c r="L353" s="637"/>
      <c r="M353" s="82"/>
    </row>
    <row r="354" spans="2:15" ht="24.95" customHeight="1">
      <c r="B354" s="73"/>
      <c r="F354" s="209"/>
      <c r="I354" s="638" t="s">
        <v>117</v>
      </c>
      <c r="J354" s="638"/>
      <c r="K354" s="639">
        <f>+L352</f>
        <v>4250000</v>
      </c>
      <c r="L354" s="639"/>
      <c r="M354" s="75"/>
      <c r="O354" s="261"/>
    </row>
    <row r="355" spans="2:15" ht="24.95" customHeight="1">
      <c r="B355" s="73"/>
      <c r="F355" s="209"/>
      <c r="I355" s="212"/>
      <c r="J355" s="212"/>
      <c r="K355" s="253"/>
      <c r="L355" s="253"/>
      <c r="M355" s="75"/>
    </row>
    <row r="356" spans="2:15" ht="24.95" customHeight="1">
      <c r="B356" s="73"/>
      <c r="C356" s="640" t="s">
        <v>136</v>
      </c>
      <c r="D356" s="640"/>
      <c r="E356" s="2"/>
      <c r="I356" s="611" t="s">
        <v>116</v>
      </c>
      <c r="J356" s="611"/>
      <c r="K356" s="612">
        <f>+K354+K348</f>
        <v>8500000</v>
      </c>
      <c r="L356" s="612"/>
      <c r="M356" s="75"/>
      <c r="O356" s="261">
        <f>+SUM(E347:K347)+SUM(E353:K353)</f>
        <v>8500000</v>
      </c>
    </row>
    <row r="357" spans="2:15" ht="9.9499999999999993" customHeight="1">
      <c r="B357" s="73"/>
      <c r="C357" s="641"/>
      <c r="D357" s="641"/>
      <c r="E357" s="2"/>
      <c r="F357" s="225"/>
      <c r="G357" s="225"/>
      <c r="M357" s="75"/>
    </row>
    <row r="358" spans="2:15" ht="15" customHeight="1">
      <c r="B358" s="73"/>
      <c r="C358" s="642" t="s">
        <v>132</v>
      </c>
      <c r="D358" s="1" t="s">
        <v>133</v>
      </c>
      <c r="E358" s="2"/>
      <c r="F358" s="225"/>
      <c r="G358" s="225"/>
      <c r="I358" s="234" t="s">
        <v>131</v>
      </c>
      <c r="J358" s="234" t="s">
        <v>130</v>
      </c>
      <c r="K358" s="234" t="s">
        <v>129</v>
      </c>
      <c r="L358" s="234" t="s">
        <v>128</v>
      </c>
      <c r="M358" s="75"/>
    </row>
    <row r="359" spans="2:15" ht="30" customHeight="1">
      <c r="B359" s="73"/>
      <c r="C359" s="643"/>
      <c r="D359" s="114"/>
      <c r="E359" s="2"/>
      <c r="F359" s="225"/>
      <c r="G359" s="225"/>
      <c r="I359" s="235"/>
      <c r="J359" s="234"/>
      <c r="K359" s="234"/>
      <c r="L359" s="234"/>
      <c r="M359" s="75"/>
    </row>
    <row r="360" spans="2:15" ht="15" customHeight="1">
      <c r="B360" s="73"/>
      <c r="C360" s="644"/>
      <c r="D360" s="114"/>
      <c r="F360" s="226"/>
      <c r="G360" s="226"/>
      <c r="I360" s="236" t="s">
        <v>114</v>
      </c>
      <c r="J360" s="237" t="s">
        <v>113</v>
      </c>
      <c r="K360" s="238" t="s">
        <v>112</v>
      </c>
      <c r="L360" s="234" t="s">
        <v>16</v>
      </c>
      <c r="M360" s="75"/>
    </row>
    <row r="361" spans="2:15" ht="19.5" customHeight="1" thickBot="1">
      <c r="B361" s="83"/>
      <c r="C361" s="84"/>
      <c r="D361" s="84"/>
      <c r="E361" s="85"/>
      <c r="F361" s="85"/>
      <c r="G361" s="85"/>
      <c r="H361" s="85"/>
      <c r="I361" s="85"/>
      <c r="J361" s="85"/>
      <c r="K361" s="85"/>
      <c r="L361" s="84"/>
      <c r="M361" s="86"/>
    </row>
    <row r="362" spans="2:15" s="269" customFormat="1" ht="9" customHeight="1" thickTop="1" thickBot="1">
      <c r="E362" s="270"/>
      <c r="F362" s="270"/>
      <c r="G362" s="270"/>
      <c r="H362" s="270"/>
      <c r="I362" s="270"/>
      <c r="J362" s="270"/>
      <c r="K362" s="270"/>
    </row>
    <row r="363" spans="2:15" ht="18" customHeight="1" thickTop="1">
      <c r="B363" s="210" t="s">
        <v>138</v>
      </c>
      <c r="C363" s="203"/>
      <c r="D363" s="203"/>
      <c r="E363" s="204"/>
      <c r="F363" s="204"/>
      <c r="G363" s="204"/>
      <c r="H363" s="204"/>
      <c r="I363" s="204"/>
      <c r="J363" s="204"/>
      <c r="K363" s="204"/>
      <c r="L363" s="203"/>
      <c r="M363" s="205"/>
    </row>
    <row r="364" spans="2:15" ht="18" customHeight="1">
      <c r="B364" s="632" t="s">
        <v>119</v>
      </c>
      <c r="C364" s="633"/>
      <c r="D364" s="76" t="s">
        <v>244</v>
      </c>
      <c r="E364" s="2"/>
      <c r="F364" s="2"/>
      <c r="H364" s="224"/>
      <c r="I364" s="224"/>
      <c r="J364" s="227" t="s">
        <v>124</v>
      </c>
      <c r="K364" s="228" t="s">
        <v>126</v>
      </c>
      <c r="L364" s="229"/>
      <c r="M364" s="75"/>
    </row>
    <row r="365" spans="2:15" ht="18" customHeight="1">
      <c r="B365" s="626" t="s">
        <v>120</v>
      </c>
      <c r="C365" s="627"/>
      <c r="D365" s="2" t="s">
        <v>241</v>
      </c>
      <c r="I365" s="211"/>
      <c r="J365" s="230" t="s">
        <v>173</v>
      </c>
      <c r="K365" s="211" t="s">
        <v>137</v>
      </c>
      <c r="L365" s="231"/>
      <c r="M365" s="75"/>
    </row>
    <row r="366" spans="2:15" ht="18" customHeight="1">
      <c r="B366" s="626" t="s">
        <v>121</v>
      </c>
      <c r="C366" s="627"/>
      <c r="D366" s="3" t="s">
        <v>240</v>
      </c>
      <c r="J366" s="232" t="s">
        <v>125</v>
      </c>
      <c r="K366" s="239" t="s">
        <v>175</v>
      </c>
      <c r="L366" s="233"/>
      <c r="M366" s="75"/>
    </row>
    <row r="367" spans="2:15" ht="9.9499999999999993" customHeight="1">
      <c r="B367" s="73"/>
      <c r="M367" s="75"/>
    </row>
    <row r="368" spans="2:15" ht="20.100000000000001" customHeight="1">
      <c r="B368" s="73"/>
      <c r="C368" s="628" t="s">
        <v>60</v>
      </c>
      <c r="D368" s="213" t="s">
        <v>3</v>
      </c>
      <c r="E368" s="256">
        <v>43570</v>
      </c>
      <c r="F368" s="256">
        <v>43571</v>
      </c>
      <c r="G368" s="257">
        <v>43572</v>
      </c>
      <c r="H368" s="257">
        <v>43573</v>
      </c>
      <c r="I368" s="257">
        <v>43574</v>
      </c>
      <c r="J368" s="257">
        <v>43575</v>
      </c>
      <c r="K368" s="257">
        <v>43576</v>
      </c>
      <c r="L368" s="645" t="s">
        <v>63</v>
      </c>
      <c r="M368" s="75"/>
    </row>
    <row r="369" spans="2:15" ht="20.100000000000001" customHeight="1">
      <c r="B369" s="73"/>
      <c r="C369" s="629"/>
      <c r="D369" s="213" t="s">
        <v>2</v>
      </c>
      <c r="E369" s="213" t="s">
        <v>4</v>
      </c>
      <c r="F369" s="213" t="s">
        <v>23</v>
      </c>
      <c r="G369" s="258" t="s">
        <v>29</v>
      </c>
      <c r="H369" s="258" t="s">
        <v>30</v>
      </c>
      <c r="I369" s="258" t="s">
        <v>59</v>
      </c>
      <c r="J369" s="258" t="s">
        <v>40</v>
      </c>
      <c r="K369" s="258" t="s">
        <v>43</v>
      </c>
      <c r="L369" s="646"/>
      <c r="M369" s="75"/>
    </row>
    <row r="370" spans="2:15" ht="18" customHeight="1">
      <c r="B370" s="79"/>
      <c r="C370" s="560" t="s">
        <v>163</v>
      </c>
      <c r="D370" s="217" t="s">
        <v>134</v>
      </c>
      <c r="E370" s="208" t="s">
        <v>81</v>
      </c>
      <c r="F370" s="208" t="s">
        <v>81</v>
      </c>
      <c r="G370" s="259" t="s">
        <v>13</v>
      </c>
      <c r="H370" s="259" t="s">
        <v>13</v>
      </c>
      <c r="I370" s="259" t="s">
        <v>13</v>
      </c>
      <c r="J370" s="259" t="s">
        <v>13</v>
      </c>
      <c r="K370" s="259" t="s">
        <v>13</v>
      </c>
      <c r="L370" s="636">
        <f>SUM(E371:K371)</f>
        <v>1700000</v>
      </c>
      <c r="M370" s="80"/>
    </row>
    <row r="371" spans="2:15" ht="18" customHeight="1">
      <c r="B371" s="81"/>
      <c r="C371" s="561"/>
      <c r="D371" s="219" t="s">
        <v>135</v>
      </c>
      <c r="E371" s="220">
        <v>850000</v>
      </c>
      <c r="F371" s="220">
        <v>850000</v>
      </c>
      <c r="G371" s="260" t="s">
        <v>13</v>
      </c>
      <c r="H371" s="260" t="s">
        <v>13</v>
      </c>
      <c r="I371" s="260" t="s">
        <v>13</v>
      </c>
      <c r="J371" s="260" t="s">
        <v>13</v>
      </c>
      <c r="K371" s="260" t="s">
        <v>13</v>
      </c>
      <c r="L371" s="637"/>
      <c r="M371" s="82"/>
    </row>
    <row r="372" spans="2:15" ht="24.95" customHeight="1">
      <c r="B372" s="73"/>
      <c r="D372" s="206"/>
      <c r="E372" s="268"/>
      <c r="F372" s="268"/>
      <c r="G372" s="207"/>
      <c r="H372" s="207"/>
      <c r="I372" s="647" t="s">
        <v>118</v>
      </c>
      <c r="J372" s="647"/>
      <c r="K372" s="648">
        <f>SUM(L370:L371)</f>
        <v>1700000</v>
      </c>
      <c r="L372" s="648"/>
      <c r="M372" s="75"/>
    </row>
    <row r="373" spans="2:15" ht="24.95" customHeight="1">
      <c r="B373" s="73"/>
      <c r="D373" s="206"/>
      <c r="E373" s="268"/>
      <c r="F373" s="268"/>
      <c r="G373" s="207"/>
      <c r="H373" s="207"/>
      <c r="I373" s="251"/>
      <c r="J373" s="251"/>
      <c r="K373" s="252"/>
      <c r="L373" s="252"/>
      <c r="M373" s="75"/>
    </row>
    <row r="374" spans="2:15" ht="20.100000000000001" customHeight="1">
      <c r="B374" s="73"/>
      <c r="C374" s="634" t="s">
        <v>61</v>
      </c>
      <c r="D374" s="213" t="s">
        <v>3</v>
      </c>
      <c r="E374" s="256">
        <v>43570</v>
      </c>
      <c r="F374" s="256">
        <v>43571</v>
      </c>
      <c r="G374" s="257">
        <v>43572</v>
      </c>
      <c r="H374" s="257">
        <v>43573</v>
      </c>
      <c r="I374" s="257">
        <v>43574</v>
      </c>
      <c r="J374" s="257">
        <v>43575</v>
      </c>
      <c r="K374" s="257">
        <v>43576</v>
      </c>
      <c r="L374" s="645" t="s">
        <v>63</v>
      </c>
      <c r="M374" s="75"/>
    </row>
    <row r="375" spans="2:15" ht="20.100000000000001" customHeight="1">
      <c r="B375" s="73"/>
      <c r="C375" s="635"/>
      <c r="D375" s="213" t="s">
        <v>2</v>
      </c>
      <c r="E375" s="213" t="s">
        <v>4</v>
      </c>
      <c r="F375" s="213" t="s">
        <v>23</v>
      </c>
      <c r="G375" s="258" t="s">
        <v>29</v>
      </c>
      <c r="H375" s="258" t="s">
        <v>30</v>
      </c>
      <c r="I375" s="258" t="s">
        <v>59</v>
      </c>
      <c r="J375" s="258" t="s">
        <v>40</v>
      </c>
      <c r="K375" s="258" t="s">
        <v>43</v>
      </c>
      <c r="L375" s="646"/>
      <c r="M375" s="75"/>
    </row>
    <row r="376" spans="2:15" ht="18" customHeight="1">
      <c r="B376" s="79"/>
      <c r="C376" s="560" t="s">
        <v>70</v>
      </c>
      <c r="D376" s="217" t="s">
        <v>134</v>
      </c>
      <c r="E376" s="208" t="s">
        <v>81</v>
      </c>
      <c r="F376" s="208" t="s">
        <v>81</v>
      </c>
      <c r="G376" s="259" t="s">
        <v>13</v>
      </c>
      <c r="H376" s="259" t="s">
        <v>13</v>
      </c>
      <c r="I376" s="259" t="s">
        <v>13</v>
      </c>
      <c r="J376" s="259" t="s">
        <v>13</v>
      </c>
      <c r="K376" s="259" t="s">
        <v>13</v>
      </c>
      <c r="L376" s="636">
        <f>SUM(E377:K377)</f>
        <v>1700000</v>
      </c>
      <c r="M376" s="80"/>
    </row>
    <row r="377" spans="2:15" ht="18" customHeight="1">
      <c r="B377" s="81"/>
      <c r="C377" s="561"/>
      <c r="D377" s="219" t="s">
        <v>135</v>
      </c>
      <c r="E377" s="220">
        <v>850000</v>
      </c>
      <c r="F377" s="220">
        <v>850000</v>
      </c>
      <c r="G377" s="260" t="s">
        <v>13</v>
      </c>
      <c r="H377" s="260" t="s">
        <v>13</v>
      </c>
      <c r="I377" s="260" t="s">
        <v>13</v>
      </c>
      <c r="J377" s="260" t="s">
        <v>13</v>
      </c>
      <c r="K377" s="260" t="s">
        <v>13</v>
      </c>
      <c r="L377" s="637"/>
      <c r="M377" s="82"/>
    </row>
    <row r="378" spans="2:15" ht="24.95" customHeight="1">
      <c r="B378" s="73"/>
      <c r="F378" s="209"/>
      <c r="I378" s="638" t="s">
        <v>117</v>
      </c>
      <c r="J378" s="638"/>
      <c r="K378" s="639">
        <f>+L376</f>
        <v>1700000</v>
      </c>
      <c r="L378" s="639"/>
      <c r="M378" s="75"/>
      <c r="O378" s="261"/>
    </row>
    <row r="379" spans="2:15" ht="24.95" customHeight="1">
      <c r="B379" s="73"/>
      <c r="F379" s="209"/>
      <c r="I379" s="212"/>
      <c r="J379" s="212"/>
      <c r="K379" s="253"/>
      <c r="L379" s="253"/>
      <c r="M379" s="75"/>
    </row>
    <row r="380" spans="2:15" ht="24.95" customHeight="1">
      <c r="B380" s="73"/>
      <c r="C380" s="640" t="s">
        <v>136</v>
      </c>
      <c r="D380" s="640"/>
      <c r="E380" s="2"/>
      <c r="I380" s="611" t="s">
        <v>116</v>
      </c>
      <c r="J380" s="611"/>
      <c r="K380" s="612">
        <f>+K378+K372</f>
        <v>3400000</v>
      </c>
      <c r="L380" s="612"/>
      <c r="M380" s="75"/>
      <c r="O380" s="261">
        <f>+SUM(E371:K371)+SUM(E377:K377)</f>
        <v>3400000</v>
      </c>
    </row>
    <row r="381" spans="2:15" ht="9.9499999999999993" customHeight="1">
      <c r="B381" s="73"/>
      <c r="C381" s="641"/>
      <c r="D381" s="641"/>
      <c r="E381" s="2"/>
      <c r="F381" s="225"/>
      <c r="G381" s="225"/>
      <c r="M381" s="75"/>
    </row>
    <row r="382" spans="2:15" ht="15" customHeight="1">
      <c r="B382" s="73"/>
      <c r="C382" s="642" t="s">
        <v>132</v>
      </c>
      <c r="D382" s="1" t="s">
        <v>133</v>
      </c>
      <c r="E382" s="2"/>
      <c r="F382" s="225"/>
      <c r="G382" s="225"/>
      <c r="I382" s="234" t="s">
        <v>131</v>
      </c>
      <c r="J382" s="234" t="s">
        <v>130</v>
      </c>
      <c r="K382" s="234" t="s">
        <v>129</v>
      </c>
      <c r="L382" s="234" t="s">
        <v>128</v>
      </c>
      <c r="M382" s="75"/>
    </row>
    <row r="383" spans="2:15" ht="30" customHeight="1">
      <c r="B383" s="73"/>
      <c r="C383" s="643"/>
      <c r="D383" s="114"/>
      <c r="E383" s="2"/>
      <c r="F383" s="225"/>
      <c r="G383" s="225"/>
      <c r="I383" s="235"/>
      <c r="J383" s="234"/>
      <c r="K383" s="234"/>
      <c r="L383" s="234"/>
      <c r="M383" s="75"/>
    </row>
    <row r="384" spans="2:15" ht="15" customHeight="1">
      <c r="B384" s="73"/>
      <c r="C384" s="644"/>
      <c r="D384" s="114"/>
      <c r="F384" s="226"/>
      <c r="G384" s="226"/>
      <c r="I384" s="236" t="s">
        <v>114</v>
      </c>
      <c r="J384" s="237" t="s">
        <v>113</v>
      </c>
      <c r="K384" s="238" t="s">
        <v>112</v>
      </c>
      <c r="L384" s="234" t="s">
        <v>16</v>
      </c>
      <c r="M384" s="75"/>
    </row>
    <row r="385" spans="2:13" ht="20.100000000000001" customHeight="1" thickBot="1">
      <c r="B385" s="83"/>
      <c r="C385" s="84"/>
      <c r="D385" s="84"/>
      <c r="E385" s="85"/>
      <c r="F385" s="85"/>
      <c r="G385" s="85"/>
      <c r="H385" s="85"/>
      <c r="I385" s="85"/>
      <c r="J385" s="85"/>
      <c r="K385" s="85"/>
      <c r="L385" s="84"/>
      <c r="M385" s="86"/>
    </row>
    <row r="386" spans="2:13" s="269" customFormat="1" ht="9" customHeight="1" thickTop="1" thickBot="1">
      <c r="E386" s="270"/>
      <c r="F386" s="270"/>
      <c r="G386" s="270"/>
      <c r="H386" s="270"/>
      <c r="I386" s="270"/>
      <c r="J386" s="270"/>
      <c r="K386" s="270"/>
    </row>
    <row r="387" spans="2:13" ht="18" customHeight="1" thickTop="1">
      <c r="B387" s="210" t="s">
        <v>138</v>
      </c>
      <c r="C387" s="203"/>
      <c r="D387" s="203"/>
      <c r="E387" s="204"/>
      <c r="F387" s="204"/>
      <c r="G387" s="204"/>
      <c r="H387" s="204"/>
      <c r="I387" s="204"/>
      <c r="J387" s="204"/>
      <c r="K387" s="204"/>
      <c r="L387" s="203"/>
      <c r="M387" s="205"/>
    </row>
    <row r="388" spans="2:13" ht="18" customHeight="1">
      <c r="B388" s="632" t="s">
        <v>119</v>
      </c>
      <c r="C388" s="633"/>
      <c r="D388" s="76" t="s">
        <v>244</v>
      </c>
      <c r="E388" s="2"/>
      <c r="F388" s="2"/>
      <c r="H388" s="224"/>
      <c r="I388" s="224"/>
      <c r="J388" s="227" t="s">
        <v>124</v>
      </c>
      <c r="K388" s="228" t="s">
        <v>126</v>
      </c>
      <c r="L388" s="229"/>
      <c r="M388" s="75"/>
    </row>
    <row r="389" spans="2:13" ht="18" customHeight="1">
      <c r="B389" s="626" t="s">
        <v>120</v>
      </c>
      <c r="C389" s="627"/>
      <c r="D389" s="2" t="s">
        <v>243</v>
      </c>
      <c r="I389" s="211"/>
      <c r="J389" s="230" t="s">
        <v>173</v>
      </c>
      <c r="K389" s="211" t="s">
        <v>137</v>
      </c>
      <c r="L389" s="231"/>
      <c r="M389" s="75"/>
    </row>
    <row r="390" spans="2:13" ht="18" customHeight="1">
      <c r="B390" s="626" t="s">
        <v>121</v>
      </c>
      <c r="C390" s="627"/>
      <c r="D390" s="3" t="s">
        <v>242</v>
      </c>
      <c r="J390" s="232" t="s">
        <v>125</v>
      </c>
      <c r="K390" s="239" t="s">
        <v>175</v>
      </c>
      <c r="L390" s="233"/>
      <c r="M390" s="75"/>
    </row>
    <row r="391" spans="2:13" ht="9.9499999999999993" customHeight="1">
      <c r="B391" s="73"/>
      <c r="M391" s="75"/>
    </row>
    <row r="392" spans="2:13" ht="20.100000000000001" customHeight="1">
      <c r="B392" s="73"/>
      <c r="C392" s="628" t="s">
        <v>60</v>
      </c>
      <c r="D392" s="213" t="s">
        <v>3</v>
      </c>
      <c r="E392" s="256">
        <v>43577</v>
      </c>
      <c r="F392" s="256">
        <v>43578</v>
      </c>
      <c r="G392" s="256">
        <v>43579</v>
      </c>
      <c r="H392" s="256">
        <v>43580</v>
      </c>
      <c r="I392" s="256">
        <v>43581</v>
      </c>
      <c r="J392" s="257">
        <v>43582</v>
      </c>
      <c r="K392" s="257">
        <v>43583</v>
      </c>
      <c r="L392" s="645" t="s">
        <v>63</v>
      </c>
      <c r="M392" s="75"/>
    </row>
    <row r="393" spans="2:13" ht="20.100000000000001" customHeight="1">
      <c r="B393" s="73"/>
      <c r="C393" s="629"/>
      <c r="D393" s="213" t="s">
        <v>2</v>
      </c>
      <c r="E393" s="213" t="s">
        <v>4</v>
      </c>
      <c r="F393" s="213" t="s">
        <v>23</v>
      </c>
      <c r="G393" s="213" t="s">
        <v>29</v>
      </c>
      <c r="H393" s="213" t="s">
        <v>30</v>
      </c>
      <c r="I393" s="213" t="s">
        <v>59</v>
      </c>
      <c r="J393" s="258" t="s">
        <v>40</v>
      </c>
      <c r="K393" s="258" t="s">
        <v>43</v>
      </c>
      <c r="L393" s="646"/>
      <c r="M393" s="75"/>
    </row>
    <row r="394" spans="2:13" ht="18" customHeight="1">
      <c r="B394" s="79"/>
      <c r="C394" s="560" t="s">
        <v>163</v>
      </c>
      <c r="D394" s="217" t="s">
        <v>134</v>
      </c>
      <c r="E394" s="208" t="s">
        <v>81</v>
      </c>
      <c r="F394" s="208" t="s">
        <v>81</v>
      </c>
      <c r="G394" s="208" t="s">
        <v>81</v>
      </c>
      <c r="H394" s="208" t="s">
        <v>81</v>
      </c>
      <c r="I394" s="208" t="s">
        <v>81</v>
      </c>
      <c r="J394" s="259" t="s">
        <v>13</v>
      </c>
      <c r="K394" s="259" t="s">
        <v>13</v>
      </c>
      <c r="L394" s="636">
        <f>SUM(E395:K395)</f>
        <v>4250000</v>
      </c>
      <c r="M394" s="80"/>
    </row>
    <row r="395" spans="2:13" ht="18" customHeight="1">
      <c r="B395" s="81"/>
      <c r="C395" s="561"/>
      <c r="D395" s="219" t="s">
        <v>135</v>
      </c>
      <c r="E395" s="220">
        <v>850000</v>
      </c>
      <c r="F395" s="220">
        <v>850000</v>
      </c>
      <c r="G395" s="220">
        <v>850000</v>
      </c>
      <c r="H395" s="220">
        <v>850000</v>
      </c>
      <c r="I395" s="220">
        <v>850000</v>
      </c>
      <c r="J395" s="260" t="s">
        <v>13</v>
      </c>
      <c r="K395" s="260" t="s">
        <v>13</v>
      </c>
      <c r="L395" s="637"/>
      <c r="M395" s="82"/>
    </row>
    <row r="396" spans="2:13" ht="24.95" customHeight="1">
      <c r="B396" s="73"/>
      <c r="D396" s="206"/>
      <c r="E396" s="268"/>
      <c r="F396" s="268"/>
      <c r="G396" s="207"/>
      <c r="H396" s="207"/>
      <c r="I396" s="647" t="s">
        <v>118</v>
      </c>
      <c r="J396" s="647"/>
      <c r="K396" s="648">
        <f>SUM(L394:L395)</f>
        <v>4250000</v>
      </c>
      <c r="L396" s="648"/>
      <c r="M396" s="75"/>
    </row>
    <row r="397" spans="2:13" ht="24.95" customHeight="1">
      <c r="B397" s="73"/>
      <c r="D397" s="206"/>
      <c r="E397" s="268"/>
      <c r="F397" s="268"/>
      <c r="G397" s="207"/>
      <c r="H397" s="207"/>
      <c r="I397" s="251"/>
      <c r="J397" s="251"/>
      <c r="K397" s="252"/>
      <c r="L397" s="252"/>
      <c r="M397" s="75"/>
    </row>
    <row r="398" spans="2:13" ht="20.100000000000001" customHeight="1">
      <c r="B398" s="73"/>
      <c r="C398" s="634" t="s">
        <v>61</v>
      </c>
      <c r="D398" s="213" t="s">
        <v>3</v>
      </c>
      <c r="E398" s="256">
        <v>43577</v>
      </c>
      <c r="F398" s="256">
        <v>43578</v>
      </c>
      <c r="G398" s="256">
        <v>43579</v>
      </c>
      <c r="H398" s="256">
        <v>43580</v>
      </c>
      <c r="I398" s="256">
        <v>43581</v>
      </c>
      <c r="J398" s="257">
        <v>43582</v>
      </c>
      <c r="K398" s="257">
        <v>43583</v>
      </c>
      <c r="L398" s="645" t="s">
        <v>63</v>
      </c>
      <c r="M398" s="75"/>
    </row>
    <row r="399" spans="2:13" ht="20.100000000000001" customHeight="1">
      <c r="B399" s="73"/>
      <c r="C399" s="635"/>
      <c r="D399" s="213" t="s">
        <v>2</v>
      </c>
      <c r="E399" s="213" t="s">
        <v>4</v>
      </c>
      <c r="F399" s="213" t="s">
        <v>23</v>
      </c>
      <c r="G399" s="213" t="s">
        <v>29</v>
      </c>
      <c r="H399" s="213" t="s">
        <v>30</v>
      </c>
      <c r="I399" s="213" t="s">
        <v>59</v>
      </c>
      <c r="J399" s="258" t="s">
        <v>40</v>
      </c>
      <c r="K399" s="258" t="s">
        <v>43</v>
      </c>
      <c r="L399" s="646"/>
      <c r="M399" s="75"/>
    </row>
    <row r="400" spans="2:13" ht="18" customHeight="1">
      <c r="B400" s="79"/>
      <c r="C400" s="560" t="s">
        <v>70</v>
      </c>
      <c r="D400" s="217" t="s">
        <v>134</v>
      </c>
      <c r="E400" s="208" t="s">
        <v>81</v>
      </c>
      <c r="F400" s="208" t="s">
        <v>81</v>
      </c>
      <c r="G400" s="208" t="s">
        <v>81</v>
      </c>
      <c r="H400" s="208" t="s">
        <v>81</v>
      </c>
      <c r="I400" s="208" t="s">
        <v>81</v>
      </c>
      <c r="J400" s="259" t="s">
        <v>13</v>
      </c>
      <c r="K400" s="259" t="s">
        <v>13</v>
      </c>
      <c r="L400" s="636">
        <f>SUM(E401:K401)</f>
        <v>4250000</v>
      </c>
      <c r="M400" s="80"/>
    </row>
    <row r="401" spans="2:15" ht="18" customHeight="1">
      <c r="B401" s="81"/>
      <c r="C401" s="561"/>
      <c r="D401" s="219" t="s">
        <v>135</v>
      </c>
      <c r="E401" s="220">
        <v>850000</v>
      </c>
      <c r="F401" s="220">
        <v>850000</v>
      </c>
      <c r="G401" s="220">
        <v>850000</v>
      </c>
      <c r="H401" s="220">
        <v>850000</v>
      </c>
      <c r="I401" s="220">
        <v>850000</v>
      </c>
      <c r="J401" s="260" t="s">
        <v>13</v>
      </c>
      <c r="K401" s="260" t="s">
        <v>13</v>
      </c>
      <c r="L401" s="637"/>
      <c r="M401" s="82"/>
    </row>
    <row r="402" spans="2:15" ht="24.95" customHeight="1">
      <c r="B402" s="73"/>
      <c r="F402" s="209"/>
      <c r="I402" s="638" t="s">
        <v>117</v>
      </c>
      <c r="J402" s="638"/>
      <c r="K402" s="639">
        <f>+L400</f>
        <v>4250000</v>
      </c>
      <c r="L402" s="639"/>
      <c r="M402" s="75"/>
      <c r="O402" s="261"/>
    </row>
    <row r="403" spans="2:15" ht="24.95" customHeight="1">
      <c r="B403" s="73"/>
      <c r="F403" s="209"/>
      <c r="I403" s="212"/>
      <c r="J403" s="212"/>
      <c r="K403" s="253"/>
      <c r="L403" s="253"/>
      <c r="M403" s="75"/>
    </row>
    <row r="404" spans="2:15" ht="24.95" customHeight="1">
      <c r="B404" s="73"/>
      <c r="C404" s="640" t="s">
        <v>136</v>
      </c>
      <c r="D404" s="640"/>
      <c r="E404" s="2"/>
      <c r="I404" s="611" t="s">
        <v>116</v>
      </c>
      <c r="J404" s="611"/>
      <c r="K404" s="612">
        <f>+K402+K396</f>
        <v>8500000</v>
      </c>
      <c r="L404" s="612"/>
      <c r="M404" s="75"/>
      <c r="O404" s="261">
        <f>+SUM(E395:K395)+SUM(E401:K401)</f>
        <v>8500000</v>
      </c>
    </row>
    <row r="405" spans="2:15" ht="9.9499999999999993" customHeight="1">
      <c r="B405" s="73"/>
      <c r="C405" s="641"/>
      <c r="D405" s="641"/>
      <c r="E405" s="2"/>
      <c r="F405" s="225"/>
      <c r="G405" s="225"/>
      <c r="M405" s="75"/>
    </row>
    <row r="406" spans="2:15" ht="15" customHeight="1">
      <c r="B406" s="73"/>
      <c r="C406" s="642" t="s">
        <v>132</v>
      </c>
      <c r="D406" s="1" t="s">
        <v>133</v>
      </c>
      <c r="E406" s="2"/>
      <c r="F406" s="225"/>
      <c r="G406" s="225"/>
      <c r="I406" s="234" t="s">
        <v>131</v>
      </c>
      <c r="J406" s="234" t="s">
        <v>130</v>
      </c>
      <c r="K406" s="234" t="s">
        <v>129</v>
      </c>
      <c r="L406" s="234" t="s">
        <v>128</v>
      </c>
      <c r="M406" s="75"/>
    </row>
    <row r="407" spans="2:15" ht="30" customHeight="1">
      <c r="B407" s="73"/>
      <c r="C407" s="643"/>
      <c r="D407" s="114"/>
      <c r="E407" s="2"/>
      <c r="F407" s="225"/>
      <c r="G407" s="225"/>
      <c r="I407" s="235"/>
      <c r="J407" s="234"/>
      <c r="K407" s="234"/>
      <c r="L407" s="234"/>
      <c r="M407" s="75"/>
    </row>
    <row r="408" spans="2:15" ht="15" customHeight="1">
      <c r="B408" s="73"/>
      <c r="C408" s="644"/>
      <c r="D408" s="114"/>
      <c r="F408" s="226"/>
      <c r="G408" s="226"/>
      <c r="I408" s="236" t="s">
        <v>114</v>
      </c>
      <c r="J408" s="237" t="s">
        <v>113</v>
      </c>
      <c r="K408" s="238" t="s">
        <v>112</v>
      </c>
      <c r="L408" s="234" t="s">
        <v>16</v>
      </c>
      <c r="M408" s="75"/>
    </row>
    <row r="409" spans="2:15" ht="20.100000000000001" customHeight="1" thickBot="1">
      <c r="B409" s="83"/>
      <c r="C409" s="84"/>
      <c r="D409" s="84"/>
      <c r="E409" s="85"/>
      <c r="F409" s="85"/>
      <c r="G409" s="85"/>
      <c r="H409" s="85"/>
      <c r="I409" s="85"/>
      <c r="J409" s="85"/>
      <c r="K409" s="85"/>
      <c r="L409" s="84"/>
      <c r="M409" s="86"/>
    </row>
    <row r="410" spans="2:15" s="273" customFormat="1" ht="9" customHeight="1" thickTop="1" thickBot="1">
      <c r="E410" s="274"/>
      <c r="F410" s="274"/>
      <c r="G410" s="274"/>
      <c r="H410" s="274"/>
      <c r="I410" s="274"/>
      <c r="J410" s="274"/>
      <c r="K410" s="274"/>
    </row>
    <row r="411" spans="2:15" ht="18" customHeight="1" thickTop="1">
      <c r="B411" s="210" t="s">
        <v>138</v>
      </c>
      <c r="C411" s="203"/>
      <c r="D411" s="203"/>
      <c r="E411" s="204"/>
      <c r="F411" s="204"/>
      <c r="G411" s="204"/>
      <c r="H411" s="204"/>
      <c r="I411" s="204"/>
      <c r="J411" s="204"/>
      <c r="K411" s="204"/>
      <c r="L411" s="203"/>
      <c r="M411" s="205"/>
    </row>
    <row r="412" spans="2:15" ht="18" customHeight="1">
      <c r="B412" s="632" t="s">
        <v>119</v>
      </c>
      <c r="C412" s="633"/>
      <c r="D412" s="76" t="s">
        <v>244</v>
      </c>
      <c r="E412" s="2"/>
      <c r="F412" s="2"/>
      <c r="H412" s="224"/>
      <c r="I412" s="224"/>
      <c r="J412" s="227" t="s">
        <v>124</v>
      </c>
      <c r="K412" s="228" t="s">
        <v>126</v>
      </c>
      <c r="L412" s="229"/>
      <c r="M412" s="75"/>
    </row>
    <row r="413" spans="2:15" ht="18" customHeight="1">
      <c r="B413" s="626" t="s">
        <v>120</v>
      </c>
      <c r="C413" s="627"/>
      <c r="D413" s="2" t="s">
        <v>245</v>
      </c>
      <c r="I413" s="211"/>
      <c r="J413" s="230" t="s">
        <v>173</v>
      </c>
      <c r="K413" s="211" t="s">
        <v>137</v>
      </c>
      <c r="L413" s="231"/>
      <c r="M413" s="75"/>
    </row>
    <row r="414" spans="2:15" ht="18" customHeight="1">
      <c r="B414" s="626" t="s">
        <v>121</v>
      </c>
      <c r="C414" s="627"/>
      <c r="D414" s="3" t="s">
        <v>246</v>
      </c>
      <c r="J414" s="232" t="s">
        <v>125</v>
      </c>
      <c r="K414" s="239" t="s">
        <v>175</v>
      </c>
      <c r="L414" s="233"/>
      <c r="M414" s="75"/>
    </row>
    <row r="415" spans="2:15" ht="9.9499999999999993" customHeight="1">
      <c r="B415" s="73"/>
      <c r="M415" s="75"/>
    </row>
    <row r="416" spans="2:15" ht="20.100000000000001" customHeight="1">
      <c r="B416" s="73"/>
      <c r="C416" s="628" t="s">
        <v>60</v>
      </c>
      <c r="D416" s="213" t="s">
        <v>3</v>
      </c>
      <c r="E416" s="256">
        <v>43584</v>
      </c>
      <c r="F416" s="256">
        <v>43585</v>
      </c>
      <c r="G416" s="257">
        <v>43586</v>
      </c>
      <c r="H416" s="256">
        <v>43587</v>
      </c>
      <c r="I416" s="256">
        <v>43588</v>
      </c>
      <c r="J416" s="257">
        <v>43589</v>
      </c>
      <c r="K416" s="257">
        <v>43590</v>
      </c>
      <c r="L416" s="645" t="s">
        <v>63</v>
      </c>
      <c r="M416" s="75"/>
    </row>
    <row r="417" spans="2:15" ht="20.100000000000001" customHeight="1">
      <c r="B417" s="73"/>
      <c r="C417" s="629"/>
      <c r="D417" s="213" t="s">
        <v>2</v>
      </c>
      <c r="E417" s="213" t="s">
        <v>4</v>
      </c>
      <c r="F417" s="213" t="s">
        <v>23</v>
      </c>
      <c r="G417" s="258" t="s">
        <v>29</v>
      </c>
      <c r="H417" s="213" t="s">
        <v>30</v>
      </c>
      <c r="I417" s="213" t="s">
        <v>59</v>
      </c>
      <c r="J417" s="258" t="s">
        <v>40</v>
      </c>
      <c r="K417" s="258" t="s">
        <v>43</v>
      </c>
      <c r="L417" s="646"/>
      <c r="M417" s="75"/>
    </row>
    <row r="418" spans="2:15" ht="18" customHeight="1">
      <c r="B418" s="79"/>
      <c r="C418" s="560" t="s">
        <v>163</v>
      </c>
      <c r="D418" s="217" t="s">
        <v>134</v>
      </c>
      <c r="E418" s="208" t="s">
        <v>81</v>
      </c>
      <c r="F418" s="208" t="s">
        <v>81</v>
      </c>
      <c r="G418" s="259" t="s">
        <v>13</v>
      </c>
      <c r="H418" s="208" t="s">
        <v>81</v>
      </c>
      <c r="I418" s="208" t="s">
        <v>81</v>
      </c>
      <c r="J418" s="259" t="s">
        <v>13</v>
      </c>
      <c r="K418" s="259" t="s">
        <v>13</v>
      </c>
      <c r="L418" s="636">
        <f>SUM(E419:K419)</f>
        <v>3400000</v>
      </c>
      <c r="M418" s="80"/>
    </row>
    <row r="419" spans="2:15" ht="18" customHeight="1">
      <c r="B419" s="81"/>
      <c r="C419" s="561"/>
      <c r="D419" s="219" t="s">
        <v>135</v>
      </c>
      <c r="E419" s="220">
        <v>850000</v>
      </c>
      <c r="F419" s="220">
        <v>850000</v>
      </c>
      <c r="G419" s="260" t="s">
        <v>13</v>
      </c>
      <c r="H419" s="220">
        <v>850000</v>
      </c>
      <c r="I419" s="220">
        <v>850000</v>
      </c>
      <c r="J419" s="260" t="s">
        <v>13</v>
      </c>
      <c r="K419" s="260" t="s">
        <v>13</v>
      </c>
      <c r="L419" s="637"/>
      <c r="M419" s="82"/>
    </row>
    <row r="420" spans="2:15" ht="24.95" customHeight="1">
      <c r="B420" s="73"/>
      <c r="D420" s="206"/>
      <c r="E420" s="268"/>
      <c r="F420" s="268"/>
      <c r="G420" s="207"/>
      <c r="H420" s="207"/>
      <c r="I420" s="647" t="s">
        <v>118</v>
      </c>
      <c r="J420" s="647"/>
      <c r="K420" s="648">
        <f>SUM(L418:L419)</f>
        <v>3400000</v>
      </c>
      <c r="L420" s="648"/>
      <c r="M420" s="75"/>
    </row>
    <row r="421" spans="2:15" ht="24.95" customHeight="1">
      <c r="B421" s="73"/>
      <c r="D421" s="206"/>
      <c r="E421" s="268"/>
      <c r="F421" s="268"/>
      <c r="G421" s="207"/>
      <c r="H421" s="207"/>
      <c r="I421" s="251"/>
      <c r="J421" s="251"/>
      <c r="K421" s="252"/>
      <c r="L421" s="252"/>
      <c r="M421" s="75"/>
    </row>
    <row r="422" spans="2:15" ht="20.100000000000001" customHeight="1">
      <c r="B422" s="73"/>
      <c r="C422" s="634" t="s">
        <v>61</v>
      </c>
      <c r="D422" s="213" t="s">
        <v>3</v>
      </c>
      <c r="E422" s="256">
        <v>43584</v>
      </c>
      <c r="F422" s="256">
        <v>43585</v>
      </c>
      <c r="G422" s="257">
        <v>43586</v>
      </c>
      <c r="H422" s="256">
        <v>43587</v>
      </c>
      <c r="I422" s="256">
        <v>43588</v>
      </c>
      <c r="J422" s="257">
        <v>43589</v>
      </c>
      <c r="K422" s="257">
        <v>43590</v>
      </c>
      <c r="L422" s="645" t="s">
        <v>63</v>
      </c>
      <c r="M422" s="75"/>
    </row>
    <row r="423" spans="2:15" ht="20.100000000000001" customHeight="1">
      <c r="B423" s="73"/>
      <c r="C423" s="635"/>
      <c r="D423" s="213" t="s">
        <v>2</v>
      </c>
      <c r="E423" s="213" t="s">
        <v>4</v>
      </c>
      <c r="F423" s="213" t="s">
        <v>23</v>
      </c>
      <c r="G423" s="258" t="s">
        <v>29</v>
      </c>
      <c r="H423" s="213" t="s">
        <v>30</v>
      </c>
      <c r="I423" s="213" t="s">
        <v>59</v>
      </c>
      <c r="J423" s="258" t="s">
        <v>40</v>
      </c>
      <c r="K423" s="258" t="s">
        <v>43</v>
      </c>
      <c r="L423" s="646"/>
      <c r="M423" s="75"/>
    </row>
    <row r="424" spans="2:15" ht="18" customHeight="1">
      <c r="B424" s="79"/>
      <c r="C424" s="560" t="s">
        <v>70</v>
      </c>
      <c r="D424" s="217" t="s">
        <v>134</v>
      </c>
      <c r="E424" s="208" t="s">
        <v>81</v>
      </c>
      <c r="F424" s="208" t="s">
        <v>81</v>
      </c>
      <c r="G424" s="259" t="s">
        <v>13</v>
      </c>
      <c r="H424" s="208" t="s">
        <v>81</v>
      </c>
      <c r="I424" s="208" t="s">
        <v>81</v>
      </c>
      <c r="J424" s="259" t="s">
        <v>13</v>
      </c>
      <c r="K424" s="259" t="s">
        <v>13</v>
      </c>
      <c r="L424" s="636">
        <f>SUM(E425:K425)</f>
        <v>3400000</v>
      </c>
      <c r="M424" s="80"/>
    </row>
    <row r="425" spans="2:15" ht="18" customHeight="1">
      <c r="B425" s="81"/>
      <c r="C425" s="561"/>
      <c r="D425" s="219" t="s">
        <v>135</v>
      </c>
      <c r="E425" s="220">
        <v>850000</v>
      </c>
      <c r="F425" s="220">
        <v>850000</v>
      </c>
      <c r="G425" s="260" t="s">
        <v>13</v>
      </c>
      <c r="H425" s="220">
        <v>850000</v>
      </c>
      <c r="I425" s="220">
        <v>850000</v>
      </c>
      <c r="J425" s="260" t="s">
        <v>13</v>
      </c>
      <c r="K425" s="260" t="s">
        <v>13</v>
      </c>
      <c r="L425" s="637"/>
      <c r="M425" s="82"/>
    </row>
    <row r="426" spans="2:15" ht="24.95" customHeight="1">
      <c r="B426" s="73"/>
      <c r="F426" s="209"/>
      <c r="I426" s="638" t="s">
        <v>117</v>
      </c>
      <c r="J426" s="638"/>
      <c r="K426" s="639">
        <f>+L424</f>
        <v>3400000</v>
      </c>
      <c r="L426" s="639"/>
      <c r="M426" s="75"/>
      <c r="O426" s="261"/>
    </row>
    <row r="427" spans="2:15" ht="24.95" customHeight="1">
      <c r="B427" s="73"/>
      <c r="F427" s="209"/>
      <c r="I427" s="212"/>
      <c r="J427" s="212"/>
      <c r="K427" s="253"/>
      <c r="L427" s="253"/>
      <c r="M427" s="75"/>
    </row>
    <row r="428" spans="2:15" ht="24.95" customHeight="1">
      <c r="B428" s="73"/>
      <c r="C428" s="640" t="s">
        <v>136</v>
      </c>
      <c r="D428" s="640"/>
      <c r="E428" s="2"/>
      <c r="I428" s="611" t="s">
        <v>116</v>
      </c>
      <c r="J428" s="611"/>
      <c r="K428" s="612">
        <f>+K426+K420</f>
        <v>6800000</v>
      </c>
      <c r="L428" s="612"/>
      <c r="M428" s="75"/>
      <c r="O428" s="261">
        <f>+SUM(E419:K419)+SUM(E425:K425)</f>
        <v>6800000</v>
      </c>
    </row>
    <row r="429" spans="2:15" ht="9.9499999999999993" customHeight="1">
      <c r="B429" s="73"/>
      <c r="C429" s="641"/>
      <c r="D429" s="641"/>
      <c r="E429" s="2"/>
      <c r="F429" s="225"/>
      <c r="G429" s="225"/>
      <c r="M429" s="75"/>
    </row>
    <row r="430" spans="2:15" ht="15" customHeight="1">
      <c r="B430" s="73"/>
      <c r="C430" s="642" t="s">
        <v>132</v>
      </c>
      <c r="D430" s="1" t="s">
        <v>133</v>
      </c>
      <c r="E430" s="2"/>
      <c r="F430" s="225"/>
      <c r="G430" s="225"/>
      <c r="I430" s="234" t="s">
        <v>131</v>
      </c>
      <c r="J430" s="234" t="s">
        <v>130</v>
      </c>
      <c r="K430" s="234" t="s">
        <v>129</v>
      </c>
      <c r="L430" s="234" t="s">
        <v>128</v>
      </c>
      <c r="M430" s="75"/>
    </row>
    <row r="431" spans="2:15" ht="30" customHeight="1">
      <c r="B431" s="73"/>
      <c r="C431" s="643"/>
      <c r="D431" s="114"/>
      <c r="E431" s="2"/>
      <c r="F431" s="225"/>
      <c r="G431" s="225"/>
      <c r="I431" s="235"/>
      <c r="J431" s="234"/>
      <c r="K431" s="234"/>
      <c r="L431" s="234"/>
      <c r="M431" s="75"/>
    </row>
    <row r="432" spans="2:15" ht="15" customHeight="1">
      <c r="B432" s="73"/>
      <c r="C432" s="644"/>
      <c r="D432" s="114"/>
      <c r="F432" s="226"/>
      <c r="G432" s="226"/>
      <c r="I432" s="236" t="s">
        <v>114</v>
      </c>
      <c r="J432" s="237" t="s">
        <v>113</v>
      </c>
      <c r="K432" s="238" t="s">
        <v>112</v>
      </c>
      <c r="L432" s="234" t="s">
        <v>16</v>
      </c>
      <c r="M432" s="75"/>
    </row>
    <row r="433" spans="2:13" ht="20.100000000000001" customHeight="1" thickBot="1">
      <c r="B433" s="83"/>
      <c r="C433" s="84"/>
      <c r="D433" s="84"/>
      <c r="E433" s="85"/>
      <c r="F433" s="85"/>
      <c r="G433" s="85"/>
      <c r="H433" s="85"/>
      <c r="I433" s="85"/>
      <c r="J433" s="85"/>
      <c r="K433" s="85"/>
      <c r="L433" s="84"/>
      <c r="M433" s="86"/>
    </row>
    <row r="434" spans="2:13" s="273" customFormat="1" ht="9" customHeight="1" thickTop="1" thickBot="1">
      <c r="E434" s="274"/>
      <c r="F434" s="274"/>
      <c r="G434" s="274"/>
      <c r="H434" s="274"/>
      <c r="I434" s="274"/>
      <c r="J434" s="274"/>
      <c r="K434" s="274"/>
    </row>
    <row r="435" spans="2:13" ht="18" customHeight="1" thickTop="1">
      <c r="B435" s="210" t="s">
        <v>138</v>
      </c>
      <c r="C435" s="203"/>
      <c r="D435" s="203"/>
      <c r="E435" s="204"/>
      <c r="F435" s="204"/>
      <c r="G435" s="204"/>
      <c r="H435" s="204"/>
      <c r="I435" s="204"/>
      <c r="J435" s="204"/>
      <c r="K435" s="204"/>
      <c r="L435" s="203"/>
      <c r="M435" s="205"/>
    </row>
    <row r="436" spans="2:13" ht="18" customHeight="1">
      <c r="B436" s="632" t="s">
        <v>119</v>
      </c>
      <c r="C436" s="633"/>
      <c r="D436" s="76" t="s">
        <v>244</v>
      </c>
      <c r="E436" s="2"/>
      <c r="F436" s="2"/>
      <c r="H436" s="224"/>
      <c r="I436" s="224"/>
      <c r="J436" s="227" t="s">
        <v>124</v>
      </c>
      <c r="K436" s="228" t="s">
        <v>126</v>
      </c>
      <c r="L436" s="229"/>
      <c r="M436" s="75"/>
    </row>
    <row r="437" spans="2:13" ht="18" customHeight="1">
      <c r="B437" s="626" t="s">
        <v>120</v>
      </c>
      <c r="C437" s="627"/>
      <c r="D437" s="2" t="s">
        <v>247</v>
      </c>
      <c r="I437" s="211"/>
      <c r="J437" s="230" t="s">
        <v>173</v>
      </c>
      <c r="K437" s="211" t="s">
        <v>137</v>
      </c>
      <c r="L437" s="231"/>
      <c r="M437" s="75"/>
    </row>
    <row r="438" spans="2:13" ht="18" customHeight="1">
      <c r="B438" s="626" t="s">
        <v>121</v>
      </c>
      <c r="C438" s="627"/>
      <c r="D438" s="3" t="s">
        <v>249</v>
      </c>
      <c r="J438" s="232" t="s">
        <v>125</v>
      </c>
      <c r="K438" s="239" t="s">
        <v>175</v>
      </c>
      <c r="L438" s="233"/>
      <c r="M438" s="75"/>
    </row>
    <row r="439" spans="2:13" ht="9.9499999999999993" customHeight="1">
      <c r="B439" s="73"/>
      <c r="M439" s="75"/>
    </row>
    <row r="440" spans="2:13" ht="20.100000000000001" customHeight="1">
      <c r="B440" s="73"/>
      <c r="C440" s="628" t="s">
        <v>60</v>
      </c>
      <c r="D440" s="213" t="s">
        <v>3</v>
      </c>
      <c r="E440" s="256">
        <v>43591</v>
      </c>
      <c r="F440" s="256">
        <v>43592</v>
      </c>
      <c r="G440" s="256">
        <v>43593</v>
      </c>
      <c r="H440" s="256">
        <v>43594</v>
      </c>
      <c r="I440" s="256">
        <v>43595</v>
      </c>
      <c r="J440" s="257">
        <v>43596</v>
      </c>
      <c r="K440" s="257">
        <v>43597</v>
      </c>
      <c r="L440" s="645" t="s">
        <v>63</v>
      </c>
      <c r="M440" s="75"/>
    </row>
    <row r="441" spans="2:13" ht="20.100000000000001" customHeight="1">
      <c r="B441" s="73"/>
      <c r="C441" s="629"/>
      <c r="D441" s="213" t="s">
        <v>2</v>
      </c>
      <c r="E441" s="213" t="s">
        <v>4</v>
      </c>
      <c r="F441" s="213" t="s">
        <v>23</v>
      </c>
      <c r="G441" s="213" t="s">
        <v>29</v>
      </c>
      <c r="H441" s="213" t="s">
        <v>30</v>
      </c>
      <c r="I441" s="213" t="s">
        <v>59</v>
      </c>
      <c r="J441" s="258" t="s">
        <v>40</v>
      </c>
      <c r="K441" s="258" t="s">
        <v>43</v>
      </c>
      <c r="L441" s="646"/>
      <c r="M441" s="75"/>
    </row>
    <row r="442" spans="2:13" ht="18" customHeight="1">
      <c r="B442" s="79"/>
      <c r="C442" s="560" t="s">
        <v>163</v>
      </c>
      <c r="D442" s="217" t="s">
        <v>134</v>
      </c>
      <c r="E442" s="208" t="s">
        <v>81</v>
      </c>
      <c r="F442" s="208" t="s">
        <v>81</v>
      </c>
      <c r="G442" s="208" t="s">
        <v>81</v>
      </c>
      <c r="H442" s="208" t="s">
        <v>81</v>
      </c>
      <c r="I442" s="208" t="s">
        <v>81</v>
      </c>
      <c r="J442" s="259" t="s">
        <v>13</v>
      </c>
      <c r="K442" s="259" t="s">
        <v>13</v>
      </c>
      <c r="L442" s="636">
        <f>SUM(E443:K443)</f>
        <v>4250000</v>
      </c>
      <c r="M442" s="80"/>
    </row>
    <row r="443" spans="2:13" ht="18" customHeight="1">
      <c r="B443" s="81"/>
      <c r="C443" s="561"/>
      <c r="D443" s="219" t="s">
        <v>135</v>
      </c>
      <c r="E443" s="220">
        <v>850000</v>
      </c>
      <c r="F443" s="220">
        <v>850000</v>
      </c>
      <c r="G443" s="220">
        <v>850000</v>
      </c>
      <c r="H443" s="220">
        <v>850000</v>
      </c>
      <c r="I443" s="220">
        <v>850000</v>
      </c>
      <c r="J443" s="260" t="s">
        <v>13</v>
      </c>
      <c r="K443" s="260" t="s">
        <v>13</v>
      </c>
      <c r="L443" s="637"/>
      <c r="M443" s="82"/>
    </row>
    <row r="444" spans="2:13" ht="24.95" customHeight="1">
      <c r="B444" s="73"/>
      <c r="D444" s="206"/>
      <c r="E444" s="268"/>
      <c r="F444" s="268"/>
      <c r="G444" s="207"/>
      <c r="H444" s="207"/>
      <c r="I444" s="647" t="s">
        <v>118</v>
      </c>
      <c r="J444" s="647"/>
      <c r="K444" s="648">
        <f>SUM(L442:L443)</f>
        <v>4250000</v>
      </c>
      <c r="L444" s="648"/>
      <c r="M444" s="75"/>
    </row>
    <row r="445" spans="2:13" ht="24.95" customHeight="1">
      <c r="B445" s="73"/>
      <c r="D445" s="206"/>
      <c r="E445" s="268"/>
      <c r="F445" s="268"/>
      <c r="G445" s="207"/>
      <c r="H445" s="207"/>
      <c r="I445" s="251"/>
      <c r="J445" s="251"/>
      <c r="K445" s="252"/>
      <c r="L445" s="252"/>
      <c r="M445" s="75"/>
    </row>
    <row r="446" spans="2:13" ht="20.100000000000001" customHeight="1">
      <c r="B446" s="73"/>
      <c r="C446" s="634" t="s">
        <v>61</v>
      </c>
      <c r="D446" s="213" t="s">
        <v>3</v>
      </c>
      <c r="E446" s="256">
        <v>43591</v>
      </c>
      <c r="F446" s="256">
        <v>43592</v>
      </c>
      <c r="G446" s="256">
        <v>43593</v>
      </c>
      <c r="H446" s="256">
        <v>43594</v>
      </c>
      <c r="I446" s="256">
        <v>43595</v>
      </c>
      <c r="J446" s="257">
        <v>43596</v>
      </c>
      <c r="K446" s="257">
        <v>43597</v>
      </c>
      <c r="L446" s="645" t="s">
        <v>63</v>
      </c>
      <c r="M446" s="75"/>
    </row>
    <row r="447" spans="2:13" ht="20.100000000000001" customHeight="1">
      <c r="B447" s="73"/>
      <c r="C447" s="635"/>
      <c r="D447" s="213" t="s">
        <v>2</v>
      </c>
      <c r="E447" s="213" t="s">
        <v>4</v>
      </c>
      <c r="F447" s="213" t="s">
        <v>23</v>
      </c>
      <c r="G447" s="213" t="s">
        <v>29</v>
      </c>
      <c r="H447" s="213" t="s">
        <v>30</v>
      </c>
      <c r="I447" s="213" t="s">
        <v>59</v>
      </c>
      <c r="J447" s="258" t="s">
        <v>40</v>
      </c>
      <c r="K447" s="258" t="s">
        <v>43</v>
      </c>
      <c r="L447" s="646"/>
      <c r="M447" s="75"/>
    </row>
    <row r="448" spans="2:13" ht="18" customHeight="1">
      <c r="B448" s="79"/>
      <c r="C448" s="560" t="s">
        <v>70</v>
      </c>
      <c r="D448" s="217" t="s">
        <v>134</v>
      </c>
      <c r="E448" s="208" t="s">
        <v>81</v>
      </c>
      <c r="F448" s="208" t="s">
        <v>81</v>
      </c>
      <c r="G448" s="208" t="s">
        <v>81</v>
      </c>
      <c r="H448" s="208" t="s">
        <v>81</v>
      </c>
      <c r="I448" s="208" t="s">
        <v>81</v>
      </c>
      <c r="J448" s="259" t="s">
        <v>13</v>
      </c>
      <c r="K448" s="259" t="s">
        <v>13</v>
      </c>
      <c r="L448" s="636">
        <f>SUM(E449:K449)</f>
        <v>4250000</v>
      </c>
      <c r="M448" s="80"/>
    </row>
    <row r="449" spans="2:15" ht="18" customHeight="1">
      <c r="B449" s="81"/>
      <c r="C449" s="561"/>
      <c r="D449" s="219" t="s">
        <v>135</v>
      </c>
      <c r="E449" s="220">
        <v>850000</v>
      </c>
      <c r="F449" s="220">
        <v>850000</v>
      </c>
      <c r="G449" s="220">
        <v>850000</v>
      </c>
      <c r="H449" s="220">
        <v>850000</v>
      </c>
      <c r="I449" s="220">
        <v>850000</v>
      </c>
      <c r="J449" s="260" t="s">
        <v>13</v>
      </c>
      <c r="K449" s="260" t="s">
        <v>13</v>
      </c>
      <c r="L449" s="637"/>
      <c r="M449" s="82"/>
    </row>
    <row r="450" spans="2:15" ht="24.95" customHeight="1">
      <c r="B450" s="73"/>
      <c r="F450" s="209"/>
      <c r="I450" s="638" t="s">
        <v>117</v>
      </c>
      <c r="J450" s="638"/>
      <c r="K450" s="639">
        <f>+L448</f>
        <v>4250000</v>
      </c>
      <c r="L450" s="639"/>
      <c r="M450" s="75"/>
      <c r="O450" s="261"/>
    </row>
    <row r="451" spans="2:15" ht="24.95" customHeight="1">
      <c r="B451" s="73"/>
      <c r="F451" s="209"/>
      <c r="I451" s="212"/>
      <c r="J451" s="212"/>
      <c r="K451" s="253"/>
      <c r="L451" s="253"/>
      <c r="M451" s="75"/>
    </row>
    <row r="452" spans="2:15" ht="24.95" customHeight="1">
      <c r="B452" s="73"/>
      <c r="C452" s="640" t="s">
        <v>136</v>
      </c>
      <c r="D452" s="640"/>
      <c r="E452" s="2"/>
      <c r="I452" s="611" t="s">
        <v>116</v>
      </c>
      <c r="J452" s="611"/>
      <c r="K452" s="612">
        <f>+K450+K444</f>
        <v>8500000</v>
      </c>
      <c r="L452" s="612"/>
      <c r="M452" s="75"/>
      <c r="O452" s="261">
        <f>+SUM(E443:K443)+SUM(E449:K449)</f>
        <v>8500000</v>
      </c>
    </row>
    <row r="453" spans="2:15" ht="9.9499999999999993" customHeight="1">
      <c r="B453" s="73"/>
      <c r="C453" s="641"/>
      <c r="D453" s="641"/>
      <c r="E453" s="2"/>
      <c r="F453" s="225"/>
      <c r="G453" s="225"/>
      <c r="M453" s="75"/>
    </row>
    <row r="454" spans="2:15" ht="15" customHeight="1">
      <c r="B454" s="73"/>
      <c r="C454" s="642" t="s">
        <v>132</v>
      </c>
      <c r="D454" s="1" t="s">
        <v>133</v>
      </c>
      <c r="E454" s="2"/>
      <c r="F454" s="225"/>
      <c r="G454" s="225"/>
      <c r="I454" s="234" t="s">
        <v>131</v>
      </c>
      <c r="J454" s="234" t="s">
        <v>130</v>
      </c>
      <c r="K454" s="234" t="s">
        <v>129</v>
      </c>
      <c r="L454" s="234" t="s">
        <v>128</v>
      </c>
      <c r="M454" s="75"/>
    </row>
    <row r="455" spans="2:15" ht="30" customHeight="1">
      <c r="B455" s="73"/>
      <c r="C455" s="643"/>
      <c r="D455" s="114"/>
      <c r="E455" s="2"/>
      <c r="F455" s="225"/>
      <c r="G455" s="225"/>
      <c r="I455" s="235"/>
      <c r="J455" s="234"/>
      <c r="K455" s="234"/>
      <c r="L455" s="234"/>
      <c r="M455" s="75"/>
    </row>
    <row r="456" spans="2:15" ht="15" customHeight="1">
      <c r="B456" s="73"/>
      <c r="C456" s="644"/>
      <c r="D456" s="114"/>
      <c r="F456" s="226"/>
      <c r="G456" s="226"/>
      <c r="I456" s="236" t="s">
        <v>114</v>
      </c>
      <c r="J456" s="237" t="s">
        <v>113</v>
      </c>
      <c r="K456" s="238" t="s">
        <v>112</v>
      </c>
      <c r="L456" s="234" t="s">
        <v>16</v>
      </c>
      <c r="M456" s="75"/>
    </row>
    <row r="457" spans="2:15" ht="20.100000000000001" customHeight="1" thickBot="1">
      <c r="B457" s="83"/>
      <c r="C457" s="84"/>
      <c r="D457" s="84"/>
      <c r="E457" s="85"/>
      <c r="F457" s="85"/>
      <c r="G457" s="85"/>
      <c r="H457" s="85"/>
      <c r="I457" s="85"/>
      <c r="J457" s="85"/>
      <c r="K457" s="85"/>
      <c r="L457" s="84"/>
      <c r="M457" s="86"/>
    </row>
    <row r="458" spans="2:15" s="273" customFormat="1" ht="9" customHeight="1" thickTop="1" thickBot="1">
      <c r="E458" s="274"/>
      <c r="F458" s="274"/>
      <c r="G458" s="274"/>
      <c r="H458" s="274"/>
      <c r="I458" s="274"/>
      <c r="J458" s="274"/>
      <c r="K458" s="274"/>
    </row>
    <row r="459" spans="2:15" ht="18" customHeight="1" thickTop="1">
      <c r="B459" s="210" t="s">
        <v>138</v>
      </c>
      <c r="C459" s="203"/>
      <c r="D459" s="203"/>
      <c r="E459" s="204"/>
      <c r="F459" s="204"/>
      <c r="G459" s="204"/>
      <c r="H459" s="204"/>
      <c r="I459" s="204"/>
      <c r="J459" s="204"/>
      <c r="K459" s="204"/>
      <c r="L459" s="203"/>
      <c r="M459" s="205"/>
    </row>
    <row r="460" spans="2:15" ht="18" customHeight="1">
      <c r="B460" s="632" t="s">
        <v>119</v>
      </c>
      <c r="C460" s="633"/>
      <c r="D460" s="76" t="s">
        <v>244</v>
      </c>
      <c r="E460" s="2"/>
      <c r="F460" s="2"/>
      <c r="H460" s="224"/>
      <c r="I460" s="224"/>
      <c r="J460" s="227" t="s">
        <v>124</v>
      </c>
      <c r="K460" s="228" t="s">
        <v>126</v>
      </c>
      <c r="L460" s="229"/>
      <c r="M460" s="75"/>
    </row>
    <row r="461" spans="2:15" ht="18" customHeight="1">
      <c r="B461" s="626" t="s">
        <v>120</v>
      </c>
      <c r="C461" s="627"/>
      <c r="D461" s="2" t="s">
        <v>248</v>
      </c>
      <c r="I461" s="211"/>
      <c r="J461" s="230" t="s">
        <v>173</v>
      </c>
      <c r="K461" s="211" t="s">
        <v>137</v>
      </c>
      <c r="L461" s="231"/>
      <c r="M461" s="75"/>
    </row>
    <row r="462" spans="2:15" ht="18" customHeight="1">
      <c r="B462" s="626" t="s">
        <v>121</v>
      </c>
      <c r="C462" s="627"/>
      <c r="D462" s="3" t="s">
        <v>250</v>
      </c>
      <c r="J462" s="232" t="s">
        <v>125</v>
      </c>
      <c r="K462" s="239" t="s">
        <v>175</v>
      </c>
      <c r="L462" s="233"/>
      <c r="M462" s="75"/>
    </row>
    <row r="463" spans="2:15" ht="9.9499999999999993" customHeight="1">
      <c r="B463" s="73"/>
      <c r="M463" s="75"/>
    </row>
    <row r="464" spans="2:15" ht="20.100000000000001" customHeight="1">
      <c r="B464" s="73"/>
      <c r="C464" s="628" t="s">
        <v>60</v>
      </c>
      <c r="D464" s="213" t="s">
        <v>3</v>
      </c>
      <c r="E464" s="256">
        <v>43598</v>
      </c>
      <c r="F464" s="256">
        <v>43599</v>
      </c>
      <c r="G464" s="256">
        <v>43600</v>
      </c>
      <c r="H464" s="256">
        <v>43601</v>
      </c>
      <c r="I464" s="256">
        <v>43602</v>
      </c>
      <c r="J464" s="257">
        <v>43603</v>
      </c>
      <c r="K464" s="257">
        <v>43604</v>
      </c>
      <c r="L464" s="645" t="s">
        <v>63</v>
      </c>
      <c r="M464" s="75"/>
    </row>
    <row r="465" spans="2:15" ht="20.100000000000001" customHeight="1">
      <c r="B465" s="73"/>
      <c r="C465" s="629"/>
      <c r="D465" s="213" t="s">
        <v>2</v>
      </c>
      <c r="E465" s="213" t="s">
        <v>4</v>
      </c>
      <c r="F465" s="213" t="s">
        <v>23</v>
      </c>
      <c r="G465" s="213" t="s">
        <v>29</v>
      </c>
      <c r="H465" s="213" t="s">
        <v>30</v>
      </c>
      <c r="I465" s="213" t="s">
        <v>59</v>
      </c>
      <c r="J465" s="258" t="s">
        <v>40</v>
      </c>
      <c r="K465" s="258" t="s">
        <v>43</v>
      </c>
      <c r="L465" s="646"/>
      <c r="M465" s="75"/>
    </row>
    <row r="466" spans="2:15" ht="18" customHeight="1">
      <c r="B466" s="79"/>
      <c r="C466" s="560" t="s">
        <v>163</v>
      </c>
      <c r="D466" s="217" t="s">
        <v>134</v>
      </c>
      <c r="E466" s="208" t="s">
        <v>81</v>
      </c>
      <c r="F466" s="208" t="s">
        <v>81</v>
      </c>
      <c r="G466" s="208" t="s">
        <v>81</v>
      </c>
      <c r="H466" s="208" t="s">
        <v>81</v>
      </c>
      <c r="I466" s="208" t="s">
        <v>81</v>
      </c>
      <c r="J466" s="259" t="s">
        <v>13</v>
      </c>
      <c r="K466" s="259" t="s">
        <v>13</v>
      </c>
      <c r="L466" s="636">
        <f>SUM(E467:K467)</f>
        <v>4250000</v>
      </c>
      <c r="M466" s="80"/>
    </row>
    <row r="467" spans="2:15" ht="18" customHeight="1">
      <c r="B467" s="81"/>
      <c r="C467" s="561"/>
      <c r="D467" s="219" t="s">
        <v>135</v>
      </c>
      <c r="E467" s="220">
        <v>850000</v>
      </c>
      <c r="F467" s="220">
        <v>850000</v>
      </c>
      <c r="G467" s="220">
        <v>850000</v>
      </c>
      <c r="H467" s="220">
        <v>850000</v>
      </c>
      <c r="I467" s="220">
        <v>850000</v>
      </c>
      <c r="J467" s="260" t="s">
        <v>13</v>
      </c>
      <c r="K467" s="260" t="s">
        <v>13</v>
      </c>
      <c r="L467" s="637"/>
      <c r="M467" s="82"/>
    </row>
    <row r="468" spans="2:15" ht="24.95" customHeight="1">
      <c r="B468" s="73"/>
      <c r="D468" s="206"/>
      <c r="E468" s="268"/>
      <c r="F468" s="268"/>
      <c r="G468" s="207"/>
      <c r="H468" s="207"/>
      <c r="I468" s="647" t="s">
        <v>118</v>
      </c>
      <c r="J468" s="647"/>
      <c r="K468" s="648">
        <f>SUM(L466:L467)</f>
        <v>4250000</v>
      </c>
      <c r="L468" s="648"/>
      <c r="M468" s="75"/>
    </row>
    <row r="469" spans="2:15" ht="24.95" customHeight="1">
      <c r="B469" s="73"/>
      <c r="D469" s="206"/>
      <c r="E469" s="268"/>
      <c r="F469" s="268"/>
      <c r="G469" s="207"/>
      <c r="H469" s="207"/>
      <c r="I469" s="251"/>
      <c r="J469" s="251"/>
      <c r="K469" s="252"/>
      <c r="L469" s="252"/>
      <c r="M469" s="75"/>
    </row>
    <row r="470" spans="2:15" ht="20.100000000000001" customHeight="1">
      <c r="B470" s="73"/>
      <c r="C470" s="634" t="s">
        <v>61</v>
      </c>
      <c r="D470" s="213" t="s">
        <v>3</v>
      </c>
      <c r="E470" s="256">
        <v>43598</v>
      </c>
      <c r="F470" s="256">
        <v>43599</v>
      </c>
      <c r="G470" s="256">
        <v>43600</v>
      </c>
      <c r="H470" s="256">
        <v>43601</v>
      </c>
      <c r="I470" s="256">
        <v>43602</v>
      </c>
      <c r="J470" s="257">
        <v>43603</v>
      </c>
      <c r="K470" s="257">
        <v>43604</v>
      </c>
      <c r="L470" s="645" t="s">
        <v>63</v>
      </c>
      <c r="M470" s="75"/>
    </row>
    <row r="471" spans="2:15" ht="20.100000000000001" customHeight="1">
      <c r="B471" s="73"/>
      <c r="C471" s="635"/>
      <c r="D471" s="213" t="s">
        <v>2</v>
      </c>
      <c r="E471" s="213" t="s">
        <v>4</v>
      </c>
      <c r="F471" s="213" t="s">
        <v>23</v>
      </c>
      <c r="G471" s="213" t="s">
        <v>29</v>
      </c>
      <c r="H471" s="213" t="s">
        <v>30</v>
      </c>
      <c r="I471" s="213" t="s">
        <v>59</v>
      </c>
      <c r="J471" s="258" t="s">
        <v>40</v>
      </c>
      <c r="K471" s="258" t="s">
        <v>43</v>
      </c>
      <c r="L471" s="646"/>
      <c r="M471" s="75"/>
    </row>
    <row r="472" spans="2:15" ht="18" customHeight="1">
      <c r="B472" s="79"/>
      <c r="C472" s="560" t="s">
        <v>70</v>
      </c>
      <c r="D472" s="217" t="s">
        <v>134</v>
      </c>
      <c r="E472" s="208" t="s">
        <v>81</v>
      </c>
      <c r="F472" s="208" t="s">
        <v>81</v>
      </c>
      <c r="G472" s="208" t="s">
        <v>81</v>
      </c>
      <c r="H472" s="208" t="s">
        <v>81</v>
      </c>
      <c r="I472" s="208" t="s">
        <v>81</v>
      </c>
      <c r="J472" s="259" t="s">
        <v>13</v>
      </c>
      <c r="K472" s="259" t="s">
        <v>13</v>
      </c>
      <c r="L472" s="636">
        <f>SUM(E473:K473)</f>
        <v>4250000</v>
      </c>
      <c r="M472" s="80"/>
    </row>
    <row r="473" spans="2:15" ht="18" customHeight="1">
      <c r="B473" s="81"/>
      <c r="C473" s="561"/>
      <c r="D473" s="219" t="s">
        <v>135</v>
      </c>
      <c r="E473" s="220">
        <v>850000</v>
      </c>
      <c r="F473" s="220">
        <v>850000</v>
      </c>
      <c r="G473" s="220">
        <v>850000</v>
      </c>
      <c r="H473" s="220">
        <v>850000</v>
      </c>
      <c r="I473" s="220">
        <v>850000</v>
      </c>
      <c r="J473" s="260" t="s">
        <v>13</v>
      </c>
      <c r="K473" s="260" t="s">
        <v>13</v>
      </c>
      <c r="L473" s="637"/>
      <c r="M473" s="82"/>
    </row>
    <row r="474" spans="2:15" ht="24.95" customHeight="1">
      <c r="B474" s="73"/>
      <c r="F474" s="209"/>
      <c r="I474" s="638" t="s">
        <v>117</v>
      </c>
      <c r="J474" s="638"/>
      <c r="K474" s="639">
        <f>+L472</f>
        <v>4250000</v>
      </c>
      <c r="L474" s="639"/>
      <c r="M474" s="75"/>
      <c r="O474" s="261"/>
    </row>
    <row r="475" spans="2:15" ht="24.95" customHeight="1">
      <c r="B475" s="73"/>
      <c r="F475" s="209"/>
      <c r="I475" s="212"/>
      <c r="J475" s="212"/>
      <c r="K475" s="253"/>
      <c r="L475" s="253"/>
      <c r="M475" s="75"/>
    </row>
    <row r="476" spans="2:15" ht="24.95" customHeight="1">
      <c r="B476" s="73"/>
      <c r="C476" s="640" t="s">
        <v>136</v>
      </c>
      <c r="D476" s="640"/>
      <c r="E476" s="2"/>
      <c r="I476" s="611" t="s">
        <v>116</v>
      </c>
      <c r="J476" s="611"/>
      <c r="K476" s="612">
        <f>+K474+K468</f>
        <v>8500000</v>
      </c>
      <c r="L476" s="612"/>
      <c r="M476" s="75"/>
      <c r="O476" s="261">
        <f>+SUM(E467:K467)+SUM(E473:K473)</f>
        <v>8500000</v>
      </c>
    </row>
    <row r="477" spans="2:15" ht="9.9499999999999993" customHeight="1">
      <c r="B477" s="73"/>
      <c r="C477" s="641"/>
      <c r="D477" s="641"/>
      <c r="E477" s="2"/>
      <c r="F477" s="225"/>
      <c r="G477" s="225"/>
      <c r="M477" s="75"/>
    </row>
    <row r="478" spans="2:15" ht="15" customHeight="1">
      <c r="B478" s="73"/>
      <c r="C478" s="642" t="s">
        <v>132</v>
      </c>
      <c r="D478" s="1" t="s">
        <v>133</v>
      </c>
      <c r="E478" s="2"/>
      <c r="F478" s="225"/>
      <c r="G478" s="225"/>
      <c r="I478" s="234" t="s">
        <v>131</v>
      </c>
      <c r="J478" s="234" t="s">
        <v>130</v>
      </c>
      <c r="K478" s="234" t="s">
        <v>129</v>
      </c>
      <c r="L478" s="234" t="s">
        <v>128</v>
      </c>
      <c r="M478" s="75"/>
    </row>
    <row r="479" spans="2:15" ht="30" customHeight="1">
      <c r="B479" s="73"/>
      <c r="C479" s="643"/>
      <c r="D479" s="114"/>
      <c r="E479" s="2"/>
      <c r="F479" s="225"/>
      <c r="G479" s="225"/>
      <c r="I479" s="235"/>
      <c r="J479" s="234"/>
      <c r="K479" s="234"/>
      <c r="L479" s="234"/>
      <c r="M479" s="75"/>
    </row>
    <row r="480" spans="2:15" ht="15" customHeight="1">
      <c r="B480" s="73"/>
      <c r="C480" s="644"/>
      <c r="D480" s="114"/>
      <c r="F480" s="226"/>
      <c r="G480" s="226"/>
      <c r="I480" s="236" t="s">
        <v>114</v>
      </c>
      <c r="J480" s="237" t="s">
        <v>113</v>
      </c>
      <c r="K480" s="238" t="s">
        <v>112</v>
      </c>
      <c r="L480" s="234" t="s">
        <v>16</v>
      </c>
      <c r="M480" s="75"/>
    </row>
    <row r="481" spans="2:13" ht="20.100000000000001" customHeight="1" thickBot="1">
      <c r="B481" s="83"/>
      <c r="C481" s="84"/>
      <c r="D481" s="84"/>
      <c r="E481" s="85"/>
      <c r="F481" s="85"/>
      <c r="G481" s="85"/>
      <c r="H481" s="85"/>
      <c r="I481" s="85"/>
      <c r="J481" s="85"/>
      <c r="K481" s="85"/>
      <c r="L481" s="84"/>
      <c r="M481" s="86"/>
    </row>
    <row r="482" spans="2:13" s="273" customFormat="1" ht="9" customHeight="1" thickTop="1" thickBot="1">
      <c r="E482" s="274"/>
      <c r="F482" s="274"/>
      <c r="G482" s="274"/>
      <c r="H482" s="274"/>
      <c r="I482" s="274"/>
      <c r="J482" s="274"/>
      <c r="K482" s="274"/>
    </row>
    <row r="483" spans="2:13" ht="18" customHeight="1" thickTop="1">
      <c r="B483" s="210" t="s">
        <v>138</v>
      </c>
      <c r="C483" s="203"/>
      <c r="D483" s="203"/>
      <c r="E483" s="204"/>
      <c r="F483" s="204"/>
      <c r="G483" s="204"/>
      <c r="H483" s="204"/>
      <c r="I483" s="204"/>
      <c r="J483" s="204"/>
      <c r="K483" s="204"/>
      <c r="L483" s="203"/>
      <c r="M483" s="205"/>
    </row>
    <row r="484" spans="2:13" ht="18" customHeight="1">
      <c r="B484" s="632" t="s">
        <v>119</v>
      </c>
      <c r="C484" s="633"/>
      <c r="D484" s="76" t="s">
        <v>244</v>
      </c>
      <c r="E484" s="2"/>
      <c r="F484" s="2"/>
      <c r="H484" s="224"/>
      <c r="I484" s="224"/>
      <c r="J484" s="227" t="s">
        <v>124</v>
      </c>
      <c r="K484" s="228" t="s">
        <v>126</v>
      </c>
      <c r="L484" s="229"/>
      <c r="M484" s="75"/>
    </row>
    <row r="485" spans="2:13" ht="18" customHeight="1">
      <c r="B485" s="626" t="s">
        <v>120</v>
      </c>
      <c r="C485" s="627"/>
      <c r="D485" s="2" t="s">
        <v>251</v>
      </c>
      <c r="I485" s="211"/>
      <c r="J485" s="230" t="s">
        <v>173</v>
      </c>
      <c r="K485" s="211" t="s">
        <v>137</v>
      </c>
      <c r="L485" s="231"/>
      <c r="M485" s="75"/>
    </row>
    <row r="486" spans="2:13" ht="18" customHeight="1">
      <c r="B486" s="626" t="s">
        <v>121</v>
      </c>
      <c r="C486" s="627"/>
      <c r="D486" s="3" t="s">
        <v>252</v>
      </c>
      <c r="J486" s="232" t="s">
        <v>125</v>
      </c>
      <c r="K486" s="239" t="s">
        <v>175</v>
      </c>
      <c r="L486" s="233"/>
      <c r="M486" s="75"/>
    </row>
    <row r="487" spans="2:13" ht="9.9499999999999993" customHeight="1">
      <c r="B487" s="73"/>
      <c r="M487" s="75"/>
    </row>
    <row r="488" spans="2:13" ht="20.100000000000001" customHeight="1">
      <c r="B488" s="73"/>
      <c r="C488" s="628" t="s">
        <v>60</v>
      </c>
      <c r="D488" s="213" t="s">
        <v>3</v>
      </c>
      <c r="E488" s="256">
        <v>43605</v>
      </c>
      <c r="F488" s="256">
        <v>43606</v>
      </c>
      <c r="G488" s="256">
        <v>43607</v>
      </c>
      <c r="H488" s="256">
        <v>43608</v>
      </c>
      <c r="I488" s="256">
        <v>43609</v>
      </c>
      <c r="J488" s="256">
        <v>43610</v>
      </c>
      <c r="K488" s="257">
        <v>43611</v>
      </c>
      <c r="L488" s="645" t="s">
        <v>63</v>
      </c>
      <c r="M488" s="75"/>
    </row>
    <row r="489" spans="2:13" ht="20.100000000000001" customHeight="1">
      <c r="B489" s="73"/>
      <c r="C489" s="629"/>
      <c r="D489" s="213" t="s">
        <v>2</v>
      </c>
      <c r="E489" s="213" t="s">
        <v>4</v>
      </c>
      <c r="F489" s="213" t="s">
        <v>23</v>
      </c>
      <c r="G489" s="213" t="s">
        <v>29</v>
      </c>
      <c r="H489" s="213" t="s">
        <v>30</v>
      </c>
      <c r="I489" s="213" t="s">
        <v>59</v>
      </c>
      <c r="J489" s="213" t="s">
        <v>40</v>
      </c>
      <c r="K489" s="258" t="s">
        <v>43</v>
      </c>
      <c r="L489" s="646"/>
      <c r="M489" s="75"/>
    </row>
    <row r="490" spans="2:13" ht="18" customHeight="1">
      <c r="B490" s="79"/>
      <c r="C490" s="560" t="s">
        <v>163</v>
      </c>
      <c r="D490" s="217" t="s">
        <v>134</v>
      </c>
      <c r="E490" s="208" t="s">
        <v>81</v>
      </c>
      <c r="F490" s="208" t="s">
        <v>81</v>
      </c>
      <c r="G490" s="208" t="s">
        <v>81</v>
      </c>
      <c r="H490" s="208" t="s">
        <v>81</v>
      </c>
      <c r="I490" s="208" t="s">
        <v>81</v>
      </c>
      <c r="J490" s="208" t="s">
        <v>81</v>
      </c>
      <c r="K490" s="259" t="s">
        <v>13</v>
      </c>
      <c r="L490" s="636">
        <f>SUM(E491:K491)</f>
        <v>5100000</v>
      </c>
      <c r="M490" s="80"/>
    </row>
    <row r="491" spans="2:13" ht="18" customHeight="1">
      <c r="B491" s="81"/>
      <c r="C491" s="561"/>
      <c r="D491" s="219" t="s">
        <v>135</v>
      </c>
      <c r="E491" s="220">
        <v>850000</v>
      </c>
      <c r="F491" s="220">
        <v>850000</v>
      </c>
      <c r="G491" s="220">
        <v>850000</v>
      </c>
      <c r="H491" s="220">
        <v>850000</v>
      </c>
      <c r="I491" s="220">
        <v>850000</v>
      </c>
      <c r="J491" s="220">
        <v>850000</v>
      </c>
      <c r="K491" s="260" t="s">
        <v>13</v>
      </c>
      <c r="L491" s="637"/>
      <c r="M491" s="82"/>
    </row>
    <row r="492" spans="2:13" ht="24.95" customHeight="1">
      <c r="B492" s="73"/>
      <c r="D492" s="206"/>
      <c r="E492" s="268"/>
      <c r="F492" s="268"/>
      <c r="G492" s="207"/>
      <c r="H492" s="207"/>
      <c r="I492" s="647" t="s">
        <v>118</v>
      </c>
      <c r="J492" s="647"/>
      <c r="K492" s="648">
        <f>SUM(L490:L491)</f>
        <v>5100000</v>
      </c>
      <c r="L492" s="648"/>
      <c r="M492" s="75"/>
    </row>
    <row r="493" spans="2:13" ht="24.95" customHeight="1">
      <c r="B493" s="73"/>
      <c r="D493" s="206"/>
      <c r="E493" s="268"/>
      <c r="F493" s="268"/>
      <c r="G493" s="207"/>
      <c r="H493" s="207"/>
      <c r="I493" s="251"/>
      <c r="J493" s="251"/>
      <c r="K493" s="252"/>
      <c r="L493" s="252"/>
      <c r="M493" s="75"/>
    </row>
    <row r="494" spans="2:13" ht="20.100000000000001" customHeight="1">
      <c r="B494" s="73"/>
      <c r="C494" s="634" t="s">
        <v>61</v>
      </c>
      <c r="D494" s="213" t="s">
        <v>3</v>
      </c>
      <c r="E494" s="256">
        <v>43605</v>
      </c>
      <c r="F494" s="256">
        <v>43606</v>
      </c>
      <c r="G494" s="256">
        <v>43607</v>
      </c>
      <c r="H494" s="256">
        <v>43608</v>
      </c>
      <c r="I494" s="256">
        <v>43609</v>
      </c>
      <c r="J494" s="256">
        <v>43610</v>
      </c>
      <c r="K494" s="257">
        <v>43611</v>
      </c>
      <c r="L494" s="645" t="s">
        <v>63</v>
      </c>
      <c r="M494" s="75"/>
    </row>
    <row r="495" spans="2:13" ht="20.100000000000001" customHeight="1">
      <c r="B495" s="73"/>
      <c r="C495" s="635"/>
      <c r="D495" s="213" t="s">
        <v>2</v>
      </c>
      <c r="E495" s="213" t="s">
        <v>4</v>
      </c>
      <c r="F495" s="213" t="s">
        <v>23</v>
      </c>
      <c r="G495" s="213" t="s">
        <v>29</v>
      </c>
      <c r="H495" s="213" t="s">
        <v>30</v>
      </c>
      <c r="I495" s="213" t="s">
        <v>59</v>
      </c>
      <c r="J495" s="213" t="s">
        <v>40</v>
      </c>
      <c r="K495" s="258" t="s">
        <v>43</v>
      </c>
      <c r="L495" s="646"/>
      <c r="M495" s="75"/>
    </row>
    <row r="496" spans="2:13" ht="18" customHeight="1">
      <c r="B496" s="79"/>
      <c r="C496" s="560" t="s">
        <v>70</v>
      </c>
      <c r="D496" s="217" t="s">
        <v>134</v>
      </c>
      <c r="E496" s="208" t="s">
        <v>81</v>
      </c>
      <c r="F496" s="208" t="s">
        <v>81</v>
      </c>
      <c r="G496" s="208" t="s">
        <v>81</v>
      </c>
      <c r="H496" s="208" t="s">
        <v>81</v>
      </c>
      <c r="I496" s="208" t="s">
        <v>81</v>
      </c>
      <c r="J496" s="208" t="s">
        <v>81</v>
      </c>
      <c r="K496" s="259" t="s">
        <v>13</v>
      </c>
      <c r="L496" s="636">
        <f>SUM(E497:K497)</f>
        <v>5100000</v>
      </c>
      <c r="M496" s="80"/>
    </row>
    <row r="497" spans="2:15" ht="18" customHeight="1">
      <c r="B497" s="81"/>
      <c r="C497" s="561"/>
      <c r="D497" s="219" t="s">
        <v>135</v>
      </c>
      <c r="E497" s="220">
        <v>850000</v>
      </c>
      <c r="F497" s="220">
        <v>850000</v>
      </c>
      <c r="G497" s="220">
        <v>850000</v>
      </c>
      <c r="H497" s="220">
        <v>850000</v>
      </c>
      <c r="I497" s="220">
        <v>850000</v>
      </c>
      <c r="J497" s="220">
        <v>850000</v>
      </c>
      <c r="K497" s="260" t="s">
        <v>13</v>
      </c>
      <c r="L497" s="637"/>
      <c r="M497" s="82"/>
    </row>
    <row r="498" spans="2:15" ht="24.95" customHeight="1">
      <c r="B498" s="73"/>
      <c r="F498" s="209"/>
      <c r="I498" s="638" t="s">
        <v>117</v>
      </c>
      <c r="J498" s="638"/>
      <c r="K498" s="639">
        <f>+L496</f>
        <v>5100000</v>
      </c>
      <c r="L498" s="639"/>
      <c r="M498" s="75"/>
      <c r="O498" s="261"/>
    </row>
    <row r="499" spans="2:15" ht="24.95" customHeight="1">
      <c r="B499" s="73"/>
      <c r="F499" s="209"/>
      <c r="I499" s="212"/>
      <c r="J499" s="212"/>
      <c r="K499" s="253"/>
      <c r="L499" s="253"/>
      <c r="M499" s="75"/>
    </row>
    <row r="500" spans="2:15" ht="24.95" customHeight="1">
      <c r="B500" s="73"/>
      <c r="C500" s="640" t="s">
        <v>136</v>
      </c>
      <c r="D500" s="640"/>
      <c r="E500" s="2"/>
      <c r="I500" s="611" t="s">
        <v>116</v>
      </c>
      <c r="J500" s="611"/>
      <c r="K500" s="612">
        <f>+K498+K492</f>
        <v>10200000</v>
      </c>
      <c r="L500" s="612"/>
      <c r="M500" s="75"/>
      <c r="O500" s="261">
        <f>+SUM(E491:K491)+SUM(E497:K497)</f>
        <v>10200000</v>
      </c>
    </row>
    <row r="501" spans="2:15" ht="9.9499999999999993" customHeight="1">
      <c r="B501" s="73"/>
      <c r="C501" s="641"/>
      <c r="D501" s="641"/>
      <c r="E501" s="2"/>
      <c r="F501" s="225"/>
      <c r="G501" s="225"/>
      <c r="M501" s="75"/>
    </row>
    <row r="502" spans="2:15" ht="15" customHeight="1">
      <c r="B502" s="73"/>
      <c r="C502" s="642" t="s">
        <v>132</v>
      </c>
      <c r="D502" s="1" t="s">
        <v>133</v>
      </c>
      <c r="E502" s="2"/>
      <c r="F502" s="225"/>
      <c r="G502" s="225"/>
      <c r="I502" s="234" t="s">
        <v>131</v>
      </c>
      <c r="J502" s="234" t="s">
        <v>130</v>
      </c>
      <c r="K502" s="234" t="s">
        <v>129</v>
      </c>
      <c r="L502" s="234" t="s">
        <v>128</v>
      </c>
      <c r="M502" s="75"/>
    </row>
    <row r="503" spans="2:15" ht="30" customHeight="1">
      <c r="B503" s="73"/>
      <c r="C503" s="643"/>
      <c r="D503" s="114"/>
      <c r="E503" s="2"/>
      <c r="F503" s="225"/>
      <c r="G503" s="225"/>
      <c r="I503" s="235"/>
      <c r="J503" s="234"/>
      <c r="K503" s="234"/>
      <c r="L503" s="234"/>
      <c r="M503" s="75"/>
    </row>
    <row r="504" spans="2:15" ht="15" customHeight="1">
      <c r="B504" s="73"/>
      <c r="C504" s="644"/>
      <c r="D504" s="114"/>
      <c r="F504" s="226"/>
      <c r="G504" s="226"/>
      <c r="I504" s="236" t="s">
        <v>114</v>
      </c>
      <c r="J504" s="237" t="s">
        <v>113</v>
      </c>
      <c r="K504" s="238" t="s">
        <v>112</v>
      </c>
      <c r="L504" s="234" t="s">
        <v>16</v>
      </c>
      <c r="M504" s="75"/>
    </row>
    <row r="505" spans="2:15" ht="20.100000000000001" customHeight="1" thickBot="1">
      <c r="B505" s="83"/>
      <c r="C505" s="84"/>
      <c r="D505" s="84"/>
      <c r="E505" s="85"/>
      <c r="F505" s="85"/>
      <c r="G505" s="85"/>
      <c r="H505" s="85"/>
      <c r="I505" s="85"/>
      <c r="J505" s="85"/>
      <c r="K505" s="85"/>
      <c r="L505" s="84"/>
      <c r="M505" s="86"/>
    </row>
    <row r="506" spans="2:15" s="273" customFormat="1" ht="9" customHeight="1" thickTop="1" thickBot="1">
      <c r="E506" s="274"/>
      <c r="F506" s="274"/>
      <c r="G506" s="274"/>
      <c r="H506" s="274"/>
      <c r="I506" s="274"/>
      <c r="J506" s="274"/>
      <c r="K506" s="274"/>
    </row>
    <row r="507" spans="2:15" ht="18" customHeight="1" thickTop="1">
      <c r="B507" s="210" t="s">
        <v>138</v>
      </c>
      <c r="C507" s="203"/>
      <c r="D507" s="203"/>
      <c r="E507" s="204"/>
      <c r="F507" s="204"/>
      <c r="G507" s="204"/>
      <c r="H507" s="204"/>
      <c r="I507" s="204"/>
      <c r="J507" s="204"/>
      <c r="K507" s="204"/>
      <c r="L507" s="203"/>
      <c r="M507" s="205"/>
    </row>
    <row r="508" spans="2:15" ht="18" customHeight="1">
      <c r="B508" s="632" t="s">
        <v>119</v>
      </c>
      <c r="C508" s="633"/>
      <c r="D508" s="76" t="s">
        <v>244</v>
      </c>
      <c r="E508" s="2"/>
      <c r="F508" s="2"/>
      <c r="H508" s="224"/>
      <c r="I508" s="224"/>
      <c r="J508" s="227" t="s">
        <v>124</v>
      </c>
      <c r="K508" s="228" t="s">
        <v>126</v>
      </c>
      <c r="L508" s="229"/>
      <c r="M508" s="75"/>
    </row>
    <row r="509" spans="2:15" ht="18" customHeight="1">
      <c r="B509" s="626" t="s">
        <v>120</v>
      </c>
      <c r="C509" s="627"/>
      <c r="D509" s="2" t="s">
        <v>254</v>
      </c>
      <c r="I509" s="211"/>
      <c r="J509" s="230" t="s">
        <v>173</v>
      </c>
      <c r="K509" s="211" t="s">
        <v>137</v>
      </c>
      <c r="L509" s="231"/>
      <c r="M509" s="75"/>
    </row>
    <row r="510" spans="2:15" ht="18" customHeight="1">
      <c r="B510" s="626" t="s">
        <v>121</v>
      </c>
      <c r="C510" s="627"/>
      <c r="D510" s="3" t="s">
        <v>253</v>
      </c>
      <c r="J510" s="232" t="s">
        <v>125</v>
      </c>
      <c r="K510" s="239" t="s">
        <v>175</v>
      </c>
      <c r="L510" s="233"/>
      <c r="M510" s="75"/>
    </row>
    <row r="511" spans="2:15" ht="9.9499999999999993" customHeight="1">
      <c r="B511" s="73"/>
      <c r="M511" s="75"/>
    </row>
    <row r="512" spans="2:15" ht="20.100000000000001" customHeight="1">
      <c r="B512" s="73"/>
      <c r="C512" s="628" t="s">
        <v>60</v>
      </c>
      <c r="D512" s="213" t="s">
        <v>3</v>
      </c>
      <c r="E512" s="256">
        <v>43612</v>
      </c>
      <c r="F512" s="256">
        <v>43613</v>
      </c>
      <c r="G512" s="256">
        <v>43614</v>
      </c>
      <c r="H512" s="257">
        <v>43615</v>
      </c>
      <c r="I512" s="257">
        <v>43616</v>
      </c>
      <c r="J512" s="257">
        <v>43617</v>
      </c>
      <c r="K512" s="257">
        <v>43618</v>
      </c>
      <c r="L512" s="645" t="s">
        <v>63</v>
      </c>
      <c r="M512" s="75"/>
    </row>
    <row r="513" spans="2:15" ht="20.100000000000001" customHeight="1">
      <c r="B513" s="73"/>
      <c r="C513" s="629"/>
      <c r="D513" s="213" t="s">
        <v>2</v>
      </c>
      <c r="E513" s="213" t="s">
        <v>4</v>
      </c>
      <c r="F513" s="213" t="s">
        <v>23</v>
      </c>
      <c r="G513" s="213" t="s">
        <v>29</v>
      </c>
      <c r="H513" s="258" t="s">
        <v>30</v>
      </c>
      <c r="I513" s="258" t="s">
        <v>59</v>
      </c>
      <c r="J513" s="258" t="s">
        <v>40</v>
      </c>
      <c r="K513" s="258" t="s">
        <v>43</v>
      </c>
      <c r="L513" s="646"/>
      <c r="M513" s="75"/>
    </row>
    <row r="514" spans="2:15" ht="18" customHeight="1">
      <c r="B514" s="79"/>
      <c r="C514" s="560" t="s">
        <v>163</v>
      </c>
      <c r="D514" s="217" t="s">
        <v>134</v>
      </c>
      <c r="E514" s="208" t="s">
        <v>81</v>
      </c>
      <c r="F514" s="208" t="s">
        <v>81</v>
      </c>
      <c r="G514" s="208" t="s">
        <v>81</v>
      </c>
      <c r="H514" s="259" t="s">
        <v>13</v>
      </c>
      <c r="I514" s="259" t="s">
        <v>13</v>
      </c>
      <c r="J514" s="259" t="s">
        <v>13</v>
      </c>
      <c r="K514" s="259" t="s">
        <v>13</v>
      </c>
      <c r="L514" s="636">
        <f>SUM(E515:K515)</f>
        <v>2550000</v>
      </c>
      <c r="M514" s="80"/>
    </row>
    <row r="515" spans="2:15" ht="18" customHeight="1">
      <c r="B515" s="81"/>
      <c r="C515" s="561"/>
      <c r="D515" s="219" t="s">
        <v>135</v>
      </c>
      <c r="E515" s="220">
        <v>850000</v>
      </c>
      <c r="F515" s="220">
        <v>850000</v>
      </c>
      <c r="G515" s="220">
        <v>850000</v>
      </c>
      <c r="H515" s="260" t="s">
        <v>13</v>
      </c>
      <c r="I515" s="260" t="s">
        <v>13</v>
      </c>
      <c r="J515" s="260" t="s">
        <v>13</v>
      </c>
      <c r="K515" s="260" t="s">
        <v>13</v>
      </c>
      <c r="L515" s="637"/>
      <c r="M515" s="82"/>
    </row>
    <row r="516" spans="2:15" ht="24.95" customHeight="1">
      <c r="B516" s="73"/>
      <c r="D516" s="206"/>
      <c r="E516" s="268"/>
      <c r="F516" s="268"/>
      <c r="G516" s="207"/>
      <c r="H516" s="207"/>
      <c r="I516" s="647" t="s">
        <v>118</v>
      </c>
      <c r="J516" s="647"/>
      <c r="K516" s="648">
        <f>SUM(L514:L515)</f>
        <v>2550000</v>
      </c>
      <c r="L516" s="648"/>
      <c r="M516" s="75"/>
    </row>
    <row r="517" spans="2:15" ht="24.95" customHeight="1">
      <c r="B517" s="73"/>
      <c r="D517" s="206"/>
      <c r="E517" s="268"/>
      <c r="F517" s="268"/>
      <c r="G517" s="207"/>
      <c r="H517" s="207"/>
      <c r="I517" s="251"/>
      <c r="J517" s="251"/>
      <c r="K517" s="252"/>
      <c r="L517" s="252"/>
      <c r="M517" s="75"/>
    </row>
    <row r="518" spans="2:15" ht="20.100000000000001" customHeight="1">
      <c r="B518" s="73"/>
      <c r="C518" s="634" t="s">
        <v>61</v>
      </c>
      <c r="D518" s="213" t="s">
        <v>3</v>
      </c>
      <c r="E518" s="256">
        <v>43612</v>
      </c>
      <c r="F518" s="256">
        <v>43613</v>
      </c>
      <c r="G518" s="256">
        <v>43614</v>
      </c>
      <c r="H518" s="257">
        <v>43615</v>
      </c>
      <c r="I518" s="257">
        <v>43616</v>
      </c>
      <c r="J518" s="257">
        <v>43617</v>
      </c>
      <c r="K518" s="257">
        <v>43618</v>
      </c>
      <c r="L518" s="645" t="s">
        <v>63</v>
      </c>
      <c r="M518" s="75"/>
    </row>
    <row r="519" spans="2:15" ht="20.100000000000001" customHeight="1">
      <c r="B519" s="73"/>
      <c r="C519" s="635"/>
      <c r="D519" s="213" t="s">
        <v>2</v>
      </c>
      <c r="E519" s="213" t="s">
        <v>4</v>
      </c>
      <c r="F519" s="213" t="s">
        <v>23</v>
      </c>
      <c r="G519" s="213" t="s">
        <v>29</v>
      </c>
      <c r="H519" s="258" t="s">
        <v>30</v>
      </c>
      <c r="I519" s="258" t="s">
        <v>59</v>
      </c>
      <c r="J519" s="258" t="s">
        <v>40</v>
      </c>
      <c r="K519" s="258" t="s">
        <v>43</v>
      </c>
      <c r="L519" s="646"/>
      <c r="M519" s="75"/>
    </row>
    <row r="520" spans="2:15" ht="18" customHeight="1">
      <c r="B520" s="79"/>
      <c r="C520" s="560" t="s">
        <v>70</v>
      </c>
      <c r="D520" s="217" t="s">
        <v>134</v>
      </c>
      <c r="E520" s="208" t="s">
        <v>81</v>
      </c>
      <c r="F520" s="208" t="s">
        <v>81</v>
      </c>
      <c r="G520" s="208" t="s">
        <v>81</v>
      </c>
      <c r="H520" s="259" t="s">
        <v>13</v>
      </c>
      <c r="I520" s="259" t="s">
        <v>13</v>
      </c>
      <c r="J520" s="259" t="s">
        <v>13</v>
      </c>
      <c r="K520" s="259" t="s">
        <v>13</v>
      </c>
      <c r="L520" s="636">
        <f>SUM(E521:K521)</f>
        <v>2550000</v>
      </c>
      <c r="M520" s="80"/>
    </row>
    <row r="521" spans="2:15" ht="18" customHeight="1">
      <c r="B521" s="81"/>
      <c r="C521" s="561"/>
      <c r="D521" s="219" t="s">
        <v>135</v>
      </c>
      <c r="E521" s="220">
        <v>850000</v>
      </c>
      <c r="F521" s="220">
        <v>850000</v>
      </c>
      <c r="G521" s="220">
        <v>850000</v>
      </c>
      <c r="H521" s="260" t="s">
        <v>13</v>
      </c>
      <c r="I521" s="260" t="s">
        <v>13</v>
      </c>
      <c r="J521" s="260" t="s">
        <v>13</v>
      </c>
      <c r="K521" s="260" t="s">
        <v>13</v>
      </c>
      <c r="L521" s="637"/>
      <c r="M521" s="82"/>
    </row>
    <row r="522" spans="2:15" ht="24.95" customHeight="1">
      <c r="B522" s="73"/>
      <c r="F522" s="209"/>
      <c r="I522" s="638" t="s">
        <v>117</v>
      </c>
      <c r="J522" s="638"/>
      <c r="K522" s="639">
        <f>+L520</f>
        <v>2550000</v>
      </c>
      <c r="L522" s="639"/>
      <c r="M522" s="75"/>
      <c r="O522" s="261"/>
    </row>
    <row r="523" spans="2:15" ht="24.95" customHeight="1">
      <c r="B523" s="73"/>
      <c r="F523" s="209"/>
      <c r="I523" s="212"/>
      <c r="J523" s="212"/>
      <c r="K523" s="253"/>
      <c r="L523" s="253"/>
      <c r="M523" s="75"/>
    </row>
    <row r="524" spans="2:15" ht="24.95" customHeight="1">
      <c r="B524" s="73"/>
      <c r="C524" s="640" t="s">
        <v>136</v>
      </c>
      <c r="D524" s="640"/>
      <c r="E524" s="2"/>
      <c r="I524" s="611" t="s">
        <v>116</v>
      </c>
      <c r="J524" s="611"/>
      <c r="K524" s="612">
        <f>+K522+K516</f>
        <v>5100000</v>
      </c>
      <c r="L524" s="612"/>
      <c r="M524" s="75"/>
      <c r="O524" s="261">
        <f>+SUM(E515:K515)+SUM(E521:K521)</f>
        <v>5100000</v>
      </c>
    </row>
    <row r="525" spans="2:15" ht="9.9499999999999993" customHeight="1">
      <c r="B525" s="73"/>
      <c r="C525" s="641"/>
      <c r="D525" s="641"/>
      <c r="E525" s="2"/>
      <c r="F525" s="225"/>
      <c r="G525" s="225"/>
      <c r="M525" s="75"/>
    </row>
    <row r="526" spans="2:15" ht="15" customHeight="1">
      <c r="B526" s="73"/>
      <c r="C526" s="642" t="s">
        <v>132</v>
      </c>
      <c r="D526" s="1" t="s">
        <v>133</v>
      </c>
      <c r="E526" s="2"/>
      <c r="F526" s="225"/>
      <c r="G526" s="225"/>
      <c r="I526" s="234" t="s">
        <v>131</v>
      </c>
      <c r="J526" s="234" t="s">
        <v>130</v>
      </c>
      <c r="K526" s="234" t="s">
        <v>129</v>
      </c>
      <c r="L526" s="234" t="s">
        <v>128</v>
      </c>
      <c r="M526" s="75"/>
    </row>
    <row r="527" spans="2:15" ht="30" customHeight="1">
      <c r="B527" s="73"/>
      <c r="C527" s="643"/>
      <c r="D527" s="114"/>
      <c r="E527" s="2"/>
      <c r="F527" s="225"/>
      <c r="G527" s="225"/>
      <c r="I527" s="235"/>
      <c r="J527" s="234"/>
      <c r="K527" s="234"/>
      <c r="L527" s="234"/>
      <c r="M527" s="75"/>
    </row>
    <row r="528" spans="2:15" ht="15" customHeight="1">
      <c r="B528" s="73"/>
      <c r="C528" s="644"/>
      <c r="D528" s="114"/>
      <c r="F528" s="226"/>
      <c r="G528" s="226"/>
      <c r="I528" s="236" t="s">
        <v>114</v>
      </c>
      <c r="J528" s="237" t="s">
        <v>113</v>
      </c>
      <c r="K528" s="238" t="s">
        <v>112</v>
      </c>
      <c r="L528" s="234" t="s">
        <v>16</v>
      </c>
      <c r="M528" s="75"/>
    </row>
    <row r="529" spans="2:13" ht="20.100000000000001" customHeight="1" thickBot="1">
      <c r="B529" s="83"/>
      <c r="C529" s="84"/>
      <c r="D529" s="84"/>
      <c r="E529" s="85"/>
      <c r="F529" s="85"/>
      <c r="G529" s="85"/>
      <c r="H529" s="85"/>
      <c r="I529" s="85"/>
      <c r="J529" s="85"/>
      <c r="K529" s="85"/>
      <c r="L529" s="84"/>
      <c r="M529" s="86"/>
    </row>
    <row r="530" spans="2:13" ht="12.75" thickTop="1"/>
  </sheetData>
  <mergeCells count="412">
    <mergeCell ref="C526:C528"/>
    <mergeCell ref="C518:C519"/>
    <mergeCell ref="L518:L519"/>
    <mergeCell ref="C520:C521"/>
    <mergeCell ref="L520:L521"/>
    <mergeCell ref="I522:J522"/>
    <mergeCell ref="K522:L522"/>
    <mergeCell ref="C524:D525"/>
    <mergeCell ref="I524:J524"/>
    <mergeCell ref="K524:L524"/>
    <mergeCell ref="C502:C504"/>
    <mergeCell ref="B508:C508"/>
    <mergeCell ref="B509:C509"/>
    <mergeCell ref="B510:C510"/>
    <mergeCell ref="C512:C513"/>
    <mergeCell ref="L512:L513"/>
    <mergeCell ref="C514:C515"/>
    <mergeCell ref="L514:L515"/>
    <mergeCell ref="I516:J516"/>
    <mergeCell ref="K516:L516"/>
    <mergeCell ref="C494:C495"/>
    <mergeCell ref="L494:L495"/>
    <mergeCell ref="C496:C497"/>
    <mergeCell ref="L496:L497"/>
    <mergeCell ref="I498:J498"/>
    <mergeCell ref="K498:L498"/>
    <mergeCell ref="C500:D501"/>
    <mergeCell ref="I500:J500"/>
    <mergeCell ref="K500:L500"/>
    <mergeCell ref="C478:C480"/>
    <mergeCell ref="B484:C484"/>
    <mergeCell ref="B485:C485"/>
    <mergeCell ref="B486:C486"/>
    <mergeCell ref="C488:C489"/>
    <mergeCell ref="L488:L489"/>
    <mergeCell ref="C490:C491"/>
    <mergeCell ref="L490:L491"/>
    <mergeCell ref="I492:J492"/>
    <mergeCell ref="K492:L492"/>
    <mergeCell ref="C470:C471"/>
    <mergeCell ref="L470:L471"/>
    <mergeCell ref="C472:C473"/>
    <mergeCell ref="L472:L473"/>
    <mergeCell ref="I474:J474"/>
    <mergeCell ref="K474:L474"/>
    <mergeCell ref="C476:D477"/>
    <mergeCell ref="I476:J476"/>
    <mergeCell ref="K476:L476"/>
    <mergeCell ref="C454:C456"/>
    <mergeCell ref="B460:C460"/>
    <mergeCell ref="B461:C461"/>
    <mergeCell ref="B462:C462"/>
    <mergeCell ref="C464:C465"/>
    <mergeCell ref="L464:L465"/>
    <mergeCell ref="C466:C467"/>
    <mergeCell ref="L466:L467"/>
    <mergeCell ref="I468:J468"/>
    <mergeCell ref="K468:L468"/>
    <mergeCell ref="C446:C447"/>
    <mergeCell ref="L446:L447"/>
    <mergeCell ref="C448:C449"/>
    <mergeCell ref="L448:L449"/>
    <mergeCell ref="I450:J450"/>
    <mergeCell ref="K450:L450"/>
    <mergeCell ref="C452:D453"/>
    <mergeCell ref="I452:J452"/>
    <mergeCell ref="K452:L452"/>
    <mergeCell ref="C430:C432"/>
    <mergeCell ref="B436:C436"/>
    <mergeCell ref="B437:C437"/>
    <mergeCell ref="B438:C438"/>
    <mergeCell ref="C440:C441"/>
    <mergeCell ref="L440:L441"/>
    <mergeCell ref="C442:C443"/>
    <mergeCell ref="L442:L443"/>
    <mergeCell ref="I444:J444"/>
    <mergeCell ref="K444:L444"/>
    <mergeCell ref="C422:C423"/>
    <mergeCell ref="L422:L423"/>
    <mergeCell ref="C424:C425"/>
    <mergeCell ref="L424:L425"/>
    <mergeCell ref="I426:J426"/>
    <mergeCell ref="K426:L426"/>
    <mergeCell ref="C428:D429"/>
    <mergeCell ref="I428:J428"/>
    <mergeCell ref="K428:L428"/>
    <mergeCell ref="B412:C412"/>
    <mergeCell ref="B413:C413"/>
    <mergeCell ref="B414:C414"/>
    <mergeCell ref="C416:C417"/>
    <mergeCell ref="L416:L417"/>
    <mergeCell ref="C418:C419"/>
    <mergeCell ref="L418:L419"/>
    <mergeCell ref="I420:J420"/>
    <mergeCell ref="K420:L420"/>
    <mergeCell ref="C310:C312"/>
    <mergeCell ref="C302:C303"/>
    <mergeCell ref="L302:L303"/>
    <mergeCell ref="C304:C305"/>
    <mergeCell ref="L304:L305"/>
    <mergeCell ref="I306:J306"/>
    <mergeCell ref="K306:L306"/>
    <mergeCell ref="C308:D309"/>
    <mergeCell ref="I308:J308"/>
    <mergeCell ref="K308:L308"/>
    <mergeCell ref="C286:C288"/>
    <mergeCell ref="B292:C292"/>
    <mergeCell ref="B293:C293"/>
    <mergeCell ref="B294:C294"/>
    <mergeCell ref="C296:C297"/>
    <mergeCell ref="L296:L297"/>
    <mergeCell ref="C298:C299"/>
    <mergeCell ref="L298:L299"/>
    <mergeCell ref="I300:J300"/>
    <mergeCell ref="K300:L300"/>
    <mergeCell ref="C278:C279"/>
    <mergeCell ref="L278:L279"/>
    <mergeCell ref="C280:C281"/>
    <mergeCell ref="L280:L281"/>
    <mergeCell ref="I282:J282"/>
    <mergeCell ref="K282:L282"/>
    <mergeCell ref="C284:D285"/>
    <mergeCell ref="I284:J284"/>
    <mergeCell ref="K284:L284"/>
    <mergeCell ref="C262:C264"/>
    <mergeCell ref="B268:C268"/>
    <mergeCell ref="B269:C269"/>
    <mergeCell ref="B270:C270"/>
    <mergeCell ref="C272:C273"/>
    <mergeCell ref="L272:L273"/>
    <mergeCell ref="C274:C275"/>
    <mergeCell ref="L274:L275"/>
    <mergeCell ref="I276:J276"/>
    <mergeCell ref="K276:L276"/>
    <mergeCell ref="C254:C255"/>
    <mergeCell ref="L254:L255"/>
    <mergeCell ref="C256:C257"/>
    <mergeCell ref="L256:L257"/>
    <mergeCell ref="I258:J258"/>
    <mergeCell ref="K258:L258"/>
    <mergeCell ref="C260:D261"/>
    <mergeCell ref="I260:J260"/>
    <mergeCell ref="K260:L260"/>
    <mergeCell ref="C238:C240"/>
    <mergeCell ref="B244:C244"/>
    <mergeCell ref="B245:C245"/>
    <mergeCell ref="B246:C246"/>
    <mergeCell ref="C248:C249"/>
    <mergeCell ref="L248:L249"/>
    <mergeCell ref="C250:C251"/>
    <mergeCell ref="L250:L251"/>
    <mergeCell ref="I252:J252"/>
    <mergeCell ref="K252:L252"/>
    <mergeCell ref="C230:C231"/>
    <mergeCell ref="L230:L231"/>
    <mergeCell ref="C232:C233"/>
    <mergeCell ref="L232:L233"/>
    <mergeCell ref="I234:J234"/>
    <mergeCell ref="K234:L234"/>
    <mergeCell ref="C236:D237"/>
    <mergeCell ref="I236:J236"/>
    <mergeCell ref="K236:L236"/>
    <mergeCell ref="B220:C220"/>
    <mergeCell ref="B221:C221"/>
    <mergeCell ref="B222:C222"/>
    <mergeCell ref="C224:C225"/>
    <mergeCell ref="L224:L225"/>
    <mergeCell ref="C226:C227"/>
    <mergeCell ref="L226:L227"/>
    <mergeCell ref="I228:J228"/>
    <mergeCell ref="K228:L228"/>
    <mergeCell ref="L103:L104"/>
    <mergeCell ref="C105:C106"/>
    <mergeCell ref="L105:L106"/>
    <mergeCell ref="I107:J107"/>
    <mergeCell ref="K107:L107"/>
    <mergeCell ref="C115:D116"/>
    <mergeCell ref="I115:J115"/>
    <mergeCell ref="K115:L115"/>
    <mergeCell ref="C117:C119"/>
    <mergeCell ref="C109:C110"/>
    <mergeCell ref="C111:C112"/>
    <mergeCell ref="L111:L112"/>
    <mergeCell ref="I113:J113"/>
    <mergeCell ref="K113:L113"/>
    <mergeCell ref="B99:C99"/>
    <mergeCell ref="B100:C100"/>
    <mergeCell ref="B101:C101"/>
    <mergeCell ref="C103:C104"/>
    <mergeCell ref="B51:C51"/>
    <mergeCell ref="B52:C52"/>
    <mergeCell ref="B53:C53"/>
    <mergeCell ref="C37:C38"/>
    <mergeCell ref="C39:C40"/>
    <mergeCell ref="C45:C47"/>
    <mergeCell ref="B3:C3"/>
    <mergeCell ref="B4:C4"/>
    <mergeCell ref="B5:C5"/>
    <mergeCell ref="C7:C8"/>
    <mergeCell ref="L7:L8"/>
    <mergeCell ref="C9:C10"/>
    <mergeCell ref="L9:L10"/>
    <mergeCell ref="C85:C86"/>
    <mergeCell ref="C87:C88"/>
    <mergeCell ref="L87:L88"/>
    <mergeCell ref="C79:C80"/>
    <mergeCell ref="L79:L80"/>
    <mergeCell ref="C81:C82"/>
    <mergeCell ref="L81:L82"/>
    <mergeCell ref="C67:D68"/>
    <mergeCell ref="I67:J67"/>
    <mergeCell ref="K67:L67"/>
    <mergeCell ref="C55:C56"/>
    <mergeCell ref="L55:L56"/>
    <mergeCell ref="C57:C58"/>
    <mergeCell ref="L57:L58"/>
    <mergeCell ref="B29:C29"/>
    <mergeCell ref="C31:C32"/>
    <mergeCell ref="B28:C28"/>
    <mergeCell ref="I11:J11"/>
    <mergeCell ref="K11:L11"/>
    <mergeCell ref="C13:C14"/>
    <mergeCell ref="C15:C16"/>
    <mergeCell ref="L15:L16"/>
    <mergeCell ref="I17:J17"/>
    <mergeCell ref="K17:L17"/>
    <mergeCell ref="C19:D20"/>
    <mergeCell ref="I19:J19"/>
    <mergeCell ref="K19:L19"/>
    <mergeCell ref="C21:C23"/>
    <mergeCell ref="B27:C27"/>
    <mergeCell ref="L39:L40"/>
    <mergeCell ref="I41:J41"/>
    <mergeCell ref="K41:L41"/>
    <mergeCell ref="C43:D44"/>
    <mergeCell ref="I43:J43"/>
    <mergeCell ref="K43:L43"/>
    <mergeCell ref="L31:L32"/>
    <mergeCell ref="C33:C34"/>
    <mergeCell ref="L33:L34"/>
    <mergeCell ref="I35:J35"/>
    <mergeCell ref="K35:L35"/>
    <mergeCell ref="K89:L89"/>
    <mergeCell ref="C91:D92"/>
    <mergeCell ref="I91:J91"/>
    <mergeCell ref="K91:L91"/>
    <mergeCell ref="C93:C95"/>
    <mergeCell ref="I89:J89"/>
    <mergeCell ref="K83:L83"/>
    <mergeCell ref="I59:J59"/>
    <mergeCell ref="K59:L59"/>
    <mergeCell ref="C61:C62"/>
    <mergeCell ref="C63:C64"/>
    <mergeCell ref="L63:L64"/>
    <mergeCell ref="I65:J65"/>
    <mergeCell ref="K65:L65"/>
    <mergeCell ref="C69:C71"/>
    <mergeCell ref="B75:C75"/>
    <mergeCell ref="B76:C76"/>
    <mergeCell ref="B77:C77"/>
    <mergeCell ref="I83:J83"/>
    <mergeCell ref="C129:C130"/>
    <mergeCell ref="L129:L130"/>
    <mergeCell ref="I131:J131"/>
    <mergeCell ref="K131:L131"/>
    <mergeCell ref="C133:C134"/>
    <mergeCell ref="B123:C123"/>
    <mergeCell ref="B124:C124"/>
    <mergeCell ref="B125:C125"/>
    <mergeCell ref="C127:C128"/>
    <mergeCell ref="L127:L128"/>
    <mergeCell ref="C141:C143"/>
    <mergeCell ref="B147:C147"/>
    <mergeCell ref="B148:C148"/>
    <mergeCell ref="B149:C149"/>
    <mergeCell ref="C151:C152"/>
    <mergeCell ref="C135:C136"/>
    <mergeCell ref="L135:L136"/>
    <mergeCell ref="I137:J137"/>
    <mergeCell ref="K137:L137"/>
    <mergeCell ref="C139:D140"/>
    <mergeCell ref="I139:J139"/>
    <mergeCell ref="K139:L139"/>
    <mergeCell ref="L157:L158"/>
    <mergeCell ref="C157:C158"/>
    <mergeCell ref="C159:C160"/>
    <mergeCell ref="L159:L160"/>
    <mergeCell ref="I161:J161"/>
    <mergeCell ref="K161:L161"/>
    <mergeCell ref="L151:L152"/>
    <mergeCell ref="C153:C154"/>
    <mergeCell ref="L153:L154"/>
    <mergeCell ref="I155:J155"/>
    <mergeCell ref="K155:L155"/>
    <mergeCell ref="B171:C171"/>
    <mergeCell ref="B172:C172"/>
    <mergeCell ref="B173:C173"/>
    <mergeCell ref="C175:C176"/>
    <mergeCell ref="L175:L176"/>
    <mergeCell ref="C163:D164"/>
    <mergeCell ref="I163:J163"/>
    <mergeCell ref="K163:L163"/>
    <mergeCell ref="C165:C167"/>
    <mergeCell ref="C183:C184"/>
    <mergeCell ref="L183:L184"/>
    <mergeCell ref="I185:J185"/>
    <mergeCell ref="K185:L185"/>
    <mergeCell ref="C187:D188"/>
    <mergeCell ref="I187:J187"/>
    <mergeCell ref="K187:L187"/>
    <mergeCell ref="C177:C178"/>
    <mergeCell ref="L177:L178"/>
    <mergeCell ref="I179:J179"/>
    <mergeCell ref="K179:L179"/>
    <mergeCell ref="C181:C182"/>
    <mergeCell ref="L181:L182"/>
    <mergeCell ref="L199:L200"/>
    <mergeCell ref="C201:C202"/>
    <mergeCell ref="L201:L202"/>
    <mergeCell ref="I203:J203"/>
    <mergeCell ref="K203:L203"/>
    <mergeCell ref="C189:C191"/>
    <mergeCell ref="B195:C195"/>
    <mergeCell ref="B196:C196"/>
    <mergeCell ref="B197:C197"/>
    <mergeCell ref="C199:C200"/>
    <mergeCell ref="C211:D212"/>
    <mergeCell ref="I211:J211"/>
    <mergeCell ref="K211:L211"/>
    <mergeCell ref="C213:C215"/>
    <mergeCell ref="C205:C206"/>
    <mergeCell ref="L205:L206"/>
    <mergeCell ref="C207:C208"/>
    <mergeCell ref="L207:L208"/>
    <mergeCell ref="I209:J209"/>
    <mergeCell ref="K209:L209"/>
    <mergeCell ref="B316:C316"/>
    <mergeCell ref="B317:C317"/>
    <mergeCell ref="B318:C318"/>
    <mergeCell ref="C320:C321"/>
    <mergeCell ref="L320:L321"/>
    <mergeCell ref="C322:C323"/>
    <mergeCell ref="L322:L323"/>
    <mergeCell ref="I324:J324"/>
    <mergeCell ref="K324:L324"/>
    <mergeCell ref="C326:C327"/>
    <mergeCell ref="L326:L327"/>
    <mergeCell ref="C328:C329"/>
    <mergeCell ref="L328:L329"/>
    <mergeCell ref="I330:J330"/>
    <mergeCell ref="K330:L330"/>
    <mergeCell ref="C332:D333"/>
    <mergeCell ref="I332:J332"/>
    <mergeCell ref="K332:L332"/>
    <mergeCell ref="C334:C336"/>
    <mergeCell ref="B340:C340"/>
    <mergeCell ref="B341:C341"/>
    <mergeCell ref="B342:C342"/>
    <mergeCell ref="C344:C345"/>
    <mergeCell ref="L344:L345"/>
    <mergeCell ref="C346:C347"/>
    <mergeCell ref="L346:L347"/>
    <mergeCell ref="I348:J348"/>
    <mergeCell ref="K348:L348"/>
    <mergeCell ref="C350:C351"/>
    <mergeCell ref="L350:L351"/>
    <mergeCell ref="C352:C353"/>
    <mergeCell ref="L352:L353"/>
    <mergeCell ref="I354:J354"/>
    <mergeCell ref="K354:L354"/>
    <mergeCell ref="C356:D357"/>
    <mergeCell ref="I356:J356"/>
    <mergeCell ref="K356:L356"/>
    <mergeCell ref="C358:C360"/>
    <mergeCell ref="B364:C364"/>
    <mergeCell ref="B365:C365"/>
    <mergeCell ref="B366:C366"/>
    <mergeCell ref="C368:C369"/>
    <mergeCell ref="L368:L369"/>
    <mergeCell ref="C370:C371"/>
    <mergeCell ref="L370:L371"/>
    <mergeCell ref="I372:J372"/>
    <mergeCell ref="K372:L372"/>
    <mergeCell ref="C374:C375"/>
    <mergeCell ref="L374:L375"/>
    <mergeCell ref="C376:C377"/>
    <mergeCell ref="L376:L377"/>
    <mergeCell ref="I378:J378"/>
    <mergeCell ref="K378:L378"/>
    <mergeCell ref="C380:D381"/>
    <mergeCell ref="I380:J380"/>
    <mergeCell ref="K380:L380"/>
    <mergeCell ref="C382:C384"/>
    <mergeCell ref="B388:C388"/>
    <mergeCell ref="B389:C389"/>
    <mergeCell ref="B390:C390"/>
    <mergeCell ref="C392:C393"/>
    <mergeCell ref="L392:L393"/>
    <mergeCell ref="C394:C395"/>
    <mergeCell ref="L394:L395"/>
    <mergeCell ref="I396:J396"/>
    <mergeCell ref="K396:L396"/>
    <mergeCell ref="C406:C408"/>
    <mergeCell ref="C398:C399"/>
    <mergeCell ref="L398:L399"/>
    <mergeCell ref="C400:C401"/>
    <mergeCell ref="L400:L401"/>
    <mergeCell ref="I402:J402"/>
    <mergeCell ref="K402:L402"/>
    <mergeCell ref="C404:D405"/>
    <mergeCell ref="I404:J404"/>
    <mergeCell ref="K404:L404"/>
  </mergeCells>
  <printOptions horizontalCentered="1"/>
  <pageMargins left="0.31496062992125984" right="0.15748031496062992" top="1.1811023622047245" bottom="0.39370078740157483" header="1.1811023622047245" footer="0.39370078740157483"/>
  <pageSetup scale="7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97"/>
  <sheetViews>
    <sheetView topLeftCell="A687" zoomScaleNormal="100" workbookViewId="0">
      <selection activeCell="K276" sqref="K276:L276"/>
    </sheetView>
  </sheetViews>
  <sheetFormatPr defaultRowHeight="12.75"/>
  <cols>
    <col min="1" max="1" width="5.7109375" style="277" customWidth="1"/>
    <col min="2" max="2" width="1.7109375" style="183" customWidth="1"/>
    <col min="3" max="3" width="15.7109375" style="183" customWidth="1"/>
    <col min="4" max="4" width="10.7109375" style="281" customWidth="1"/>
    <col min="5" max="5" width="15.7109375" style="277" customWidth="1"/>
    <col min="6" max="6" width="15.7109375" style="287" customWidth="1"/>
    <col min="7" max="7" width="15.7109375" style="277" customWidth="1"/>
    <col min="8" max="9" width="15.7109375" style="287" customWidth="1"/>
    <col min="10" max="10" width="1.7109375" style="183" customWidth="1"/>
    <col min="11" max="11" width="9.140625" style="183"/>
    <col min="12" max="12" width="18.7109375" style="351" customWidth="1"/>
    <col min="13" max="13" width="10.7109375" style="183" bestFit="1" customWidth="1"/>
    <col min="14" max="16384" width="9.140625" style="183"/>
  </cols>
  <sheetData>
    <row r="1" spans="1:12" s="339" customFormat="1" ht="9.9499999999999993" customHeight="1" thickBot="1">
      <c r="A1" s="341"/>
      <c r="D1" s="340"/>
      <c r="E1" s="341"/>
      <c r="F1" s="342"/>
      <c r="G1" s="341"/>
      <c r="H1" s="342"/>
      <c r="I1" s="342"/>
      <c r="L1" s="350"/>
    </row>
    <row r="2" spans="1:12" ht="9.9499999999999993" customHeight="1" thickTop="1">
      <c r="B2" s="301"/>
      <c r="C2" s="302"/>
      <c r="D2" s="303"/>
      <c r="E2" s="304"/>
      <c r="F2" s="305"/>
      <c r="G2" s="304"/>
      <c r="H2" s="305"/>
      <c r="I2" s="305"/>
      <c r="J2" s="306"/>
    </row>
    <row r="3" spans="1:12" ht="17.100000000000001" customHeight="1">
      <c r="B3" s="307"/>
      <c r="C3" s="298" t="s">
        <v>138</v>
      </c>
      <c r="D3" s="299"/>
      <c r="H3" s="338" t="s">
        <v>267</v>
      </c>
      <c r="J3" s="308"/>
    </row>
    <row r="4" spans="1:12" s="275" customFormat="1" ht="23.1" customHeight="1">
      <c r="A4" s="277">
        <v>6</v>
      </c>
      <c r="B4" s="309"/>
      <c r="C4" s="279" t="s">
        <v>119</v>
      </c>
      <c r="D4" s="292" t="s">
        <v>244</v>
      </c>
      <c r="F4" s="310"/>
      <c r="G4" s="311"/>
      <c r="H4" s="310"/>
      <c r="I4" s="310"/>
      <c r="J4" s="312"/>
      <c r="L4" s="352"/>
    </row>
    <row r="5" spans="1:12" s="276" customFormat="1" ht="23.1" customHeight="1">
      <c r="A5" s="277"/>
      <c r="B5" s="313"/>
      <c r="C5" s="280" t="s">
        <v>120</v>
      </c>
      <c r="D5" s="293" t="s">
        <v>255</v>
      </c>
      <c r="F5" s="314"/>
      <c r="G5" s="663" t="s">
        <v>270</v>
      </c>
      <c r="H5" s="664"/>
      <c r="I5" s="665"/>
      <c r="J5" s="315"/>
      <c r="L5" s="353"/>
    </row>
    <row r="6" spans="1:12" s="276" customFormat="1" ht="23.1" customHeight="1">
      <c r="A6" s="277"/>
      <c r="B6" s="313"/>
      <c r="C6" s="280" t="s">
        <v>121</v>
      </c>
      <c r="D6" s="293" t="s">
        <v>265</v>
      </c>
      <c r="F6" s="314"/>
      <c r="G6" s="666"/>
      <c r="H6" s="667"/>
      <c r="I6" s="668"/>
      <c r="J6" s="315"/>
      <c r="L6" s="353"/>
    </row>
    <row r="7" spans="1:12" ht="9.9499999999999993" customHeight="1">
      <c r="B7" s="307"/>
      <c r="J7" s="308"/>
    </row>
    <row r="8" spans="1:12" s="278" customFormat="1" ht="50.1" customHeight="1">
      <c r="A8" s="392"/>
      <c r="B8" s="316"/>
      <c r="C8" s="669" t="s">
        <v>2</v>
      </c>
      <c r="D8" s="671" t="s">
        <v>3</v>
      </c>
      <c r="E8" s="673" t="s">
        <v>275</v>
      </c>
      <c r="F8" s="674"/>
      <c r="G8" s="673" t="s">
        <v>276</v>
      </c>
      <c r="H8" s="674"/>
      <c r="I8" s="675" t="s">
        <v>85</v>
      </c>
      <c r="J8" s="317"/>
      <c r="L8" s="354"/>
    </row>
    <row r="9" spans="1:12" s="278" customFormat="1" ht="24.95" customHeight="1">
      <c r="A9" s="392"/>
      <c r="B9" s="316"/>
      <c r="C9" s="670"/>
      <c r="D9" s="672"/>
      <c r="E9" s="294" t="s">
        <v>256</v>
      </c>
      <c r="F9" s="295" t="s">
        <v>27</v>
      </c>
      <c r="G9" s="294" t="s">
        <v>256</v>
      </c>
      <c r="H9" s="295" t="s">
        <v>27</v>
      </c>
      <c r="I9" s="675"/>
      <c r="J9" s="317"/>
      <c r="L9" s="354"/>
    </row>
    <row r="10" spans="1:12" s="282" customFormat="1" ht="20.100000000000001" customHeight="1">
      <c r="A10" s="393"/>
      <c r="B10" s="318"/>
      <c r="C10" s="283" t="s">
        <v>257</v>
      </c>
      <c r="D10" s="284">
        <v>43617</v>
      </c>
      <c r="E10" s="288" t="s">
        <v>13</v>
      </c>
      <c r="F10" s="289" t="s">
        <v>13</v>
      </c>
      <c r="G10" s="288" t="s">
        <v>13</v>
      </c>
      <c r="H10" s="289" t="s">
        <v>13</v>
      </c>
      <c r="I10" s="289" t="s">
        <v>266</v>
      </c>
      <c r="J10" s="319"/>
      <c r="L10" s="355"/>
    </row>
    <row r="11" spans="1:12" s="282" customFormat="1" ht="20.100000000000001" customHeight="1">
      <c r="A11" s="393"/>
      <c r="B11" s="318"/>
      <c r="C11" s="283" t="s">
        <v>258</v>
      </c>
      <c r="D11" s="284">
        <v>43618</v>
      </c>
      <c r="E11" s="288" t="s">
        <v>13</v>
      </c>
      <c r="F11" s="289" t="s">
        <v>13</v>
      </c>
      <c r="G11" s="288" t="s">
        <v>13</v>
      </c>
      <c r="H11" s="289" t="s">
        <v>13</v>
      </c>
      <c r="I11" s="289" t="s">
        <v>266</v>
      </c>
      <c r="J11" s="319"/>
      <c r="L11" s="355"/>
    </row>
    <row r="12" spans="1:12" s="282" customFormat="1" ht="20.100000000000001" customHeight="1">
      <c r="A12" s="393"/>
      <c r="B12" s="318"/>
      <c r="C12" s="283" t="s">
        <v>259</v>
      </c>
      <c r="D12" s="284">
        <v>43619</v>
      </c>
      <c r="E12" s="288" t="s">
        <v>13</v>
      </c>
      <c r="F12" s="289" t="s">
        <v>13</v>
      </c>
      <c r="G12" s="288" t="s">
        <v>13</v>
      </c>
      <c r="H12" s="289" t="s">
        <v>13</v>
      </c>
      <c r="I12" s="289" t="s">
        <v>266</v>
      </c>
      <c r="J12" s="319"/>
      <c r="L12" s="355"/>
    </row>
    <row r="13" spans="1:12" s="282" customFormat="1" ht="20.100000000000001" customHeight="1">
      <c r="A13" s="393"/>
      <c r="B13" s="318"/>
      <c r="C13" s="283" t="s">
        <v>260</v>
      </c>
      <c r="D13" s="284">
        <v>43620</v>
      </c>
      <c r="E13" s="288" t="s">
        <v>13</v>
      </c>
      <c r="F13" s="289" t="s">
        <v>13</v>
      </c>
      <c r="G13" s="288" t="s">
        <v>13</v>
      </c>
      <c r="H13" s="289" t="s">
        <v>13</v>
      </c>
      <c r="I13" s="289" t="s">
        <v>266</v>
      </c>
      <c r="J13" s="319"/>
      <c r="L13" s="355"/>
    </row>
    <row r="14" spans="1:12" s="282" customFormat="1" ht="20.100000000000001" customHeight="1">
      <c r="A14" s="393"/>
      <c r="B14" s="318"/>
      <c r="C14" s="283" t="s">
        <v>261</v>
      </c>
      <c r="D14" s="284">
        <v>43621</v>
      </c>
      <c r="E14" s="288" t="s">
        <v>13</v>
      </c>
      <c r="F14" s="289" t="s">
        <v>13</v>
      </c>
      <c r="G14" s="288" t="s">
        <v>13</v>
      </c>
      <c r="H14" s="289" t="s">
        <v>13</v>
      </c>
      <c r="I14" s="289" t="s">
        <v>266</v>
      </c>
      <c r="J14" s="319"/>
      <c r="L14" s="355"/>
    </row>
    <row r="15" spans="1:12" s="282" customFormat="1" ht="20.100000000000001" customHeight="1">
      <c r="A15" s="393"/>
      <c r="B15" s="318"/>
      <c r="C15" s="283" t="s">
        <v>262</v>
      </c>
      <c r="D15" s="284">
        <v>43622</v>
      </c>
      <c r="E15" s="288" t="s">
        <v>13</v>
      </c>
      <c r="F15" s="289" t="s">
        <v>13</v>
      </c>
      <c r="G15" s="288" t="s">
        <v>13</v>
      </c>
      <c r="H15" s="289" t="s">
        <v>13</v>
      </c>
      <c r="I15" s="289" t="s">
        <v>266</v>
      </c>
      <c r="J15" s="319"/>
      <c r="L15" s="355"/>
    </row>
    <row r="16" spans="1:12" s="282" customFormat="1" ht="20.100000000000001" customHeight="1">
      <c r="A16" s="393"/>
      <c r="B16" s="318"/>
      <c r="C16" s="283" t="s">
        <v>263</v>
      </c>
      <c r="D16" s="284">
        <v>43623</v>
      </c>
      <c r="E16" s="288" t="s">
        <v>13</v>
      </c>
      <c r="F16" s="289" t="s">
        <v>13</v>
      </c>
      <c r="G16" s="288" t="s">
        <v>13</v>
      </c>
      <c r="H16" s="289" t="s">
        <v>13</v>
      </c>
      <c r="I16" s="289" t="s">
        <v>266</v>
      </c>
      <c r="J16" s="319"/>
      <c r="L16" s="355"/>
    </row>
    <row r="17" spans="1:12" s="282" customFormat="1" ht="20.100000000000001" customHeight="1">
      <c r="A17" s="393"/>
      <c r="B17" s="318"/>
      <c r="C17" s="283" t="s">
        <v>257</v>
      </c>
      <c r="D17" s="284">
        <v>43624</v>
      </c>
      <c r="E17" s="288" t="s">
        <v>13</v>
      </c>
      <c r="F17" s="289" t="s">
        <v>13</v>
      </c>
      <c r="G17" s="288" t="s">
        <v>13</v>
      </c>
      <c r="H17" s="289" t="s">
        <v>13</v>
      </c>
      <c r="I17" s="289" t="s">
        <v>266</v>
      </c>
      <c r="J17" s="319"/>
      <c r="L17" s="355"/>
    </row>
    <row r="18" spans="1:12" s="282" customFormat="1" ht="20.100000000000001" customHeight="1">
      <c r="A18" s="393"/>
      <c r="B18" s="318"/>
      <c r="C18" s="283" t="s">
        <v>258</v>
      </c>
      <c r="D18" s="284">
        <v>43625</v>
      </c>
      <c r="E18" s="288" t="s">
        <v>13</v>
      </c>
      <c r="F18" s="289" t="s">
        <v>13</v>
      </c>
      <c r="G18" s="288" t="s">
        <v>13</v>
      </c>
      <c r="H18" s="289" t="s">
        <v>13</v>
      </c>
      <c r="I18" s="289" t="s">
        <v>266</v>
      </c>
      <c r="J18" s="319"/>
      <c r="L18" s="355"/>
    </row>
    <row r="19" spans="1:12" ht="20.100000000000001" customHeight="1">
      <c r="B19" s="307"/>
      <c r="C19" s="285" t="s">
        <v>259</v>
      </c>
      <c r="D19" s="286">
        <v>43626</v>
      </c>
      <c r="E19" s="290">
        <v>1</v>
      </c>
      <c r="F19" s="291">
        <v>850000</v>
      </c>
      <c r="G19" s="290">
        <v>1</v>
      </c>
      <c r="H19" s="291">
        <v>850000</v>
      </c>
      <c r="I19" s="291" t="s">
        <v>268</v>
      </c>
      <c r="J19" s="308"/>
    </row>
    <row r="20" spans="1:12" ht="20.100000000000001" customHeight="1">
      <c r="B20" s="307"/>
      <c r="C20" s="285" t="s">
        <v>260</v>
      </c>
      <c r="D20" s="286">
        <v>43627</v>
      </c>
      <c r="E20" s="290">
        <v>1</v>
      </c>
      <c r="F20" s="291">
        <v>850000</v>
      </c>
      <c r="G20" s="290">
        <v>1</v>
      </c>
      <c r="H20" s="291">
        <v>850000</v>
      </c>
      <c r="I20" s="291" t="s">
        <v>268</v>
      </c>
      <c r="J20" s="308"/>
    </row>
    <row r="21" spans="1:12" ht="20.100000000000001" customHeight="1">
      <c r="B21" s="307"/>
      <c r="C21" s="285" t="s">
        <v>261</v>
      </c>
      <c r="D21" s="286">
        <v>43628</v>
      </c>
      <c r="E21" s="290">
        <v>1</v>
      </c>
      <c r="F21" s="291">
        <v>850000</v>
      </c>
      <c r="G21" s="290">
        <v>1</v>
      </c>
      <c r="H21" s="291">
        <v>850000</v>
      </c>
      <c r="I21" s="291" t="s">
        <v>268</v>
      </c>
      <c r="J21" s="308"/>
    </row>
    <row r="22" spans="1:12" ht="20.100000000000001" customHeight="1">
      <c r="B22" s="307"/>
      <c r="C22" s="285" t="s">
        <v>262</v>
      </c>
      <c r="D22" s="286">
        <v>43629</v>
      </c>
      <c r="E22" s="290">
        <v>1</v>
      </c>
      <c r="F22" s="291">
        <v>850000</v>
      </c>
      <c r="G22" s="290">
        <v>1</v>
      </c>
      <c r="H22" s="291">
        <v>850000</v>
      </c>
      <c r="I22" s="291" t="s">
        <v>268</v>
      </c>
      <c r="J22" s="308"/>
    </row>
    <row r="23" spans="1:12" ht="20.100000000000001" customHeight="1">
      <c r="B23" s="307"/>
      <c r="C23" s="285" t="s">
        <v>263</v>
      </c>
      <c r="D23" s="286">
        <v>43630</v>
      </c>
      <c r="E23" s="290">
        <v>1</v>
      </c>
      <c r="F23" s="291">
        <v>850000</v>
      </c>
      <c r="G23" s="290">
        <v>1</v>
      </c>
      <c r="H23" s="291">
        <v>850000</v>
      </c>
      <c r="I23" s="291" t="s">
        <v>268</v>
      </c>
      <c r="J23" s="308"/>
    </row>
    <row r="24" spans="1:12" s="282" customFormat="1" ht="20.100000000000001" customHeight="1">
      <c r="A24" s="393"/>
      <c r="B24" s="318"/>
      <c r="C24" s="283" t="s">
        <v>257</v>
      </c>
      <c r="D24" s="284">
        <v>43631</v>
      </c>
      <c r="E24" s="288" t="s">
        <v>13</v>
      </c>
      <c r="F24" s="289" t="s">
        <v>13</v>
      </c>
      <c r="G24" s="288" t="s">
        <v>13</v>
      </c>
      <c r="H24" s="289" t="s">
        <v>13</v>
      </c>
      <c r="I24" s="289" t="s">
        <v>269</v>
      </c>
      <c r="J24" s="319"/>
      <c r="L24" s="355"/>
    </row>
    <row r="25" spans="1:12" s="282" customFormat="1" ht="20.100000000000001" customHeight="1">
      <c r="A25" s="393"/>
      <c r="B25" s="318"/>
      <c r="C25" s="283" t="s">
        <v>258</v>
      </c>
      <c r="D25" s="284">
        <v>43632</v>
      </c>
      <c r="E25" s="288" t="s">
        <v>13</v>
      </c>
      <c r="F25" s="289" t="s">
        <v>13</v>
      </c>
      <c r="G25" s="288" t="s">
        <v>13</v>
      </c>
      <c r="H25" s="289" t="s">
        <v>13</v>
      </c>
      <c r="I25" s="289" t="s">
        <v>269</v>
      </c>
      <c r="J25" s="319"/>
      <c r="L25" s="355"/>
    </row>
    <row r="26" spans="1:12" ht="20.100000000000001" customHeight="1">
      <c r="B26" s="307"/>
      <c r="C26" s="285" t="s">
        <v>259</v>
      </c>
      <c r="D26" s="286">
        <v>43633</v>
      </c>
      <c r="E26" s="290">
        <v>1</v>
      </c>
      <c r="F26" s="291">
        <v>850000</v>
      </c>
      <c r="G26" s="290">
        <v>1</v>
      </c>
      <c r="H26" s="291">
        <v>850000</v>
      </c>
      <c r="I26" s="291" t="s">
        <v>268</v>
      </c>
      <c r="J26" s="308"/>
    </row>
    <row r="27" spans="1:12" ht="20.100000000000001" customHeight="1">
      <c r="B27" s="307"/>
      <c r="C27" s="285" t="s">
        <v>260</v>
      </c>
      <c r="D27" s="286">
        <v>43634</v>
      </c>
      <c r="E27" s="290">
        <v>1</v>
      </c>
      <c r="F27" s="291">
        <v>850000</v>
      </c>
      <c r="G27" s="290">
        <v>1</v>
      </c>
      <c r="H27" s="291">
        <v>850000</v>
      </c>
      <c r="I27" s="291" t="s">
        <v>268</v>
      </c>
      <c r="J27" s="308"/>
    </row>
    <row r="28" spans="1:12" ht="20.100000000000001" customHeight="1">
      <c r="B28" s="307"/>
      <c r="C28" s="285" t="s">
        <v>261</v>
      </c>
      <c r="D28" s="286">
        <v>43635</v>
      </c>
      <c r="E28" s="290">
        <v>1</v>
      </c>
      <c r="F28" s="291">
        <v>850000</v>
      </c>
      <c r="G28" s="290">
        <v>1</v>
      </c>
      <c r="H28" s="291">
        <v>850000</v>
      </c>
      <c r="I28" s="291" t="s">
        <v>268</v>
      </c>
      <c r="J28" s="308"/>
    </row>
    <row r="29" spans="1:12" ht="20.100000000000001" customHeight="1">
      <c r="B29" s="307"/>
      <c r="C29" s="285" t="s">
        <v>262</v>
      </c>
      <c r="D29" s="286">
        <v>43636</v>
      </c>
      <c r="E29" s="290">
        <v>1</v>
      </c>
      <c r="F29" s="291">
        <v>850000</v>
      </c>
      <c r="G29" s="290">
        <v>1</v>
      </c>
      <c r="H29" s="291">
        <v>850000</v>
      </c>
      <c r="I29" s="291" t="s">
        <v>268</v>
      </c>
      <c r="J29" s="308"/>
    </row>
    <row r="30" spans="1:12" ht="20.100000000000001" customHeight="1">
      <c r="B30" s="307"/>
      <c r="C30" s="285" t="s">
        <v>263</v>
      </c>
      <c r="D30" s="286">
        <v>43637</v>
      </c>
      <c r="E30" s="290">
        <v>1</v>
      </c>
      <c r="F30" s="291">
        <v>850000</v>
      </c>
      <c r="G30" s="290">
        <v>1</v>
      </c>
      <c r="H30" s="291">
        <v>850000</v>
      </c>
      <c r="I30" s="291" t="s">
        <v>268</v>
      </c>
      <c r="J30" s="308"/>
    </row>
    <row r="31" spans="1:12" s="282" customFormat="1" ht="20.100000000000001" customHeight="1">
      <c r="A31" s="393"/>
      <c r="B31" s="318"/>
      <c r="C31" s="283" t="s">
        <v>257</v>
      </c>
      <c r="D31" s="284">
        <v>43638</v>
      </c>
      <c r="E31" s="288" t="s">
        <v>13</v>
      </c>
      <c r="F31" s="289" t="s">
        <v>13</v>
      </c>
      <c r="G31" s="288" t="s">
        <v>13</v>
      </c>
      <c r="H31" s="289" t="s">
        <v>13</v>
      </c>
      <c r="I31" s="289" t="s">
        <v>269</v>
      </c>
      <c r="J31" s="319"/>
      <c r="L31" s="355"/>
    </row>
    <row r="32" spans="1:12" s="282" customFormat="1" ht="20.100000000000001" customHeight="1">
      <c r="A32" s="393"/>
      <c r="B32" s="318"/>
      <c r="C32" s="283" t="s">
        <v>258</v>
      </c>
      <c r="D32" s="284">
        <v>43639</v>
      </c>
      <c r="E32" s="288" t="s">
        <v>13</v>
      </c>
      <c r="F32" s="289" t="s">
        <v>13</v>
      </c>
      <c r="G32" s="288" t="s">
        <v>13</v>
      </c>
      <c r="H32" s="289" t="s">
        <v>13</v>
      </c>
      <c r="I32" s="289" t="s">
        <v>269</v>
      </c>
      <c r="J32" s="319"/>
      <c r="L32" s="355"/>
    </row>
    <row r="33" spans="1:12" ht="20.100000000000001" customHeight="1">
      <c r="B33" s="307"/>
      <c r="C33" s="285" t="s">
        <v>259</v>
      </c>
      <c r="D33" s="286">
        <v>43640</v>
      </c>
      <c r="E33" s="290">
        <v>1</v>
      </c>
      <c r="F33" s="291">
        <v>850000</v>
      </c>
      <c r="G33" s="290">
        <v>1</v>
      </c>
      <c r="H33" s="291">
        <v>850000</v>
      </c>
      <c r="I33" s="291" t="s">
        <v>268</v>
      </c>
      <c r="J33" s="308"/>
    </row>
    <row r="34" spans="1:12" ht="20.100000000000001" customHeight="1">
      <c r="B34" s="307"/>
      <c r="C34" s="285" t="s">
        <v>260</v>
      </c>
      <c r="D34" s="286">
        <v>43641</v>
      </c>
      <c r="E34" s="290">
        <v>1</v>
      </c>
      <c r="F34" s="291">
        <v>850000</v>
      </c>
      <c r="G34" s="290">
        <v>1</v>
      </c>
      <c r="H34" s="291">
        <v>850000</v>
      </c>
      <c r="I34" s="291" t="s">
        <v>268</v>
      </c>
      <c r="J34" s="308"/>
    </row>
    <row r="35" spans="1:12" ht="20.100000000000001" customHeight="1">
      <c r="B35" s="307"/>
      <c r="C35" s="285" t="s">
        <v>261</v>
      </c>
      <c r="D35" s="286">
        <v>43642</v>
      </c>
      <c r="E35" s="290">
        <v>1</v>
      </c>
      <c r="F35" s="291">
        <v>850000</v>
      </c>
      <c r="G35" s="290">
        <v>1</v>
      </c>
      <c r="H35" s="291">
        <v>850000</v>
      </c>
      <c r="I35" s="291" t="s">
        <v>268</v>
      </c>
      <c r="J35" s="308"/>
    </row>
    <row r="36" spans="1:12" ht="20.100000000000001" customHeight="1">
      <c r="B36" s="307"/>
      <c r="C36" s="285" t="s">
        <v>262</v>
      </c>
      <c r="D36" s="286">
        <v>43643</v>
      </c>
      <c r="E36" s="290">
        <v>1</v>
      </c>
      <c r="F36" s="291">
        <v>850000</v>
      </c>
      <c r="G36" s="290">
        <v>1</v>
      </c>
      <c r="H36" s="291">
        <v>850000</v>
      </c>
      <c r="I36" s="291" t="s">
        <v>268</v>
      </c>
      <c r="J36" s="308"/>
    </row>
    <row r="37" spans="1:12" ht="20.100000000000001" customHeight="1">
      <c r="B37" s="307"/>
      <c r="C37" s="285" t="s">
        <v>263</v>
      </c>
      <c r="D37" s="286">
        <v>43644</v>
      </c>
      <c r="E37" s="290">
        <v>1</v>
      </c>
      <c r="F37" s="291">
        <v>850000</v>
      </c>
      <c r="G37" s="290">
        <v>1</v>
      </c>
      <c r="H37" s="291">
        <v>850000</v>
      </c>
      <c r="I37" s="291" t="s">
        <v>268</v>
      </c>
      <c r="J37" s="308"/>
    </row>
    <row r="38" spans="1:12" s="282" customFormat="1" ht="20.100000000000001" customHeight="1">
      <c r="A38" s="393"/>
      <c r="B38" s="318"/>
      <c r="C38" s="283" t="s">
        <v>257</v>
      </c>
      <c r="D38" s="284">
        <v>43645</v>
      </c>
      <c r="E38" s="288" t="s">
        <v>13</v>
      </c>
      <c r="F38" s="289" t="s">
        <v>13</v>
      </c>
      <c r="G38" s="288" t="s">
        <v>13</v>
      </c>
      <c r="H38" s="289" t="s">
        <v>13</v>
      </c>
      <c r="I38" s="289" t="s">
        <v>269</v>
      </c>
      <c r="J38" s="319"/>
      <c r="L38" s="355"/>
    </row>
    <row r="39" spans="1:12" s="282" customFormat="1" ht="20.100000000000001" customHeight="1">
      <c r="A39" s="393"/>
      <c r="B39" s="318"/>
      <c r="C39" s="283" t="s">
        <v>258</v>
      </c>
      <c r="D39" s="284">
        <v>43646</v>
      </c>
      <c r="E39" s="288" t="s">
        <v>13</v>
      </c>
      <c r="F39" s="289" t="s">
        <v>13</v>
      </c>
      <c r="G39" s="288" t="s">
        <v>13</v>
      </c>
      <c r="H39" s="289" t="s">
        <v>13</v>
      </c>
      <c r="I39" s="289" t="s">
        <v>269</v>
      </c>
      <c r="J39" s="319"/>
      <c r="L39" s="355"/>
    </row>
    <row r="40" spans="1:12" s="297" customFormat="1" ht="24.95" customHeight="1">
      <c r="A40" s="277"/>
      <c r="B40" s="320"/>
      <c r="C40" s="676" t="s">
        <v>264</v>
      </c>
      <c r="D40" s="676"/>
      <c r="E40" s="677">
        <f>SUM(F10:F39)</f>
        <v>12750000</v>
      </c>
      <c r="F40" s="677"/>
      <c r="G40" s="677">
        <f>SUM(H10:H39)</f>
        <v>12750000</v>
      </c>
      <c r="H40" s="677"/>
      <c r="I40" s="330"/>
      <c r="J40" s="321"/>
      <c r="L40" s="356">
        <v>15</v>
      </c>
    </row>
    <row r="41" spans="1:12" s="296" customFormat="1" ht="30" customHeight="1">
      <c r="A41" s="277"/>
      <c r="B41" s="322"/>
      <c r="C41" s="657" t="s">
        <v>62</v>
      </c>
      <c r="D41" s="657"/>
      <c r="E41" s="658">
        <f>+E40+G40</f>
        <v>25500000</v>
      </c>
      <c r="F41" s="659"/>
      <c r="G41" s="659"/>
      <c r="H41" s="660"/>
      <c r="I41" s="331"/>
      <c r="J41" s="323"/>
      <c r="L41" s="359">
        <f>+L40*2*850000</f>
        <v>25500000</v>
      </c>
    </row>
    <row r="42" spans="1:12" ht="20.100000000000001" customHeight="1">
      <c r="B42" s="307"/>
      <c r="J42" s="308"/>
    </row>
    <row r="43" spans="1:12" ht="18" customHeight="1">
      <c r="B43" s="307"/>
      <c r="C43" s="290" t="s">
        <v>136</v>
      </c>
      <c r="E43" s="183"/>
      <c r="F43" s="234" t="s">
        <v>131</v>
      </c>
      <c r="G43" s="234" t="s">
        <v>130</v>
      </c>
      <c r="H43" s="234" t="s">
        <v>129</v>
      </c>
      <c r="I43" s="234" t="s">
        <v>128</v>
      </c>
      <c r="J43" s="308"/>
    </row>
    <row r="44" spans="1:12" s="335" customFormat="1" ht="39.950000000000003" customHeight="1">
      <c r="B44" s="332"/>
      <c r="C44" s="333">
        <v>5</v>
      </c>
      <c r="D44" s="334"/>
      <c r="F44" s="336">
        <v>4</v>
      </c>
      <c r="G44" s="336">
        <v>3</v>
      </c>
      <c r="H44" s="336">
        <v>2</v>
      </c>
      <c r="I44" s="336">
        <v>1</v>
      </c>
      <c r="J44" s="337"/>
      <c r="L44" s="357"/>
    </row>
    <row r="45" spans="1:12" ht="17.100000000000001" customHeight="1">
      <c r="B45" s="307"/>
      <c r="C45" s="290" t="s">
        <v>277</v>
      </c>
      <c r="E45" s="183"/>
      <c r="F45" s="236" t="s">
        <v>114</v>
      </c>
      <c r="G45" s="237" t="s">
        <v>113</v>
      </c>
      <c r="H45" s="238" t="s">
        <v>112</v>
      </c>
      <c r="I45" s="234" t="s">
        <v>16</v>
      </c>
      <c r="J45" s="308"/>
    </row>
    <row r="46" spans="1:12" ht="15" customHeight="1">
      <c r="B46" s="307"/>
      <c r="C46" s="300" t="s">
        <v>132</v>
      </c>
      <c r="E46" s="183"/>
      <c r="F46" s="300" t="s">
        <v>132</v>
      </c>
      <c r="G46" s="300" t="s">
        <v>132</v>
      </c>
      <c r="H46" s="300" t="s">
        <v>132</v>
      </c>
      <c r="I46" s="300" t="s">
        <v>132</v>
      </c>
      <c r="J46" s="308"/>
    </row>
    <row r="47" spans="1:12" ht="9.9499999999999993" customHeight="1" thickBot="1">
      <c r="B47" s="324"/>
      <c r="C47" s="325"/>
      <c r="D47" s="326"/>
      <c r="E47" s="327"/>
      <c r="F47" s="328"/>
      <c r="G47" s="327"/>
      <c r="H47" s="328"/>
      <c r="I47" s="328"/>
      <c r="J47" s="329"/>
    </row>
    <row r="48" spans="1:12" s="339" customFormat="1" ht="9.9499999999999993" customHeight="1" thickTop="1" thickBot="1">
      <c r="A48" s="341"/>
      <c r="D48" s="340"/>
      <c r="E48" s="341"/>
      <c r="F48" s="342"/>
      <c r="G48" s="341"/>
      <c r="H48" s="342"/>
      <c r="I48" s="342"/>
      <c r="L48" s="350"/>
    </row>
    <row r="49" spans="1:12" ht="9.9499999999999993" customHeight="1" thickTop="1">
      <c r="B49" s="301"/>
      <c r="C49" s="302"/>
      <c r="D49" s="303"/>
      <c r="E49" s="304"/>
      <c r="F49" s="305"/>
      <c r="G49" s="304"/>
      <c r="H49" s="305"/>
      <c r="I49" s="305"/>
      <c r="J49" s="306"/>
    </row>
    <row r="50" spans="1:12" ht="17.100000000000001" customHeight="1">
      <c r="B50" s="307"/>
      <c r="C50" s="298" t="s">
        <v>138</v>
      </c>
      <c r="D50" s="299"/>
      <c r="H50" s="338" t="s">
        <v>271</v>
      </c>
      <c r="J50" s="308"/>
    </row>
    <row r="51" spans="1:12" s="275" customFormat="1" ht="30" customHeight="1">
      <c r="A51" s="277">
        <v>7</v>
      </c>
      <c r="B51" s="309"/>
      <c r="C51" s="279" t="s">
        <v>119</v>
      </c>
      <c r="D51" s="292" t="s">
        <v>244</v>
      </c>
      <c r="F51" s="310"/>
      <c r="G51" s="311"/>
      <c r="H51" s="310"/>
      <c r="I51" s="310"/>
      <c r="J51" s="312"/>
      <c r="L51" s="352"/>
    </row>
    <row r="52" spans="1:12" s="276" customFormat="1" ht="23.1" customHeight="1">
      <c r="A52" s="277"/>
      <c r="B52" s="313"/>
      <c r="C52" s="280" t="s">
        <v>120</v>
      </c>
      <c r="D52" s="293" t="s">
        <v>278</v>
      </c>
      <c r="F52" s="679" t="s">
        <v>270</v>
      </c>
      <c r="G52" s="680"/>
      <c r="H52" s="680"/>
      <c r="I52" s="681"/>
      <c r="J52" s="315"/>
      <c r="L52" s="353"/>
    </row>
    <row r="53" spans="1:12" s="276" customFormat="1" ht="24.95" customHeight="1">
      <c r="A53" s="277"/>
      <c r="B53" s="313"/>
      <c r="C53" s="280" t="s">
        <v>121</v>
      </c>
      <c r="D53" s="293" t="s">
        <v>272</v>
      </c>
      <c r="F53" s="682"/>
      <c r="G53" s="683"/>
      <c r="H53" s="683"/>
      <c r="I53" s="684"/>
      <c r="J53" s="315"/>
      <c r="L53" s="353"/>
    </row>
    <row r="54" spans="1:12" s="278" customFormat="1" ht="50.1" customHeight="1">
      <c r="A54" s="392"/>
      <c r="B54" s="316"/>
      <c r="C54" s="669" t="s">
        <v>2</v>
      </c>
      <c r="D54" s="671" t="s">
        <v>3</v>
      </c>
      <c r="E54" s="673" t="s">
        <v>275</v>
      </c>
      <c r="F54" s="674"/>
      <c r="G54" s="673" t="s">
        <v>276</v>
      </c>
      <c r="H54" s="674"/>
      <c r="I54" s="675" t="s">
        <v>85</v>
      </c>
      <c r="J54" s="317"/>
      <c r="L54" s="354"/>
    </row>
    <row r="55" spans="1:12" s="278" customFormat="1" ht="24.95" customHeight="1">
      <c r="A55" s="392"/>
      <c r="B55" s="316"/>
      <c r="C55" s="670"/>
      <c r="D55" s="672"/>
      <c r="E55" s="294" t="s">
        <v>256</v>
      </c>
      <c r="F55" s="295" t="s">
        <v>27</v>
      </c>
      <c r="G55" s="294" t="s">
        <v>256</v>
      </c>
      <c r="H55" s="295" t="s">
        <v>27</v>
      </c>
      <c r="I55" s="675"/>
      <c r="J55" s="317"/>
      <c r="L55" s="354"/>
    </row>
    <row r="56" spans="1:12" s="349" customFormat="1" ht="18" customHeight="1">
      <c r="A56" s="394"/>
      <c r="B56" s="343"/>
      <c r="C56" s="344" t="s">
        <v>259</v>
      </c>
      <c r="D56" s="345">
        <v>43647</v>
      </c>
      <c r="E56" s="346">
        <v>1</v>
      </c>
      <c r="F56" s="347">
        <v>850000</v>
      </c>
      <c r="G56" s="346">
        <v>1</v>
      </c>
      <c r="H56" s="347">
        <v>850000</v>
      </c>
      <c r="I56" s="347" t="s">
        <v>268</v>
      </c>
      <c r="J56" s="348"/>
      <c r="L56" s="358"/>
    </row>
    <row r="57" spans="1:12" s="349" customFormat="1" ht="18" customHeight="1">
      <c r="A57" s="394"/>
      <c r="B57" s="343"/>
      <c r="C57" s="344" t="s">
        <v>260</v>
      </c>
      <c r="D57" s="345">
        <v>43648</v>
      </c>
      <c r="E57" s="346">
        <v>1</v>
      </c>
      <c r="F57" s="347">
        <v>850000</v>
      </c>
      <c r="G57" s="346">
        <v>1</v>
      </c>
      <c r="H57" s="347">
        <v>850000</v>
      </c>
      <c r="I57" s="347" t="s">
        <v>268</v>
      </c>
      <c r="J57" s="348"/>
      <c r="L57" s="358"/>
    </row>
    <row r="58" spans="1:12" s="349" customFormat="1" ht="18" customHeight="1">
      <c r="A58" s="394"/>
      <c r="B58" s="343"/>
      <c r="C58" s="344" t="s">
        <v>261</v>
      </c>
      <c r="D58" s="345">
        <v>43649</v>
      </c>
      <c r="E58" s="346">
        <v>1</v>
      </c>
      <c r="F58" s="347">
        <v>850000</v>
      </c>
      <c r="G58" s="346">
        <v>1</v>
      </c>
      <c r="H58" s="347">
        <v>850000</v>
      </c>
      <c r="I58" s="347" t="s">
        <v>268</v>
      </c>
      <c r="J58" s="348"/>
      <c r="L58" s="358"/>
    </row>
    <row r="59" spans="1:12" s="349" customFormat="1" ht="18" customHeight="1">
      <c r="A59" s="394"/>
      <c r="B59" s="343"/>
      <c r="C59" s="344" t="s">
        <v>262</v>
      </c>
      <c r="D59" s="345">
        <v>43650</v>
      </c>
      <c r="E59" s="346">
        <v>1</v>
      </c>
      <c r="F59" s="347">
        <v>850000</v>
      </c>
      <c r="G59" s="346">
        <v>1</v>
      </c>
      <c r="H59" s="347">
        <v>850000</v>
      </c>
      <c r="I59" s="347" t="s">
        <v>268</v>
      </c>
      <c r="J59" s="348"/>
      <c r="L59" s="358"/>
    </row>
    <row r="60" spans="1:12" s="349" customFormat="1" ht="18" customHeight="1">
      <c r="A60" s="394"/>
      <c r="B60" s="343"/>
      <c r="C60" s="344" t="s">
        <v>263</v>
      </c>
      <c r="D60" s="345">
        <v>43651</v>
      </c>
      <c r="E60" s="346">
        <v>1</v>
      </c>
      <c r="F60" s="347">
        <v>850000</v>
      </c>
      <c r="G60" s="346">
        <v>1</v>
      </c>
      <c r="H60" s="347">
        <v>850000</v>
      </c>
      <c r="I60" s="347" t="s">
        <v>268</v>
      </c>
      <c r="J60" s="348"/>
      <c r="L60" s="358"/>
    </row>
    <row r="61" spans="1:12" s="282" customFormat="1" ht="18" customHeight="1">
      <c r="A61" s="393"/>
      <c r="B61" s="318"/>
      <c r="C61" s="283" t="s">
        <v>257</v>
      </c>
      <c r="D61" s="284">
        <v>43652</v>
      </c>
      <c r="E61" s="288" t="s">
        <v>13</v>
      </c>
      <c r="F61" s="289" t="s">
        <v>13</v>
      </c>
      <c r="G61" s="288" t="s">
        <v>13</v>
      </c>
      <c r="H61" s="289" t="s">
        <v>13</v>
      </c>
      <c r="I61" s="289" t="s">
        <v>273</v>
      </c>
      <c r="J61" s="319"/>
      <c r="L61" s="355"/>
    </row>
    <row r="62" spans="1:12" s="282" customFormat="1" ht="18" customHeight="1">
      <c r="A62" s="393"/>
      <c r="B62" s="318"/>
      <c r="C62" s="283" t="s">
        <v>258</v>
      </c>
      <c r="D62" s="284">
        <v>43653</v>
      </c>
      <c r="E62" s="288" t="s">
        <v>13</v>
      </c>
      <c r="F62" s="289" t="s">
        <v>13</v>
      </c>
      <c r="G62" s="288" t="s">
        <v>13</v>
      </c>
      <c r="H62" s="289" t="s">
        <v>13</v>
      </c>
      <c r="I62" s="289" t="s">
        <v>273</v>
      </c>
      <c r="J62" s="319"/>
      <c r="L62" s="355"/>
    </row>
    <row r="63" spans="1:12" s="349" customFormat="1" ht="18" customHeight="1">
      <c r="A63" s="394"/>
      <c r="B63" s="343"/>
      <c r="C63" s="344" t="s">
        <v>259</v>
      </c>
      <c r="D63" s="345">
        <v>43654</v>
      </c>
      <c r="E63" s="346">
        <v>1</v>
      </c>
      <c r="F63" s="347">
        <v>850000</v>
      </c>
      <c r="G63" s="346">
        <v>1</v>
      </c>
      <c r="H63" s="347">
        <v>850000</v>
      </c>
      <c r="I63" s="347" t="s">
        <v>268</v>
      </c>
      <c r="J63" s="348"/>
      <c r="L63" s="358"/>
    </row>
    <row r="64" spans="1:12" s="349" customFormat="1" ht="18" customHeight="1">
      <c r="A64" s="394"/>
      <c r="B64" s="343"/>
      <c r="C64" s="344" t="s">
        <v>260</v>
      </c>
      <c r="D64" s="345">
        <v>43655</v>
      </c>
      <c r="E64" s="346">
        <v>1</v>
      </c>
      <c r="F64" s="347">
        <v>850000</v>
      </c>
      <c r="G64" s="346">
        <v>1</v>
      </c>
      <c r="H64" s="347">
        <v>850000</v>
      </c>
      <c r="I64" s="347" t="s">
        <v>268</v>
      </c>
      <c r="J64" s="348"/>
      <c r="L64" s="358"/>
    </row>
    <row r="65" spans="1:12" s="349" customFormat="1" ht="18" customHeight="1">
      <c r="A65" s="394"/>
      <c r="B65" s="343"/>
      <c r="C65" s="344" t="s">
        <v>261</v>
      </c>
      <c r="D65" s="345">
        <v>43656</v>
      </c>
      <c r="E65" s="346">
        <v>1</v>
      </c>
      <c r="F65" s="347">
        <v>850000</v>
      </c>
      <c r="G65" s="346">
        <v>1</v>
      </c>
      <c r="H65" s="347">
        <v>850000</v>
      </c>
      <c r="I65" s="347" t="s">
        <v>268</v>
      </c>
      <c r="J65" s="348"/>
      <c r="L65" s="358"/>
    </row>
    <row r="66" spans="1:12" s="349" customFormat="1" ht="18" customHeight="1">
      <c r="A66" s="394"/>
      <c r="B66" s="343"/>
      <c r="C66" s="344" t="s">
        <v>262</v>
      </c>
      <c r="D66" s="345">
        <v>43657</v>
      </c>
      <c r="E66" s="346">
        <v>1</v>
      </c>
      <c r="F66" s="347">
        <v>850000</v>
      </c>
      <c r="G66" s="346">
        <v>1</v>
      </c>
      <c r="H66" s="347">
        <v>850000</v>
      </c>
      <c r="I66" s="347" t="s">
        <v>268</v>
      </c>
      <c r="J66" s="348"/>
      <c r="L66" s="358"/>
    </row>
    <row r="67" spans="1:12" s="349" customFormat="1" ht="18" customHeight="1">
      <c r="A67" s="394"/>
      <c r="B67" s="343"/>
      <c r="C67" s="344" t="s">
        <v>263</v>
      </c>
      <c r="D67" s="345">
        <v>43658</v>
      </c>
      <c r="E67" s="346">
        <v>1</v>
      </c>
      <c r="F67" s="347">
        <v>850000</v>
      </c>
      <c r="G67" s="346">
        <v>1</v>
      </c>
      <c r="H67" s="347">
        <v>850000</v>
      </c>
      <c r="I67" s="347" t="s">
        <v>268</v>
      </c>
      <c r="J67" s="348"/>
      <c r="L67" s="358"/>
    </row>
    <row r="68" spans="1:12" s="282" customFormat="1" ht="18" customHeight="1">
      <c r="A68" s="393"/>
      <c r="B68" s="318"/>
      <c r="C68" s="283" t="s">
        <v>257</v>
      </c>
      <c r="D68" s="284">
        <v>43659</v>
      </c>
      <c r="E68" s="288" t="s">
        <v>13</v>
      </c>
      <c r="F68" s="289" t="s">
        <v>13</v>
      </c>
      <c r="G68" s="288" t="s">
        <v>13</v>
      </c>
      <c r="H68" s="289" t="s">
        <v>13</v>
      </c>
      <c r="I68" s="289" t="s">
        <v>273</v>
      </c>
      <c r="J68" s="319"/>
      <c r="L68" s="355"/>
    </row>
    <row r="69" spans="1:12" s="282" customFormat="1" ht="18" customHeight="1">
      <c r="A69" s="393"/>
      <c r="B69" s="318"/>
      <c r="C69" s="283" t="s">
        <v>258</v>
      </c>
      <c r="D69" s="284">
        <v>43660</v>
      </c>
      <c r="E69" s="288" t="s">
        <v>13</v>
      </c>
      <c r="F69" s="289" t="s">
        <v>13</v>
      </c>
      <c r="G69" s="288" t="s">
        <v>13</v>
      </c>
      <c r="H69" s="289" t="s">
        <v>13</v>
      </c>
      <c r="I69" s="289" t="s">
        <v>273</v>
      </c>
      <c r="J69" s="319"/>
      <c r="L69" s="355"/>
    </row>
    <row r="70" spans="1:12" s="349" customFormat="1" ht="18" customHeight="1">
      <c r="A70" s="394"/>
      <c r="B70" s="343"/>
      <c r="C70" s="344" t="s">
        <v>259</v>
      </c>
      <c r="D70" s="345">
        <v>43661</v>
      </c>
      <c r="E70" s="346">
        <v>1</v>
      </c>
      <c r="F70" s="347">
        <v>850000</v>
      </c>
      <c r="G70" s="346">
        <v>1</v>
      </c>
      <c r="H70" s="347">
        <v>850000</v>
      </c>
      <c r="I70" s="347" t="s">
        <v>268</v>
      </c>
      <c r="J70" s="348"/>
      <c r="L70" s="358"/>
    </row>
    <row r="71" spans="1:12" s="297" customFormat="1" ht="24.95" customHeight="1">
      <c r="A71" s="277"/>
      <c r="B71" s="320"/>
      <c r="C71" s="676" t="s">
        <v>264</v>
      </c>
      <c r="D71" s="676"/>
      <c r="E71" s="677">
        <f>SUM(F55:F70)</f>
        <v>9350000</v>
      </c>
      <c r="F71" s="677"/>
      <c r="G71" s="677">
        <f>SUM(H55:H70)</f>
        <v>9350000</v>
      </c>
      <c r="H71" s="677"/>
      <c r="I71" s="330"/>
      <c r="J71" s="321"/>
      <c r="L71" s="356"/>
    </row>
    <row r="72" spans="1:12" s="296" customFormat="1" ht="30" customHeight="1">
      <c r="A72" s="277"/>
      <c r="B72" s="322"/>
      <c r="C72" s="657" t="s">
        <v>62</v>
      </c>
      <c r="D72" s="657"/>
      <c r="E72" s="658">
        <f>+E71+G71</f>
        <v>18700000</v>
      </c>
      <c r="F72" s="659"/>
      <c r="G72" s="659"/>
      <c r="H72" s="660"/>
      <c r="I72" s="331"/>
      <c r="J72" s="323"/>
      <c r="L72" s="359"/>
    </row>
    <row r="73" spans="1:12" ht="20.100000000000001" customHeight="1">
      <c r="B73" s="307"/>
      <c r="J73" s="308"/>
    </row>
    <row r="74" spans="1:12" ht="18" customHeight="1">
      <c r="B74" s="307"/>
      <c r="C74" s="290" t="s">
        <v>136</v>
      </c>
      <c r="E74" s="183"/>
      <c r="F74" s="234" t="s">
        <v>131</v>
      </c>
      <c r="G74" s="234" t="s">
        <v>130</v>
      </c>
      <c r="H74" s="234" t="s">
        <v>129</v>
      </c>
      <c r="I74" s="234" t="s">
        <v>128</v>
      </c>
      <c r="J74" s="308"/>
    </row>
    <row r="75" spans="1:12" s="335" customFormat="1" ht="39.950000000000003" customHeight="1">
      <c r="B75" s="332"/>
      <c r="C75" s="333">
        <v>5</v>
      </c>
      <c r="D75" s="334"/>
      <c r="F75" s="336">
        <v>4</v>
      </c>
      <c r="G75" s="336">
        <v>3</v>
      </c>
      <c r="H75" s="336">
        <v>2</v>
      </c>
      <c r="I75" s="336">
        <v>1</v>
      </c>
      <c r="J75" s="337"/>
      <c r="L75" s="357"/>
    </row>
    <row r="76" spans="1:12" ht="17.100000000000001" customHeight="1">
      <c r="B76" s="307"/>
      <c r="C76" s="290" t="s">
        <v>277</v>
      </c>
      <c r="E76" s="183"/>
      <c r="F76" s="236" t="s">
        <v>114</v>
      </c>
      <c r="G76" s="237" t="s">
        <v>274</v>
      </c>
      <c r="H76" s="238" t="s">
        <v>112</v>
      </c>
      <c r="I76" s="234" t="s">
        <v>16</v>
      </c>
      <c r="J76" s="308"/>
    </row>
    <row r="77" spans="1:12" ht="15" customHeight="1">
      <c r="B77" s="307"/>
      <c r="C77" s="300" t="s">
        <v>132</v>
      </c>
      <c r="E77" s="183"/>
      <c r="F77" s="300" t="s">
        <v>132</v>
      </c>
      <c r="G77" s="300" t="s">
        <v>132</v>
      </c>
      <c r="H77" s="300" t="s">
        <v>132</v>
      </c>
      <c r="I77" s="300" t="s">
        <v>132</v>
      </c>
      <c r="J77" s="308"/>
    </row>
    <row r="78" spans="1:12" ht="9.9499999999999993" customHeight="1" thickBot="1">
      <c r="B78" s="324"/>
      <c r="C78" s="325"/>
      <c r="D78" s="326"/>
      <c r="E78" s="327"/>
      <c r="F78" s="328"/>
      <c r="G78" s="327"/>
      <c r="H78" s="328"/>
      <c r="I78" s="328"/>
      <c r="J78" s="329"/>
    </row>
    <row r="79" spans="1:12" ht="9.9499999999999993" customHeight="1" thickTop="1" thickBot="1">
      <c r="B79" s="360"/>
      <c r="C79" s="360"/>
      <c r="D79" s="361"/>
      <c r="E79" s="362"/>
      <c r="F79" s="363"/>
      <c r="G79" s="362"/>
      <c r="H79" s="363"/>
      <c r="I79" s="363"/>
      <c r="J79" s="360"/>
    </row>
    <row r="80" spans="1:12" ht="9.9499999999999993" customHeight="1" thickTop="1">
      <c r="B80" s="301"/>
      <c r="C80" s="302"/>
      <c r="D80" s="303"/>
      <c r="E80" s="304"/>
      <c r="F80" s="305"/>
      <c r="G80" s="304"/>
      <c r="H80" s="305"/>
      <c r="I80" s="305"/>
      <c r="J80" s="306"/>
    </row>
    <row r="81" spans="1:12" ht="17.100000000000001" customHeight="1">
      <c r="B81" s="307"/>
      <c r="C81" s="298" t="s">
        <v>138</v>
      </c>
      <c r="D81" s="299"/>
      <c r="H81" s="338" t="s">
        <v>281</v>
      </c>
      <c r="J81" s="308"/>
    </row>
    <row r="82" spans="1:12" s="275" customFormat="1" ht="30" customHeight="1">
      <c r="A82" s="277"/>
      <c r="B82" s="309"/>
      <c r="C82" s="279" t="s">
        <v>119</v>
      </c>
      <c r="D82" s="292" t="s">
        <v>244</v>
      </c>
      <c r="F82" s="310"/>
      <c r="G82" s="311"/>
      <c r="H82" s="310"/>
      <c r="I82" s="310"/>
      <c r="J82" s="312"/>
      <c r="L82" s="352"/>
    </row>
    <row r="83" spans="1:12" s="276" customFormat="1" ht="23.1" customHeight="1">
      <c r="A83" s="277"/>
      <c r="B83" s="313"/>
      <c r="C83" s="280" t="s">
        <v>120</v>
      </c>
      <c r="D83" s="293" t="s">
        <v>279</v>
      </c>
      <c r="F83" s="685" t="s">
        <v>270</v>
      </c>
      <c r="G83" s="685"/>
      <c r="H83" s="685"/>
      <c r="I83" s="686"/>
      <c r="J83" s="315"/>
      <c r="L83" s="353"/>
    </row>
    <row r="84" spans="1:12" s="276" customFormat="1" ht="23.1" customHeight="1">
      <c r="A84" s="277"/>
      <c r="B84" s="313"/>
      <c r="C84" s="280" t="s">
        <v>121</v>
      </c>
      <c r="D84" s="293" t="s">
        <v>280</v>
      </c>
      <c r="F84" s="683"/>
      <c r="G84" s="683"/>
      <c r="H84" s="683"/>
      <c r="I84" s="684"/>
      <c r="J84" s="315"/>
      <c r="L84" s="353"/>
    </row>
    <row r="85" spans="1:12" s="278" customFormat="1" ht="50.1" customHeight="1">
      <c r="A85" s="392"/>
      <c r="B85" s="316"/>
      <c r="C85" s="669" t="s">
        <v>2</v>
      </c>
      <c r="D85" s="671" t="s">
        <v>3</v>
      </c>
      <c r="E85" s="673" t="s">
        <v>275</v>
      </c>
      <c r="F85" s="674"/>
      <c r="G85" s="673" t="s">
        <v>276</v>
      </c>
      <c r="H85" s="674"/>
      <c r="I85" s="675" t="s">
        <v>85</v>
      </c>
      <c r="J85" s="317"/>
      <c r="L85" s="354"/>
    </row>
    <row r="86" spans="1:12" s="278" customFormat="1" ht="24.95" customHeight="1">
      <c r="A86" s="392"/>
      <c r="B86" s="316"/>
      <c r="C86" s="670"/>
      <c r="D86" s="672"/>
      <c r="E86" s="294" t="s">
        <v>256</v>
      </c>
      <c r="F86" s="295" t="s">
        <v>27</v>
      </c>
      <c r="G86" s="294" t="s">
        <v>256</v>
      </c>
      <c r="H86" s="295" t="s">
        <v>27</v>
      </c>
      <c r="I86" s="675"/>
      <c r="J86" s="317"/>
      <c r="L86" s="354"/>
    </row>
    <row r="87" spans="1:12" s="349" customFormat="1" ht="18" customHeight="1">
      <c r="A87" s="394"/>
      <c r="B87" s="343"/>
      <c r="C87" s="344" t="s">
        <v>260</v>
      </c>
      <c r="D87" s="345">
        <v>43662</v>
      </c>
      <c r="E87" s="346">
        <v>1</v>
      </c>
      <c r="F87" s="347">
        <v>850000</v>
      </c>
      <c r="G87" s="346">
        <v>1</v>
      </c>
      <c r="H87" s="347">
        <v>850000</v>
      </c>
      <c r="I87" s="347" t="s">
        <v>268</v>
      </c>
      <c r="J87" s="348"/>
      <c r="L87" s="358"/>
    </row>
    <row r="88" spans="1:12" s="349" customFormat="1" ht="18" customHeight="1">
      <c r="A88" s="394"/>
      <c r="B88" s="343"/>
      <c r="C88" s="344" t="s">
        <v>261</v>
      </c>
      <c r="D88" s="345">
        <v>43663</v>
      </c>
      <c r="E88" s="346">
        <v>1</v>
      </c>
      <c r="F88" s="347">
        <v>850000</v>
      </c>
      <c r="G88" s="346">
        <v>1</v>
      </c>
      <c r="H88" s="347">
        <v>850000</v>
      </c>
      <c r="I88" s="347" t="s">
        <v>268</v>
      </c>
      <c r="J88" s="348"/>
      <c r="L88" s="358"/>
    </row>
    <row r="89" spans="1:12" s="349" customFormat="1" ht="18" customHeight="1">
      <c r="A89" s="394"/>
      <c r="B89" s="343"/>
      <c r="C89" s="344" t="s">
        <v>262</v>
      </c>
      <c r="D89" s="345">
        <v>43664</v>
      </c>
      <c r="E89" s="346">
        <v>1</v>
      </c>
      <c r="F89" s="347">
        <v>850000</v>
      </c>
      <c r="G89" s="346">
        <v>1</v>
      </c>
      <c r="H89" s="347">
        <v>850000</v>
      </c>
      <c r="I89" s="347" t="s">
        <v>268</v>
      </c>
      <c r="J89" s="348"/>
      <c r="L89" s="358"/>
    </row>
    <row r="90" spans="1:12" s="349" customFormat="1" ht="18" customHeight="1">
      <c r="A90" s="394"/>
      <c r="B90" s="343"/>
      <c r="C90" s="344" t="s">
        <v>263</v>
      </c>
      <c r="D90" s="345">
        <v>43665</v>
      </c>
      <c r="E90" s="346">
        <v>1</v>
      </c>
      <c r="F90" s="347">
        <v>850000</v>
      </c>
      <c r="G90" s="346">
        <v>1</v>
      </c>
      <c r="H90" s="347">
        <v>850000</v>
      </c>
      <c r="I90" s="347" t="s">
        <v>268</v>
      </c>
      <c r="J90" s="348"/>
      <c r="L90" s="358"/>
    </row>
    <row r="91" spans="1:12" s="282" customFormat="1" ht="18" customHeight="1">
      <c r="A91" s="393"/>
      <c r="B91" s="318"/>
      <c r="C91" s="283" t="s">
        <v>257</v>
      </c>
      <c r="D91" s="284">
        <v>43666</v>
      </c>
      <c r="E91" s="288" t="s">
        <v>13</v>
      </c>
      <c r="F91" s="289" t="s">
        <v>13</v>
      </c>
      <c r="G91" s="288" t="s">
        <v>13</v>
      </c>
      <c r="H91" s="289" t="s">
        <v>13</v>
      </c>
      <c r="I91" s="289" t="s">
        <v>273</v>
      </c>
      <c r="J91" s="319"/>
      <c r="L91" s="355"/>
    </row>
    <row r="92" spans="1:12" s="282" customFormat="1" ht="18" customHeight="1">
      <c r="A92" s="393"/>
      <c r="B92" s="318"/>
      <c r="C92" s="283" t="s">
        <v>258</v>
      </c>
      <c r="D92" s="284">
        <v>43667</v>
      </c>
      <c r="E92" s="288" t="s">
        <v>13</v>
      </c>
      <c r="F92" s="289" t="s">
        <v>13</v>
      </c>
      <c r="G92" s="288" t="s">
        <v>13</v>
      </c>
      <c r="H92" s="289" t="s">
        <v>13</v>
      </c>
      <c r="I92" s="289" t="s">
        <v>273</v>
      </c>
      <c r="J92" s="319"/>
      <c r="L92" s="355"/>
    </row>
    <row r="93" spans="1:12" s="349" customFormat="1" ht="18" customHeight="1">
      <c r="A93" s="394"/>
      <c r="B93" s="343"/>
      <c r="C93" s="344" t="s">
        <v>259</v>
      </c>
      <c r="D93" s="345">
        <v>43668</v>
      </c>
      <c r="E93" s="346">
        <v>1</v>
      </c>
      <c r="F93" s="347">
        <v>850000</v>
      </c>
      <c r="G93" s="346">
        <v>1</v>
      </c>
      <c r="H93" s="347">
        <v>850000</v>
      </c>
      <c r="I93" s="347" t="s">
        <v>268</v>
      </c>
      <c r="J93" s="348"/>
      <c r="L93" s="358"/>
    </row>
    <row r="94" spans="1:12" s="349" customFormat="1" ht="18" customHeight="1">
      <c r="A94" s="394"/>
      <c r="B94" s="343"/>
      <c r="C94" s="344" t="s">
        <v>260</v>
      </c>
      <c r="D94" s="345">
        <v>43669</v>
      </c>
      <c r="E94" s="346">
        <v>1</v>
      </c>
      <c r="F94" s="347">
        <v>850000</v>
      </c>
      <c r="G94" s="346">
        <v>1</v>
      </c>
      <c r="H94" s="347">
        <v>850000</v>
      </c>
      <c r="I94" s="347" t="s">
        <v>268</v>
      </c>
      <c r="J94" s="348"/>
      <c r="L94" s="358"/>
    </row>
    <row r="95" spans="1:12" s="349" customFormat="1" ht="18" customHeight="1">
      <c r="A95" s="394"/>
      <c r="B95" s="343"/>
      <c r="C95" s="344" t="s">
        <v>261</v>
      </c>
      <c r="D95" s="345">
        <v>43670</v>
      </c>
      <c r="E95" s="346">
        <v>1</v>
      </c>
      <c r="F95" s="347">
        <v>850000</v>
      </c>
      <c r="G95" s="346">
        <v>1</v>
      </c>
      <c r="H95" s="347">
        <v>850000</v>
      </c>
      <c r="I95" s="347" t="s">
        <v>268</v>
      </c>
      <c r="J95" s="348"/>
      <c r="L95" s="358"/>
    </row>
    <row r="96" spans="1:12" s="349" customFormat="1" ht="18" customHeight="1">
      <c r="A96" s="394"/>
      <c r="B96" s="343"/>
      <c r="C96" s="344" t="s">
        <v>262</v>
      </c>
      <c r="D96" s="345">
        <v>43671</v>
      </c>
      <c r="E96" s="346">
        <v>1</v>
      </c>
      <c r="F96" s="347">
        <v>850000</v>
      </c>
      <c r="G96" s="346">
        <v>1</v>
      </c>
      <c r="H96" s="347">
        <v>850000</v>
      </c>
      <c r="I96" s="347" t="s">
        <v>268</v>
      </c>
      <c r="J96" s="348"/>
      <c r="L96" s="358"/>
    </row>
    <row r="97" spans="1:12" s="349" customFormat="1" ht="18" customHeight="1">
      <c r="A97" s="394"/>
      <c r="B97" s="343"/>
      <c r="C97" s="344" t="s">
        <v>263</v>
      </c>
      <c r="D97" s="345">
        <v>43672</v>
      </c>
      <c r="E97" s="346">
        <v>1</v>
      </c>
      <c r="F97" s="347">
        <v>850000</v>
      </c>
      <c r="G97" s="346">
        <v>1</v>
      </c>
      <c r="H97" s="347">
        <v>850000</v>
      </c>
      <c r="I97" s="347" t="s">
        <v>268</v>
      </c>
      <c r="J97" s="348"/>
      <c r="L97" s="358"/>
    </row>
    <row r="98" spans="1:12" s="282" customFormat="1" ht="18" customHeight="1">
      <c r="A98" s="393"/>
      <c r="B98" s="318"/>
      <c r="C98" s="283" t="s">
        <v>257</v>
      </c>
      <c r="D98" s="284">
        <v>43673</v>
      </c>
      <c r="E98" s="288" t="s">
        <v>13</v>
      </c>
      <c r="F98" s="289" t="s">
        <v>13</v>
      </c>
      <c r="G98" s="288" t="s">
        <v>13</v>
      </c>
      <c r="H98" s="289" t="s">
        <v>13</v>
      </c>
      <c r="I98" s="289" t="s">
        <v>273</v>
      </c>
      <c r="J98" s="319"/>
      <c r="L98" s="355"/>
    </row>
    <row r="99" spans="1:12" s="282" customFormat="1" ht="18" customHeight="1">
      <c r="A99" s="393"/>
      <c r="B99" s="318"/>
      <c r="C99" s="283" t="s">
        <v>258</v>
      </c>
      <c r="D99" s="284">
        <v>43674</v>
      </c>
      <c r="E99" s="288" t="s">
        <v>13</v>
      </c>
      <c r="F99" s="289" t="s">
        <v>13</v>
      </c>
      <c r="G99" s="288" t="s">
        <v>13</v>
      </c>
      <c r="H99" s="289" t="s">
        <v>13</v>
      </c>
      <c r="I99" s="289" t="s">
        <v>273</v>
      </c>
      <c r="J99" s="319"/>
      <c r="L99" s="355"/>
    </row>
    <row r="100" spans="1:12" s="349" customFormat="1" ht="18" customHeight="1">
      <c r="A100" s="394"/>
      <c r="B100" s="343"/>
      <c r="C100" s="344" t="s">
        <v>259</v>
      </c>
      <c r="D100" s="345">
        <v>43675</v>
      </c>
      <c r="E100" s="346">
        <v>1</v>
      </c>
      <c r="F100" s="347">
        <v>850000</v>
      </c>
      <c r="G100" s="346">
        <v>1</v>
      </c>
      <c r="H100" s="347">
        <v>850000</v>
      </c>
      <c r="I100" s="347" t="s">
        <v>268</v>
      </c>
      <c r="J100" s="348"/>
      <c r="L100" s="358"/>
    </row>
    <row r="101" spans="1:12" s="349" customFormat="1" ht="18" customHeight="1">
      <c r="A101" s="394"/>
      <c r="B101" s="343"/>
      <c r="C101" s="344" t="s">
        <v>260</v>
      </c>
      <c r="D101" s="345">
        <v>43676</v>
      </c>
      <c r="E101" s="346">
        <v>1</v>
      </c>
      <c r="F101" s="347">
        <v>850000</v>
      </c>
      <c r="G101" s="346">
        <v>1</v>
      </c>
      <c r="H101" s="347">
        <v>850000</v>
      </c>
      <c r="I101" s="347" t="s">
        <v>268</v>
      </c>
      <c r="J101" s="348"/>
      <c r="L101" s="358"/>
    </row>
    <row r="102" spans="1:12" s="349" customFormat="1" ht="18" customHeight="1">
      <c r="A102" s="394"/>
      <c r="B102" s="343"/>
      <c r="C102" s="344" t="s">
        <v>261</v>
      </c>
      <c r="D102" s="345">
        <v>43677</v>
      </c>
      <c r="E102" s="346">
        <v>1</v>
      </c>
      <c r="F102" s="347">
        <v>850000</v>
      </c>
      <c r="G102" s="346">
        <v>1</v>
      </c>
      <c r="H102" s="347">
        <v>850000</v>
      </c>
      <c r="I102" s="347" t="s">
        <v>268</v>
      </c>
      <c r="J102" s="348"/>
      <c r="L102" s="358"/>
    </row>
    <row r="103" spans="1:12" s="297" customFormat="1" ht="24.95" customHeight="1">
      <c r="A103" s="277"/>
      <c r="B103" s="320"/>
      <c r="C103" s="676" t="s">
        <v>264</v>
      </c>
      <c r="D103" s="676"/>
      <c r="E103" s="677">
        <f>SUM(F87:F102)</f>
        <v>10200000</v>
      </c>
      <c r="F103" s="677"/>
      <c r="G103" s="677">
        <f>SUM(H87:H102)</f>
        <v>10200000</v>
      </c>
      <c r="H103" s="677"/>
      <c r="I103" s="330"/>
      <c r="J103" s="321"/>
      <c r="L103" s="356">
        <v>23</v>
      </c>
    </row>
    <row r="104" spans="1:12" s="296" customFormat="1" ht="30" customHeight="1">
      <c r="A104" s="277"/>
      <c r="B104" s="322"/>
      <c r="C104" s="657" t="s">
        <v>62</v>
      </c>
      <c r="D104" s="657"/>
      <c r="E104" s="658">
        <f>+E103+G103</f>
        <v>20400000</v>
      </c>
      <c r="F104" s="659"/>
      <c r="G104" s="659"/>
      <c r="H104" s="660"/>
      <c r="I104" s="331"/>
      <c r="J104" s="323"/>
      <c r="L104" s="359">
        <f>+L103*2*850000</f>
        <v>39100000</v>
      </c>
    </row>
    <row r="105" spans="1:12" ht="20.100000000000001" customHeight="1">
      <c r="B105" s="307"/>
      <c r="J105" s="308"/>
      <c r="L105" s="351">
        <f>+E104+E72</f>
        <v>39100000</v>
      </c>
    </row>
    <row r="106" spans="1:12" ht="18" customHeight="1">
      <c r="B106" s="307"/>
      <c r="C106" s="290" t="s">
        <v>136</v>
      </c>
      <c r="E106" s="183"/>
      <c r="F106" s="234" t="s">
        <v>131</v>
      </c>
      <c r="G106" s="234" t="s">
        <v>130</v>
      </c>
      <c r="H106" s="234" t="s">
        <v>129</v>
      </c>
      <c r="I106" s="234" t="s">
        <v>128</v>
      </c>
      <c r="J106" s="308"/>
    </row>
    <row r="107" spans="1:12" s="335" customFormat="1" ht="39.950000000000003" customHeight="1">
      <c r="B107" s="332"/>
      <c r="C107" s="333">
        <v>5</v>
      </c>
      <c r="D107" s="334"/>
      <c r="F107" s="336">
        <v>4</v>
      </c>
      <c r="G107" s="336">
        <v>3</v>
      </c>
      <c r="H107" s="336">
        <v>2</v>
      </c>
      <c r="I107" s="336">
        <v>1</v>
      </c>
      <c r="J107" s="337"/>
      <c r="L107" s="357"/>
    </row>
    <row r="108" spans="1:12" ht="17.100000000000001" customHeight="1">
      <c r="B108" s="307"/>
      <c r="C108" s="290" t="s">
        <v>277</v>
      </c>
      <c r="E108" s="183"/>
      <c r="F108" s="236" t="s">
        <v>114</v>
      </c>
      <c r="G108" s="237" t="s">
        <v>274</v>
      </c>
      <c r="H108" s="238" t="s">
        <v>112</v>
      </c>
      <c r="I108" s="234" t="s">
        <v>16</v>
      </c>
      <c r="J108" s="308"/>
    </row>
    <row r="109" spans="1:12" ht="15" customHeight="1">
      <c r="B109" s="307"/>
      <c r="C109" s="300" t="s">
        <v>132</v>
      </c>
      <c r="E109" s="183"/>
      <c r="F109" s="300" t="s">
        <v>132</v>
      </c>
      <c r="G109" s="300" t="s">
        <v>132</v>
      </c>
      <c r="H109" s="300" t="s">
        <v>132</v>
      </c>
      <c r="I109" s="300" t="s">
        <v>132</v>
      </c>
      <c r="J109" s="308"/>
    </row>
    <row r="110" spans="1:12" ht="9.9499999999999993" customHeight="1" thickBot="1">
      <c r="B110" s="324"/>
      <c r="C110" s="325"/>
      <c r="D110" s="326"/>
      <c r="E110" s="327"/>
      <c r="F110" s="328"/>
      <c r="G110" s="327"/>
      <c r="H110" s="328"/>
      <c r="I110" s="328"/>
      <c r="J110" s="329"/>
    </row>
    <row r="111" spans="1:12" ht="9.9499999999999993" customHeight="1" thickTop="1" thickBot="1">
      <c r="B111" s="364"/>
      <c r="C111" s="364"/>
      <c r="D111" s="365"/>
      <c r="E111" s="366"/>
      <c r="F111" s="367"/>
      <c r="G111" s="366"/>
      <c r="H111" s="367"/>
      <c r="I111" s="367"/>
      <c r="J111" s="364"/>
    </row>
    <row r="112" spans="1:12" ht="9.9499999999999993" customHeight="1" thickTop="1">
      <c r="B112" s="301"/>
      <c r="C112" s="302"/>
      <c r="D112" s="303"/>
      <c r="E112" s="304"/>
      <c r="F112" s="305"/>
      <c r="G112" s="304"/>
      <c r="H112" s="305"/>
      <c r="I112" s="305"/>
      <c r="J112" s="306"/>
    </row>
    <row r="113" spans="1:12" ht="17.100000000000001" customHeight="1">
      <c r="B113" s="307"/>
      <c r="C113" s="298" t="s">
        <v>138</v>
      </c>
      <c r="D113" s="299"/>
      <c r="H113" s="338" t="s">
        <v>282</v>
      </c>
      <c r="J113" s="308"/>
    </row>
    <row r="114" spans="1:12" s="275" customFormat="1" ht="30" customHeight="1">
      <c r="A114" s="277"/>
      <c r="B114" s="309"/>
      <c r="C114" s="279" t="s">
        <v>119</v>
      </c>
      <c r="D114" s="292" t="s">
        <v>244</v>
      </c>
      <c r="F114" s="310"/>
      <c r="G114" s="311"/>
      <c r="H114" s="310"/>
      <c r="I114" s="310"/>
      <c r="J114" s="312"/>
      <c r="L114" s="352"/>
    </row>
    <row r="115" spans="1:12" s="276" customFormat="1" ht="23.1" customHeight="1">
      <c r="A115" s="277"/>
      <c r="B115" s="313"/>
      <c r="C115" s="280" t="s">
        <v>120</v>
      </c>
      <c r="D115" s="293" t="s">
        <v>285</v>
      </c>
      <c r="F115" s="679" t="s">
        <v>270</v>
      </c>
      <c r="G115" s="680"/>
      <c r="H115" s="680"/>
      <c r="I115" s="681"/>
      <c r="J115" s="315"/>
      <c r="L115" s="353"/>
    </row>
    <row r="116" spans="1:12" s="276" customFormat="1" ht="23.1" customHeight="1">
      <c r="A116" s="277"/>
      <c r="B116" s="313"/>
      <c r="C116" s="280" t="s">
        <v>121</v>
      </c>
      <c r="D116" s="293" t="s">
        <v>289</v>
      </c>
      <c r="F116" s="682"/>
      <c r="G116" s="683"/>
      <c r="H116" s="683"/>
      <c r="I116" s="684"/>
      <c r="J116" s="315"/>
      <c r="L116" s="353"/>
    </row>
    <row r="117" spans="1:12" s="278" customFormat="1" ht="50.1" customHeight="1">
      <c r="A117" s="392"/>
      <c r="B117" s="316"/>
      <c r="C117" s="669" t="s">
        <v>2</v>
      </c>
      <c r="D117" s="671" t="s">
        <v>283</v>
      </c>
      <c r="E117" s="673" t="s">
        <v>275</v>
      </c>
      <c r="F117" s="674"/>
      <c r="G117" s="673" t="s">
        <v>276</v>
      </c>
      <c r="H117" s="674"/>
      <c r="I117" s="675" t="s">
        <v>85</v>
      </c>
      <c r="J117" s="317"/>
      <c r="L117" s="354"/>
    </row>
    <row r="118" spans="1:12" s="278" customFormat="1" ht="24.95" customHeight="1">
      <c r="A118" s="392"/>
      <c r="B118" s="316"/>
      <c r="C118" s="670"/>
      <c r="D118" s="672"/>
      <c r="E118" s="294" t="s">
        <v>256</v>
      </c>
      <c r="F118" s="295" t="s">
        <v>27</v>
      </c>
      <c r="G118" s="294" t="s">
        <v>256</v>
      </c>
      <c r="H118" s="295" t="s">
        <v>27</v>
      </c>
      <c r="I118" s="675"/>
      <c r="J118" s="317"/>
      <c r="L118" s="354"/>
    </row>
    <row r="119" spans="1:12" s="349" customFormat="1" ht="18" customHeight="1">
      <c r="A119" s="394"/>
      <c r="B119" s="343"/>
      <c r="C119" s="344" t="s">
        <v>262</v>
      </c>
      <c r="D119" s="345">
        <v>43678</v>
      </c>
      <c r="E119" s="346">
        <v>1</v>
      </c>
      <c r="F119" s="347">
        <v>850000</v>
      </c>
      <c r="G119" s="346">
        <v>1</v>
      </c>
      <c r="H119" s="347">
        <v>850000</v>
      </c>
      <c r="I119" s="347" t="s">
        <v>268</v>
      </c>
      <c r="J119" s="348"/>
      <c r="L119" s="358"/>
    </row>
    <row r="120" spans="1:12" s="349" customFormat="1" ht="18" customHeight="1">
      <c r="A120" s="394"/>
      <c r="B120" s="343"/>
      <c r="C120" s="344" t="s">
        <v>263</v>
      </c>
      <c r="D120" s="345">
        <v>43679</v>
      </c>
      <c r="E120" s="346">
        <v>1</v>
      </c>
      <c r="F120" s="347">
        <v>850000</v>
      </c>
      <c r="G120" s="346">
        <v>1</v>
      </c>
      <c r="H120" s="347">
        <v>850000</v>
      </c>
      <c r="I120" s="347" t="s">
        <v>268</v>
      </c>
      <c r="J120" s="348"/>
      <c r="L120" s="358"/>
    </row>
    <row r="121" spans="1:12" s="282" customFormat="1" ht="18" customHeight="1">
      <c r="A121" s="393"/>
      <c r="B121" s="318"/>
      <c r="C121" s="283" t="s">
        <v>257</v>
      </c>
      <c r="D121" s="284">
        <v>43680</v>
      </c>
      <c r="E121" s="288">
        <v>0</v>
      </c>
      <c r="F121" s="289" t="s">
        <v>13</v>
      </c>
      <c r="G121" s="288" t="s">
        <v>13</v>
      </c>
      <c r="H121" s="289" t="s">
        <v>13</v>
      </c>
      <c r="I121" s="289" t="s">
        <v>273</v>
      </c>
      <c r="J121" s="319"/>
      <c r="L121" s="355"/>
    </row>
    <row r="122" spans="1:12" s="282" customFormat="1" ht="18" customHeight="1">
      <c r="A122" s="393"/>
      <c r="B122" s="318"/>
      <c r="C122" s="283" t="s">
        <v>258</v>
      </c>
      <c r="D122" s="284">
        <v>43681</v>
      </c>
      <c r="E122" s="288">
        <v>0</v>
      </c>
      <c r="F122" s="289" t="s">
        <v>13</v>
      </c>
      <c r="G122" s="288" t="s">
        <v>13</v>
      </c>
      <c r="H122" s="289" t="s">
        <v>13</v>
      </c>
      <c r="I122" s="289" t="s">
        <v>273</v>
      </c>
      <c r="J122" s="319"/>
      <c r="L122" s="355"/>
    </row>
    <row r="123" spans="1:12" s="282" customFormat="1" ht="18" customHeight="1">
      <c r="A123" s="393"/>
      <c r="B123" s="318"/>
      <c r="C123" s="344" t="s">
        <v>259</v>
      </c>
      <c r="D123" s="345">
        <v>43682</v>
      </c>
      <c r="E123" s="346">
        <v>1</v>
      </c>
      <c r="F123" s="347">
        <v>850000</v>
      </c>
      <c r="G123" s="346">
        <v>1</v>
      </c>
      <c r="H123" s="347">
        <v>850000</v>
      </c>
      <c r="I123" s="347" t="s">
        <v>268</v>
      </c>
      <c r="J123" s="319"/>
      <c r="L123" s="355"/>
    </row>
    <row r="124" spans="1:12" s="282" customFormat="1" ht="18" customHeight="1">
      <c r="A124" s="393"/>
      <c r="B124" s="318"/>
      <c r="C124" s="344" t="s">
        <v>260</v>
      </c>
      <c r="D124" s="345">
        <v>43683</v>
      </c>
      <c r="E124" s="346">
        <v>1</v>
      </c>
      <c r="F124" s="347">
        <v>850000</v>
      </c>
      <c r="G124" s="346">
        <v>1</v>
      </c>
      <c r="H124" s="347">
        <v>850000</v>
      </c>
      <c r="I124" s="347" t="s">
        <v>268</v>
      </c>
      <c r="J124" s="319"/>
      <c r="L124" s="355"/>
    </row>
    <row r="125" spans="1:12" s="349" customFormat="1" ht="18" customHeight="1">
      <c r="A125" s="394"/>
      <c r="B125" s="343"/>
      <c r="C125" s="344" t="s">
        <v>261</v>
      </c>
      <c r="D125" s="345">
        <v>43684</v>
      </c>
      <c r="E125" s="346">
        <v>1</v>
      </c>
      <c r="F125" s="347">
        <v>850000</v>
      </c>
      <c r="G125" s="346">
        <v>1</v>
      </c>
      <c r="H125" s="347">
        <v>850000</v>
      </c>
      <c r="I125" s="347" t="s">
        <v>268</v>
      </c>
      <c r="J125" s="348"/>
      <c r="L125" s="358"/>
    </row>
    <row r="126" spans="1:12" s="349" customFormat="1" ht="18" customHeight="1">
      <c r="A126" s="394"/>
      <c r="B126" s="343"/>
      <c r="C126" s="344" t="s">
        <v>262</v>
      </c>
      <c r="D126" s="345">
        <v>43685</v>
      </c>
      <c r="E126" s="346">
        <v>1</v>
      </c>
      <c r="F126" s="347">
        <v>850000</v>
      </c>
      <c r="G126" s="346">
        <v>1</v>
      </c>
      <c r="H126" s="347">
        <v>850000</v>
      </c>
      <c r="I126" s="347" t="s">
        <v>268</v>
      </c>
      <c r="J126" s="348"/>
      <c r="L126" s="358"/>
    </row>
    <row r="127" spans="1:12" s="349" customFormat="1" ht="18" customHeight="1">
      <c r="A127" s="394"/>
      <c r="B127" s="343"/>
      <c r="C127" s="344" t="s">
        <v>263</v>
      </c>
      <c r="D127" s="345">
        <v>43686</v>
      </c>
      <c r="E127" s="346">
        <v>1</v>
      </c>
      <c r="F127" s="347">
        <v>850000</v>
      </c>
      <c r="G127" s="346">
        <v>1</v>
      </c>
      <c r="H127" s="347">
        <v>850000</v>
      </c>
      <c r="I127" s="347" t="s">
        <v>268</v>
      </c>
      <c r="J127" s="348"/>
      <c r="L127" s="358"/>
    </row>
    <row r="128" spans="1:12" s="282" customFormat="1" ht="18" customHeight="1">
      <c r="A128" s="393"/>
      <c r="B128" s="318"/>
      <c r="C128" s="283" t="s">
        <v>257</v>
      </c>
      <c r="D128" s="284">
        <v>43687</v>
      </c>
      <c r="E128" s="288">
        <v>0</v>
      </c>
      <c r="F128" s="289" t="s">
        <v>13</v>
      </c>
      <c r="G128" s="288" t="s">
        <v>13</v>
      </c>
      <c r="H128" s="289" t="s">
        <v>13</v>
      </c>
      <c r="I128" s="289" t="s">
        <v>273</v>
      </c>
      <c r="J128" s="319"/>
      <c r="L128" s="355"/>
    </row>
    <row r="129" spans="1:12" s="282" customFormat="1" ht="18" customHeight="1">
      <c r="A129" s="393"/>
      <c r="B129" s="318"/>
      <c r="C129" s="283" t="s">
        <v>258</v>
      </c>
      <c r="D129" s="284">
        <v>43688</v>
      </c>
      <c r="E129" s="288">
        <v>0</v>
      </c>
      <c r="F129" s="289" t="s">
        <v>13</v>
      </c>
      <c r="G129" s="288" t="s">
        <v>13</v>
      </c>
      <c r="H129" s="289" t="s">
        <v>13</v>
      </c>
      <c r="I129" s="289" t="s">
        <v>273</v>
      </c>
      <c r="J129" s="319"/>
      <c r="L129" s="355"/>
    </row>
    <row r="130" spans="1:12" s="282" customFormat="1" ht="18" customHeight="1">
      <c r="A130" s="393"/>
      <c r="B130" s="318"/>
      <c r="C130" s="344" t="s">
        <v>259</v>
      </c>
      <c r="D130" s="284">
        <v>43689</v>
      </c>
      <c r="E130" s="288">
        <v>0</v>
      </c>
      <c r="F130" s="289" t="s">
        <v>13</v>
      </c>
      <c r="G130" s="288" t="s">
        <v>13</v>
      </c>
      <c r="H130" s="289" t="s">
        <v>13</v>
      </c>
      <c r="I130" s="289" t="s">
        <v>273</v>
      </c>
      <c r="J130" s="319"/>
      <c r="L130" s="355"/>
    </row>
    <row r="131" spans="1:12" s="282" customFormat="1" ht="18" customHeight="1">
      <c r="A131" s="393"/>
      <c r="B131" s="318"/>
      <c r="C131" s="344" t="s">
        <v>260</v>
      </c>
      <c r="D131" s="345">
        <v>43690</v>
      </c>
      <c r="E131" s="346">
        <v>1</v>
      </c>
      <c r="F131" s="347">
        <v>850000</v>
      </c>
      <c r="G131" s="346">
        <v>1</v>
      </c>
      <c r="H131" s="347">
        <v>850000</v>
      </c>
      <c r="I131" s="347" t="s">
        <v>268</v>
      </c>
      <c r="J131" s="319"/>
      <c r="L131" s="355"/>
    </row>
    <row r="132" spans="1:12" s="349" customFormat="1" ht="18" customHeight="1">
      <c r="A132" s="394"/>
      <c r="B132" s="343"/>
      <c r="C132" s="344" t="s">
        <v>261</v>
      </c>
      <c r="D132" s="345">
        <v>43691</v>
      </c>
      <c r="E132" s="346">
        <v>1</v>
      </c>
      <c r="F132" s="347">
        <v>850000</v>
      </c>
      <c r="G132" s="346">
        <v>1</v>
      </c>
      <c r="H132" s="347">
        <v>850000</v>
      </c>
      <c r="I132" s="347" t="s">
        <v>268</v>
      </c>
      <c r="J132" s="348"/>
      <c r="L132" s="358"/>
    </row>
    <row r="133" spans="1:12" s="349" customFormat="1" ht="18" customHeight="1">
      <c r="A133" s="394"/>
      <c r="B133" s="343"/>
      <c r="C133" s="344" t="s">
        <v>262</v>
      </c>
      <c r="D133" s="345">
        <v>43692</v>
      </c>
      <c r="E133" s="346">
        <v>1</v>
      </c>
      <c r="F133" s="347">
        <v>850000</v>
      </c>
      <c r="G133" s="346">
        <v>1</v>
      </c>
      <c r="H133" s="347">
        <v>850000</v>
      </c>
      <c r="I133" s="347" t="s">
        <v>268</v>
      </c>
      <c r="J133" s="348"/>
      <c r="L133" s="358"/>
    </row>
    <row r="134" spans="1:12" s="297" customFormat="1" ht="24.95" customHeight="1">
      <c r="A134" s="277"/>
      <c r="B134" s="320"/>
      <c r="C134" s="676" t="s">
        <v>264</v>
      </c>
      <c r="D134" s="676"/>
      <c r="E134" s="677">
        <f>SUM(F119:F133)</f>
        <v>8500000</v>
      </c>
      <c r="F134" s="677"/>
      <c r="G134" s="677">
        <f>SUM(H119:H133)</f>
        <v>8500000</v>
      </c>
      <c r="H134" s="677"/>
      <c r="I134" s="330"/>
      <c r="J134" s="321"/>
      <c r="L134" s="356">
        <v>23</v>
      </c>
    </row>
    <row r="135" spans="1:12" s="296" customFormat="1" ht="30" customHeight="1">
      <c r="A135" s="277"/>
      <c r="B135" s="322"/>
      <c r="C135" s="657" t="s">
        <v>62</v>
      </c>
      <c r="D135" s="657"/>
      <c r="E135" s="658">
        <f>+E134+G134</f>
        <v>17000000</v>
      </c>
      <c r="F135" s="659"/>
      <c r="G135" s="659"/>
      <c r="H135" s="660"/>
      <c r="I135" s="331"/>
      <c r="J135" s="323"/>
      <c r="L135" s="359">
        <f>+L134*2*850000</f>
        <v>39100000</v>
      </c>
    </row>
    <row r="136" spans="1:12" ht="20.100000000000001" customHeight="1">
      <c r="B136" s="307"/>
      <c r="J136" s="308"/>
      <c r="L136" s="351">
        <f>+E135+E104</f>
        <v>37400000</v>
      </c>
    </row>
    <row r="137" spans="1:12" ht="18" customHeight="1">
      <c r="B137" s="307"/>
      <c r="C137" s="290" t="s">
        <v>136</v>
      </c>
      <c r="E137" s="183"/>
      <c r="F137" s="234" t="s">
        <v>131</v>
      </c>
      <c r="G137" s="234" t="s">
        <v>130</v>
      </c>
      <c r="H137" s="234" t="s">
        <v>129</v>
      </c>
      <c r="I137" s="234" t="s">
        <v>128</v>
      </c>
      <c r="J137" s="308"/>
    </row>
    <row r="138" spans="1:12" s="335" customFormat="1" ht="39.950000000000003" customHeight="1">
      <c r="B138" s="332"/>
      <c r="C138" s="333">
        <v>5</v>
      </c>
      <c r="D138" s="334"/>
      <c r="F138" s="336">
        <v>4</v>
      </c>
      <c r="G138" s="336">
        <v>3</v>
      </c>
      <c r="H138" s="336">
        <v>2</v>
      </c>
      <c r="I138" s="336">
        <v>1</v>
      </c>
      <c r="J138" s="337"/>
      <c r="L138" s="357"/>
    </row>
    <row r="139" spans="1:12" ht="17.100000000000001" customHeight="1">
      <c r="B139" s="307"/>
      <c r="C139" s="290" t="s">
        <v>277</v>
      </c>
      <c r="E139" s="183"/>
      <c r="F139" s="236" t="s">
        <v>114</v>
      </c>
      <c r="G139" s="237" t="s">
        <v>274</v>
      </c>
      <c r="H139" s="238" t="s">
        <v>112</v>
      </c>
      <c r="I139" s="234" t="s">
        <v>16</v>
      </c>
      <c r="J139" s="308"/>
    </row>
    <row r="140" spans="1:12" ht="15" customHeight="1">
      <c r="B140" s="307"/>
      <c r="C140" s="300" t="s">
        <v>132</v>
      </c>
      <c r="E140" s="183"/>
      <c r="F140" s="300" t="s">
        <v>132</v>
      </c>
      <c r="G140" s="300" t="s">
        <v>132</v>
      </c>
      <c r="H140" s="300" t="s">
        <v>132</v>
      </c>
      <c r="I140" s="300" t="s">
        <v>132</v>
      </c>
      <c r="J140" s="308"/>
    </row>
    <row r="141" spans="1:12" ht="9.9499999999999993" customHeight="1" thickBot="1">
      <c r="B141" s="324"/>
      <c r="C141" s="325"/>
      <c r="D141" s="326"/>
      <c r="E141" s="327"/>
      <c r="F141" s="328"/>
      <c r="G141" s="327"/>
      <c r="H141" s="328"/>
      <c r="I141" s="328"/>
      <c r="J141" s="329"/>
    </row>
    <row r="142" spans="1:12" ht="9.9499999999999993" customHeight="1" thickTop="1">
      <c r="B142" s="364"/>
      <c r="C142" s="364"/>
      <c r="D142" s="365"/>
      <c r="E142" s="366"/>
      <c r="F142" s="367"/>
      <c r="G142" s="366"/>
      <c r="H142" s="367"/>
      <c r="I142" s="367"/>
      <c r="J142" s="364"/>
    </row>
    <row r="143" spans="1:12" ht="9.9499999999999993" customHeight="1">
      <c r="B143" s="368"/>
      <c r="C143" s="369"/>
      <c r="D143" s="370"/>
      <c r="E143" s="371"/>
      <c r="F143" s="372"/>
      <c r="G143" s="371"/>
      <c r="H143" s="372"/>
      <c r="I143" s="372"/>
      <c r="J143" s="373"/>
    </row>
    <row r="144" spans="1:12" ht="17.100000000000001" customHeight="1">
      <c r="B144" s="307"/>
      <c r="C144" s="298" t="s">
        <v>138</v>
      </c>
      <c r="D144" s="299"/>
      <c r="H144" s="338" t="s">
        <v>282</v>
      </c>
      <c r="J144" s="308"/>
    </row>
    <row r="145" spans="1:12" s="275" customFormat="1" ht="30" customHeight="1">
      <c r="A145" s="277"/>
      <c r="B145" s="309"/>
      <c r="C145" s="279" t="s">
        <v>119</v>
      </c>
      <c r="D145" s="292" t="s">
        <v>244</v>
      </c>
      <c r="F145" s="310"/>
      <c r="G145" s="311"/>
      <c r="H145" s="310"/>
      <c r="I145" s="310"/>
      <c r="J145" s="312"/>
      <c r="L145" s="352"/>
    </row>
    <row r="146" spans="1:12" s="276" customFormat="1" ht="23.1" customHeight="1">
      <c r="A146" s="277"/>
      <c r="B146" s="313"/>
      <c r="C146" s="280" t="s">
        <v>120</v>
      </c>
      <c r="D146" s="293" t="s">
        <v>284</v>
      </c>
      <c r="F146" s="679" t="s">
        <v>270</v>
      </c>
      <c r="G146" s="680"/>
      <c r="H146" s="680"/>
      <c r="I146" s="681"/>
      <c r="J146" s="315"/>
      <c r="L146" s="353"/>
    </row>
    <row r="147" spans="1:12" s="276" customFormat="1" ht="23.1" customHeight="1">
      <c r="A147" s="277"/>
      <c r="B147" s="313"/>
      <c r="C147" s="280" t="s">
        <v>121</v>
      </c>
      <c r="D147" s="293" t="s">
        <v>288</v>
      </c>
      <c r="F147" s="682"/>
      <c r="G147" s="683"/>
      <c r="H147" s="683"/>
      <c r="I147" s="684"/>
      <c r="J147" s="315"/>
      <c r="L147" s="353"/>
    </row>
    <row r="148" spans="1:12" s="278" customFormat="1" ht="50.1" customHeight="1">
      <c r="A148" s="392"/>
      <c r="B148" s="316"/>
      <c r="C148" s="669" t="s">
        <v>2</v>
      </c>
      <c r="D148" s="671" t="s">
        <v>283</v>
      </c>
      <c r="E148" s="673" t="s">
        <v>275</v>
      </c>
      <c r="F148" s="674"/>
      <c r="G148" s="673" t="s">
        <v>276</v>
      </c>
      <c r="H148" s="674"/>
      <c r="I148" s="675" t="s">
        <v>85</v>
      </c>
      <c r="J148" s="317"/>
      <c r="L148" s="354"/>
    </row>
    <row r="149" spans="1:12" s="278" customFormat="1" ht="24.95" customHeight="1">
      <c r="A149" s="392"/>
      <c r="B149" s="316"/>
      <c r="C149" s="670"/>
      <c r="D149" s="672"/>
      <c r="E149" s="294" t="s">
        <v>256</v>
      </c>
      <c r="F149" s="295" t="s">
        <v>27</v>
      </c>
      <c r="G149" s="294" t="s">
        <v>256</v>
      </c>
      <c r="H149" s="295" t="s">
        <v>27</v>
      </c>
      <c r="I149" s="675"/>
      <c r="J149" s="317"/>
      <c r="L149" s="354"/>
    </row>
    <row r="150" spans="1:12" s="282" customFormat="1" ht="18" customHeight="1">
      <c r="A150" s="393"/>
      <c r="B150" s="318"/>
      <c r="C150" s="283" t="s">
        <v>263</v>
      </c>
      <c r="D150" s="284">
        <v>43693</v>
      </c>
      <c r="E150" s="288">
        <v>0</v>
      </c>
      <c r="F150" s="289" t="s">
        <v>13</v>
      </c>
      <c r="G150" s="288" t="s">
        <v>13</v>
      </c>
      <c r="H150" s="289" t="s">
        <v>13</v>
      </c>
      <c r="I150" s="289" t="s">
        <v>273</v>
      </c>
      <c r="J150" s="319"/>
      <c r="L150" s="355"/>
    </row>
    <row r="151" spans="1:12" s="282" customFormat="1" ht="18" customHeight="1">
      <c r="A151" s="393"/>
      <c r="B151" s="318"/>
      <c r="C151" s="283" t="s">
        <v>257</v>
      </c>
      <c r="D151" s="284">
        <v>43694</v>
      </c>
      <c r="E151" s="288">
        <v>0</v>
      </c>
      <c r="F151" s="289" t="s">
        <v>13</v>
      </c>
      <c r="G151" s="288" t="s">
        <v>13</v>
      </c>
      <c r="H151" s="289" t="s">
        <v>13</v>
      </c>
      <c r="I151" s="289" t="s">
        <v>273</v>
      </c>
      <c r="J151" s="319"/>
      <c r="L151" s="355"/>
    </row>
    <row r="152" spans="1:12" s="282" customFormat="1" ht="18" customHeight="1">
      <c r="A152" s="393"/>
      <c r="B152" s="318"/>
      <c r="C152" s="283" t="s">
        <v>258</v>
      </c>
      <c r="D152" s="284">
        <v>43695</v>
      </c>
      <c r="E152" s="288">
        <v>0</v>
      </c>
      <c r="F152" s="289" t="s">
        <v>13</v>
      </c>
      <c r="G152" s="288" t="s">
        <v>13</v>
      </c>
      <c r="H152" s="289" t="s">
        <v>13</v>
      </c>
      <c r="I152" s="289" t="s">
        <v>273</v>
      </c>
      <c r="J152" s="319"/>
      <c r="L152" s="355"/>
    </row>
    <row r="153" spans="1:12" s="282" customFormat="1" ht="18" customHeight="1">
      <c r="A153" s="393"/>
      <c r="B153" s="318"/>
      <c r="C153" s="344" t="s">
        <v>259</v>
      </c>
      <c r="D153" s="345">
        <v>43696</v>
      </c>
      <c r="E153" s="346">
        <v>1</v>
      </c>
      <c r="F153" s="347">
        <v>850000</v>
      </c>
      <c r="G153" s="346">
        <v>1</v>
      </c>
      <c r="H153" s="347">
        <v>850000</v>
      </c>
      <c r="I153" s="347" t="s">
        <v>268</v>
      </c>
      <c r="J153" s="319"/>
      <c r="L153" s="355"/>
    </row>
    <row r="154" spans="1:12" s="282" customFormat="1" ht="18" customHeight="1">
      <c r="A154" s="393"/>
      <c r="B154" s="318"/>
      <c r="C154" s="344" t="s">
        <v>260</v>
      </c>
      <c r="D154" s="345">
        <v>43697</v>
      </c>
      <c r="E154" s="346">
        <v>1</v>
      </c>
      <c r="F154" s="347">
        <v>850000</v>
      </c>
      <c r="G154" s="346">
        <v>1</v>
      </c>
      <c r="H154" s="347">
        <v>850000</v>
      </c>
      <c r="I154" s="347" t="s">
        <v>268</v>
      </c>
      <c r="J154" s="319"/>
      <c r="L154" s="355"/>
    </row>
    <row r="155" spans="1:12" s="282" customFormat="1" ht="18" customHeight="1">
      <c r="A155" s="393"/>
      <c r="B155" s="318"/>
      <c r="C155" s="344" t="s">
        <v>261</v>
      </c>
      <c r="D155" s="345">
        <v>43698</v>
      </c>
      <c r="E155" s="346">
        <v>1</v>
      </c>
      <c r="F155" s="347">
        <v>850000</v>
      </c>
      <c r="G155" s="346">
        <v>1</v>
      </c>
      <c r="H155" s="347">
        <v>850000</v>
      </c>
      <c r="I155" s="347" t="s">
        <v>268</v>
      </c>
      <c r="J155" s="319"/>
      <c r="L155" s="355"/>
    </row>
    <row r="156" spans="1:12" s="349" customFormat="1" ht="18" customHeight="1">
      <c r="A156" s="394"/>
      <c r="B156" s="343"/>
      <c r="C156" s="344" t="s">
        <v>262</v>
      </c>
      <c r="D156" s="345">
        <v>43699</v>
      </c>
      <c r="E156" s="346">
        <v>1</v>
      </c>
      <c r="F156" s="347">
        <v>850000</v>
      </c>
      <c r="G156" s="346">
        <v>1</v>
      </c>
      <c r="H156" s="347">
        <v>850000</v>
      </c>
      <c r="I156" s="347" t="s">
        <v>268</v>
      </c>
      <c r="J156" s="348"/>
      <c r="L156" s="358"/>
    </row>
    <row r="157" spans="1:12" s="349" customFormat="1" ht="18" customHeight="1">
      <c r="A157" s="394"/>
      <c r="B157" s="343"/>
      <c r="C157" s="344" t="s">
        <v>263</v>
      </c>
      <c r="D157" s="345">
        <v>43700</v>
      </c>
      <c r="E157" s="346">
        <v>1</v>
      </c>
      <c r="F157" s="347">
        <v>850000</v>
      </c>
      <c r="G157" s="346">
        <v>1</v>
      </c>
      <c r="H157" s="347">
        <v>850000</v>
      </c>
      <c r="I157" s="347" t="s">
        <v>268</v>
      </c>
      <c r="J157" s="348"/>
      <c r="L157" s="358"/>
    </row>
    <row r="158" spans="1:12" s="349" customFormat="1" ht="18" customHeight="1">
      <c r="A158" s="394"/>
      <c r="B158" s="343"/>
      <c r="C158" s="344" t="s">
        <v>257</v>
      </c>
      <c r="D158" s="345">
        <v>43701</v>
      </c>
      <c r="E158" s="346">
        <v>1</v>
      </c>
      <c r="F158" s="347">
        <v>850000</v>
      </c>
      <c r="G158" s="346">
        <v>1</v>
      </c>
      <c r="H158" s="347">
        <v>850000</v>
      </c>
      <c r="I158" s="347" t="s">
        <v>268</v>
      </c>
      <c r="J158" s="348"/>
      <c r="L158" s="358"/>
    </row>
    <row r="159" spans="1:12" s="282" customFormat="1" ht="18" customHeight="1">
      <c r="A159" s="393"/>
      <c r="B159" s="318"/>
      <c r="C159" s="283" t="s">
        <v>258</v>
      </c>
      <c r="D159" s="284">
        <v>43702</v>
      </c>
      <c r="E159" s="288">
        <v>0</v>
      </c>
      <c r="F159" s="289" t="s">
        <v>13</v>
      </c>
      <c r="G159" s="288" t="s">
        <v>13</v>
      </c>
      <c r="H159" s="289" t="s">
        <v>13</v>
      </c>
      <c r="I159" s="289" t="s">
        <v>273</v>
      </c>
      <c r="J159" s="319"/>
      <c r="L159" s="355"/>
    </row>
    <row r="160" spans="1:12" s="282" customFormat="1" ht="18" customHeight="1">
      <c r="A160" s="393"/>
      <c r="B160" s="318"/>
      <c r="C160" s="344" t="s">
        <v>259</v>
      </c>
      <c r="D160" s="345">
        <v>43703</v>
      </c>
      <c r="E160" s="346">
        <v>1</v>
      </c>
      <c r="F160" s="347">
        <v>850000</v>
      </c>
      <c r="G160" s="346">
        <v>1</v>
      </c>
      <c r="H160" s="347">
        <v>850000</v>
      </c>
      <c r="I160" s="347" t="s">
        <v>268</v>
      </c>
      <c r="J160" s="319"/>
      <c r="L160" s="355"/>
    </row>
    <row r="161" spans="1:12" s="282" customFormat="1" ht="18" customHeight="1">
      <c r="A161" s="393"/>
      <c r="B161" s="318"/>
      <c r="C161" s="344" t="s">
        <v>260</v>
      </c>
      <c r="D161" s="345">
        <v>43704</v>
      </c>
      <c r="E161" s="346">
        <v>1</v>
      </c>
      <c r="F161" s="347">
        <v>850000</v>
      </c>
      <c r="G161" s="346">
        <v>1</v>
      </c>
      <c r="H161" s="347">
        <v>850000</v>
      </c>
      <c r="I161" s="347" t="s">
        <v>268</v>
      </c>
      <c r="J161" s="319"/>
      <c r="L161" s="355"/>
    </row>
    <row r="162" spans="1:12" s="282" customFormat="1" ht="18" customHeight="1">
      <c r="A162" s="393"/>
      <c r="B162" s="318"/>
      <c r="C162" s="344" t="s">
        <v>261</v>
      </c>
      <c r="D162" s="345">
        <v>43705</v>
      </c>
      <c r="E162" s="346">
        <v>1</v>
      </c>
      <c r="F162" s="347">
        <v>850000</v>
      </c>
      <c r="G162" s="346">
        <v>1</v>
      </c>
      <c r="H162" s="347">
        <v>850000</v>
      </c>
      <c r="I162" s="347" t="s">
        <v>268</v>
      </c>
      <c r="J162" s="319"/>
      <c r="L162" s="355"/>
    </row>
    <row r="163" spans="1:12" s="349" customFormat="1" ht="18" customHeight="1">
      <c r="A163" s="394"/>
      <c r="B163" s="343"/>
      <c r="C163" s="344" t="s">
        <v>262</v>
      </c>
      <c r="D163" s="345">
        <v>43706</v>
      </c>
      <c r="E163" s="346">
        <v>1</v>
      </c>
      <c r="F163" s="347">
        <v>850000</v>
      </c>
      <c r="G163" s="346">
        <v>1</v>
      </c>
      <c r="H163" s="347">
        <v>850000</v>
      </c>
      <c r="I163" s="347" t="s">
        <v>268</v>
      </c>
      <c r="J163" s="348"/>
      <c r="L163" s="358"/>
    </row>
    <row r="164" spans="1:12" s="349" customFormat="1" ht="18" customHeight="1">
      <c r="A164" s="394"/>
      <c r="B164" s="343"/>
      <c r="C164" s="344" t="s">
        <v>263</v>
      </c>
      <c r="D164" s="345">
        <v>43707</v>
      </c>
      <c r="E164" s="346">
        <v>1</v>
      </c>
      <c r="F164" s="347">
        <v>850000</v>
      </c>
      <c r="G164" s="346">
        <v>1</v>
      </c>
      <c r="H164" s="347">
        <v>850000</v>
      </c>
      <c r="I164" s="347" t="s">
        <v>268</v>
      </c>
      <c r="J164" s="348"/>
      <c r="L164" s="358"/>
    </row>
    <row r="165" spans="1:12" s="282" customFormat="1" ht="18" customHeight="1">
      <c r="A165" s="393"/>
      <c r="B165" s="318"/>
      <c r="C165" s="283" t="s">
        <v>257</v>
      </c>
      <c r="D165" s="284">
        <v>43708</v>
      </c>
      <c r="E165" s="288">
        <v>0</v>
      </c>
      <c r="F165" s="289" t="s">
        <v>13</v>
      </c>
      <c r="G165" s="288" t="s">
        <v>13</v>
      </c>
      <c r="H165" s="289" t="s">
        <v>13</v>
      </c>
      <c r="I165" s="289" t="s">
        <v>273</v>
      </c>
      <c r="J165" s="319"/>
      <c r="L165" s="355"/>
    </row>
    <row r="166" spans="1:12" s="297" customFormat="1" ht="24.95" customHeight="1">
      <c r="A166" s="277"/>
      <c r="B166" s="320"/>
      <c r="C166" s="676" t="s">
        <v>264</v>
      </c>
      <c r="D166" s="676"/>
      <c r="E166" s="677">
        <f>SUM(F150:F164)</f>
        <v>9350000</v>
      </c>
      <c r="F166" s="677"/>
      <c r="G166" s="677">
        <f>SUM(H150:H164)</f>
        <v>9350000</v>
      </c>
      <c r="H166" s="677"/>
      <c r="I166" s="330"/>
      <c r="J166" s="321"/>
      <c r="L166" s="356">
        <v>23</v>
      </c>
    </row>
    <row r="167" spans="1:12" s="296" customFormat="1" ht="30" customHeight="1">
      <c r="A167" s="277"/>
      <c r="B167" s="322"/>
      <c r="C167" s="657" t="s">
        <v>62</v>
      </c>
      <c r="D167" s="657"/>
      <c r="E167" s="658">
        <f>+E166+G166</f>
        <v>18700000</v>
      </c>
      <c r="F167" s="659"/>
      <c r="G167" s="659"/>
      <c r="H167" s="660"/>
      <c r="I167" s="331"/>
      <c r="J167" s="323"/>
      <c r="L167" s="359">
        <f>+L166*2*850000</f>
        <v>39100000</v>
      </c>
    </row>
    <row r="168" spans="1:12" ht="20.100000000000001" customHeight="1">
      <c r="B168" s="307"/>
      <c r="J168" s="308"/>
      <c r="L168" s="351">
        <f>+E167+E135</f>
        <v>35700000</v>
      </c>
    </row>
    <row r="169" spans="1:12" ht="18" customHeight="1">
      <c r="B169" s="307"/>
      <c r="C169" s="290" t="s">
        <v>136</v>
      </c>
      <c r="E169" s="183"/>
      <c r="F169" s="234" t="s">
        <v>131</v>
      </c>
      <c r="G169" s="234" t="s">
        <v>130</v>
      </c>
      <c r="H169" s="234" t="s">
        <v>129</v>
      </c>
      <c r="I169" s="234" t="s">
        <v>128</v>
      </c>
      <c r="J169" s="308"/>
    </row>
    <row r="170" spans="1:12" s="335" customFormat="1" ht="39.950000000000003" customHeight="1">
      <c r="B170" s="332"/>
      <c r="C170" s="333">
        <v>5</v>
      </c>
      <c r="D170" s="334"/>
      <c r="F170" s="336">
        <v>4</v>
      </c>
      <c r="G170" s="336">
        <v>3</v>
      </c>
      <c r="H170" s="336">
        <v>2</v>
      </c>
      <c r="I170" s="336">
        <v>1</v>
      </c>
      <c r="J170" s="337"/>
      <c r="L170" s="357"/>
    </row>
    <row r="171" spans="1:12" ht="17.100000000000001" customHeight="1">
      <c r="B171" s="307"/>
      <c r="C171" s="290" t="s">
        <v>277</v>
      </c>
      <c r="E171" s="183"/>
      <c r="F171" s="236" t="s">
        <v>114</v>
      </c>
      <c r="G171" s="237" t="s">
        <v>274</v>
      </c>
      <c r="H171" s="238" t="s">
        <v>112</v>
      </c>
      <c r="I171" s="234" t="s">
        <v>16</v>
      </c>
      <c r="J171" s="308"/>
    </row>
    <row r="172" spans="1:12" ht="15" customHeight="1" thickBot="1">
      <c r="B172" s="374"/>
      <c r="C172" s="375" t="s">
        <v>132</v>
      </c>
      <c r="D172" s="376"/>
      <c r="E172" s="377"/>
      <c r="F172" s="375" t="s">
        <v>132</v>
      </c>
      <c r="G172" s="375" t="s">
        <v>132</v>
      </c>
      <c r="H172" s="375" t="s">
        <v>132</v>
      </c>
      <c r="I172" s="375" t="s">
        <v>132</v>
      </c>
      <c r="J172" s="378"/>
    </row>
    <row r="173" spans="1:12" ht="9.9499999999999993" customHeight="1" thickTop="1">
      <c r="B173" s="364"/>
      <c r="C173" s="364"/>
      <c r="D173" s="365"/>
      <c r="E173" s="366"/>
      <c r="F173" s="367"/>
      <c r="G173" s="366"/>
      <c r="H173" s="367"/>
      <c r="I173" s="367"/>
      <c r="J173" s="364"/>
    </row>
    <row r="174" spans="1:12" ht="20.100000000000001" customHeight="1"/>
    <row r="175" spans="1:12" ht="9.9499999999999993" customHeight="1" thickBot="1">
      <c r="B175" s="364"/>
      <c r="C175" s="364"/>
      <c r="D175" s="365"/>
      <c r="E175" s="366"/>
      <c r="F175" s="367"/>
      <c r="G175" s="366"/>
      <c r="H175" s="367"/>
      <c r="I175" s="367"/>
      <c r="J175" s="364"/>
    </row>
    <row r="176" spans="1:12" ht="9.9499999999999993" customHeight="1" thickTop="1">
      <c r="B176" s="301"/>
      <c r="C176" s="302"/>
      <c r="D176" s="303"/>
      <c r="E176" s="304"/>
      <c r="F176" s="305"/>
      <c r="G176" s="304"/>
      <c r="H176" s="305"/>
      <c r="I176" s="305"/>
      <c r="J176" s="306"/>
    </row>
    <row r="177" spans="1:12" ht="17.100000000000001" customHeight="1">
      <c r="B177" s="307"/>
      <c r="C177" s="298" t="s">
        <v>138</v>
      </c>
      <c r="D177" s="299"/>
      <c r="G177" s="678" t="s">
        <v>286</v>
      </c>
      <c r="H177" s="678"/>
      <c r="I177" s="678"/>
      <c r="J177" s="308"/>
    </row>
    <row r="178" spans="1:12" s="275" customFormat="1" ht="30" customHeight="1">
      <c r="A178" s="277"/>
      <c r="B178" s="309"/>
      <c r="C178" s="279" t="s">
        <v>119</v>
      </c>
      <c r="D178" s="292" t="s">
        <v>244</v>
      </c>
      <c r="F178" s="310"/>
      <c r="G178" s="311"/>
      <c r="H178" s="310"/>
      <c r="I178" s="310"/>
      <c r="J178" s="312"/>
      <c r="L178" s="352"/>
    </row>
    <row r="179" spans="1:12" s="276" customFormat="1" ht="23.1" customHeight="1">
      <c r="A179" s="277"/>
      <c r="B179" s="313"/>
      <c r="C179" s="280" t="s">
        <v>120</v>
      </c>
      <c r="D179" s="293" t="s">
        <v>287</v>
      </c>
      <c r="F179" s="679" t="s">
        <v>270</v>
      </c>
      <c r="G179" s="680"/>
      <c r="H179" s="680"/>
      <c r="I179" s="681"/>
      <c r="J179" s="315"/>
      <c r="L179" s="353"/>
    </row>
    <row r="180" spans="1:12" s="276" customFormat="1" ht="23.1" customHeight="1">
      <c r="A180" s="277"/>
      <c r="B180" s="313"/>
      <c r="C180" s="280" t="s">
        <v>121</v>
      </c>
      <c r="D180" s="293" t="s">
        <v>290</v>
      </c>
      <c r="F180" s="682"/>
      <c r="G180" s="683"/>
      <c r="H180" s="683"/>
      <c r="I180" s="684"/>
      <c r="J180" s="315"/>
      <c r="L180" s="353"/>
    </row>
    <row r="181" spans="1:12" s="278" customFormat="1" ht="50.1" customHeight="1">
      <c r="A181" s="392"/>
      <c r="B181" s="316"/>
      <c r="C181" s="669" t="s">
        <v>2</v>
      </c>
      <c r="D181" s="671" t="s">
        <v>283</v>
      </c>
      <c r="E181" s="673" t="s">
        <v>275</v>
      </c>
      <c r="F181" s="674"/>
      <c r="G181" s="673" t="s">
        <v>276</v>
      </c>
      <c r="H181" s="674"/>
      <c r="I181" s="675" t="s">
        <v>85</v>
      </c>
      <c r="J181" s="317"/>
      <c r="L181" s="354"/>
    </row>
    <row r="182" spans="1:12" s="278" customFormat="1" ht="24.95" customHeight="1">
      <c r="A182" s="392"/>
      <c r="B182" s="316"/>
      <c r="C182" s="670"/>
      <c r="D182" s="672"/>
      <c r="E182" s="294" t="s">
        <v>256</v>
      </c>
      <c r="F182" s="295" t="s">
        <v>27</v>
      </c>
      <c r="G182" s="294" t="s">
        <v>256</v>
      </c>
      <c r="H182" s="295" t="s">
        <v>27</v>
      </c>
      <c r="I182" s="675"/>
      <c r="J182" s="317"/>
      <c r="L182" s="354"/>
    </row>
    <row r="183" spans="1:12" s="282" customFormat="1" ht="18" customHeight="1">
      <c r="A183" s="393"/>
      <c r="B183" s="318"/>
      <c r="C183" s="283" t="s">
        <v>258</v>
      </c>
      <c r="D183" s="284">
        <v>43709</v>
      </c>
      <c r="E183" s="288">
        <v>1</v>
      </c>
      <c r="F183" s="289" t="s">
        <v>13</v>
      </c>
      <c r="G183" s="288" t="s">
        <v>13</v>
      </c>
      <c r="H183" s="289" t="s">
        <v>13</v>
      </c>
      <c r="I183" s="289" t="s">
        <v>273</v>
      </c>
      <c r="J183" s="319"/>
      <c r="L183" s="355"/>
    </row>
    <row r="184" spans="1:12" s="349" customFormat="1" ht="18" customHeight="1">
      <c r="A184" s="394"/>
      <c r="B184" s="343"/>
      <c r="C184" s="344" t="s">
        <v>259</v>
      </c>
      <c r="D184" s="345">
        <v>43710</v>
      </c>
      <c r="E184" s="346">
        <v>1</v>
      </c>
      <c r="F184" s="347">
        <v>850000</v>
      </c>
      <c r="G184" s="346">
        <v>1</v>
      </c>
      <c r="H184" s="347">
        <v>850000</v>
      </c>
      <c r="I184" s="347" t="s">
        <v>268</v>
      </c>
      <c r="J184" s="348"/>
      <c r="L184" s="358"/>
    </row>
    <row r="185" spans="1:12" s="349" customFormat="1" ht="18" customHeight="1">
      <c r="A185" s="394"/>
      <c r="B185" s="343"/>
      <c r="C185" s="344" t="s">
        <v>260</v>
      </c>
      <c r="D185" s="345">
        <v>43711</v>
      </c>
      <c r="E185" s="346">
        <v>0</v>
      </c>
      <c r="F185" s="347">
        <v>850000</v>
      </c>
      <c r="G185" s="346">
        <v>1</v>
      </c>
      <c r="H185" s="347">
        <v>850000</v>
      </c>
      <c r="I185" s="347" t="s">
        <v>268</v>
      </c>
      <c r="J185" s="348"/>
      <c r="L185" s="358"/>
    </row>
    <row r="186" spans="1:12" s="349" customFormat="1" ht="18" customHeight="1">
      <c r="A186" s="394"/>
      <c r="B186" s="343"/>
      <c r="C186" s="344" t="s">
        <v>261</v>
      </c>
      <c r="D186" s="345">
        <v>43712</v>
      </c>
      <c r="E186" s="346">
        <v>0</v>
      </c>
      <c r="F186" s="347">
        <v>850000</v>
      </c>
      <c r="G186" s="346">
        <v>1</v>
      </c>
      <c r="H186" s="347">
        <v>850000</v>
      </c>
      <c r="I186" s="347" t="s">
        <v>268</v>
      </c>
      <c r="J186" s="348"/>
      <c r="L186" s="358"/>
    </row>
    <row r="187" spans="1:12" s="349" customFormat="1" ht="18" customHeight="1">
      <c r="A187" s="394"/>
      <c r="B187" s="343"/>
      <c r="C187" s="344" t="s">
        <v>262</v>
      </c>
      <c r="D187" s="345">
        <v>43713</v>
      </c>
      <c r="E187" s="346">
        <v>1</v>
      </c>
      <c r="F187" s="347">
        <v>850000</v>
      </c>
      <c r="G187" s="346">
        <v>1</v>
      </c>
      <c r="H187" s="347">
        <v>850000</v>
      </c>
      <c r="I187" s="347" t="s">
        <v>268</v>
      </c>
      <c r="J187" s="348"/>
      <c r="L187" s="358"/>
    </row>
    <row r="188" spans="1:12" s="349" customFormat="1" ht="18" customHeight="1">
      <c r="A188" s="394"/>
      <c r="B188" s="343"/>
      <c r="C188" s="344" t="s">
        <v>263</v>
      </c>
      <c r="D188" s="345">
        <v>43714</v>
      </c>
      <c r="E188" s="346">
        <v>1</v>
      </c>
      <c r="F188" s="347">
        <v>850000</v>
      </c>
      <c r="G188" s="346">
        <v>1</v>
      </c>
      <c r="H188" s="347">
        <v>850000</v>
      </c>
      <c r="I188" s="347" t="s">
        <v>268</v>
      </c>
      <c r="J188" s="348"/>
      <c r="L188" s="358"/>
    </row>
    <row r="189" spans="1:12" s="282" customFormat="1" ht="18" customHeight="1">
      <c r="A189" s="393"/>
      <c r="B189" s="318"/>
      <c r="C189" s="283" t="s">
        <v>257</v>
      </c>
      <c r="D189" s="284">
        <v>43715</v>
      </c>
      <c r="E189" s="288">
        <v>1</v>
      </c>
      <c r="F189" s="289" t="s">
        <v>13</v>
      </c>
      <c r="G189" s="288" t="s">
        <v>13</v>
      </c>
      <c r="H189" s="289" t="s">
        <v>13</v>
      </c>
      <c r="I189" s="289" t="s">
        <v>273</v>
      </c>
      <c r="J189" s="319"/>
      <c r="L189" s="355"/>
    </row>
    <row r="190" spans="1:12" s="282" customFormat="1" ht="18" customHeight="1">
      <c r="A190" s="393"/>
      <c r="B190" s="318"/>
      <c r="C190" s="283" t="s">
        <v>258</v>
      </c>
      <c r="D190" s="284">
        <v>43716</v>
      </c>
      <c r="E190" s="288">
        <v>1</v>
      </c>
      <c r="F190" s="289" t="s">
        <v>13</v>
      </c>
      <c r="G190" s="288" t="s">
        <v>13</v>
      </c>
      <c r="H190" s="289" t="s">
        <v>13</v>
      </c>
      <c r="I190" s="289" t="s">
        <v>273</v>
      </c>
      <c r="J190" s="319"/>
      <c r="L190" s="355"/>
    </row>
    <row r="191" spans="1:12" s="349" customFormat="1" ht="18" customHeight="1">
      <c r="A191" s="394"/>
      <c r="B191" s="343"/>
      <c r="C191" s="344" t="s">
        <v>259</v>
      </c>
      <c r="D191" s="345">
        <v>43717</v>
      </c>
      <c r="E191" s="346">
        <v>1</v>
      </c>
      <c r="F191" s="347">
        <v>850000</v>
      </c>
      <c r="G191" s="346">
        <v>1</v>
      </c>
      <c r="H191" s="347">
        <v>850000</v>
      </c>
      <c r="I191" s="347" t="s">
        <v>268</v>
      </c>
      <c r="J191" s="348"/>
      <c r="L191" s="358"/>
    </row>
    <row r="192" spans="1:12" s="349" customFormat="1" ht="18" customHeight="1">
      <c r="A192" s="394"/>
      <c r="B192" s="343"/>
      <c r="C192" s="344" t="s">
        <v>260</v>
      </c>
      <c r="D192" s="345">
        <v>43718</v>
      </c>
      <c r="E192" s="346">
        <v>0</v>
      </c>
      <c r="F192" s="347">
        <v>850000</v>
      </c>
      <c r="G192" s="346">
        <v>1</v>
      </c>
      <c r="H192" s="347">
        <v>850000</v>
      </c>
      <c r="I192" s="347" t="s">
        <v>268</v>
      </c>
      <c r="J192" s="348"/>
      <c r="L192" s="358"/>
    </row>
    <row r="193" spans="1:12" s="349" customFormat="1" ht="18" customHeight="1">
      <c r="A193" s="394"/>
      <c r="B193" s="343"/>
      <c r="C193" s="344" t="s">
        <v>261</v>
      </c>
      <c r="D193" s="345">
        <v>43719</v>
      </c>
      <c r="E193" s="346">
        <v>0</v>
      </c>
      <c r="F193" s="347">
        <v>850000</v>
      </c>
      <c r="G193" s="346">
        <v>1</v>
      </c>
      <c r="H193" s="347">
        <v>850000</v>
      </c>
      <c r="I193" s="347" t="s">
        <v>268</v>
      </c>
      <c r="J193" s="348"/>
      <c r="L193" s="358"/>
    </row>
    <row r="194" spans="1:12" s="349" customFormat="1" ht="18" customHeight="1">
      <c r="A194" s="394"/>
      <c r="B194" s="343"/>
      <c r="C194" s="344" t="s">
        <v>262</v>
      </c>
      <c r="D194" s="345">
        <v>43720</v>
      </c>
      <c r="E194" s="346">
        <v>0</v>
      </c>
      <c r="F194" s="347">
        <v>850000</v>
      </c>
      <c r="G194" s="346">
        <v>1</v>
      </c>
      <c r="H194" s="347">
        <v>850000</v>
      </c>
      <c r="I194" s="347" t="s">
        <v>268</v>
      </c>
      <c r="J194" s="348"/>
      <c r="L194" s="358"/>
    </row>
    <row r="195" spans="1:12" s="349" customFormat="1" ht="18" customHeight="1">
      <c r="A195" s="394"/>
      <c r="B195" s="343"/>
      <c r="C195" s="344" t="s">
        <v>263</v>
      </c>
      <c r="D195" s="345">
        <v>43721</v>
      </c>
      <c r="E195" s="346">
        <v>1</v>
      </c>
      <c r="F195" s="347">
        <v>850000</v>
      </c>
      <c r="G195" s="346">
        <v>1</v>
      </c>
      <c r="H195" s="347">
        <v>850000</v>
      </c>
      <c r="I195" s="347" t="s">
        <v>268</v>
      </c>
      <c r="J195" s="348"/>
      <c r="L195" s="358"/>
    </row>
    <row r="196" spans="1:12" s="282" customFormat="1" ht="18" customHeight="1">
      <c r="A196" s="393"/>
      <c r="B196" s="318"/>
      <c r="C196" s="283" t="s">
        <v>257</v>
      </c>
      <c r="D196" s="284">
        <v>43722</v>
      </c>
      <c r="E196" s="288">
        <v>1</v>
      </c>
      <c r="F196" s="289" t="s">
        <v>13</v>
      </c>
      <c r="G196" s="288" t="s">
        <v>13</v>
      </c>
      <c r="H196" s="289" t="s">
        <v>13</v>
      </c>
      <c r="I196" s="289" t="s">
        <v>273</v>
      </c>
      <c r="J196" s="319"/>
      <c r="L196" s="355"/>
    </row>
    <row r="197" spans="1:12" s="282" customFormat="1" ht="18" customHeight="1">
      <c r="A197" s="393"/>
      <c r="B197" s="318"/>
      <c r="C197" s="283" t="s">
        <v>258</v>
      </c>
      <c r="D197" s="284">
        <v>43723</v>
      </c>
      <c r="E197" s="288">
        <v>1</v>
      </c>
      <c r="F197" s="289" t="s">
        <v>13</v>
      </c>
      <c r="G197" s="288" t="s">
        <v>13</v>
      </c>
      <c r="H197" s="289" t="s">
        <v>13</v>
      </c>
      <c r="I197" s="289" t="s">
        <v>273</v>
      </c>
      <c r="J197" s="319"/>
      <c r="L197" s="355"/>
    </row>
    <row r="198" spans="1:12" s="297" customFormat="1" ht="24.95" customHeight="1">
      <c r="A198" s="277"/>
      <c r="B198" s="320"/>
      <c r="C198" s="676" t="s">
        <v>264</v>
      </c>
      <c r="D198" s="676"/>
      <c r="E198" s="677">
        <f>SUM(F183:F197)</f>
        <v>8500000</v>
      </c>
      <c r="F198" s="677"/>
      <c r="G198" s="677">
        <f>SUM(H183:H197)</f>
        <v>8500000</v>
      </c>
      <c r="H198" s="677"/>
      <c r="I198" s="330"/>
      <c r="J198" s="321"/>
      <c r="L198" s="356"/>
    </row>
    <row r="199" spans="1:12" s="296" customFormat="1" ht="30" customHeight="1">
      <c r="A199" s="277"/>
      <c r="B199" s="322"/>
      <c r="C199" s="657" t="s">
        <v>62</v>
      </c>
      <c r="D199" s="657"/>
      <c r="E199" s="658">
        <f>+E198+G198</f>
        <v>17000000</v>
      </c>
      <c r="F199" s="659"/>
      <c r="G199" s="659"/>
      <c r="H199" s="660"/>
      <c r="I199" s="331"/>
      <c r="J199" s="323"/>
      <c r="L199" s="359"/>
    </row>
    <row r="200" spans="1:12" ht="20.100000000000001" customHeight="1">
      <c r="B200" s="307"/>
      <c r="J200" s="308"/>
    </row>
    <row r="201" spans="1:12" ht="18" customHeight="1">
      <c r="B201" s="307"/>
      <c r="C201" s="290" t="s">
        <v>136</v>
      </c>
      <c r="E201" s="183"/>
      <c r="F201" s="234" t="s">
        <v>131</v>
      </c>
      <c r="G201" s="234" t="s">
        <v>130</v>
      </c>
      <c r="H201" s="234" t="s">
        <v>129</v>
      </c>
      <c r="I201" s="234" t="s">
        <v>128</v>
      </c>
      <c r="J201" s="308"/>
    </row>
    <row r="202" spans="1:12" s="335" customFormat="1" ht="39.950000000000003" customHeight="1">
      <c r="B202" s="332"/>
      <c r="C202" s="333">
        <v>5</v>
      </c>
      <c r="D202" s="334"/>
      <c r="F202" s="336">
        <v>4</v>
      </c>
      <c r="G202" s="336">
        <v>3</v>
      </c>
      <c r="H202" s="336">
        <v>2</v>
      </c>
      <c r="I202" s="336">
        <v>1</v>
      </c>
      <c r="J202" s="337"/>
      <c r="L202" s="357"/>
    </row>
    <row r="203" spans="1:12" ht="17.100000000000001" customHeight="1">
      <c r="B203" s="307"/>
      <c r="C203" s="290" t="s">
        <v>277</v>
      </c>
      <c r="E203" s="183"/>
      <c r="F203" s="236" t="s">
        <v>114</v>
      </c>
      <c r="G203" s="237" t="s">
        <v>274</v>
      </c>
      <c r="H203" s="238" t="s">
        <v>112</v>
      </c>
      <c r="I203" s="234" t="s">
        <v>16</v>
      </c>
      <c r="J203" s="308"/>
    </row>
    <row r="204" spans="1:12" ht="15" customHeight="1">
      <c r="B204" s="307"/>
      <c r="C204" s="300" t="s">
        <v>132</v>
      </c>
      <c r="E204" s="183"/>
      <c r="F204" s="300" t="s">
        <v>132</v>
      </c>
      <c r="G204" s="300" t="s">
        <v>132</v>
      </c>
      <c r="H204" s="300" t="s">
        <v>132</v>
      </c>
      <c r="I204" s="300" t="s">
        <v>132</v>
      </c>
      <c r="J204" s="308"/>
    </row>
    <row r="205" spans="1:12" ht="9.9499999999999993" customHeight="1" thickBot="1">
      <c r="B205" s="324"/>
      <c r="C205" s="325"/>
      <c r="D205" s="326"/>
      <c r="E205" s="327"/>
      <c r="F205" s="328"/>
      <c r="G205" s="327"/>
      <c r="H205" s="328"/>
      <c r="I205" s="328"/>
      <c r="J205" s="329"/>
    </row>
    <row r="206" spans="1:12" ht="9.9499999999999993" customHeight="1" thickTop="1">
      <c r="B206" s="364"/>
      <c r="C206" s="364"/>
      <c r="D206" s="365"/>
      <c r="E206" s="366"/>
      <c r="F206" s="367"/>
      <c r="G206" s="366"/>
      <c r="H206" s="367"/>
      <c r="I206" s="367"/>
      <c r="J206" s="364"/>
    </row>
    <row r="207" spans="1:12" ht="9.9499999999999993" customHeight="1">
      <c r="B207" s="368"/>
      <c r="C207" s="369"/>
      <c r="D207" s="370"/>
      <c r="E207" s="371"/>
      <c r="F207" s="372"/>
      <c r="G207" s="371"/>
      <c r="H207" s="372"/>
      <c r="I207" s="372"/>
      <c r="J207" s="373"/>
    </row>
    <row r="208" spans="1:12" ht="17.100000000000001" customHeight="1">
      <c r="B208" s="307"/>
      <c r="C208" s="298" t="s">
        <v>138</v>
      </c>
      <c r="D208" s="299"/>
      <c r="G208" s="678" t="s">
        <v>286</v>
      </c>
      <c r="H208" s="678"/>
      <c r="I208" s="678"/>
      <c r="J208" s="308"/>
    </row>
    <row r="209" spans="1:12" s="275" customFormat="1" ht="30" customHeight="1">
      <c r="A209" s="277"/>
      <c r="B209" s="309"/>
      <c r="C209" s="279" t="s">
        <v>119</v>
      </c>
      <c r="D209" s="292" t="s">
        <v>244</v>
      </c>
      <c r="F209" s="310"/>
      <c r="G209" s="311"/>
      <c r="H209" s="310"/>
      <c r="I209" s="310"/>
      <c r="J209" s="312"/>
      <c r="L209" s="352"/>
    </row>
    <row r="210" spans="1:12" s="276" customFormat="1" ht="23.1" customHeight="1">
      <c r="A210" s="277"/>
      <c r="B210" s="313"/>
      <c r="C210" s="280" t="s">
        <v>120</v>
      </c>
      <c r="D210" s="293" t="s">
        <v>292</v>
      </c>
      <c r="F210" s="679" t="s">
        <v>270</v>
      </c>
      <c r="G210" s="680"/>
      <c r="H210" s="680"/>
      <c r="I210" s="681"/>
      <c r="J210" s="315"/>
      <c r="L210" s="353"/>
    </row>
    <row r="211" spans="1:12" s="276" customFormat="1" ht="23.1" customHeight="1">
      <c r="A211" s="277"/>
      <c r="B211" s="313"/>
      <c r="C211" s="280" t="s">
        <v>121</v>
      </c>
      <c r="D211" s="293" t="s">
        <v>291</v>
      </c>
      <c r="F211" s="682"/>
      <c r="G211" s="683"/>
      <c r="H211" s="683"/>
      <c r="I211" s="684"/>
      <c r="J211" s="315"/>
      <c r="L211" s="353"/>
    </row>
    <row r="212" spans="1:12" s="278" customFormat="1" ht="50.1" customHeight="1">
      <c r="A212" s="392"/>
      <c r="B212" s="316"/>
      <c r="C212" s="669" t="s">
        <v>2</v>
      </c>
      <c r="D212" s="671" t="s">
        <v>283</v>
      </c>
      <c r="E212" s="673" t="s">
        <v>275</v>
      </c>
      <c r="F212" s="674"/>
      <c r="G212" s="673" t="s">
        <v>276</v>
      </c>
      <c r="H212" s="674"/>
      <c r="I212" s="675" t="s">
        <v>85</v>
      </c>
      <c r="J212" s="317"/>
      <c r="L212" s="354"/>
    </row>
    <row r="213" spans="1:12" s="278" customFormat="1" ht="24.95" customHeight="1">
      <c r="A213" s="392"/>
      <c r="B213" s="316"/>
      <c r="C213" s="670"/>
      <c r="D213" s="672"/>
      <c r="E213" s="294" t="s">
        <v>256</v>
      </c>
      <c r="F213" s="295" t="s">
        <v>27</v>
      </c>
      <c r="G213" s="294" t="s">
        <v>256</v>
      </c>
      <c r="H213" s="295" t="s">
        <v>27</v>
      </c>
      <c r="I213" s="675"/>
      <c r="J213" s="317"/>
      <c r="L213" s="354"/>
    </row>
    <row r="214" spans="1:12" s="349" customFormat="1" ht="18" customHeight="1">
      <c r="A214" s="394"/>
      <c r="B214" s="343"/>
      <c r="C214" s="344" t="s">
        <v>259</v>
      </c>
      <c r="D214" s="345">
        <v>43724</v>
      </c>
      <c r="E214" s="346">
        <v>0</v>
      </c>
      <c r="F214" s="347">
        <v>850000</v>
      </c>
      <c r="G214" s="346">
        <v>1</v>
      </c>
      <c r="H214" s="347">
        <v>850000</v>
      </c>
      <c r="I214" s="347" t="s">
        <v>268</v>
      </c>
      <c r="J214" s="348"/>
      <c r="L214" s="358"/>
    </row>
    <row r="215" spans="1:12" s="349" customFormat="1" ht="18" customHeight="1">
      <c r="A215" s="394"/>
      <c r="B215" s="343"/>
      <c r="C215" s="344" t="s">
        <v>260</v>
      </c>
      <c r="D215" s="345">
        <v>43725</v>
      </c>
      <c r="E215" s="346">
        <v>0</v>
      </c>
      <c r="F215" s="347">
        <v>850000</v>
      </c>
      <c r="G215" s="346">
        <v>1</v>
      </c>
      <c r="H215" s="347">
        <v>850000</v>
      </c>
      <c r="I215" s="347" t="s">
        <v>268</v>
      </c>
      <c r="J215" s="348"/>
      <c r="L215" s="358"/>
    </row>
    <row r="216" spans="1:12" s="349" customFormat="1" ht="18" customHeight="1">
      <c r="A216" s="394"/>
      <c r="B216" s="343"/>
      <c r="C216" s="344" t="s">
        <v>261</v>
      </c>
      <c r="D216" s="345">
        <v>43726</v>
      </c>
      <c r="E216" s="346">
        <v>0</v>
      </c>
      <c r="F216" s="347">
        <v>850000</v>
      </c>
      <c r="G216" s="346">
        <v>1</v>
      </c>
      <c r="H216" s="347">
        <v>850000</v>
      </c>
      <c r="I216" s="347" t="s">
        <v>268</v>
      </c>
      <c r="J216" s="348"/>
      <c r="L216" s="358"/>
    </row>
    <row r="217" spans="1:12" s="349" customFormat="1" ht="18" customHeight="1">
      <c r="A217" s="394"/>
      <c r="B217" s="343"/>
      <c r="C217" s="344" t="s">
        <v>262</v>
      </c>
      <c r="D217" s="345">
        <v>43727</v>
      </c>
      <c r="E217" s="346">
        <v>1</v>
      </c>
      <c r="F217" s="347">
        <v>850000</v>
      </c>
      <c r="G217" s="346">
        <v>1</v>
      </c>
      <c r="H217" s="347">
        <v>850000</v>
      </c>
      <c r="I217" s="347" t="s">
        <v>268</v>
      </c>
      <c r="J217" s="348"/>
      <c r="L217" s="358"/>
    </row>
    <row r="218" spans="1:12" s="349" customFormat="1" ht="18" customHeight="1">
      <c r="A218" s="394"/>
      <c r="B218" s="343"/>
      <c r="C218" s="344" t="s">
        <v>263</v>
      </c>
      <c r="D218" s="345">
        <v>43728</v>
      </c>
      <c r="E218" s="346">
        <v>1</v>
      </c>
      <c r="F218" s="347">
        <v>850000</v>
      </c>
      <c r="G218" s="346">
        <v>1</v>
      </c>
      <c r="H218" s="347">
        <v>850000</v>
      </c>
      <c r="I218" s="347" t="s">
        <v>268</v>
      </c>
      <c r="J218" s="348"/>
      <c r="L218" s="358"/>
    </row>
    <row r="219" spans="1:12" s="282" customFormat="1" ht="18" customHeight="1">
      <c r="A219" s="393"/>
      <c r="B219" s="318"/>
      <c r="C219" s="283" t="s">
        <v>257</v>
      </c>
      <c r="D219" s="284">
        <v>43729</v>
      </c>
      <c r="E219" s="288">
        <v>1</v>
      </c>
      <c r="F219" s="289" t="s">
        <v>13</v>
      </c>
      <c r="G219" s="288" t="s">
        <v>13</v>
      </c>
      <c r="H219" s="289" t="s">
        <v>13</v>
      </c>
      <c r="I219" s="289" t="s">
        <v>273</v>
      </c>
      <c r="J219" s="319"/>
      <c r="L219" s="355"/>
    </row>
    <row r="220" spans="1:12" s="282" customFormat="1" ht="18" customHeight="1">
      <c r="A220" s="393"/>
      <c r="B220" s="318"/>
      <c r="C220" s="283" t="s">
        <v>258</v>
      </c>
      <c r="D220" s="284">
        <v>43730</v>
      </c>
      <c r="E220" s="288">
        <v>1</v>
      </c>
      <c r="F220" s="289" t="s">
        <v>13</v>
      </c>
      <c r="G220" s="288" t="s">
        <v>13</v>
      </c>
      <c r="H220" s="289" t="s">
        <v>13</v>
      </c>
      <c r="I220" s="289" t="s">
        <v>273</v>
      </c>
      <c r="J220" s="319"/>
      <c r="L220" s="355"/>
    </row>
    <row r="221" spans="1:12" s="349" customFormat="1" ht="18" customHeight="1">
      <c r="A221" s="394"/>
      <c r="B221" s="343"/>
      <c r="C221" s="344" t="s">
        <v>259</v>
      </c>
      <c r="D221" s="345">
        <v>43731</v>
      </c>
      <c r="E221" s="346">
        <v>1</v>
      </c>
      <c r="F221" s="347">
        <v>850000</v>
      </c>
      <c r="G221" s="346">
        <v>1</v>
      </c>
      <c r="H221" s="347">
        <v>850000</v>
      </c>
      <c r="I221" s="347" t="s">
        <v>268</v>
      </c>
      <c r="J221" s="348"/>
      <c r="L221" s="358"/>
    </row>
    <row r="222" spans="1:12" s="349" customFormat="1" ht="18" customHeight="1">
      <c r="A222" s="394"/>
      <c r="B222" s="343"/>
      <c r="C222" s="344" t="s">
        <v>260</v>
      </c>
      <c r="D222" s="345">
        <v>43732</v>
      </c>
      <c r="E222" s="346">
        <v>1</v>
      </c>
      <c r="F222" s="347">
        <v>850000</v>
      </c>
      <c r="G222" s="346">
        <v>1</v>
      </c>
      <c r="H222" s="347">
        <v>850000</v>
      </c>
      <c r="I222" s="347" t="s">
        <v>268</v>
      </c>
      <c r="J222" s="348"/>
      <c r="L222" s="358"/>
    </row>
    <row r="223" spans="1:12" s="349" customFormat="1" ht="18" customHeight="1">
      <c r="A223" s="394"/>
      <c r="B223" s="343"/>
      <c r="C223" s="344" t="s">
        <v>261</v>
      </c>
      <c r="D223" s="345">
        <v>43733</v>
      </c>
      <c r="E223" s="346">
        <v>0</v>
      </c>
      <c r="F223" s="347">
        <v>850000</v>
      </c>
      <c r="G223" s="346">
        <v>1</v>
      </c>
      <c r="H223" s="347">
        <v>850000</v>
      </c>
      <c r="I223" s="347" t="s">
        <v>268</v>
      </c>
      <c r="J223" s="348"/>
      <c r="L223" s="358"/>
    </row>
    <row r="224" spans="1:12" s="349" customFormat="1" ht="18" customHeight="1">
      <c r="A224" s="394"/>
      <c r="B224" s="343"/>
      <c r="C224" s="344" t="s">
        <v>262</v>
      </c>
      <c r="D224" s="345">
        <v>43734</v>
      </c>
      <c r="E224" s="346">
        <v>1</v>
      </c>
      <c r="F224" s="347">
        <v>850000</v>
      </c>
      <c r="G224" s="346">
        <v>1</v>
      </c>
      <c r="H224" s="347">
        <v>850000</v>
      </c>
      <c r="I224" s="347" t="s">
        <v>268</v>
      </c>
      <c r="J224" s="348"/>
      <c r="L224" s="358"/>
    </row>
    <row r="225" spans="1:12" s="349" customFormat="1" ht="18" customHeight="1">
      <c r="A225" s="394"/>
      <c r="B225" s="343"/>
      <c r="C225" s="344" t="s">
        <v>263</v>
      </c>
      <c r="D225" s="345">
        <v>43735</v>
      </c>
      <c r="E225" s="346">
        <v>1</v>
      </c>
      <c r="F225" s="347">
        <v>850000</v>
      </c>
      <c r="G225" s="346">
        <v>1</v>
      </c>
      <c r="H225" s="347">
        <v>850000</v>
      </c>
      <c r="I225" s="347" t="s">
        <v>268</v>
      </c>
      <c r="J225" s="348"/>
      <c r="L225" s="358"/>
    </row>
    <row r="226" spans="1:12" s="282" customFormat="1" ht="18" customHeight="1">
      <c r="A226" s="393"/>
      <c r="B226" s="318"/>
      <c r="C226" s="283" t="s">
        <v>257</v>
      </c>
      <c r="D226" s="284">
        <v>43736</v>
      </c>
      <c r="E226" s="288">
        <v>1</v>
      </c>
      <c r="F226" s="289" t="s">
        <v>13</v>
      </c>
      <c r="G226" s="288" t="s">
        <v>13</v>
      </c>
      <c r="H226" s="289" t="s">
        <v>13</v>
      </c>
      <c r="I226" s="289" t="s">
        <v>273</v>
      </c>
      <c r="J226" s="319"/>
      <c r="L226" s="355"/>
    </row>
    <row r="227" spans="1:12" s="282" customFormat="1" ht="18" customHeight="1">
      <c r="A227" s="393"/>
      <c r="B227" s="318"/>
      <c r="C227" s="283" t="s">
        <v>258</v>
      </c>
      <c r="D227" s="284">
        <v>43737</v>
      </c>
      <c r="E227" s="288">
        <v>1</v>
      </c>
      <c r="F227" s="289" t="s">
        <v>13</v>
      </c>
      <c r="G227" s="288" t="s">
        <v>13</v>
      </c>
      <c r="H227" s="289" t="s">
        <v>13</v>
      </c>
      <c r="I227" s="289" t="s">
        <v>273</v>
      </c>
      <c r="J227" s="319"/>
      <c r="L227" s="355"/>
    </row>
    <row r="228" spans="1:12" s="349" customFormat="1" ht="18" customHeight="1">
      <c r="A228" s="394"/>
      <c r="B228" s="343"/>
      <c r="C228" s="344" t="s">
        <v>259</v>
      </c>
      <c r="D228" s="345">
        <v>43738</v>
      </c>
      <c r="E228" s="346">
        <v>1</v>
      </c>
      <c r="F228" s="347">
        <v>850000</v>
      </c>
      <c r="G228" s="346">
        <v>1</v>
      </c>
      <c r="H228" s="347">
        <v>850000</v>
      </c>
      <c r="I228" s="347" t="s">
        <v>268</v>
      </c>
      <c r="J228" s="348"/>
      <c r="L228" s="358"/>
    </row>
    <row r="229" spans="1:12" s="297" customFormat="1" ht="24.95" customHeight="1">
      <c r="A229" s="277"/>
      <c r="B229" s="320"/>
      <c r="C229" s="676" t="s">
        <v>264</v>
      </c>
      <c r="D229" s="676"/>
      <c r="E229" s="677">
        <f>SUM(F214:F228)</f>
        <v>9350000</v>
      </c>
      <c r="F229" s="677"/>
      <c r="G229" s="677">
        <f>SUM(H214:H228)</f>
        <v>9350000</v>
      </c>
      <c r="H229" s="677"/>
      <c r="I229" s="330"/>
      <c r="J229" s="321"/>
      <c r="L229" s="356">
        <v>21</v>
      </c>
    </row>
    <row r="230" spans="1:12" s="296" customFormat="1" ht="30" customHeight="1">
      <c r="A230" s="277"/>
      <c r="B230" s="322"/>
      <c r="C230" s="657" t="s">
        <v>62</v>
      </c>
      <c r="D230" s="657"/>
      <c r="E230" s="658">
        <f>+E229+G229</f>
        <v>18700000</v>
      </c>
      <c r="F230" s="659"/>
      <c r="G230" s="659"/>
      <c r="H230" s="660"/>
      <c r="I230" s="331"/>
      <c r="J230" s="323"/>
      <c r="L230" s="359">
        <f>+L229*2*850000</f>
        <v>35700000</v>
      </c>
    </row>
    <row r="231" spans="1:12" ht="20.100000000000001" customHeight="1">
      <c r="B231" s="307"/>
      <c r="J231" s="308"/>
      <c r="L231" s="351">
        <f>+E230+E199</f>
        <v>35700000</v>
      </c>
    </row>
    <row r="232" spans="1:12" ht="18" customHeight="1">
      <c r="B232" s="307"/>
      <c r="C232" s="290" t="s">
        <v>136</v>
      </c>
      <c r="E232" s="183"/>
      <c r="F232" s="234" t="s">
        <v>131</v>
      </c>
      <c r="G232" s="234" t="s">
        <v>130</v>
      </c>
      <c r="H232" s="234" t="s">
        <v>129</v>
      </c>
      <c r="I232" s="234" t="s">
        <v>128</v>
      </c>
      <c r="J232" s="308"/>
    </row>
    <row r="233" spans="1:12" s="335" customFormat="1" ht="39.950000000000003" customHeight="1">
      <c r="B233" s="332"/>
      <c r="C233" s="333">
        <v>5</v>
      </c>
      <c r="D233" s="334"/>
      <c r="F233" s="336">
        <v>4</v>
      </c>
      <c r="G233" s="336">
        <v>3</v>
      </c>
      <c r="H233" s="336">
        <v>2</v>
      </c>
      <c r="I233" s="336">
        <v>1</v>
      </c>
      <c r="J233" s="337"/>
      <c r="L233" s="357"/>
    </row>
    <row r="234" spans="1:12" ht="17.100000000000001" customHeight="1">
      <c r="B234" s="307"/>
      <c r="C234" s="290" t="s">
        <v>277</v>
      </c>
      <c r="E234" s="183"/>
      <c r="F234" s="236" t="s">
        <v>114</v>
      </c>
      <c r="G234" s="237" t="s">
        <v>274</v>
      </c>
      <c r="H234" s="238" t="s">
        <v>112</v>
      </c>
      <c r="I234" s="234" t="s">
        <v>16</v>
      </c>
      <c r="J234" s="308"/>
    </row>
    <row r="235" spans="1:12" ht="15" customHeight="1" thickBot="1">
      <c r="B235" s="374"/>
      <c r="C235" s="375" t="s">
        <v>132</v>
      </c>
      <c r="D235" s="376"/>
      <c r="E235" s="377"/>
      <c r="F235" s="375" t="s">
        <v>132</v>
      </c>
      <c r="G235" s="375" t="s">
        <v>132</v>
      </c>
      <c r="H235" s="375" t="s">
        <v>132</v>
      </c>
      <c r="I235" s="375" t="s">
        <v>132</v>
      </c>
      <c r="J235" s="378"/>
    </row>
    <row r="236" spans="1:12" ht="9.9499999999999993" customHeight="1" thickTop="1">
      <c r="B236" s="364"/>
      <c r="C236" s="364"/>
      <c r="D236" s="365"/>
      <c r="E236" s="366"/>
      <c r="F236" s="367"/>
      <c r="G236" s="366"/>
      <c r="H236" s="367"/>
      <c r="I236" s="367"/>
      <c r="J236" s="364"/>
    </row>
    <row r="237" spans="1:12" ht="20.100000000000001" customHeight="1"/>
    <row r="238" spans="1:12" ht="9.9499999999999993" customHeight="1" thickBot="1">
      <c r="B238" s="364"/>
      <c r="C238" s="364"/>
      <c r="D238" s="365"/>
      <c r="E238" s="366"/>
      <c r="F238" s="367"/>
      <c r="G238" s="366"/>
      <c r="H238" s="367"/>
      <c r="I238" s="367"/>
      <c r="J238" s="364"/>
    </row>
    <row r="239" spans="1:12" ht="9.9499999999999993" customHeight="1" thickTop="1">
      <c r="B239" s="301"/>
      <c r="C239" s="302"/>
      <c r="D239" s="303"/>
      <c r="E239" s="304"/>
      <c r="F239" s="305"/>
      <c r="G239" s="304"/>
      <c r="H239" s="305"/>
      <c r="I239" s="305"/>
      <c r="J239" s="306"/>
    </row>
    <row r="240" spans="1:12" ht="17.100000000000001" customHeight="1">
      <c r="B240" s="307"/>
      <c r="C240" s="298" t="s">
        <v>138</v>
      </c>
      <c r="D240" s="299"/>
      <c r="G240" s="678" t="s">
        <v>293</v>
      </c>
      <c r="H240" s="678"/>
      <c r="I240" s="678"/>
      <c r="J240" s="308"/>
    </row>
    <row r="241" spans="1:12" s="275" customFormat="1" ht="30" customHeight="1">
      <c r="A241" s="277"/>
      <c r="B241" s="309"/>
      <c r="C241" s="279" t="s">
        <v>119</v>
      </c>
      <c r="D241" s="292" t="s">
        <v>244</v>
      </c>
      <c r="F241" s="310"/>
      <c r="G241" s="311"/>
      <c r="H241" s="310"/>
      <c r="I241" s="310"/>
      <c r="J241" s="312"/>
      <c r="L241" s="352"/>
    </row>
    <row r="242" spans="1:12" s="276" customFormat="1" ht="23.1" customHeight="1">
      <c r="A242" s="277"/>
      <c r="B242" s="313"/>
      <c r="C242" s="280" t="s">
        <v>120</v>
      </c>
      <c r="D242" s="293" t="s">
        <v>294</v>
      </c>
      <c r="F242" s="679" t="s">
        <v>270</v>
      </c>
      <c r="G242" s="680"/>
      <c r="H242" s="680"/>
      <c r="I242" s="681"/>
      <c r="J242" s="315"/>
      <c r="L242" s="353"/>
    </row>
    <row r="243" spans="1:12" s="276" customFormat="1" ht="23.1" customHeight="1">
      <c r="A243" s="277"/>
      <c r="B243" s="313"/>
      <c r="C243" s="280" t="s">
        <v>121</v>
      </c>
      <c r="D243" s="293" t="s">
        <v>296</v>
      </c>
      <c r="F243" s="682"/>
      <c r="G243" s="683"/>
      <c r="H243" s="683"/>
      <c r="I243" s="684"/>
      <c r="J243" s="315"/>
      <c r="L243" s="353"/>
    </row>
    <row r="244" spans="1:12" s="278" customFormat="1" ht="50.1" customHeight="1">
      <c r="A244" s="392"/>
      <c r="B244" s="316"/>
      <c r="C244" s="669" t="s">
        <v>2</v>
      </c>
      <c r="D244" s="671" t="s">
        <v>283</v>
      </c>
      <c r="E244" s="673" t="s">
        <v>275</v>
      </c>
      <c r="F244" s="674"/>
      <c r="G244" s="673" t="s">
        <v>276</v>
      </c>
      <c r="H244" s="674"/>
      <c r="I244" s="675" t="s">
        <v>85</v>
      </c>
      <c r="J244" s="317"/>
      <c r="L244" s="354"/>
    </row>
    <row r="245" spans="1:12" s="278" customFormat="1" ht="24.95" customHeight="1">
      <c r="A245" s="392"/>
      <c r="B245" s="316"/>
      <c r="C245" s="670"/>
      <c r="D245" s="672"/>
      <c r="E245" s="294" t="s">
        <v>256</v>
      </c>
      <c r="F245" s="295" t="s">
        <v>27</v>
      </c>
      <c r="G245" s="294" t="s">
        <v>256</v>
      </c>
      <c r="H245" s="295" t="s">
        <v>27</v>
      </c>
      <c r="I245" s="675"/>
      <c r="J245" s="317"/>
      <c r="L245" s="354"/>
    </row>
    <row r="246" spans="1:12" s="282" customFormat="1" ht="18" customHeight="1">
      <c r="A246" s="393"/>
      <c r="B246" s="318"/>
      <c r="C246" s="344" t="s">
        <v>260</v>
      </c>
      <c r="D246" s="345">
        <v>43739</v>
      </c>
      <c r="E246" s="346">
        <v>1</v>
      </c>
      <c r="F246" s="347">
        <v>850000</v>
      </c>
      <c r="G246" s="346">
        <v>1</v>
      </c>
      <c r="H246" s="347">
        <v>850000</v>
      </c>
      <c r="I246" s="347" t="s">
        <v>268</v>
      </c>
      <c r="J246" s="319"/>
      <c r="L246" s="355"/>
    </row>
    <row r="247" spans="1:12" s="349" customFormat="1" ht="18" customHeight="1">
      <c r="A247" s="394"/>
      <c r="B247" s="343"/>
      <c r="C247" s="344" t="s">
        <v>261</v>
      </c>
      <c r="D247" s="345">
        <v>43740</v>
      </c>
      <c r="E247" s="346">
        <v>1</v>
      </c>
      <c r="F247" s="347">
        <v>850000</v>
      </c>
      <c r="G247" s="346">
        <v>1</v>
      </c>
      <c r="H247" s="347">
        <v>850000</v>
      </c>
      <c r="I247" s="347" t="s">
        <v>268</v>
      </c>
      <c r="J247" s="348"/>
      <c r="L247" s="358"/>
    </row>
    <row r="248" spans="1:12" s="349" customFormat="1" ht="18" customHeight="1">
      <c r="A248" s="394"/>
      <c r="B248" s="343"/>
      <c r="C248" s="344" t="s">
        <v>262</v>
      </c>
      <c r="D248" s="345">
        <v>43741</v>
      </c>
      <c r="E248" s="346">
        <v>1</v>
      </c>
      <c r="F248" s="347">
        <v>850000</v>
      </c>
      <c r="G248" s="346">
        <v>1</v>
      </c>
      <c r="H248" s="347">
        <v>850000</v>
      </c>
      <c r="I248" s="347" t="s">
        <v>268</v>
      </c>
      <c r="J248" s="348"/>
      <c r="L248" s="358"/>
    </row>
    <row r="249" spans="1:12" s="349" customFormat="1" ht="18" customHeight="1">
      <c r="A249" s="394"/>
      <c r="B249" s="343"/>
      <c r="C249" s="344" t="s">
        <v>263</v>
      </c>
      <c r="D249" s="345">
        <v>43742</v>
      </c>
      <c r="E249" s="346">
        <v>1</v>
      </c>
      <c r="F249" s="347">
        <v>850000</v>
      </c>
      <c r="G249" s="346">
        <v>1</v>
      </c>
      <c r="H249" s="347">
        <v>850000</v>
      </c>
      <c r="I249" s="347" t="s">
        <v>268</v>
      </c>
      <c r="J249" s="348"/>
      <c r="L249" s="358"/>
    </row>
    <row r="250" spans="1:12" s="282" customFormat="1" ht="18" customHeight="1">
      <c r="A250" s="393"/>
      <c r="B250" s="318"/>
      <c r="C250" s="283" t="s">
        <v>257</v>
      </c>
      <c r="D250" s="284">
        <v>43743</v>
      </c>
      <c r="E250" s="288">
        <v>0</v>
      </c>
      <c r="F250" s="289">
        <v>0</v>
      </c>
      <c r="G250" s="288">
        <v>0</v>
      </c>
      <c r="H250" s="289">
        <v>0</v>
      </c>
      <c r="I250" s="289" t="s">
        <v>273</v>
      </c>
      <c r="J250" s="319"/>
      <c r="L250" s="355"/>
    </row>
    <row r="251" spans="1:12" s="282" customFormat="1" ht="18" customHeight="1">
      <c r="A251" s="393"/>
      <c r="B251" s="318"/>
      <c r="C251" s="283" t="s">
        <v>258</v>
      </c>
      <c r="D251" s="284">
        <v>43744</v>
      </c>
      <c r="E251" s="288">
        <v>0</v>
      </c>
      <c r="F251" s="289">
        <v>0</v>
      </c>
      <c r="G251" s="288">
        <v>0</v>
      </c>
      <c r="H251" s="289">
        <v>0</v>
      </c>
      <c r="I251" s="289" t="s">
        <v>273</v>
      </c>
      <c r="J251" s="319"/>
      <c r="L251" s="355"/>
    </row>
    <row r="252" spans="1:12" s="282" customFormat="1" ht="18" customHeight="1">
      <c r="A252" s="393"/>
      <c r="B252" s="318"/>
      <c r="C252" s="344" t="s">
        <v>259</v>
      </c>
      <c r="D252" s="345">
        <v>43745</v>
      </c>
      <c r="E252" s="346">
        <v>1</v>
      </c>
      <c r="F252" s="347">
        <v>850000</v>
      </c>
      <c r="G252" s="346">
        <v>1</v>
      </c>
      <c r="H252" s="347">
        <v>850000</v>
      </c>
      <c r="I252" s="347" t="s">
        <v>268</v>
      </c>
      <c r="J252" s="319"/>
      <c r="L252" s="355"/>
    </row>
    <row r="253" spans="1:12" s="282" customFormat="1" ht="18" customHeight="1">
      <c r="A253" s="393"/>
      <c r="B253" s="318"/>
      <c r="C253" s="344" t="s">
        <v>260</v>
      </c>
      <c r="D253" s="345">
        <v>43746</v>
      </c>
      <c r="E253" s="346">
        <v>1</v>
      </c>
      <c r="F253" s="347">
        <v>850000</v>
      </c>
      <c r="G253" s="346">
        <v>1</v>
      </c>
      <c r="H253" s="347">
        <v>850000</v>
      </c>
      <c r="I253" s="347" t="s">
        <v>268</v>
      </c>
      <c r="J253" s="319"/>
      <c r="L253" s="355"/>
    </row>
    <row r="254" spans="1:12" s="349" customFormat="1" ht="18" customHeight="1">
      <c r="A254" s="394"/>
      <c r="B254" s="343"/>
      <c r="C254" s="344" t="s">
        <v>261</v>
      </c>
      <c r="D254" s="345">
        <v>43747</v>
      </c>
      <c r="E254" s="346">
        <v>1</v>
      </c>
      <c r="F254" s="347">
        <v>850000</v>
      </c>
      <c r="G254" s="346">
        <v>1</v>
      </c>
      <c r="H254" s="347">
        <v>850000</v>
      </c>
      <c r="I254" s="347" t="s">
        <v>268</v>
      </c>
      <c r="J254" s="348"/>
      <c r="L254" s="358"/>
    </row>
    <row r="255" spans="1:12" s="349" customFormat="1" ht="18" customHeight="1">
      <c r="A255" s="394"/>
      <c r="B255" s="343"/>
      <c r="C255" s="344" t="s">
        <v>262</v>
      </c>
      <c r="D255" s="345">
        <v>43748</v>
      </c>
      <c r="E255" s="346">
        <v>1</v>
      </c>
      <c r="F255" s="347">
        <v>850000</v>
      </c>
      <c r="G255" s="346">
        <v>1</v>
      </c>
      <c r="H255" s="347">
        <v>850000</v>
      </c>
      <c r="I255" s="347" t="s">
        <v>268</v>
      </c>
      <c r="J255" s="348"/>
      <c r="L255" s="358"/>
    </row>
    <row r="256" spans="1:12" s="349" customFormat="1" ht="18" customHeight="1">
      <c r="A256" s="394"/>
      <c r="B256" s="343"/>
      <c r="C256" s="344" t="s">
        <v>263</v>
      </c>
      <c r="D256" s="345">
        <v>43749</v>
      </c>
      <c r="E256" s="346">
        <v>1</v>
      </c>
      <c r="F256" s="347">
        <v>850000</v>
      </c>
      <c r="G256" s="346">
        <v>1</v>
      </c>
      <c r="H256" s="347">
        <v>850000</v>
      </c>
      <c r="I256" s="347" t="s">
        <v>268</v>
      </c>
      <c r="J256" s="348"/>
      <c r="L256" s="358"/>
    </row>
    <row r="257" spans="1:12" s="282" customFormat="1" ht="18" customHeight="1">
      <c r="A257" s="393"/>
      <c r="B257" s="318"/>
      <c r="C257" s="283" t="s">
        <v>257</v>
      </c>
      <c r="D257" s="284">
        <v>43750</v>
      </c>
      <c r="E257" s="288">
        <v>0</v>
      </c>
      <c r="F257" s="289">
        <v>0</v>
      </c>
      <c r="G257" s="288">
        <v>0</v>
      </c>
      <c r="H257" s="289">
        <v>0</v>
      </c>
      <c r="I257" s="289" t="s">
        <v>273</v>
      </c>
      <c r="J257" s="319"/>
      <c r="L257" s="355"/>
    </row>
    <row r="258" spans="1:12" s="282" customFormat="1" ht="18" customHeight="1">
      <c r="A258" s="393"/>
      <c r="B258" s="318"/>
      <c r="C258" s="283" t="s">
        <v>258</v>
      </c>
      <c r="D258" s="284">
        <v>43751</v>
      </c>
      <c r="E258" s="288">
        <v>0</v>
      </c>
      <c r="F258" s="289">
        <v>0</v>
      </c>
      <c r="G258" s="288">
        <v>0</v>
      </c>
      <c r="H258" s="289">
        <v>0</v>
      </c>
      <c r="I258" s="289" t="s">
        <v>273</v>
      </c>
      <c r="J258" s="319"/>
      <c r="L258" s="355"/>
    </row>
    <row r="259" spans="1:12" s="282" customFormat="1" ht="18" customHeight="1">
      <c r="A259" s="393"/>
      <c r="B259" s="318"/>
      <c r="C259" s="344" t="s">
        <v>259</v>
      </c>
      <c r="D259" s="345">
        <v>43752</v>
      </c>
      <c r="E259" s="346">
        <v>1</v>
      </c>
      <c r="F259" s="347">
        <v>850000</v>
      </c>
      <c r="G259" s="346">
        <v>1</v>
      </c>
      <c r="H259" s="347">
        <v>850000</v>
      </c>
      <c r="I259" s="347" t="s">
        <v>268</v>
      </c>
      <c r="J259" s="319"/>
      <c r="L259" s="355"/>
    </row>
    <row r="260" spans="1:12" s="282" customFormat="1" ht="18" customHeight="1">
      <c r="A260" s="393"/>
      <c r="B260" s="318"/>
      <c r="C260" s="344" t="s">
        <v>260</v>
      </c>
      <c r="D260" s="345">
        <v>43753</v>
      </c>
      <c r="E260" s="346">
        <v>1</v>
      </c>
      <c r="F260" s="347">
        <v>850000</v>
      </c>
      <c r="G260" s="346">
        <v>1</v>
      </c>
      <c r="H260" s="347">
        <v>850000</v>
      </c>
      <c r="I260" s="347" t="s">
        <v>268</v>
      </c>
      <c r="J260" s="319"/>
      <c r="L260" s="355"/>
    </row>
    <row r="261" spans="1:12" s="297" customFormat="1" ht="24.95" customHeight="1">
      <c r="A261" s="277"/>
      <c r="B261" s="320"/>
      <c r="C261" s="676" t="s">
        <v>264</v>
      </c>
      <c r="D261" s="676"/>
      <c r="E261" s="677">
        <f>SUM(F246:F260)</f>
        <v>9350000</v>
      </c>
      <c r="F261" s="677"/>
      <c r="G261" s="677">
        <f>SUM(H246:H260)</f>
        <v>9350000</v>
      </c>
      <c r="H261" s="677"/>
      <c r="I261" s="330"/>
      <c r="J261" s="321"/>
      <c r="L261" s="356"/>
    </row>
    <row r="262" spans="1:12" s="296" customFormat="1" ht="30" customHeight="1">
      <c r="A262" s="277"/>
      <c r="B262" s="322"/>
      <c r="C262" s="657" t="s">
        <v>62</v>
      </c>
      <c r="D262" s="657"/>
      <c r="E262" s="658">
        <f>+E261+G261</f>
        <v>18700000</v>
      </c>
      <c r="F262" s="659"/>
      <c r="G262" s="659"/>
      <c r="H262" s="660"/>
      <c r="I262" s="331"/>
      <c r="J262" s="323"/>
      <c r="L262" s="359"/>
    </row>
    <row r="263" spans="1:12" ht="20.100000000000001" customHeight="1">
      <c r="B263" s="307"/>
      <c r="J263" s="308"/>
    </row>
    <row r="264" spans="1:12" ht="18" customHeight="1">
      <c r="B264" s="307"/>
      <c r="C264" s="290" t="s">
        <v>136</v>
      </c>
      <c r="E264" s="183"/>
      <c r="F264" s="234" t="s">
        <v>131</v>
      </c>
      <c r="G264" s="234" t="s">
        <v>130</v>
      </c>
      <c r="H264" s="234" t="s">
        <v>129</v>
      </c>
      <c r="I264" s="234" t="s">
        <v>128</v>
      </c>
      <c r="J264" s="308"/>
    </row>
    <row r="265" spans="1:12" s="335" customFormat="1" ht="39.950000000000003" customHeight="1">
      <c r="B265" s="332"/>
      <c r="C265" s="333">
        <v>5</v>
      </c>
      <c r="D265" s="334"/>
      <c r="F265" s="336">
        <v>4</v>
      </c>
      <c r="G265" s="336">
        <v>3</v>
      </c>
      <c r="H265" s="336">
        <v>2</v>
      </c>
      <c r="I265" s="336">
        <v>1</v>
      </c>
      <c r="J265" s="337"/>
      <c r="L265" s="357"/>
    </row>
    <row r="266" spans="1:12" ht="17.100000000000001" customHeight="1">
      <c r="B266" s="307"/>
      <c r="C266" s="290" t="s">
        <v>277</v>
      </c>
      <c r="E266" s="183"/>
      <c r="F266" s="236" t="s">
        <v>114</v>
      </c>
      <c r="G266" s="237" t="s">
        <v>274</v>
      </c>
      <c r="H266" s="238" t="s">
        <v>112</v>
      </c>
      <c r="I266" s="234" t="s">
        <v>16</v>
      </c>
      <c r="J266" s="308"/>
    </row>
    <row r="267" spans="1:12" ht="15" customHeight="1">
      <c r="B267" s="307"/>
      <c r="C267" s="300" t="s">
        <v>132</v>
      </c>
      <c r="E267" s="183"/>
      <c r="F267" s="300" t="s">
        <v>132</v>
      </c>
      <c r="G267" s="300" t="s">
        <v>132</v>
      </c>
      <c r="H267" s="300" t="s">
        <v>132</v>
      </c>
      <c r="I267" s="300" t="s">
        <v>132</v>
      </c>
      <c r="J267" s="308"/>
    </row>
    <row r="268" spans="1:12" ht="9.9499999999999993" customHeight="1" thickBot="1">
      <c r="B268" s="324"/>
      <c r="C268" s="325"/>
      <c r="D268" s="326"/>
      <c r="E268" s="327"/>
      <c r="F268" s="328"/>
      <c r="G268" s="327"/>
      <c r="H268" s="328"/>
      <c r="I268" s="328"/>
      <c r="J268" s="329"/>
    </row>
    <row r="269" spans="1:12" ht="9.9499999999999993" customHeight="1" thickTop="1">
      <c r="B269" s="364"/>
      <c r="C269" s="364"/>
      <c r="D269" s="365"/>
      <c r="E269" s="366"/>
      <c r="F269" s="367"/>
      <c r="G269" s="366"/>
      <c r="H269" s="367"/>
      <c r="I269" s="367"/>
      <c r="J269" s="364"/>
    </row>
    <row r="270" spans="1:12" ht="9.9499999999999993" customHeight="1">
      <c r="B270" s="368"/>
      <c r="C270" s="369"/>
      <c r="D270" s="370"/>
      <c r="E270" s="371"/>
      <c r="F270" s="372"/>
      <c r="G270" s="371"/>
      <c r="H270" s="372"/>
      <c r="I270" s="372"/>
      <c r="J270" s="373"/>
    </row>
    <row r="271" spans="1:12" ht="17.100000000000001" customHeight="1">
      <c r="B271" s="307"/>
      <c r="C271" s="298" t="s">
        <v>138</v>
      </c>
      <c r="D271" s="299"/>
      <c r="G271" s="678" t="s">
        <v>293</v>
      </c>
      <c r="H271" s="678"/>
      <c r="I271" s="678"/>
      <c r="J271" s="308"/>
    </row>
    <row r="272" spans="1:12" s="275" customFormat="1" ht="30" customHeight="1">
      <c r="A272" s="277"/>
      <c r="B272" s="309"/>
      <c r="C272" s="279" t="s">
        <v>119</v>
      </c>
      <c r="D272" s="292" t="s">
        <v>244</v>
      </c>
      <c r="F272" s="310"/>
      <c r="G272" s="311"/>
      <c r="H272" s="310"/>
      <c r="I272" s="310"/>
      <c r="J272" s="312"/>
      <c r="L272" s="352"/>
    </row>
    <row r="273" spans="1:12" s="276" customFormat="1" ht="23.1" customHeight="1">
      <c r="A273" s="277"/>
      <c r="B273" s="313"/>
      <c r="C273" s="280" t="s">
        <v>120</v>
      </c>
      <c r="D273" s="293" t="s">
        <v>295</v>
      </c>
      <c r="F273" s="679" t="s">
        <v>270</v>
      </c>
      <c r="G273" s="680"/>
      <c r="H273" s="680"/>
      <c r="I273" s="681"/>
      <c r="J273" s="315"/>
      <c r="L273" s="353"/>
    </row>
    <row r="274" spans="1:12" s="276" customFormat="1" ht="23.1" customHeight="1">
      <c r="A274" s="277"/>
      <c r="B274" s="313"/>
      <c r="C274" s="280" t="s">
        <v>121</v>
      </c>
      <c r="D274" s="293" t="s">
        <v>301</v>
      </c>
      <c r="F274" s="682"/>
      <c r="G274" s="683"/>
      <c r="H274" s="683"/>
      <c r="I274" s="684"/>
      <c r="J274" s="315"/>
      <c r="L274" s="353"/>
    </row>
    <row r="275" spans="1:12" s="278" customFormat="1" ht="50.1" customHeight="1">
      <c r="A275" s="392"/>
      <c r="B275" s="316"/>
      <c r="C275" s="669" t="s">
        <v>2</v>
      </c>
      <c r="D275" s="671" t="s">
        <v>283</v>
      </c>
      <c r="E275" s="673" t="s">
        <v>275</v>
      </c>
      <c r="F275" s="674"/>
      <c r="G275" s="673" t="s">
        <v>276</v>
      </c>
      <c r="H275" s="674"/>
      <c r="I275" s="675" t="s">
        <v>85</v>
      </c>
      <c r="J275" s="317"/>
      <c r="L275" s="354"/>
    </row>
    <row r="276" spans="1:12" s="278" customFormat="1" ht="24.95" customHeight="1">
      <c r="A276" s="392"/>
      <c r="B276" s="316"/>
      <c r="C276" s="670"/>
      <c r="D276" s="672"/>
      <c r="E276" s="294" t="s">
        <v>256</v>
      </c>
      <c r="F276" s="295" t="s">
        <v>27</v>
      </c>
      <c r="G276" s="294" t="s">
        <v>256</v>
      </c>
      <c r="H276" s="295" t="s">
        <v>27</v>
      </c>
      <c r="I276" s="675"/>
      <c r="J276" s="317"/>
      <c r="L276" s="354"/>
    </row>
    <row r="277" spans="1:12" s="349" customFormat="1" ht="18" customHeight="1">
      <c r="A277" s="394"/>
      <c r="B277" s="343"/>
      <c r="C277" s="344" t="s">
        <v>261</v>
      </c>
      <c r="D277" s="345">
        <v>43754</v>
      </c>
      <c r="E277" s="346">
        <v>1</v>
      </c>
      <c r="F277" s="347">
        <v>850000</v>
      </c>
      <c r="G277" s="346">
        <v>1</v>
      </c>
      <c r="H277" s="347">
        <v>850000</v>
      </c>
      <c r="I277" s="347" t="s">
        <v>268</v>
      </c>
      <c r="J277" s="348"/>
      <c r="L277" s="358"/>
    </row>
    <row r="278" spans="1:12" s="349" customFormat="1" ht="18" customHeight="1">
      <c r="A278" s="394"/>
      <c r="B278" s="343"/>
      <c r="C278" s="344" t="s">
        <v>262</v>
      </c>
      <c r="D278" s="345">
        <v>43755</v>
      </c>
      <c r="E278" s="346">
        <v>1</v>
      </c>
      <c r="F278" s="347">
        <v>850000</v>
      </c>
      <c r="G278" s="346">
        <v>1</v>
      </c>
      <c r="H278" s="347">
        <v>850000</v>
      </c>
      <c r="I278" s="347" t="s">
        <v>268</v>
      </c>
      <c r="J278" s="348"/>
      <c r="L278" s="358"/>
    </row>
    <row r="279" spans="1:12" s="349" customFormat="1" ht="18" customHeight="1">
      <c r="A279" s="394"/>
      <c r="B279" s="343"/>
      <c r="C279" s="344" t="s">
        <v>263</v>
      </c>
      <c r="D279" s="345">
        <v>43756</v>
      </c>
      <c r="E279" s="346">
        <v>1</v>
      </c>
      <c r="F279" s="347">
        <v>850000</v>
      </c>
      <c r="G279" s="346">
        <v>1</v>
      </c>
      <c r="H279" s="347">
        <v>850000</v>
      </c>
      <c r="I279" s="347" t="s">
        <v>268</v>
      </c>
      <c r="J279" s="348"/>
      <c r="L279" s="358"/>
    </row>
    <row r="280" spans="1:12" s="349" customFormat="1" ht="18" customHeight="1">
      <c r="A280" s="394"/>
      <c r="B280" s="343"/>
      <c r="C280" s="283" t="s">
        <v>257</v>
      </c>
      <c r="D280" s="284">
        <v>43757</v>
      </c>
      <c r="E280" s="288">
        <v>0</v>
      </c>
      <c r="F280" s="289">
        <v>0</v>
      </c>
      <c r="G280" s="288">
        <v>0</v>
      </c>
      <c r="H280" s="289">
        <v>0</v>
      </c>
      <c r="I280" s="289" t="s">
        <v>273</v>
      </c>
      <c r="J280" s="348"/>
      <c r="L280" s="358"/>
    </row>
    <row r="281" spans="1:12" s="349" customFormat="1" ht="18" customHeight="1">
      <c r="A281" s="394"/>
      <c r="B281" s="343"/>
      <c r="C281" s="283" t="s">
        <v>258</v>
      </c>
      <c r="D281" s="284">
        <v>43758</v>
      </c>
      <c r="E281" s="288">
        <v>0</v>
      </c>
      <c r="F281" s="289">
        <v>0</v>
      </c>
      <c r="G281" s="288">
        <v>0</v>
      </c>
      <c r="H281" s="289">
        <v>0</v>
      </c>
      <c r="I281" s="289" t="s">
        <v>273</v>
      </c>
      <c r="J281" s="348"/>
      <c r="L281" s="358"/>
    </row>
    <row r="282" spans="1:12" s="282" customFormat="1" ht="18" customHeight="1">
      <c r="A282" s="393"/>
      <c r="B282" s="318"/>
      <c r="C282" s="344" t="s">
        <v>259</v>
      </c>
      <c r="D282" s="345">
        <v>43759</v>
      </c>
      <c r="E282" s="346">
        <v>1</v>
      </c>
      <c r="F282" s="347">
        <v>850000</v>
      </c>
      <c r="G282" s="346">
        <v>1</v>
      </c>
      <c r="H282" s="347">
        <v>850000</v>
      </c>
      <c r="I282" s="347" t="s">
        <v>268</v>
      </c>
      <c r="J282" s="319"/>
      <c r="L282" s="355"/>
    </row>
    <row r="283" spans="1:12" s="282" customFormat="1" ht="18" customHeight="1">
      <c r="A283" s="393"/>
      <c r="B283" s="318"/>
      <c r="C283" s="344" t="s">
        <v>260</v>
      </c>
      <c r="D283" s="345">
        <v>43760</v>
      </c>
      <c r="E283" s="346">
        <v>1</v>
      </c>
      <c r="F283" s="347">
        <v>850000</v>
      </c>
      <c r="G283" s="346">
        <v>1</v>
      </c>
      <c r="H283" s="347">
        <v>850000</v>
      </c>
      <c r="I283" s="347" t="s">
        <v>268</v>
      </c>
      <c r="J283" s="319"/>
      <c r="L283" s="355"/>
    </row>
    <row r="284" spans="1:12" s="349" customFormat="1" ht="18" customHeight="1">
      <c r="A284" s="394"/>
      <c r="B284" s="343"/>
      <c r="C284" s="344" t="s">
        <v>261</v>
      </c>
      <c r="D284" s="345">
        <v>43761</v>
      </c>
      <c r="E284" s="346">
        <v>1</v>
      </c>
      <c r="F284" s="347">
        <v>850000</v>
      </c>
      <c r="G284" s="346">
        <v>1</v>
      </c>
      <c r="H284" s="347">
        <v>850000</v>
      </c>
      <c r="I284" s="347" t="s">
        <v>268</v>
      </c>
      <c r="J284" s="348"/>
      <c r="L284" s="358"/>
    </row>
    <row r="285" spans="1:12" s="349" customFormat="1" ht="18" customHeight="1">
      <c r="A285" s="394"/>
      <c r="B285" s="343"/>
      <c r="C285" s="344" t="s">
        <v>262</v>
      </c>
      <c r="D285" s="345">
        <v>43762</v>
      </c>
      <c r="E285" s="346">
        <v>1</v>
      </c>
      <c r="F285" s="347">
        <v>850000</v>
      </c>
      <c r="G285" s="346">
        <v>1</v>
      </c>
      <c r="H285" s="347">
        <v>850000</v>
      </c>
      <c r="I285" s="347" t="s">
        <v>268</v>
      </c>
      <c r="J285" s="348"/>
      <c r="L285" s="358"/>
    </row>
    <row r="286" spans="1:12" s="349" customFormat="1" ht="18" customHeight="1">
      <c r="A286" s="394"/>
      <c r="B286" s="343"/>
      <c r="C286" s="344" t="s">
        <v>263</v>
      </c>
      <c r="D286" s="345">
        <v>43763</v>
      </c>
      <c r="E286" s="346">
        <v>1</v>
      </c>
      <c r="F286" s="347">
        <v>850000</v>
      </c>
      <c r="G286" s="346">
        <v>1</v>
      </c>
      <c r="H286" s="347">
        <v>850000</v>
      </c>
      <c r="I286" s="347" t="s">
        <v>268</v>
      </c>
      <c r="J286" s="348"/>
      <c r="L286" s="358"/>
    </row>
    <row r="287" spans="1:12" s="349" customFormat="1" ht="18" customHeight="1">
      <c r="A287" s="394"/>
      <c r="B287" s="343"/>
      <c r="C287" s="283" t="s">
        <v>257</v>
      </c>
      <c r="D287" s="284">
        <v>43764</v>
      </c>
      <c r="E287" s="288">
        <v>0</v>
      </c>
      <c r="F287" s="289">
        <v>0</v>
      </c>
      <c r="G287" s="288">
        <v>0</v>
      </c>
      <c r="H287" s="289">
        <v>0</v>
      </c>
      <c r="I287" s="289" t="s">
        <v>273</v>
      </c>
      <c r="J287" s="348"/>
      <c r="L287" s="358"/>
    </row>
    <row r="288" spans="1:12" s="349" customFormat="1" ht="18" customHeight="1">
      <c r="A288" s="394"/>
      <c r="B288" s="343"/>
      <c r="C288" s="283" t="s">
        <v>258</v>
      </c>
      <c r="D288" s="284">
        <v>43765</v>
      </c>
      <c r="E288" s="288">
        <v>0</v>
      </c>
      <c r="F288" s="289">
        <v>0</v>
      </c>
      <c r="G288" s="288">
        <v>0</v>
      </c>
      <c r="H288" s="289">
        <v>0</v>
      </c>
      <c r="I288" s="289" t="s">
        <v>273</v>
      </c>
      <c r="J288" s="348"/>
      <c r="L288" s="358"/>
    </row>
    <row r="289" spans="1:12" s="282" customFormat="1" ht="18" customHeight="1">
      <c r="A289" s="393"/>
      <c r="B289" s="318"/>
      <c r="C289" s="344" t="s">
        <v>259</v>
      </c>
      <c r="D289" s="345">
        <v>43766</v>
      </c>
      <c r="E289" s="346">
        <v>1</v>
      </c>
      <c r="F289" s="347">
        <v>850000</v>
      </c>
      <c r="G289" s="346">
        <v>1</v>
      </c>
      <c r="H289" s="347">
        <v>850000</v>
      </c>
      <c r="I289" s="347" t="s">
        <v>268</v>
      </c>
      <c r="J289" s="319"/>
      <c r="L289" s="355"/>
    </row>
    <row r="290" spans="1:12" s="282" customFormat="1" ht="18" customHeight="1">
      <c r="A290" s="393"/>
      <c r="B290" s="318"/>
      <c r="C290" s="344" t="s">
        <v>260</v>
      </c>
      <c r="D290" s="345">
        <v>43767</v>
      </c>
      <c r="E290" s="346">
        <v>1</v>
      </c>
      <c r="F290" s="347">
        <v>850000</v>
      </c>
      <c r="G290" s="346">
        <v>1</v>
      </c>
      <c r="H290" s="347">
        <v>850000</v>
      </c>
      <c r="I290" s="347" t="s">
        <v>268</v>
      </c>
      <c r="J290" s="319"/>
      <c r="L290" s="355"/>
    </row>
    <row r="291" spans="1:12" s="349" customFormat="1" ht="18" customHeight="1">
      <c r="A291" s="394"/>
      <c r="B291" s="343"/>
      <c r="C291" s="344" t="s">
        <v>261</v>
      </c>
      <c r="D291" s="345">
        <v>43768</v>
      </c>
      <c r="E291" s="346">
        <v>1</v>
      </c>
      <c r="F291" s="347">
        <v>850000</v>
      </c>
      <c r="G291" s="346">
        <v>1</v>
      </c>
      <c r="H291" s="347">
        <v>850000</v>
      </c>
      <c r="I291" s="347" t="s">
        <v>268</v>
      </c>
      <c r="J291" s="348"/>
      <c r="L291" s="358"/>
    </row>
    <row r="292" spans="1:12" s="349" customFormat="1" ht="18" customHeight="1">
      <c r="A292" s="394"/>
      <c r="B292" s="343"/>
      <c r="C292" s="344" t="s">
        <v>262</v>
      </c>
      <c r="D292" s="345">
        <v>43769</v>
      </c>
      <c r="E292" s="346">
        <v>1</v>
      </c>
      <c r="F292" s="347">
        <v>850000</v>
      </c>
      <c r="G292" s="346">
        <v>1</v>
      </c>
      <c r="H292" s="347">
        <v>850000</v>
      </c>
      <c r="I292" s="347" t="s">
        <v>268</v>
      </c>
      <c r="J292" s="348"/>
      <c r="L292" s="358"/>
    </row>
    <row r="293" spans="1:12" s="297" customFormat="1" ht="24.95" customHeight="1">
      <c r="A293" s="277"/>
      <c r="B293" s="320"/>
      <c r="C293" s="676" t="s">
        <v>264</v>
      </c>
      <c r="D293" s="676"/>
      <c r="E293" s="677">
        <f>SUM(F277:F292)</f>
        <v>10200000</v>
      </c>
      <c r="F293" s="677"/>
      <c r="G293" s="677">
        <f>SUM(H277:H292)</f>
        <v>10200000</v>
      </c>
      <c r="H293" s="677"/>
      <c r="I293" s="330"/>
      <c r="J293" s="321"/>
      <c r="L293" s="356">
        <v>21</v>
      </c>
    </row>
    <row r="294" spans="1:12" s="296" customFormat="1" ht="30" customHeight="1">
      <c r="A294" s="277"/>
      <c r="B294" s="322"/>
      <c r="C294" s="657" t="s">
        <v>62</v>
      </c>
      <c r="D294" s="657"/>
      <c r="E294" s="658">
        <f>+E293+G293</f>
        <v>20400000</v>
      </c>
      <c r="F294" s="659"/>
      <c r="G294" s="659"/>
      <c r="H294" s="660"/>
      <c r="I294" s="331"/>
      <c r="J294" s="323"/>
      <c r="L294" s="359">
        <f>+L293*2*850000</f>
        <v>35700000</v>
      </c>
    </row>
    <row r="295" spans="1:12" ht="20.100000000000001" customHeight="1">
      <c r="B295" s="307"/>
      <c r="J295" s="308"/>
      <c r="L295" s="351">
        <f>+E294+E262</f>
        <v>39100000</v>
      </c>
    </row>
    <row r="296" spans="1:12" ht="18" customHeight="1">
      <c r="B296" s="307"/>
      <c r="C296" s="290" t="s">
        <v>136</v>
      </c>
      <c r="E296" s="183"/>
      <c r="F296" s="234" t="s">
        <v>131</v>
      </c>
      <c r="G296" s="234" t="s">
        <v>130</v>
      </c>
      <c r="H296" s="234" t="s">
        <v>129</v>
      </c>
      <c r="I296" s="234" t="s">
        <v>128</v>
      </c>
      <c r="J296" s="308"/>
    </row>
    <row r="297" spans="1:12" s="335" customFormat="1" ht="39.950000000000003" customHeight="1">
      <c r="B297" s="332"/>
      <c r="C297" s="333">
        <v>5</v>
      </c>
      <c r="D297" s="334"/>
      <c r="F297" s="336">
        <v>4</v>
      </c>
      <c r="G297" s="336">
        <v>3</v>
      </c>
      <c r="H297" s="336">
        <v>2</v>
      </c>
      <c r="I297" s="336">
        <v>1</v>
      </c>
      <c r="J297" s="337"/>
      <c r="L297" s="357"/>
    </row>
    <row r="298" spans="1:12" ht="17.100000000000001" customHeight="1">
      <c r="B298" s="307"/>
      <c r="C298" s="290" t="s">
        <v>277</v>
      </c>
      <c r="E298" s="183"/>
      <c r="F298" s="236" t="s">
        <v>114</v>
      </c>
      <c r="G298" s="237" t="s">
        <v>274</v>
      </c>
      <c r="H298" s="238" t="s">
        <v>112</v>
      </c>
      <c r="I298" s="234" t="s">
        <v>16</v>
      </c>
      <c r="J298" s="308"/>
    </row>
    <row r="299" spans="1:12" ht="15" customHeight="1" thickBot="1">
      <c r="B299" s="374"/>
      <c r="C299" s="375" t="s">
        <v>132</v>
      </c>
      <c r="D299" s="376"/>
      <c r="E299" s="377"/>
      <c r="F299" s="375" t="s">
        <v>132</v>
      </c>
      <c r="G299" s="375" t="s">
        <v>132</v>
      </c>
      <c r="H299" s="375" t="s">
        <v>132</v>
      </c>
      <c r="I299" s="375" t="s">
        <v>132</v>
      </c>
      <c r="J299" s="378"/>
    </row>
    <row r="300" spans="1:12" ht="9.9499999999999993" customHeight="1" thickTop="1">
      <c r="B300" s="364"/>
      <c r="C300" s="364"/>
      <c r="D300" s="365"/>
      <c r="E300" s="366"/>
      <c r="F300" s="367"/>
      <c r="G300" s="366"/>
      <c r="H300" s="367"/>
      <c r="I300" s="367"/>
      <c r="J300" s="364"/>
    </row>
    <row r="301" spans="1:12" ht="20.100000000000001" customHeight="1"/>
    <row r="302" spans="1:12" ht="9.9499999999999993" customHeight="1" thickBot="1">
      <c r="B302" s="364"/>
      <c r="C302" s="364"/>
      <c r="D302" s="365"/>
      <c r="E302" s="366"/>
      <c r="F302" s="367"/>
      <c r="G302" s="366"/>
      <c r="H302" s="367"/>
      <c r="I302" s="367"/>
      <c r="J302" s="364"/>
    </row>
    <row r="303" spans="1:12" ht="9.9499999999999993" customHeight="1" thickTop="1">
      <c r="B303" s="301"/>
      <c r="C303" s="302"/>
      <c r="D303" s="303"/>
      <c r="E303" s="304"/>
      <c r="F303" s="305"/>
      <c r="G303" s="304"/>
      <c r="H303" s="305"/>
      <c r="I303" s="305"/>
      <c r="J303" s="306"/>
    </row>
    <row r="304" spans="1:12" ht="17.100000000000001" customHeight="1">
      <c r="B304" s="307"/>
      <c r="C304" s="298" t="s">
        <v>138</v>
      </c>
      <c r="D304" s="299"/>
      <c r="G304" s="678" t="s">
        <v>298</v>
      </c>
      <c r="H304" s="678"/>
      <c r="I304" s="678"/>
      <c r="J304" s="308"/>
    </row>
    <row r="305" spans="1:12" s="275" customFormat="1" ht="30" customHeight="1">
      <c r="A305" s="277"/>
      <c r="B305" s="309"/>
      <c r="C305" s="279" t="s">
        <v>119</v>
      </c>
      <c r="D305" s="292" t="s">
        <v>244</v>
      </c>
      <c r="F305" s="310"/>
      <c r="G305" s="311"/>
      <c r="H305" s="310"/>
      <c r="I305" s="310"/>
      <c r="J305" s="312"/>
      <c r="L305" s="352"/>
    </row>
    <row r="306" spans="1:12" s="276" customFormat="1" ht="23.1" customHeight="1">
      <c r="A306" s="277"/>
      <c r="B306" s="313"/>
      <c r="C306" s="280" t="s">
        <v>120</v>
      </c>
      <c r="D306" s="293" t="s">
        <v>297</v>
      </c>
      <c r="F306" s="663" t="s">
        <v>303</v>
      </c>
      <c r="G306" s="664"/>
      <c r="H306" s="664"/>
      <c r="I306" s="665"/>
      <c r="J306" s="315"/>
      <c r="L306" s="353"/>
    </row>
    <row r="307" spans="1:12" s="276" customFormat="1" ht="23.1" customHeight="1">
      <c r="A307" s="277"/>
      <c r="B307" s="313"/>
      <c r="C307" s="280" t="s">
        <v>121</v>
      </c>
      <c r="D307" s="293" t="s">
        <v>300</v>
      </c>
      <c r="F307" s="666"/>
      <c r="G307" s="667"/>
      <c r="H307" s="667"/>
      <c r="I307" s="668"/>
      <c r="J307" s="315"/>
      <c r="L307" s="353"/>
    </row>
    <row r="308" spans="1:12" s="278" customFormat="1" ht="50.1" customHeight="1">
      <c r="A308" s="392"/>
      <c r="B308" s="316"/>
      <c r="C308" s="669" t="s">
        <v>2</v>
      </c>
      <c r="D308" s="671" t="s">
        <v>283</v>
      </c>
      <c r="E308" s="673" t="s">
        <v>275</v>
      </c>
      <c r="F308" s="674"/>
      <c r="G308" s="673" t="s">
        <v>276</v>
      </c>
      <c r="H308" s="674"/>
      <c r="I308" s="675" t="s">
        <v>85</v>
      </c>
      <c r="J308" s="317"/>
      <c r="L308" s="354"/>
    </row>
    <row r="309" spans="1:12" s="278" customFormat="1" ht="24.95" customHeight="1">
      <c r="A309" s="392"/>
      <c r="B309" s="316"/>
      <c r="C309" s="670"/>
      <c r="D309" s="672"/>
      <c r="E309" s="294" t="s">
        <v>256</v>
      </c>
      <c r="F309" s="295" t="s">
        <v>27</v>
      </c>
      <c r="G309" s="294" t="s">
        <v>256</v>
      </c>
      <c r="H309" s="295" t="s">
        <v>27</v>
      </c>
      <c r="I309" s="675"/>
      <c r="J309" s="317"/>
      <c r="L309" s="354"/>
    </row>
    <row r="310" spans="1:12" s="282" customFormat="1" ht="18" customHeight="1">
      <c r="A310" s="393"/>
      <c r="B310" s="318"/>
      <c r="C310" s="344" t="s">
        <v>263</v>
      </c>
      <c r="D310" s="345">
        <v>43770</v>
      </c>
      <c r="E310" s="346">
        <v>1</v>
      </c>
      <c r="F310" s="347">
        <v>850000</v>
      </c>
      <c r="G310" s="346">
        <v>1</v>
      </c>
      <c r="H310" s="347">
        <v>850000</v>
      </c>
      <c r="I310" s="347" t="s">
        <v>268</v>
      </c>
      <c r="J310" s="319"/>
      <c r="L310" s="355"/>
    </row>
    <row r="311" spans="1:12" s="349" customFormat="1" ht="18" customHeight="1">
      <c r="A311" s="394"/>
      <c r="B311" s="343"/>
      <c r="C311" s="283" t="s">
        <v>257</v>
      </c>
      <c r="D311" s="284">
        <v>43771</v>
      </c>
      <c r="E311" s="288">
        <v>0</v>
      </c>
      <c r="F311" s="289">
        <v>0</v>
      </c>
      <c r="G311" s="288">
        <v>0</v>
      </c>
      <c r="H311" s="289">
        <v>0</v>
      </c>
      <c r="I311" s="289" t="s">
        <v>273</v>
      </c>
      <c r="J311" s="348"/>
      <c r="L311" s="358"/>
    </row>
    <row r="312" spans="1:12" s="349" customFormat="1" ht="18" customHeight="1">
      <c r="A312" s="394"/>
      <c r="B312" s="343"/>
      <c r="C312" s="283" t="s">
        <v>258</v>
      </c>
      <c r="D312" s="284">
        <v>43772</v>
      </c>
      <c r="E312" s="288">
        <v>0</v>
      </c>
      <c r="F312" s="289">
        <v>0</v>
      </c>
      <c r="G312" s="288">
        <v>0</v>
      </c>
      <c r="H312" s="289">
        <v>0</v>
      </c>
      <c r="I312" s="289" t="s">
        <v>273</v>
      </c>
      <c r="J312" s="348"/>
      <c r="L312" s="358"/>
    </row>
    <row r="313" spans="1:12" s="349" customFormat="1" ht="18" customHeight="1">
      <c r="A313" s="394"/>
      <c r="B313" s="343"/>
      <c r="C313" s="344" t="s">
        <v>259</v>
      </c>
      <c r="D313" s="345">
        <v>43773</v>
      </c>
      <c r="E313" s="346">
        <v>1</v>
      </c>
      <c r="F313" s="347">
        <v>850000</v>
      </c>
      <c r="G313" s="346">
        <v>1</v>
      </c>
      <c r="H313" s="347">
        <v>850000</v>
      </c>
      <c r="I313" s="347" t="s">
        <v>268</v>
      </c>
      <c r="J313" s="348"/>
      <c r="L313" s="358"/>
    </row>
    <row r="314" spans="1:12" s="282" customFormat="1" ht="18" customHeight="1">
      <c r="A314" s="393"/>
      <c r="B314" s="318"/>
      <c r="C314" s="344" t="s">
        <v>260</v>
      </c>
      <c r="D314" s="345">
        <v>43774</v>
      </c>
      <c r="E314" s="346">
        <v>1</v>
      </c>
      <c r="F314" s="347">
        <v>850000</v>
      </c>
      <c r="G314" s="346">
        <v>1</v>
      </c>
      <c r="H314" s="347">
        <v>850000</v>
      </c>
      <c r="I314" s="347" t="s">
        <v>268</v>
      </c>
      <c r="J314" s="319"/>
      <c r="L314" s="355"/>
    </row>
    <row r="315" spans="1:12" s="282" customFormat="1" ht="18" customHeight="1">
      <c r="A315" s="393"/>
      <c r="B315" s="318"/>
      <c r="C315" s="344" t="s">
        <v>261</v>
      </c>
      <c r="D315" s="345">
        <v>43775</v>
      </c>
      <c r="E315" s="346">
        <v>1</v>
      </c>
      <c r="F315" s="347">
        <v>850000</v>
      </c>
      <c r="G315" s="346">
        <v>1</v>
      </c>
      <c r="H315" s="347">
        <v>850000</v>
      </c>
      <c r="I315" s="347" t="s">
        <v>268</v>
      </c>
      <c r="J315" s="319"/>
      <c r="L315" s="355"/>
    </row>
    <row r="316" spans="1:12" s="282" customFormat="1" ht="18" customHeight="1">
      <c r="A316" s="393"/>
      <c r="B316" s="318"/>
      <c r="C316" s="344" t="s">
        <v>262</v>
      </c>
      <c r="D316" s="345">
        <v>43776</v>
      </c>
      <c r="E316" s="346">
        <v>1</v>
      </c>
      <c r="F316" s="347">
        <v>850000</v>
      </c>
      <c r="G316" s="346">
        <v>1</v>
      </c>
      <c r="H316" s="347">
        <v>850000</v>
      </c>
      <c r="I316" s="347" t="s">
        <v>268</v>
      </c>
      <c r="J316" s="319"/>
      <c r="L316" s="355"/>
    </row>
    <row r="317" spans="1:12" s="282" customFormat="1" ht="18" customHeight="1">
      <c r="A317" s="393"/>
      <c r="B317" s="318"/>
      <c r="C317" s="344" t="s">
        <v>263</v>
      </c>
      <c r="D317" s="345">
        <v>43777</v>
      </c>
      <c r="E317" s="346">
        <v>1</v>
      </c>
      <c r="F317" s="347">
        <v>850000</v>
      </c>
      <c r="G317" s="346">
        <v>1</v>
      </c>
      <c r="H317" s="347">
        <v>850000</v>
      </c>
      <c r="I317" s="347" t="s">
        <v>268</v>
      </c>
      <c r="J317" s="319"/>
      <c r="L317" s="355"/>
    </row>
    <row r="318" spans="1:12" s="349" customFormat="1" ht="18" customHeight="1">
      <c r="A318" s="394"/>
      <c r="B318" s="343"/>
      <c r="C318" s="283" t="s">
        <v>257</v>
      </c>
      <c r="D318" s="284">
        <v>43778</v>
      </c>
      <c r="E318" s="288">
        <v>0</v>
      </c>
      <c r="F318" s="289">
        <v>0</v>
      </c>
      <c r="G318" s="288">
        <v>0</v>
      </c>
      <c r="H318" s="289">
        <v>0</v>
      </c>
      <c r="I318" s="289" t="s">
        <v>273</v>
      </c>
      <c r="J318" s="348"/>
      <c r="L318" s="358"/>
    </row>
    <row r="319" spans="1:12" s="349" customFormat="1" ht="18" customHeight="1">
      <c r="A319" s="394"/>
      <c r="B319" s="343"/>
      <c r="C319" s="283" t="s">
        <v>258</v>
      </c>
      <c r="D319" s="284">
        <v>43779</v>
      </c>
      <c r="E319" s="288">
        <v>0</v>
      </c>
      <c r="F319" s="289">
        <v>0</v>
      </c>
      <c r="G319" s="288">
        <v>0</v>
      </c>
      <c r="H319" s="289">
        <v>0</v>
      </c>
      <c r="I319" s="289" t="s">
        <v>273</v>
      </c>
      <c r="J319" s="348"/>
      <c r="L319" s="358"/>
    </row>
    <row r="320" spans="1:12" s="349" customFormat="1" ht="18" customHeight="1">
      <c r="A320" s="394"/>
      <c r="B320" s="343"/>
      <c r="C320" s="344" t="s">
        <v>259</v>
      </c>
      <c r="D320" s="345">
        <v>43780</v>
      </c>
      <c r="E320" s="346">
        <v>1</v>
      </c>
      <c r="F320" s="347">
        <v>850000</v>
      </c>
      <c r="G320" s="346">
        <v>1</v>
      </c>
      <c r="H320" s="347">
        <v>850000</v>
      </c>
      <c r="I320" s="347" t="s">
        <v>268</v>
      </c>
      <c r="J320" s="348"/>
      <c r="L320" s="358"/>
    </row>
    <row r="321" spans="1:12" s="282" customFormat="1" ht="18" customHeight="1">
      <c r="A321" s="393"/>
      <c r="B321" s="318"/>
      <c r="C321" s="344" t="s">
        <v>260</v>
      </c>
      <c r="D321" s="345">
        <v>43781</v>
      </c>
      <c r="E321" s="346">
        <v>1</v>
      </c>
      <c r="F321" s="347">
        <v>850000</v>
      </c>
      <c r="G321" s="346">
        <v>1</v>
      </c>
      <c r="H321" s="347">
        <v>850000</v>
      </c>
      <c r="I321" s="347" t="s">
        <v>268</v>
      </c>
      <c r="J321" s="319"/>
      <c r="L321" s="355"/>
    </row>
    <row r="322" spans="1:12" s="282" customFormat="1" ht="18" customHeight="1">
      <c r="A322" s="393"/>
      <c r="B322" s="318"/>
      <c r="C322" s="344" t="s">
        <v>261</v>
      </c>
      <c r="D322" s="345">
        <v>43782</v>
      </c>
      <c r="E322" s="346">
        <v>1</v>
      </c>
      <c r="F322" s="347">
        <v>850000</v>
      </c>
      <c r="G322" s="346">
        <v>1</v>
      </c>
      <c r="H322" s="347">
        <v>850000</v>
      </c>
      <c r="I322" s="347" t="s">
        <v>268</v>
      </c>
      <c r="J322" s="319"/>
      <c r="L322" s="355"/>
    </row>
    <row r="323" spans="1:12" s="282" customFormat="1" ht="18" customHeight="1">
      <c r="A323" s="393"/>
      <c r="B323" s="318"/>
      <c r="C323" s="344" t="s">
        <v>262</v>
      </c>
      <c r="D323" s="345">
        <v>43783</v>
      </c>
      <c r="E323" s="346">
        <v>1</v>
      </c>
      <c r="F323" s="347">
        <v>850000</v>
      </c>
      <c r="G323" s="346">
        <v>1</v>
      </c>
      <c r="H323" s="347">
        <v>850000</v>
      </c>
      <c r="I323" s="347" t="s">
        <v>268</v>
      </c>
      <c r="J323" s="319"/>
      <c r="L323" s="355"/>
    </row>
    <row r="324" spans="1:12" s="282" customFormat="1" ht="18" customHeight="1">
      <c r="A324" s="393"/>
      <c r="B324" s="318"/>
      <c r="C324" s="344" t="s">
        <v>263</v>
      </c>
      <c r="D324" s="345">
        <v>43784</v>
      </c>
      <c r="E324" s="346">
        <v>1</v>
      </c>
      <c r="F324" s="347">
        <v>850000</v>
      </c>
      <c r="G324" s="346">
        <v>1</v>
      </c>
      <c r="H324" s="347">
        <v>850000</v>
      </c>
      <c r="I324" s="347" t="s">
        <v>268</v>
      </c>
      <c r="J324" s="319"/>
      <c r="L324" s="355"/>
    </row>
    <row r="325" spans="1:12" s="297" customFormat="1" ht="24.95" customHeight="1">
      <c r="A325" s="277"/>
      <c r="B325" s="320"/>
      <c r="C325" s="676" t="s">
        <v>264</v>
      </c>
      <c r="D325" s="676"/>
      <c r="E325" s="677">
        <f>SUM(F310:F324)</f>
        <v>9350000</v>
      </c>
      <c r="F325" s="677"/>
      <c r="G325" s="677">
        <f>SUM(H310:H324)</f>
        <v>9350000</v>
      </c>
      <c r="H325" s="677"/>
      <c r="I325" s="330"/>
      <c r="J325" s="321"/>
      <c r="L325" s="356"/>
    </row>
    <row r="326" spans="1:12" s="296" customFormat="1" ht="30" customHeight="1">
      <c r="A326" s="277"/>
      <c r="B326" s="322"/>
      <c r="C326" s="657" t="s">
        <v>62</v>
      </c>
      <c r="D326" s="657"/>
      <c r="E326" s="658">
        <f>+E325+G325</f>
        <v>18700000</v>
      </c>
      <c r="F326" s="659"/>
      <c r="G326" s="659"/>
      <c r="H326" s="660"/>
      <c r="I326" s="331"/>
      <c r="J326" s="323"/>
      <c r="L326" s="359"/>
    </row>
    <row r="327" spans="1:12" ht="20.100000000000001" customHeight="1">
      <c r="B327" s="307"/>
      <c r="J327" s="308"/>
    </row>
    <row r="328" spans="1:12" ht="18" customHeight="1">
      <c r="B328" s="307"/>
      <c r="C328" s="290" t="s">
        <v>136</v>
      </c>
      <c r="E328" s="183"/>
      <c r="F328" s="234" t="s">
        <v>131</v>
      </c>
      <c r="G328" s="234" t="s">
        <v>130</v>
      </c>
      <c r="H328" s="234" t="s">
        <v>129</v>
      </c>
      <c r="I328" s="234" t="s">
        <v>128</v>
      </c>
      <c r="J328" s="308"/>
    </row>
    <row r="329" spans="1:12" s="335" customFormat="1" ht="39.950000000000003" customHeight="1">
      <c r="B329" s="332"/>
      <c r="C329" s="333">
        <v>5</v>
      </c>
      <c r="D329" s="334"/>
      <c r="F329" s="336">
        <v>4</v>
      </c>
      <c r="G329" s="336">
        <v>3</v>
      </c>
      <c r="H329" s="336">
        <v>2</v>
      </c>
      <c r="I329" s="336">
        <v>1</v>
      </c>
      <c r="J329" s="337"/>
      <c r="L329" s="357"/>
    </row>
    <row r="330" spans="1:12" ht="17.100000000000001" customHeight="1">
      <c r="B330" s="307"/>
      <c r="C330" s="290"/>
      <c r="E330" s="183"/>
      <c r="F330" s="236" t="s">
        <v>114</v>
      </c>
      <c r="G330" s="237" t="s">
        <v>274</v>
      </c>
      <c r="H330" s="238" t="s">
        <v>112</v>
      </c>
      <c r="I330" s="234" t="s">
        <v>16</v>
      </c>
      <c r="J330" s="308"/>
    </row>
    <row r="331" spans="1:12" ht="15" customHeight="1">
      <c r="B331" s="307"/>
      <c r="C331" s="300" t="s">
        <v>132</v>
      </c>
      <c r="E331" s="183"/>
      <c r="F331" s="300" t="s">
        <v>132</v>
      </c>
      <c r="G331" s="300" t="s">
        <v>132</v>
      </c>
      <c r="H331" s="300" t="s">
        <v>132</v>
      </c>
      <c r="I331" s="300" t="s">
        <v>132</v>
      </c>
      <c r="J331" s="308"/>
    </row>
    <row r="332" spans="1:12" ht="9.9499999999999993" customHeight="1" thickBot="1">
      <c r="B332" s="324"/>
      <c r="C332" s="325"/>
      <c r="D332" s="326"/>
      <c r="E332" s="327"/>
      <c r="F332" s="328"/>
      <c r="G332" s="327"/>
      <c r="H332" s="328"/>
      <c r="I332" s="328"/>
      <c r="J332" s="329"/>
    </row>
    <row r="333" spans="1:12" s="379" customFormat="1" ht="9.9499999999999993" customHeight="1" thickTop="1">
      <c r="A333" s="381"/>
      <c r="B333" s="364"/>
      <c r="C333" s="364"/>
      <c r="D333" s="365"/>
      <c r="E333" s="366"/>
      <c r="F333" s="367"/>
      <c r="G333" s="366"/>
      <c r="H333" s="367"/>
      <c r="I333" s="367"/>
      <c r="J333" s="364"/>
      <c r="L333" s="383"/>
    </row>
    <row r="334" spans="1:12" ht="9.9499999999999993" customHeight="1">
      <c r="B334" s="368"/>
      <c r="C334" s="369"/>
      <c r="D334" s="370"/>
      <c r="E334" s="371"/>
      <c r="F334" s="372"/>
      <c r="G334" s="371"/>
      <c r="H334" s="372"/>
      <c r="I334" s="372"/>
      <c r="J334" s="373"/>
    </row>
    <row r="335" spans="1:12" ht="17.100000000000001" customHeight="1">
      <c r="B335" s="307"/>
      <c r="C335" s="298" t="s">
        <v>138</v>
      </c>
      <c r="D335" s="299"/>
      <c r="G335" s="678" t="s">
        <v>293</v>
      </c>
      <c r="H335" s="678"/>
      <c r="I335" s="678"/>
      <c r="J335" s="308"/>
    </row>
    <row r="336" spans="1:12" s="275" customFormat="1" ht="30" customHeight="1">
      <c r="A336" s="277"/>
      <c r="B336" s="309"/>
      <c r="C336" s="279" t="s">
        <v>119</v>
      </c>
      <c r="D336" s="292" t="s">
        <v>244</v>
      </c>
      <c r="F336" s="310"/>
      <c r="G336" s="311"/>
      <c r="H336" s="310"/>
      <c r="I336" s="310"/>
      <c r="J336" s="312"/>
      <c r="L336" s="352"/>
    </row>
    <row r="337" spans="1:12" s="276" customFormat="1" ht="23.1" customHeight="1">
      <c r="A337" s="277"/>
      <c r="B337" s="313"/>
      <c r="C337" s="280" t="s">
        <v>120</v>
      </c>
      <c r="D337" s="293" t="s">
        <v>299</v>
      </c>
      <c r="F337" s="679" t="s">
        <v>270</v>
      </c>
      <c r="G337" s="680"/>
      <c r="H337" s="680"/>
      <c r="I337" s="681"/>
      <c r="J337" s="315"/>
      <c r="L337" s="353"/>
    </row>
    <row r="338" spans="1:12" s="276" customFormat="1" ht="23.1" customHeight="1">
      <c r="A338" s="277"/>
      <c r="B338" s="313"/>
      <c r="C338" s="280" t="s">
        <v>121</v>
      </c>
      <c r="D338" s="293" t="s">
        <v>302</v>
      </c>
      <c r="F338" s="682"/>
      <c r="G338" s="683"/>
      <c r="H338" s="683"/>
      <c r="I338" s="684"/>
      <c r="J338" s="315"/>
      <c r="L338" s="353"/>
    </row>
    <row r="339" spans="1:12" s="278" customFormat="1" ht="50.1" customHeight="1">
      <c r="A339" s="392"/>
      <c r="B339" s="316"/>
      <c r="C339" s="669" t="s">
        <v>2</v>
      </c>
      <c r="D339" s="671" t="s">
        <v>283</v>
      </c>
      <c r="E339" s="673" t="s">
        <v>275</v>
      </c>
      <c r="F339" s="674"/>
      <c r="G339" s="673" t="s">
        <v>276</v>
      </c>
      <c r="H339" s="674"/>
      <c r="I339" s="675" t="s">
        <v>85</v>
      </c>
      <c r="J339" s="317"/>
      <c r="L339" s="354"/>
    </row>
    <row r="340" spans="1:12" s="278" customFormat="1" ht="24.95" customHeight="1">
      <c r="A340" s="392"/>
      <c r="B340" s="316"/>
      <c r="C340" s="670"/>
      <c r="D340" s="672"/>
      <c r="E340" s="294" t="s">
        <v>256</v>
      </c>
      <c r="F340" s="295" t="s">
        <v>27</v>
      </c>
      <c r="G340" s="294" t="s">
        <v>256</v>
      </c>
      <c r="H340" s="295" t="s">
        <v>27</v>
      </c>
      <c r="I340" s="675"/>
      <c r="J340" s="317"/>
      <c r="L340" s="354"/>
    </row>
    <row r="341" spans="1:12" s="349" customFormat="1" ht="18" customHeight="1">
      <c r="A341" s="394"/>
      <c r="B341" s="343"/>
      <c r="C341" s="283" t="s">
        <v>257</v>
      </c>
      <c r="D341" s="284">
        <v>43785</v>
      </c>
      <c r="E341" s="288">
        <v>0</v>
      </c>
      <c r="F341" s="289">
        <v>0</v>
      </c>
      <c r="G341" s="288">
        <v>0</v>
      </c>
      <c r="H341" s="289">
        <v>0</v>
      </c>
      <c r="I341" s="289" t="s">
        <v>273</v>
      </c>
      <c r="J341" s="348"/>
      <c r="L341" s="358"/>
    </row>
    <row r="342" spans="1:12" s="349" customFormat="1" ht="18" customHeight="1">
      <c r="A342" s="394"/>
      <c r="B342" s="343"/>
      <c r="C342" s="283" t="s">
        <v>258</v>
      </c>
      <c r="D342" s="284">
        <v>43786</v>
      </c>
      <c r="E342" s="288">
        <v>0</v>
      </c>
      <c r="F342" s="289">
        <v>0</v>
      </c>
      <c r="G342" s="288">
        <v>0</v>
      </c>
      <c r="H342" s="289">
        <v>0</v>
      </c>
      <c r="I342" s="289" t="s">
        <v>273</v>
      </c>
      <c r="J342" s="348"/>
      <c r="L342" s="358"/>
    </row>
    <row r="343" spans="1:12" s="349" customFormat="1" ht="18" customHeight="1">
      <c r="A343" s="394"/>
      <c r="B343" s="343"/>
      <c r="C343" s="344" t="s">
        <v>259</v>
      </c>
      <c r="D343" s="345">
        <v>43787</v>
      </c>
      <c r="E343" s="346">
        <v>1</v>
      </c>
      <c r="F343" s="347">
        <v>850000</v>
      </c>
      <c r="G343" s="346">
        <v>1</v>
      </c>
      <c r="H343" s="347">
        <v>850000</v>
      </c>
      <c r="I343" s="347" t="s">
        <v>268</v>
      </c>
      <c r="J343" s="348"/>
      <c r="L343" s="358"/>
    </row>
    <row r="344" spans="1:12" s="349" customFormat="1" ht="18" customHeight="1">
      <c r="A344" s="394"/>
      <c r="B344" s="343"/>
      <c r="C344" s="344" t="s">
        <v>260</v>
      </c>
      <c r="D344" s="345">
        <v>43788</v>
      </c>
      <c r="E344" s="346">
        <v>1</v>
      </c>
      <c r="F344" s="347">
        <v>850000</v>
      </c>
      <c r="G344" s="346">
        <v>1</v>
      </c>
      <c r="H344" s="347">
        <v>850000</v>
      </c>
      <c r="I344" s="347" t="s">
        <v>268</v>
      </c>
      <c r="J344" s="348"/>
      <c r="L344" s="358"/>
    </row>
    <row r="345" spans="1:12" s="349" customFormat="1" ht="18" customHeight="1">
      <c r="A345" s="394"/>
      <c r="B345" s="343"/>
      <c r="C345" s="344" t="s">
        <v>261</v>
      </c>
      <c r="D345" s="345">
        <v>43789</v>
      </c>
      <c r="E345" s="346">
        <v>1</v>
      </c>
      <c r="F345" s="347">
        <v>850000</v>
      </c>
      <c r="G345" s="346">
        <v>1</v>
      </c>
      <c r="H345" s="347">
        <v>850000</v>
      </c>
      <c r="I345" s="347" t="s">
        <v>268</v>
      </c>
      <c r="J345" s="348"/>
      <c r="L345" s="358"/>
    </row>
    <row r="346" spans="1:12" s="282" customFormat="1" ht="18" customHeight="1">
      <c r="A346" s="393"/>
      <c r="B346" s="318"/>
      <c r="C346" s="344" t="s">
        <v>262</v>
      </c>
      <c r="D346" s="345">
        <v>43790</v>
      </c>
      <c r="E346" s="346">
        <v>1</v>
      </c>
      <c r="F346" s="347">
        <v>850000</v>
      </c>
      <c r="G346" s="346">
        <v>1</v>
      </c>
      <c r="H346" s="347">
        <v>850000</v>
      </c>
      <c r="I346" s="347" t="s">
        <v>268</v>
      </c>
      <c r="J346" s="319"/>
      <c r="L346" s="355"/>
    </row>
    <row r="347" spans="1:12" s="282" customFormat="1" ht="18" customHeight="1">
      <c r="A347" s="393"/>
      <c r="B347" s="318"/>
      <c r="C347" s="344" t="s">
        <v>263</v>
      </c>
      <c r="D347" s="345">
        <v>43791</v>
      </c>
      <c r="E347" s="346">
        <v>1</v>
      </c>
      <c r="F347" s="347">
        <v>850000</v>
      </c>
      <c r="G347" s="346">
        <v>1</v>
      </c>
      <c r="H347" s="347">
        <v>850000</v>
      </c>
      <c r="I347" s="347" t="s">
        <v>268</v>
      </c>
      <c r="J347" s="319"/>
      <c r="L347" s="355"/>
    </row>
    <row r="348" spans="1:12" s="349" customFormat="1" ht="18" customHeight="1">
      <c r="A348" s="394"/>
      <c r="B348" s="343"/>
      <c r="C348" s="283" t="s">
        <v>257</v>
      </c>
      <c r="D348" s="284">
        <v>43792</v>
      </c>
      <c r="E348" s="288">
        <v>0</v>
      </c>
      <c r="F348" s="289">
        <v>0</v>
      </c>
      <c r="G348" s="288">
        <v>0</v>
      </c>
      <c r="H348" s="289">
        <v>0</v>
      </c>
      <c r="I348" s="289" t="s">
        <v>273</v>
      </c>
      <c r="J348" s="348"/>
      <c r="L348" s="358"/>
    </row>
    <row r="349" spans="1:12" s="349" customFormat="1" ht="18" customHeight="1">
      <c r="A349" s="394"/>
      <c r="B349" s="343"/>
      <c r="C349" s="283" t="s">
        <v>258</v>
      </c>
      <c r="D349" s="284">
        <v>43793</v>
      </c>
      <c r="E349" s="288">
        <v>0</v>
      </c>
      <c r="F349" s="289">
        <v>0</v>
      </c>
      <c r="G349" s="288">
        <v>0</v>
      </c>
      <c r="H349" s="289">
        <v>0</v>
      </c>
      <c r="I349" s="289" t="s">
        <v>273</v>
      </c>
      <c r="J349" s="348"/>
      <c r="L349" s="358"/>
    </row>
    <row r="350" spans="1:12" s="349" customFormat="1" ht="18" customHeight="1">
      <c r="A350" s="394"/>
      <c r="B350" s="343"/>
      <c r="C350" s="344" t="s">
        <v>259</v>
      </c>
      <c r="D350" s="345">
        <v>43794</v>
      </c>
      <c r="E350" s="346">
        <v>1</v>
      </c>
      <c r="F350" s="347">
        <v>850000</v>
      </c>
      <c r="G350" s="346">
        <v>1</v>
      </c>
      <c r="H350" s="347">
        <v>850000</v>
      </c>
      <c r="I350" s="347" t="s">
        <v>268</v>
      </c>
      <c r="J350" s="348"/>
      <c r="L350" s="358"/>
    </row>
    <row r="351" spans="1:12" s="349" customFormat="1" ht="18" customHeight="1">
      <c r="A351" s="394"/>
      <c r="B351" s="343"/>
      <c r="C351" s="344" t="s">
        <v>260</v>
      </c>
      <c r="D351" s="345">
        <v>43795</v>
      </c>
      <c r="E351" s="346">
        <v>1</v>
      </c>
      <c r="F351" s="347">
        <v>850000</v>
      </c>
      <c r="G351" s="346">
        <v>1</v>
      </c>
      <c r="H351" s="347">
        <v>850000</v>
      </c>
      <c r="I351" s="347" t="s">
        <v>268</v>
      </c>
      <c r="J351" s="348"/>
      <c r="L351" s="358"/>
    </row>
    <row r="352" spans="1:12" s="349" customFormat="1" ht="18" customHeight="1">
      <c r="A352" s="394"/>
      <c r="B352" s="343"/>
      <c r="C352" s="344" t="s">
        <v>261</v>
      </c>
      <c r="D352" s="345">
        <v>43796</v>
      </c>
      <c r="E352" s="346">
        <v>1</v>
      </c>
      <c r="F352" s="347">
        <v>850000</v>
      </c>
      <c r="G352" s="346">
        <v>1</v>
      </c>
      <c r="H352" s="347">
        <v>850000</v>
      </c>
      <c r="I352" s="347" t="s">
        <v>268</v>
      </c>
      <c r="J352" s="348"/>
      <c r="L352" s="358"/>
    </row>
    <row r="353" spans="1:12" s="282" customFormat="1" ht="18" customHeight="1">
      <c r="A353" s="393"/>
      <c r="B353" s="318"/>
      <c r="C353" s="344" t="s">
        <v>262</v>
      </c>
      <c r="D353" s="345">
        <v>43797</v>
      </c>
      <c r="E353" s="346">
        <v>1</v>
      </c>
      <c r="F353" s="347">
        <v>850000</v>
      </c>
      <c r="G353" s="346">
        <v>1</v>
      </c>
      <c r="H353" s="347">
        <v>850000</v>
      </c>
      <c r="I353" s="347" t="s">
        <v>268</v>
      </c>
      <c r="J353" s="319"/>
      <c r="L353" s="355"/>
    </row>
    <row r="354" spans="1:12" s="282" customFormat="1" ht="18" customHeight="1">
      <c r="A354" s="393"/>
      <c r="B354" s="318"/>
      <c r="C354" s="344" t="s">
        <v>263</v>
      </c>
      <c r="D354" s="345">
        <v>43798</v>
      </c>
      <c r="E354" s="346">
        <v>1</v>
      </c>
      <c r="F354" s="347">
        <v>850000</v>
      </c>
      <c r="G354" s="346">
        <v>1</v>
      </c>
      <c r="H354" s="347">
        <v>850000</v>
      </c>
      <c r="I354" s="347" t="s">
        <v>268</v>
      </c>
      <c r="J354" s="319"/>
      <c r="L354" s="355"/>
    </row>
    <row r="355" spans="1:12" s="349" customFormat="1" ht="18" customHeight="1">
      <c r="A355" s="394"/>
      <c r="B355" s="343"/>
      <c r="C355" s="283" t="s">
        <v>257</v>
      </c>
      <c r="D355" s="284">
        <v>43799</v>
      </c>
      <c r="E355" s="288">
        <v>0</v>
      </c>
      <c r="F355" s="289">
        <v>0</v>
      </c>
      <c r="G355" s="288">
        <v>0</v>
      </c>
      <c r="H355" s="289">
        <v>0</v>
      </c>
      <c r="I355" s="289" t="s">
        <v>273</v>
      </c>
      <c r="J355" s="348"/>
      <c r="L355" s="358"/>
    </row>
    <row r="356" spans="1:12" s="297" customFormat="1" ht="24.95" customHeight="1">
      <c r="A356" s="277"/>
      <c r="B356" s="320"/>
      <c r="C356" s="676" t="s">
        <v>264</v>
      </c>
      <c r="D356" s="676"/>
      <c r="E356" s="677">
        <f>SUM(F341:F355)</f>
        <v>8500000</v>
      </c>
      <c r="F356" s="677"/>
      <c r="G356" s="677">
        <f>SUM(H341:H355)</f>
        <v>8500000</v>
      </c>
      <c r="H356" s="677"/>
      <c r="I356" s="330"/>
      <c r="J356" s="321"/>
      <c r="L356" s="356">
        <v>21</v>
      </c>
    </row>
    <row r="357" spans="1:12" s="296" customFormat="1" ht="30" customHeight="1">
      <c r="A357" s="277"/>
      <c r="B357" s="322"/>
      <c r="C357" s="657" t="s">
        <v>62</v>
      </c>
      <c r="D357" s="657"/>
      <c r="E357" s="658">
        <f>+E356+G356</f>
        <v>17000000</v>
      </c>
      <c r="F357" s="659"/>
      <c r="G357" s="659"/>
      <c r="H357" s="660"/>
      <c r="I357" s="331"/>
      <c r="J357" s="323"/>
      <c r="L357" s="359">
        <f>+L356*2*850000</f>
        <v>35700000</v>
      </c>
    </row>
    <row r="358" spans="1:12" ht="20.100000000000001" customHeight="1">
      <c r="B358" s="307"/>
      <c r="J358" s="308"/>
      <c r="L358" s="351">
        <f>+E357+E326</f>
        <v>35700000</v>
      </c>
    </row>
    <row r="359" spans="1:12" ht="18" customHeight="1">
      <c r="B359" s="307"/>
      <c r="C359" s="290" t="s">
        <v>136</v>
      </c>
      <c r="E359" s="183"/>
      <c r="F359" s="234" t="s">
        <v>131</v>
      </c>
      <c r="G359" s="234" t="s">
        <v>130</v>
      </c>
      <c r="H359" s="234" t="s">
        <v>129</v>
      </c>
      <c r="I359" s="234" t="s">
        <v>128</v>
      </c>
      <c r="J359" s="308"/>
    </row>
    <row r="360" spans="1:12" s="335" customFormat="1" ht="39.950000000000003" customHeight="1">
      <c r="B360" s="332"/>
      <c r="C360" s="333">
        <v>5</v>
      </c>
      <c r="D360" s="334"/>
      <c r="F360" s="336">
        <v>4</v>
      </c>
      <c r="G360" s="336">
        <v>3</v>
      </c>
      <c r="H360" s="336">
        <v>2</v>
      </c>
      <c r="I360" s="336">
        <v>1</v>
      </c>
      <c r="J360" s="337"/>
      <c r="L360" s="357"/>
    </row>
    <row r="361" spans="1:12" ht="17.100000000000001" customHeight="1">
      <c r="B361" s="307"/>
      <c r="C361" s="290"/>
      <c r="E361" s="183"/>
      <c r="F361" s="236" t="s">
        <v>114</v>
      </c>
      <c r="G361" s="237" t="s">
        <v>274</v>
      </c>
      <c r="H361" s="238" t="s">
        <v>112</v>
      </c>
      <c r="I361" s="234" t="s">
        <v>16</v>
      </c>
      <c r="J361" s="308"/>
    </row>
    <row r="362" spans="1:12" ht="15" customHeight="1" thickBot="1">
      <c r="B362" s="374"/>
      <c r="C362" s="375" t="s">
        <v>132</v>
      </c>
      <c r="D362" s="376"/>
      <c r="E362" s="377"/>
      <c r="F362" s="375" t="s">
        <v>132</v>
      </c>
      <c r="G362" s="375" t="s">
        <v>132</v>
      </c>
      <c r="H362" s="375" t="s">
        <v>132</v>
      </c>
      <c r="I362" s="375" t="s">
        <v>132</v>
      </c>
      <c r="J362" s="378"/>
    </row>
    <row r="363" spans="1:12" ht="9.9499999999999993" customHeight="1" thickTop="1">
      <c r="B363" s="364"/>
      <c r="C363" s="364"/>
      <c r="D363" s="365"/>
      <c r="E363" s="366"/>
      <c r="F363" s="367"/>
      <c r="G363" s="366"/>
      <c r="H363" s="367"/>
      <c r="I363" s="367"/>
      <c r="J363" s="364"/>
    </row>
    <row r="364" spans="1:12" ht="20.100000000000001" customHeight="1"/>
    <row r="365" spans="1:12" ht="9.9499999999999993" customHeight="1" thickBot="1">
      <c r="B365" s="379"/>
      <c r="C365" s="379"/>
      <c r="D365" s="380"/>
      <c r="E365" s="381"/>
      <c r="F365" s="382"/>
      <c r="G365" s="381"/>
      <c r="H365" s="382"/>
      <c r="I365" s="382"/>
      <c r="J365" s="379"/>
    </row>
    <row r="366" spans="1:12" ht="9.9499999999999993" customHeight="1" thickTop="1">
      <c r="B366" s="301"/>
      <c r="C366" s="302"/>
      <c r="D366" s="303"/>
      <c r="E366" s="304"/>
      <c r="F366" s="305"/>
      <c r="G366" s="304"/>
      <c r="H366" s="305"/>
      <c r="I366" s="305"/>
      <c r="J366" s="306"/>
    </row>
    <row r="367" spans="1:12" ht="17.100000000000001" customHeight="1">
      <c r="B367" s="307"/>
      <c r="C367" s="298" t="s">
        <v>138</v>
      </c>
      <c r="D367" s="299"/>
      <c r="G367" s="662" t="s">
        <v>306</v>
      </c>
      <c r="H367" s="662"/>
      <c r="I367" s="662"/>
      <c r="J367" s="308"/>
    </row>
    <row r="368" spans="1:12" s="275" customFormat="1" ht="30" customHeight="1">
      <c r="A368" s="277"/>
      <c r="B368" s="309"/>
      <c r="C368" s="279" t="s">
        <v>119</v>
      </c>
      <c r="D368" s="292" t="s">
        <v>244</v>
      </c>
      <c r="F368" s="310"/>
      <c r="G368" s="311"/>
      <c r="H368" s="310"/>
      <c r="I368" s="310"/>
      <c r="J368" s="312"/>
      <c r="L368" s="352"/>
    </row>
    <row r="369" spans="1:12" s="276" customFormat="1" ht="23.1" customHeight="1">
      <c r="A369" s="277"/>
      <c r="B369" s="313"/>
      <c r="C369" s="280" t="s">
        <v>120</v>
      </c>
      <c r="D369" s="293" t="s">
        <v>304</v>
      </c>
      <c r="F369" s="663" t="s">
        <v>303</v>
      </c>
      <c r="G369" s="664"/>
      <c r="H369" s="664"/>
      <c r="I369" s="665"/>
      <c r="J369" s="315"/>
      <c r="L369" s="353"/>
    </row>
    <row r="370" spans="1:12" s="276" customFormat="1" ht="23.1" customHeight="1">
      <c r="A370" s="277"/>
      <c r="B370" s="313"/>
      <c r="C370" s="280" t="s">
        <v>121</v>
      </c>
      <c r="D370" s="293" t="s">
        <v>305</v>
      </c>
      <c r="F370" s="666"/>
      <c r="G370" s="667"/>
      <c r="H370" s="667"/>
      <c r="I370" s="668"/>
      <c r="J370" s="315"/>
      <c r="L370" s="353"/>
    </row>
    <row r="371" spans="1:12" s="278" customFormat="1" ht="50.1" customHeight="1">
      <c r="A371" s="392"/>
      <c r="B371" s="316"/>
      <c r="C371" s="669" t="s">
        <v>2</v>
      </c>
      <c r="D371" s="671" t="s">
        <v>283</v>
      </c>
      <c r="E371" s="673" t="s">
        <v>275</v>
      </c>
      <c r="F371" s="674"/>
      <c r="G371" s="673" t="s">
        <v>276</v>
      </c>
      <c r="H371" s="674"/>
      <c r="I371" s="675" t="s">
        <v>85</v>
      </c>
      <c r="J371" s="317"/>
      <c r="L371" s="354"/>
    </row>
    <row r="372" spans="1:12" s="278" customFormat="1" ht="24.95" customHeight="1">
      <c r="A372" s="392"/>
      <c r="B372" s="316"/>
      <c r="C372" s="670"/>
      <c r="D372" s="672"/>
      <c r="E372" s="294" t="s">
        <v>256</v>
      </c>
      <c r="F372" s="295" t="s">
        <v>27</v>
      </c>
      <c r="G372" s="294" t="s">
        <v>256</v>
      </c>
      <c r="H372" s="295" t="s">
        <v>27</v>
      </c>
      <c r="I372" s="675"/>
      <c r="J372" s="317"/>
      <c r="L372" s="354"/>
    </row>
    <row r="373" spans="1:12" s="390" customFormat="1" ht="18" customHeight="1">
      <c r="A373" s="395"/>
      <c r="B373" s="384"/>
      <c r="C373" s="385" t="s">
        <v>258</v>
      </c>
      <c r="D373" s="386">
        <v>43800</v>
      </c>
      <c r="E373" s="387">
        <v>0</v>
      </c>
      <c r="F373" s="388">
        <v>0</v>
      </c>
      <c r="G373" s="387">
        <v>0</v>
      </c>
      <c r="H373" s="388">
        <v>0</v>
      </c>
      <c r="I373" s="388" t="s">
        <v>273</v>
      </c>
      <c r="J373" s="389"/>
      <c r="L373" s="391"/>
    </row>
    <row r="374" spans="1:12" s="349" customFormat="1" ht="18" customHeight="1">
      <c r="A374" s="394"/>
      <c r="B374" s="343"/>
      <c r="C374" s="344" t="s">
        <v>259</v>
      </c>
      <c r="D374" s="345">
        <v>43801</v>
      </c>
      <c r="E374" s="346">
        <v>1</v>
      </c>
      <c r="F374" s="347">
        <v>850000</v>
      </c>
      <c r="G374" s="346">
        <v>1</v>
      </c>
      <c r="H374" s="347">
        <v>850000</v>
      </c>
      <c r="I374" s="347" t="s">
        <v>268</v>
      </c>
      <c r="J374" s="348"/>
      <c r="L374" s="358"/>
    </row>
    <row r="375" spans="1:12" s="349" customFormat="1" ht="18" customHeight="1">
      <c r="A375" s="394"/>
      <c r="B375" s="343"/>
      <c r="C375" s="344" t="s">
        <v>260</v>
      </c>
      <c r="D375" s="345">
        <v>43802</v>
      </c>
      <c r="E375" s="346">
        <v>1</v>
      </c>
      <c r="F375" s="347">
        <v>850000</v>
      </c>
      <c r="G375" s="346">
        <v>1</v>
      </c>
      <c r="H375" s="347">
        <v>850000</v>
      </c>
      <c r="I375" s="347" t="s">
        <v>268</v>
      </c>
      <c r="J375" s="348"/>
      <c r="L375" s="358"/>
    </row>
    <row r="376" spans="1:12" s="349" customFormat="1" ht="18" customHeight="1">
      <c r="A376" s="394"/>
      <c r="B376" s="343"/>
      <c r="C376" s="344" t="s">
        <v>261</v>
      </c>
      <c r="D376" s="345">
        <v>43803</v>
      </c>
      <c r="E376" s="346">
        <v>1</v>
      </c>
      <c r="F376" s="347">
        <v>850000</v>
      </c>
      <c r="G376" s="346">
        <v>1</v>
      </c>
      <c r="H376" s="347">
        <v>850000</v>
      </c>
      <c r="I376" s="347" t="s">
        <v>268</v>
      </c>
      <c r="J376" s="348"/>
      <c r="L376" s="358"/>
    </row>
    <row r="377" spans="1:12" s="349" customFormat="1" ht="18" customHeight="1">
      <c r="A377" s="394"/>
      <c r="B377" s="343"/>
      <c r="C377" s="344" t="s">
        <v>262</v>
      </c>
      <c r="D377" s="345">
        <v>43804</v>
      </c>
      <c r="E377" s="346">
        <v>1</v>
      </c>
      <c r="F377" s="347">
        <v>850000</v>
      </c>
      <c r="G377" s="346">
        <v>1</v>
      </c>
      <c r="H377" s="347">
        <v>850000</v>
      </c>
      <c r="I377" s="347" t="s">
        <v>268</v>
      </c>
      <c r="J377" s="348"/>
      <c r="L377" s="358"/>
    </row>
    <row r="378" spans="1:12" s="349" customFormat="1" ht="18" customHeight="1">
      <c r="A378" s="394"/>
      <c r="B378" s="343"/>
      <c r="C378" s="344" t="s">
        <v>263</v>
      </c>
      <c r="D378" s="345">
        <v>43805</v>
      </c>
      <c r="E378" s="346">
        <v>1</v>
      </c>
      <c r="F378" s="347">
        <v>850000</v>
      </c>
      <c r="G378" s="346">
        <v>1</v>
      </c>
      <c r="H378" s="347">
        <v>850000</v>
      </c>
      <c r="I378" s="347" t="s">
        <v>268</v>
      </c>
      <c r="J378" s="348"/>
      <c r="L378" s="358"/>
    </row>
    <row r="379" spans="1:12" s="349" customFormat="1" ht="18" customHeight="1">
      <c r="A379" s="394"/>
      <c r="B379" s="343"/>
      <c r="C379" s="344" t="s">
        <v>257</v>
      </c>
      <c r="D379" s="345">
        <v>43806</v>
      </c>
      <c r="E379" s="346">
        <v>1</v>
      </c>
      <c r="F379" s="347">
        <v>850000</v>
      </c>
      <c r="G379" s="346">
        <v>1</v>
      </c>
      <c r="H379" s="347">
        <v>850000</v>
      </c>
      <c r="I379" s="347" t="s">
        <v>268</v>
      </c>
      <c r="J379" s="348"/>
      <c r="L379" s="358"/>
    </row>
    <row r="380" spans="1:12" s="390" customFormat="1" ht="18" customHeight="1">
      <c r="A380" s="395"/>
      <c r="B380" s="384"/>
      <c r="C380" s="385" t="s">
        <v>258</v>
      </c>
      <c r="D380" s="386">
        <v>43807</v>
      </c>
      <c r="E380" s="387">
        <v>0</v>
      </c>
      <c r="F380" s="388">
        <v>0</v>
      </c>
      <c r="G380" s="387">
        <v>0</v>
      </c>
      <c r="H380" s="388">
        <v>0</v>
      </c>
      <c r="I380" s="388" t="s">
        <v>273</v>
      </c>
      <c r="J380" s="389"/>
      <c r="L380" s="391"/>
    </row>
    <row r="381" spans="1:12" s="349" customFormat="1" ht="18" customHeight="1">
      <c r="A381" s="394"/>
      <c r="B381" s="343"/>
      <c r="C381" s="344" t="s">
        <v>259</v>
      </c>
      <c r="D381" s="345">
        <v>43808</v>
      </c>
      <c r="E381" s="346">
        <v>1</v>
      </c>
      <c r="F381" s="347">
        <v>850000</v>
      </c>
      <c r="G381" s="346">
        <v>1</v>
      </c>
      <c r="H381" s="347">
        <v>850000</v>
      </c>
      <c r="I381" s="347" t="s">
        <v>268</v>
      </c>
      <c r="J381" s="348"/>
      <c r="L381" s="358"/>
    </row>
    <row r="382" spans="1:12" s="349" customFormat="1" ht="18" customHeight="1">
      <c r="A382" s="394"/>
      <c r="B382" s="343"/>
      <c r="C382" s="344" t="s">
        <v>260</v>
      </c>
      <c r="D382" s="345">
        <v>43809</v>
      </c>
      <c r="E382" s="346">
        <v>1</v>
      </c>
      <c r="F382" s="347">
        <v>850000</v>
      </c>
      <c r="G382" s="346">
        <v>1</v>
      </c>
      <c r="H382" s="347">
        <v>850000</v>
      </c>
      <c r="I382" s="347" t="s">
        <v>268</v>
      </c>
      <c r="J382" s="348"/>
      <c r="L382" s="358"/>
    </row>
    <row r="383" spans="1:12" s="349" customFormat="1" ht="18" customHeight="1">
      <c r="A383" s="394"/>
      <c r="B383" s="343"/>
      <c r="C383" s="344" t="s">
        <v>261</v>
      </c>
      <c r="D383" s="345">
        <v>43810</v>
      </c>
      <c r="E383" s="346">
        <v>1</v>
      </c>
      <c r="F383" s="347">
        <v>850000</v>
      </c>
      <c r="G383" s="346">
        <v>1</v>
      </c>
      <c r="H383" s="347">
        <v>850000</v>
      </c>
      <c r="I383" s="347" t="s">
        <v>268</v>
      </c>
      <c r="J383" s="348"/>
      <c r="L383" s="358"/>
    </row>
    <row r="384" spans="1:12" s="349" customFormat="1" ht="18" customHeight="1">
      <c r="A384" s="394"/>
      <c r="B384" s="343"/>
      <c r="C384" s="344" t="s">
        <v>262</v>
      </c>
      <c r="D384" s="345">
        <v>43811</v>
      </c>
      <c r="E384" s="346">
        <v>1</v>
      </c>
      <c r="F384" s="347">
        <v>850000</v>
      </c>
      <c r="G384" s="346">
        <v>1</v>
      </c>
      <c r="H384" s="347">
        <v>850000</v>
      </c>
      <c r="I384" s="347" t="s">
        <v>268</v>
      </c>
      <c r="J384" s="348"/>
      <c r="L384" s="358"/>
    </row>
    <row r="385" spans="1:12" s="349" customFormat="1" ht="18" customHeight="1">
      <c r="A385" s="394"/>
      <c r="B385" s="343"/>
      <c r="C385" s="344" t="s">
        <v>263</v>
      </c>
      <c r="D385" s="345">
        <v>43812</v>
      </c>
      <c r="E385" s="346">
        <v>1</v>
      </c>
      <c r="F385" s="347">
        <v>850000</v>
      </c>
      <c r="G385" s="346">
        <v>1</v>
      </c>
      <c r="H385" s="347">
        <v>850000</v>
      </c>
      <c r="I385" s="347" t="s">
        <v>268</v>
      </c>
      <c r="J385" s="348"/>
      <c r="L385" s="358"/>
    </row>
    <row r="386" spans="1:12" s="390" customFormat="1" ht="18" customHeight="1">
      <c r="A386" s="395"/>
      <c r="B386" s="384"/>
      <c r="C386" s="385" t="s">
        <v>257</v>
      </c>
      <c r="D386" s="386">
        <v>43813</v>
      </c>
      <c r="E386" s="387">
        <v>0</v>
      </c>
      <c r="F386" s="388">
        <v>0</v>
      </c>
      <c r="G386" s="387">
        <v>0</v>
      </c>
      <c r="H386" s="388">
        <v>0</v>
      </c>
      <c r="I386" s="388" t="s">
        <v>273</v>
      </c>
      <c r="J386" s="389"/>
      <c r="L386" s="391"/>
    </row>
    <row r="387" spans="1:12" s="390" customFormat="1" ht="18" customHeight="1">
      <c r="A387" s="395"/>
      <c r="B387" s="384"/>
      <c r="C387" s="385" t="s">
        <v>258</v>
      </c>
      <c r="D387" s="386">
        <v>43814</v>
      </c>
      <c r="E387" s="387">
        <v>0</v>
      </c>
      <c r="F387" s="388">
        <v>0</v>
      </c>
      <c r="G387" s="387">
        <v>0</v>
      </c>
      <c r="H387" s="388">
        <v>0</v>
      </c>
      <c r="I387" s="388" t="s">
        <v>273</v>
      </c>
      <c r="J387" s="389"/>
      <c r="L387" s="391"/>
    </row>
    <row r="388" spans="1:12" s="349" customFormat="1" ht="18" customHeight="1">
      <c r="A388" s="394"/>
      <c r="B388" s="343"/>
      <c r="C388" s="344" t="s">
        <v>259</v>
      </c>
      <c r="D388" s="345">
        <v>43815</v>
      </c>
      <c r="E388" s="346">
        <v>1</v>
      </c>
      <c r="F388" s="347">
        <v>850000</v>
      </c>
      <c r="G388" s="346">
        <v>1</v>
      </c>
      <c r="H388" s="347">
        <v>850000</v>
      </c>
      <c r="I388" s="347" t="s">
        <v>268</v>
      </c>
      <c r="J388" s="348"/>
      <c r="L388" s="358"/>
    </row>
    <row r="389" spans="1:12" s="349" customFormat="1" ht="18" customHeight="1">
      <c r="A389" s="394"/>
      <c r="B389" s="343"/>
      <c r="C389" s="344" t="s">
        <v>260</v>
      </c>
      <c r="D389" s="345">
        <v>43816</v>
      </c>
      <c r="E389" s="346">
        <v>1</v>
      </c>
      <c r="F389" s="347">
        <v>850000</v>
      </c>
      <c r="G389" s="346">
        <v>1</v>
      </c>
      <c r="H389" s="347">
        <v>850000</v>
      </c>
      <c r="I389" s="347" t="s">
        <v>268</v>
      </c>
      <c r="J389" s="348"/>
      <c r="L389" s="358"/>
    </row>
    <row r="390" spans="1:12" s="349" customFormat="1" ht="18" customHeight="1">
      <c r="A390" s="394"/>
      <c r="B390" s="343"/>
      <c r="C390" s="344" t="s">
        <v>261</v>
      </c>
      <c r="D390" s="345">
        <v>43817</v>
      </c>
      <c r="E390" s="346">
        <v>1</v>
      </c>
      <c r="F390" s="347">
        <v>850000</v>
      </c>
      <c r="G390" s="346">
        <v>1</v>
      </c>
      <c r="H390" s="347">
        <v>850000</v>
      </c>
      <c r="I390" s="347" t="s">
        <v>268</v>
      </c>
      <c r="J390" s="348"/>
      <c r="L390" s="358"/>
    </row>
    <row r="391" spans="1:12" s="349" customFormat="1" ht="18" customHeight="1">
      <c r="A391" s="394"/>
      <c r="B391" s="343"/>
      <c r="C391" s="344" t="s">
        <v>262</v>
      </c>
      <c r="D391" s="345">
        <v>43818</v>
      </c>
      <c r="E391" s="346">
        <v>1</v>
      </c>
      <c r="F391" s="347">
        <v>850000</v>
      </c>
      <c r="G391" s="346">
        <v>1</v>
      </c>
      <c r="H391" s="347">
        <v>850000</v>
      </c>
      <c r="I391" s="347" t="s">
        <v>268</v>
      </c>
      <c r="J391" s="348"/>
      <c r="L391" s="358"/>
    </row>
    <row r="392" spans="1:12" s="349" customFormat="1" ht="18" customHeight="1">
      <c r="A392" s="394"/>
      <c r="B392" s="343"/>
      <c r="C392" s="344" t="s">
        <v>263</v>
      </c>
      <c r="D392" s="345">
        <v>43819</v>
      </c>
      <c r="E392" s="346">
        <v>1</v>
      </c>
      <c r="F392" s="347">
        <v>850000</v>
      </c>
      <c r="G392" s="346">
        <v>1</v>
      </c>
      <c r="H392" s="347">
        <v>850000</v>
      </c>
      <c r="I392" s="347" t="s">
        <v>268</v>
      </c>
      <c r="J392" s="348"/>
      <c r="L392" s="358"/>
    </row>
    <row r="393" spans="1:12" s="349" customFormat="1" ht="18" customHeight="1">
      <c r="A393" s="394"/>
      <c r="B393" s="343"/>
      <c r="C393" s="344" t="s">
        <v>257</v>
      </c>
      <c r="D393" s="345">
        <v>43820</v>
      </c>
      <c r="E393" s="346">
        <v>1</v>
      </c>
      <c r="F393" s="347">
        <v>850000</v>
      </c>
      <c r="G393" s="346">
        <v>1</v>
      </c>
      <c r="H393" s="347">
        <v>850000</v>
      </c>
      <c r="I393" s="347" t="s">
        <v>268</v>
      </c>
      <c r="J393" s="348"/>
      <c r="L393" s="358"/>
    </row>
    <row r="394" spans="1:12" s="390" customFormat="1" ht="18" customHeight="1">
      <c r="A394" s="395"/>
      <c r="B394" s="384"/>
      <c r="C394" s="385" t="s">
        <v>258</v>
      </c>
      <c r="D394" s="386">
        <v>43821</v>
      </c>
      <c r="E394" s="387">
        <v>0</v>
      </c>
      <c r="F394" s="388">
        <v>0</v>
      </c>
      <c r="G394" s="387">
        <v>0</v>
      </c>
      <c r="H394" s="388">
        <v>0</v>
      </c>
      <c r="I394" s="388" t="s">
        <v>273</v>
      </c>
      <c r="J394" s="389"/>
      <c r="L394" s="391"/>
    </row>
    <row r="395" spans="1:12" s="390" customFormat="1" ht="18" customHeight="1">
      <c r="A395" s="395"/>
      <c r="B395" s="384"/>
      <c r="C395" s="385" t="s">
        <v>259</v>
      </c>
      <c r="D395" s="386">
        <v>43822</v>
      </c>
      <c r="E395" s="387">
        <v>0</v>
      </c>
      <c r="F395" s="388">
        <v>0</v>
      </c>
      <c r="G395" s="387">
        <v>0</v>
      </c>
      <c r="H395" s="388">
        <v>0</v>
      </c>
      <c r="I395" s="388" t="s">
        <v>273</v>
      </c>
      <c r="J395" s="389"/>
      <c r="L395" s="391"/>
    </row>
    <row r="396" spans="1:12" s="390" customFormat="1" ht="18" customHeight="1">
      <c r="A396" s="395"/>
      <c r="B396" s="384"/>
      <c r="C396" s="385" t="s">
        <v>260</v>
      </c>
      <c r="D396" s="386">
        <v>43823</v>
      </c>
      <c r="E396" s="387">
        <v>0</v>
      </c>
      <c r="F396" s="388">
        <v>0</v>
      </c>
      <c r="G396" s="387">
        <v>0</v>
      </c>
      <c r="H396" s="388">
        <v>0</v>
      </c>
      <c r="I396" s="388" t="s">
        <v>273</v>
      </c>
      <c r="J396" s="389"/>
      <c r="L396" s="391"/>
    </row>
    <row r="397" spans="1:12" s="390" customFormat="1" ht="18" customHeight="1">
      <c r="A397" s="395"/>
      <c r="B397" s="384"/>
      <c r="C397" s="385" t="s">
        <v>261</v>
      </c>
      <c r="D397" s="386">
        <v>43824</v>
      </c>
      <c r="E397" s="387">
        <v>0</v>
      </c>
      <c r="F397" s="388">
        <v>0</v>
      </c>
      <c r="G397" s="387">
        <v>0</v>
      </c>
      <c r="H397" s="388">
        <v>0</v>
      </c>
      <c r="I397" s="388" t="s">
        <v>273</v>
      </c>
      <c r="J397" s="389"/>
      <c r="L397" s="391"/>
    </row>
    <row r="398" spans="1:12" s="349" customFormat="1" ht="18" customHeight="1">
      <c r="A398" s="394"/>
      <c r="B398" s="343"/>
      <c r="C398" s="344" t="s">
        <v>262</v>
      </c>
      <c r="D398" s="345">
        <v>43825</v>
      </c>
      <c r="E398" s="346">
        <v>1</v>
      </c>
      <c r="F398" s="347">
        <v>850000</v>
      </c>
      <c r="G398" s="346">
        <v>1</v>
      </c>
      <c r="H398" s="347">
        <v>850000</v>
      </c>
      <c r="I398" s="347" t="s">
        <v>268</v>
      </c>
      <c r="J398" s="348"/>
      <c r="L398" s="358"/>
    </row>
    <row r="399" spans="1:12" s="349" customFormat="1" ht="18" customHeight="1">
      <c r="A399" s="394"/>
      <c r="B399" s="343"/>
      <c r="C399" s="344" t="s">
        <v>263</v>
      </c>
      <c r="D399" s="345">
        <v>43826</v>
      </c>
      <c r="E399" s="346">
        <v>1</v>
      </c>
      <c r="F399" s="347">
        <v>850000</v>
      </c>
      <c r="G399" s="346">
        <v>1</v>
      </c>
      <c r="H399" s="347">
        <v>850000</v>
      </c>
      <c r="I399" s="347" t="s">
        <v>268</v>
      </c>
      <c r="J399" s="348"/>
      <c r="L399" s="358"/>
    </row>
    <row r="400" spans="1:12" s="349" customFormat="1" ht="18" customHeight="1">
      <c r="A400" s="394"/>
      <c r="B400" s="343"/>
      <c r="C400" s="344" t="s">
        <v>257</v>
      </c>
      <c r="D400" s="345">
        <v>43827</v>
      </c>
      <c r="E400" s="346">
        <v>1</v>
      </c>
      <c r="F400" s="347">
        <v>850000</v>
      </c>
      <c r="G400" s="346">
        <v>1</v>
      </c>
      <c r="H400" s="347">
        <v>850000</v>
      </c>
      <c r="I400" s="347" t="s">
        <v>268</v>
      </c>
      <c r="J400" s="348"/>
      <c r="L400" s="358"/>
    </row>
    <row r="401" spans="1:12" s="390" customFormat="1" ht="18" customHeight="1">
      <c r="A401" s="395"/>
      <c r="B401" s="384"/>
      <c r="C401" s="385" t="s">
        <v>258</v>
      </c>
      <c r="D401" s="386">
        <v>43828</v>
      </c>
      <c r="E401" s="387">
        <v>0</v>
      </c>
      <c r="F401" s="388">
        <v>0</v>
      </c>
      <c r="G401" s="387">
        <v>0</v>
      </c>
      <c r="H401" s="388">
        <v>0</v>
      </c>
      <c r="I401" s="388" t="s">
        <v>273</v>
      </c>
      <c r="J401" s="389"/>
      <c r="L401" s="391"/>
    </row>
    <row r="402" spans="1:12" s="390" customFormat="1" ht="18" customHeight="1">
      <c r="A402" s="395"/>
      <c r="B402" s="384"/>
      <c r="C402" s="385" t="s">
        <v>259</v>
      </c>
      <c r="D402" s="386">
        <v>43829</v>
      </c>
      <c r="E402" s="387">
        <v>0</v>
      </c>
      <c r="F402" s="388">
        <v>0</v>
      </c>
      <c r="G402" s="387">
        <v>0</v>
      </c>
      <c r="H402" s="388">
        <v>0</v>
      </c>
      <c r="I402" s="388" t="s">
        <v>273</v>
      </c>
      <c r="J402" s="389"/>
      <c r="L402" s="391"/>
    </row>
    <row r="403" spans="1:12" s="390" customFormat="1" ht="18" customHeight="1">
      <c r="A403" s="395"/>
      <c r="B403" s="384"/>
      <c r="C403" s="385" t="s">
        <v>260</v>
      </c>
      <c r="D403" s="386">
        <v>43830</v>
      </c>
      <c r="E403" s="387">
        <v>0</v>
      </c>
      <c r="F403" s="388">
        <v>0</v>
      </c>
      <c r="G403" s="387">
        <v>0</v>
      </c>
      <c r="H403" s="388">
        <v>0</v>
      </c>
      <c r="I403" s="388" t="s">
        <v>273</v>
      </c>
      <c r="J403" s="389"/>
      <c r="L403" s="391"/>
    </row>
    <row r="404" spans="1:12" s="297" customFormat="1" ht="24.95" customHeight="1">
      <c r="A404" s="277"/>
      <c r="B404" s="320"/>
      <c r="C404" s="676" t="s">
        <v>264</v>
      </c>
      <c r="D404" s="676"/>
      <c r="E404" s="677">
        <f>SUM(F373:F403)</f>
        <v>17000000</v>
      </c>
      <c r="F404" s="677"/>
      <c r="G404" s="677">
        <f>SUM(H373:H403)</f>
        <v>17000000</v>
      </c>
      <c r="H404" s="677"/>
      <c r="I404" s="330"/>
      <c r="J404" s="321"/>
      <c r="L404" s="356">
        <v>20</v>
      </c>
    </row>
    <row r="405" spans="1:12" s="296" customFormat="1" ht="30" customHeight="1">
      <c r="A405" s="277"/>
      <c r="B405" s="322"/>
      <c r="C405" s="657" t="s">
        <v>62</v>
      </c>
      <c r="D405" s="657"/>
      <c r="E405" s="658">
        <f>+E404+G404</f>
        <v>34000000</v>
      </c>
      <c r="F405" s="659"/>
      <c r="G405" s="659"/>
      <c r="H405" s="660"/>
      <c r="I405" s="331"/>
      <c r="J405" s="323"/>
      <c r="L405" s="359">
        <f>+L404*2*850000</f>
        <v>34000000</v>
      </c>
    </row>
    <row r="406" spans="1:12" ht="20.100000000000001" customHeight="1">
      <c r="B406" s="307"/>
      <c r="J406" s="308"/>
    </row>
    <row r="407" spans="1:12" ht="18" customHeight="1">
      <c r="B407" s="307"/>
      <c r="C407" s="290" t="s">
        <v>136</v>
      </c>
      <c r="E407" s="183"/>
      <c r="F407" s="234" t="s">
        <v>131</v>
      </c>
      <c r="G407" s="234" t="s">
        <v>130</v>
      </c>
      <c r="H407" s="234" t="s">
        <v>129</v>
      </c>
      <c r="I407" s="234" t="s">
        <v>128</v>
      </c>
      <c r="J407" s="308"/>
    </row>
    <row r="408" spans="1:12" s="335" customFormat="1" ht="39.950000000000003" customHeight="1">
      <c r="B408" s="332"/>
      <c r="C408" s="333">
        <v>5</v>
      </c>
      <c r="D408" s="334"/>
      <c r="F408" s="336">
        <v>4</v>
      </c>
      <c r="G408" s="336">
        <v>3</v>
      </c>
      <c r="H408" s="336">
        <v>2</v>
      </c>
      <c r="I408" s="336">
        <v>1</v>
      </c>
      <c r="J408" s="337"/>
      <c r="L408" s="357"/>
    </row>
    <row r="409" spans="1:12" ht="17.100000000000001" customHeight="1">
      <c r="B409" s="307"/>
      <c r="C409" s="290"/>
      <c r="E409" s="183"/>
      <c r="F409" s="236" t="s">
        <v>114</v>
      </c>
      <c r="G409" s="237" t="s">
        <v>274</v>
      </c>
      <c r="H409" s="238" t="s">
        <v>112</v>
      </c>
      <c r="I409" s="234" t="s">
        <v>16</v>
      </c>
      <c r="J409" s="308"/>
    </row>
    <row r="410" spans="1:12" ht="15" customHeight="1" thickBot="1">
      <c r="B410" s="374"/>
      <c r="C410" s="375" t="s">
        <v>132</v>
      </c>
      <c r="D410" s="376"/>
      <c r="E410" s="377"/>
      <c r="F410" s="375" t="s">
        <v>132</v>
      </c>
      <c r="G410" s="375" t="s">
        <v>132</v>
      </c>
      <c r="H410" s="375" t="s">
        <v>132</v>
      </c>
      <c r="I410" s="375" t="s">
        <v>132</v>
      </c>
      <c r="J410" s="378"/>
    </row>
    <row r="411" spans="1:12" ht="9.9499999999999993" customHeight="1" thickTop="1">
      <c r="B411" s="364"/>
      <c r="C411" s="364"/>
      <c r="D411" s="365"/>
      <c r="E411" s="366"/>
      <c r="F411" s="367"/>
      <c r="G411" s="366"/>
      <c r="H411" s="367"/>
      <c r="I411" s="367"/>
      <c r="J411" s="364"/>
    </row>
    <row r="412" spans="1:12" ht="20.100000000000001" customHeight="1"/>
    <row r="413" spans="1:12" ht="9.9499999999999993" customHeight="1" thickBot="1">
      <c r="B413" s="379"/>
      <c r="C413" s="379"/>
      <c r="D413" s="380"/>
      <c r="E413" s="381"/>
      <c r="F413" s="382"/>
      <c r="G413" s="381"/>
      <c r="H413" s="382"/>
      <c r="I413" s="382"/>
      <c r="J413" s="379"/>
    </row>
    <row r="414" spans="1:12" ht="9.9499999999999993" customHeight="1" thickTop="1">
      <c r="A414" s="661" t="s">
        <v>309</v>
      </c>
      <c r="B414" s="301"/>
      <c r="C414" s="302"/>
      <c r="D414" s="303"/>
      <c r="E414" s="304"/>
      <c r="F414" s="305"/>
      <c r="G414" s="304"/>
      <c r="H414" s="305"/>
      <c r="I414" s="305"/>
      <c r="J414" s="306"/>
    </row>
    <row r="415" spans="1:12" ht="17.100000000000001" customHeight="1">
      <c r="A415" s="661"/>
      <c r="B415" s="307"/>
      <c r="C415" s="298" t="s">
        <v>138</v>
      </c>
      <c r="D415" s="299"/>
      <c r="G415" s="662" t="s">
        <v>307</v>
      </c>
      <c r="H415" s="662"/>
      <c r="I415" s="662"/>
      <c r="J415" s="308"/>
    </row>
    <row r="416" spans="1:12" s="275" customFormat="1" ht="30" customHeight="1">
      <c r="A416" s="661"/>
      <c r="B416" s="309"/>
      <c r="C416" s="279" t="s">
        <v>119</v>
      </c>
      <c r="D416" s="292" t="s">
        <v>244</v>
      </c>
      <c r="F416" s="310"/>
      <c r="G416" s="311"/>
      <c r="H416" s="310"/>
      <c r="I416" s="310"/>
      <c r="J416" s="312"/>
      <c r="L416" s="352"/>
    </row>
    <row r="417" spans="1:12" s="276" customFormat="1" ht="23.1" customHeight="1">
      <c r="A417" s="277"/>
      <c r="B417" s="313"/>
      <c r="C417" s="280" t="s">
        <v>120</v>
      </c>
      <c r="D417" s="293" t="s">
        <v>308</v>
      </c>
      <c r="F417" s="663" t="s">
        <v>303</v>
      </c>
      <c r="G417" s="664"/>
      <c r="H417" s="664"/>
      <c r="I417" s="665"/>
      <c r="J417" s="315"/>
      <c r="L417" s="353"/>
    </row>
    <row r="418" spans="1:12" s="276" customFormat="1" ht="23.1" customHeight="1">
      <c r="A418" s="277"/>
      <c r="B418" s="313"/>
      <c r="C418" s="280" t="s">
        <v>121</v>
      </c>
      <c r="D418" s="293" t="s">
        <v>312</v>
      </c>
      <c r="F418" s="666"/>
      <c r="G418" s="667"/>
      <c r="H418" s="667"/>
      <c r="I418" s="668"/>
      <c r="J418" s="315"/>
      <c r="L418" s="353"/>
    </row>
    <row r="419" spans="1:12" s="278" customFormat="1" ht="50.1" customHeight="1">
      <c r="A419" s="392"/>
      <c r="B419" s="316"/>
      <c r="C419" s="669" t="s">
        <v>2</v>
      </c>
      <c r="D419" s="671" t="s">
        <v>283</v>
      </c>
      <c r="E419" s="673" t="s">
        <v>275</v>
      </c>
      <c r="F419" s="674"/>
      <c r="G419" s="673" t="s">
        <v>276</v>
      </c>
      <c r="H419" s="674"/>
      <c r="I419" s="675" t="s">
        <v>85</v>
      </c>
      <c r="J419" s="317"/>
      <c r="L419" s="354"/>
    </row>
    <row r="420" spans="1:12" s="278" customFormat="1" ht="24.95" customHeight="1">
      <c r="A420" s="392"/>
      <c r="B420" s="316"/>
      <c r="C420" s="670"/>
      <c r="D420" s="672"/>
      <c r="E420" s="294" t="s">
        <v>256</v>
      </c>
      <c r="F420" s="295" t="s">
        <v>27</v>
      </c>
      <c r="G420" s="294" t="s">
        <v>256</v>
      </c>
      <c r="H420" s="295" t="s">
        <v>27</v>
      </c>
      <c r="I420" s="675"/>
      <c r="J420" s="317"/>
      <c r="L420" s="354"/>
    </row>
    <row r="421" spans="1:12" s="390" customFormat="1" ht="18" customHeight="1">
      <c r="A421" s="395"/>
      <c r="B421" s="384"/>
      <c r="C421" s="385" t="s">
        <v>261</v>
      </c>
      <c r="D421" s="386">
        <v>43466</v>
      </c>
      <c r="E421" s="387">
        <v>0</v>
      </c>
      <c r="F421" s="388">
        <v>0</v>
      </c>
      <c r="G421" s="387">
        <v>0</v>
      </c>
      <c r="H421" s="388">
        <v>0</v>
      </c>
      <c r="I421" s="388" t="s">
        <v>273</v>
      </c>
      <c r="J421" s="389"/>
      <c r="L421" s="391"/>
    </row>
    <row r="422" spans="1:12" s="349" customFormat="1" ht="18" customHeight="1">
      <c r="A422" s="394"/>
      <c r="B422" s="343"/>
      <c r="C422" s="344" t="s">
        <v>262</v>
      </c>
      <c r="D422" s="345">
        <v>43467</v>
      </c>
      <c r="E422" s="346">
        <v>1</v>
      </c>
      <c r="F422" s="347">
        <v>850000</v>
      </c>
      <c r="G422" s="346">
        <v>1</v>
      </c>
      <c r="H422" s="347">
        <v>850000</v>
      </c>
      <c r="I422" s="347" t="s">
        <v>268</v>
      </c>
      <c r="J422" s="348"/>
      <c r="L422" s="358"/>
    </row>
    <row r="423" spans="1:12" s="349" customFormat="1" ht="18" customHeight="1">
      <c r="A423" s="394"/>
      <c r="B423" s="343"/>
      <c r="C423" s="344" t="s">
        <v>263</v>
      </c>
      <c r="D423" s="345">
        <v>43468</v>
      </c>
      <c r="E423" s="346">
        <v>1</v>
      </c>
      <c r="F423" s="347">
        <v>850000</v>
      </c>
      <c r="G423" s="346">
        <v>1</v>
      </c>
      <c r="H423" s="347">
        <v>850000</v>
      </c>
      <c r="I423" s="347" t="s">
        <v>268</v>
      </c>
      <c r="J423" s="348"/>
      <c r="L423" s="358"/>
    </row>
    <row r="424" spans="1:12" s="390" customFormat="1" ht="18" customHeight="1">
      <c r="A424" s="395"/>
      <c r="B424" s="384"/>
      <c r="C424" s="385" t="s">
        <v>257</v>
      </c>
      <c r="D424" s="386">
        <v>43469</v>
      </c>
      <c r="E424" s="387">
        <v>0</v>
      </c>
      <c r="F424" s="388">
        <v>0</v>
      </c>
      <c r="G424" s="387">
        <v>0</v>
      </c>
      <c r="H424" s="388">
        <v>0</v>
      </c>
      <c r="I424" s="388" t="s">
        <v>273</v>
      </c>
      <c r="J424" s="389"/>
      <c r="L424" s="391"/>
    </row>
    <row r="425" spans="1:12" s="390" customFormat="1" ht="18" customHeight="1">
      <c r="A425" s="395"/>
      <c r="B425" s="384"/>
      <c r="C425" s="385" t="s">
        <v>258</v>
      </c>
      <c r="D425" s="386">
        <v>43470</v>
      </c>
      <c r="E425" s="387">
        <v>0</v>
      </c>
      <c r="F425" s="388">
        <v>0</v>
      </c>
      <c r="G425" s="387">
        <v>0</v>
      </c>
      <c r="H425" s="388">
        <v>0</v>
      </c>
      <c r="I425" s="388" t="s">
        <v>273</v>
      </c>
      <c r="J425" s="389"/>
      <c r="L425" s="391"/>
    </row>
    <row r="426" spans="1:12" s="349" customFormat="1" ht="18" customHeight="1">
      <c r="A426" s="394"/>
      <c r="B426" s="343"/>
      <c r="C426" s="344" t="s">
        <v>259</v>
      </c>
      <c r="D426" s="345">
        <v>43471</v>
      </c>
      <c r="E426" s="346">
        <v>1</v>
      </c>
      <c r="F426" s="347">
        <v>850000</v>
      </c>
      <c r="G426" s="346">
        <v>1</v>
      </c>
      <c r="H426" s="347">
        <v>850000</v>
      </c>
      <c r="I426" s="347" t="s">
        <v>268</v>
      </c>
      <c r="J426" s="348"/>
      <c r="L426" s="358"/>
    </row>
    <row r="427" spans="1:12" s="349" customFormat="1" ht="18" customHeight="1">
      <c r="A427" s="394"/>
      <c r="B427" s="343"/>
      <c r="C427" s="344" t="s">
        <v>260</v>
      </c>
      <c r="D427" s="345">
        <v>43472</v>
      </c>
      <c r="E427" s="346">
        <v>1</v>
      </c>
      <c r="F427" s="347">
        <v>850000</v>
      </c>
      <c r="G427" s="346">
        <v>1</v>
      </c>
      <c r="H427" s="347">
        <v>850000</v>
      </c>
      <c r="I427" s="347" t="s">
        <v>268</v>
      </c>
      <c r="J427" s="348"/>
      <c r="L427" s="358"/>
    </row>
    <row r="428" spans="1:12" s="349" customFormat="1" ht="18" customHeight="1">
      <c r="A428" s="394"/>
      <c r="B428" s="343"/>
      <c r="C428" s="344" t="s">
        <v>261</v>
      </c>
      <c r="D428" s="345">
        <v>43473</v>
      </c>
      <c r="E428" s="346">
        <v>1</v>
      </c>
      <c r="F428" s="347">
        <v>850000</v>
      </c>
      <c r="G428" s="346">
        <v>1</v>
      </c>
      <c r="H428" s="347">
        <v>850000</v>
      </c>
      <c r="I428" s="347" t="s">
        <v>268</v>
      </c>
      <c r="J428" s="348"/>
      <c r="L428" s="358"/>
    </row>
    <row r="429" spans="1:12" s="349" customFormat="1" ht="18" customHeight="1">
      <c r="A429" s="394"/>
      <c r="B429" s="343"/>
      <c r="C429" s="344" t="s">
        <v>262</v>
      </c>
      <c r="D429" s="345">
        <v>43474</v>
      </c>
      <c r="E429" s="346">
        <v>1</v>
      </c>
      <c r="F429" s="347">
        <v>850000</v>
      </c>
      <c r="G429" s="346">
        <v>1</v>
      </c>
      <c r="H429" s="347">
        <v>850000</v>
      </c>
      <c r="I429" s="347" t="s">
        <v>268</v>
      </c>
      <c r="J429" s="348"/>
      <c r="L429" s="358"/>
    </row>
    <row r="430" spans="1:12" s="349" customFormat="1" ht="18" customHeight="1">
      <c r="A430" s="394"/>
      <c r="B430" s="343"/>
      <c r="C430" s="344" t="s">
        <v>263</v>
      </c>
      <c r="D430" s="345">
        <v>43475</v>
      </c>
      <c r="E430" s="346">
        <v>1</v>
      </c>
      <c r="F430" s="347">
        <v>850000</v>
      </c>
      <c r="G430" s="346">
        <v>1</v>
      </c>
      <c r="H430" s="347">
        <v>850000</v>
      </c>
      <c r="I430" s="347" t="s">
        <v>268</v>
      </c>
      <c r="J430" s="348"/>
      <c r="L430" s="358"/>
    </row>
    <row r="431" spans="1:12" s="390" customFormat="1" ht="18" customHeight="1">
      <c r="A431" s="395"/>
      <c r="B431" s="384"/>
      <c r="C431" s="385" t="s">
        <v>257</v>
      </c>
      <c r="D431" s="386">
        <v>43476</v>
      </c>
      <c r="E431" s="387">
        <v>0</v>
      </c>
      <c r="F431" s="388">
        <v>0</v>
      </c>
      <c r="G431" s="387">
        <v>0</v>
      </c>
      <c r="H431" s="388">
        <v>0</v>
      </c>
      <c r="I431" s="388" t="s">
        <v>273</v>
      </c>
      <c r="J431" s="389"/>
      <c r="L431" s="391"/>
    </row>
    <row r="432" spans="1:12" s="390" customFormat="1" ht="18" customHeight="1">
      <c r="A432" s="395"/>
      <c r="B432" s="384"/>
      <c r="C432" s="385" t="s">
        <v>258</v>
      </c>
      <c r="D432" s="386">
        <v>43477</v>
      </c>
      <c r="E432" s="387">
        <v>0</v>
      </c>
      <c r="F432" s="388">
        <v>0</v>
      </c>
      <c r="G432" s="387">
        <v>0</v>
      </c>
      <c r="H432" s="388">
        <v>0</v>
      </c>
      <c r="I432" s="388" t="s">
        <v>273</v>
      </c>
      <c r="J432" s="389"/>
      <c r="L432" s="391"/>
    </row>
    <row r="433" spans="1:12" s="349" customFormat="1" ht="18" customHeight="1">
      <c r="A433" s="394"/>
      <c r="B433" s="343"/>
      <c r="C433" s="344" t="s">
        <v>259</v>
      </c>
      <c r="D433" s="345">
        <v>43478</v>
      </c>
      <c r="E433" s="346">
        <v>1</v>
      </c>
      <c r="F433" s="347">
        <v>850000</v>
      </c>
      <c r="G433" s="346">
        <v>1</v>
      </c>
      <c r="H433" s="347">
        <v>850000</v>
      </c>
      <c r="I433" s="347" t="s">
        <v>268</v>
      </c>
      <c r="J433" s="348"/>
      <c r="L433" s="358"/>
    </row>
    <row r="434" spans="1:12" s="349" customFormat="1" ht="18" customHeight="1">
      <c r="A434" s="394"/>
      <c r="B434" s="343"/>
      <c r="C434" s="344" t="s">
        <v>260</v>
      </c>
      <c r="D434" s="345">
        <v>43479</v>
      </c>
      <c r="E434" s="346">
        <v>1</v>
      </c>
      <c r="F434" s="347">
        <v>850000</v>
      </c>
      <c r="G434" s="346">
        <v>1</v>
      </c>
      <c r="H434" s="347">
        <v>850000</v>
      </c>
      <c r="I434" s="347" t="s">
        <v>268</v>
      </c>
      <c r="J434" s="348"/>
      <c r="L434" s="358"/>
    </row>
    <row r="435" spans="1:12" s="349" customFormat="1" ht="18" customHeight="1">
      <c r="A435" s="394"/>
      <c r="B435" s="343"/>
      <c r="C435" s="344" t="s">
        <v>261</v>
      </c>
      <c r="D435" s="345">
        <v>43480</v>
      </c>
      <c r="E435" s="346">
        <v>1</v>
      </c>
      <c r="F435" s="347">
        <v>850000</v>
      </c>
      <c r="G435" s="346">
        <v>1</v>
      </c>
      <c r="H435" s="347">
        <v>850000</v>
      </c>
      <c r="I435" s="347" t="s">
        <v>268</v>
      </c>
      <c r="J435" s="348"/>
      <c r="L435" s="358"/>
    </row>
    <row r="436" spans="1:12" s="349" customFormat="1" ht="18" customHeight="1">
      <c r="A436" s="394"/>
      <c r="B436" s="343"/>
      <c r="C436" s="344" t="s">
        <v>262</v>
      </c>
      <c r="D436" s="345">
        <v>43481</v>
      </c>
      <c r="E436" s="346">
        <v>1</v>
      </c>
      <c r="F436" s="347">
        <v>850000</v>
      </c>
      <c r="G436" s="346">
        <v>1</v>
      </c>
      <c r="H436" s="347">
        <v>850000</v>
      </c>
      <c r="I436" s="347" t="s">
        <v>268</v>
      </c>
      <c r="J436" s="348"/>
      <c r="L436" s="358"/>
    </row>
    <row r="437" spans="1:12" s="349" customFormat="1" ht="18" customHeight="1">
      <c r="A437" s="394"/>
      <c r="B437" s="343"/>
      <c r="C437" s="344" t="s">
        <v>263</v>
      </c>
      <c r="D437" s="345">
        <v>43482</v>
      </c>
      <c r="E437" s="346">
        <v>1</v>
      </c>
      <c r="F437" s="347">
        <v>850000</v>
      </c>
      <c r="G437" s="346">
        <v>1</v>
      </c>
      <c r="H437" s="347">
        <v>850000</v>
      </c>
      <c r="I437" s="347" t="s">
        <v>268</v>
      </c>
      <c r="J437" s="348"/>
      <c r="L437" s="358"/>
    </row>
    <row r="438" spans="1:12" s="390" customFormat="1" ht="18" customHeight="1">
      <c r="A438" s="395"/>
      <c r="B438" s="384"/>
      <c r="C438" s="385" t="s">
        <v>257</v>
      </c>
      <c r="D438" s="386">
        <v>43483</v>
      </c>
      <c r="E438" s="387">
        <v>0</v>
      </c>
      <c r="F438" s="388">
        <v>0</v>
      </c>
      <c r="G438" s="387">
        <v>0</v>
      </c>
      <c r="H438" s="388">
        <v>0</v>
      </c>
      <c r="I438" s="388" t="s">
        <v>273</v>
      </c>
      <c r="J438" s="389"/>
      <c r="L438" s="391"/>
    </row>
    <row r="439" spans="1:12" s="390" customFormat="1" ht="18" customHeight="1">
      <c r="A439" s="395"/>
      <c r="B439" s="384"/>
      <c r="C439" s="385" t="s">
        <v>258</v>
      </c>
      <c r="D439" s="386">
        <v>43484</v>
      </c>
      <c r="E439" s="387">
        <v>0</v>
      </c>
      <c r="F439" s="388">
        <v>0</v>
      </c>
      <c r="G439" s="387">
        <v>0</v>
      </c>
      <c r="H439" s="388">
        <v>0</v>
      </c>
      <c r="I439" s="388" t="s">
        <v>273</v>
      </c>
      <c r="J439" s="389"/>
      <c r="L439" s="391"/>
    </row>
    <row r="440" spans="1:12" s="349" customFormat="1" ht="18" customHeight="1">
      <c r="A440" s="394"/>
      <c r="B440" s="343"/>
      <c r="C440" s="344" t="s">
        <v>259</v>
      </c>
      <c r="D440" s="345">
        <v>43485</v>
      </c>
      <c r="E440" s="346">
        <v>1</v>
      </c>
      <c r="F440" s="347">
        <v>850000</v>
      </c>
      <c r="G440" s="346">
        <v>1</v>
      </c>
      <c r="H440" s="347">
        <v>850000</v>
      </c>
      <c r="I440" s="347" t="s">
        <v>268</v>
      </c>
      <c r="J440" s="348"/>
      <c r="L440" s="358"/>
    </row>
    <row r="441" spans="1:12" s="349" customFormat="1" ht="18" customHeight="1">
      <c r="A441" s="394"/>
      <c r="B441" s="343"/>
      <c r="C441" s="344" t="s">
        <v>260</v>
      </c>
      <c r="D441" s="345">
        <v>43486</v>
      </c>
      <c r="E441" s="346">
        <v>1</v>
      </c>
      <c r="F441" s="347">
        <v>850000</v>
      </c>
      <c r="G441" s="346">
        <v>1</v>
      </c>
      <c r="H441" s="347">
        <v>850000</v>
      </c>
      <c r="I441" s="347" t="s">
        <v>268</v>
      </c>
      <c r="J441" s="348"/>
      <c r="L441" s="358"/>
    </row>
    <row r="442" spans="1:12" s="349" customFormat="1" ht="18" customHeight="1">
      <c r="A442" s="394"/>
      <c r="B442" s="343"/>
      <c r="C442" s="344" t="s">
        <v>261</v>
      </c>
      <c r="D442" s="345">
        <v>43487</v>
      </c>
      <c r="E442" s="346">
        <v>1</v>
      </c>
      <c r="F442" s="347">
        <v>850000</v>
      </c>
      <c r="G442" s="346">
        <v>1</v>
      </c>
      <c r="H442" s="347">
        <v>850000</v>
      </c>
      <c r="I442" s="347" t="s">
        <v>268</v>
      </c>
      <c r="J442" s="348"/>
      <c r="L442" s="358"/>
    </row>
    <row r="443" spans="1:12" s="349" customFormat="1" ht="18" customHeight="1">
      <c r="A443" s="394"/>
      <c r="B443" s="343"/>
      <c r="C443" s="344" t="s">
        <v>262</v>
      </c>
      <c r="D443" s="345">
        <v>43488</v>
      </c>
      <c r="E443" s="346">
        <v>1</v>
      </c>
      <c r="F443" s="347">
        <v>850000</v>
      </c>
      <c r="G443" s="346">
        <v>1</v>
      </c>
      <c r="H443" s="347">
        <v>850000</v>
      </c>
      <c r="I443" s="347" t="s">
        <v>268</v>
      </c>
      <c r="J443" s="348"/>
      <c r="L443" s="358"/>
    </row>
    <row r="444" spans="1:12" s="349" customFormat="1" ht="18" customHeight="1">
      <c r="A444" s="394"/>
      <c r="B444" s="343"/>
      <c r="C444" s="344" t="s">
        <v>263</v>
      </c>
      <c r="D444" s="345">
        <v>43489</v>
      </c>
      <c r="E444" s="346">
        <v>1</v>
      </c>
      <c r="F444" s="347">
        <v>850000</v>
      </c>
      <c r="G444" s="346">
        <v>1</v>
      </c>
      <c r="H444" s="347">
        <v>850000</v>
      </c>
      <c r="I444" s="347" t="s">
        <v>268</v>
      </c>
      <c r="J444" s="348"/>
      <c r="L444" s="358"/>
    </row>
    <row r="445" spans="1:12" s="390" customFormat="1" ht="18" customHeight="1">
      <c r="A445" s="395"/>
      <c r="B445" s="384"/>
      <c r="C445" s="385" t="s">
        <v>257</v>
      </c>
      <c r="D445" s="386">
        <v>43490</v>
      </c>
      <c r="E445" s="387">
        <v>0</v>
      </c>
      <c r="F445" s="388">
        <v>0</v>
      </c>
      <c r="G445" s="387">
        <v>0</v>
      </c>
      <c r="H445" s="388">
        <v>0</v>
      </c>
      <c r="I445" s="388" t="s">
        <v>273</v>
      </c>
      <c r="J445" s="389"/>
      <c r="L445" s="391"/>
    </row>
    <row r="446" spans="1:12" s="390" customFormat="1" ht="18" customHeight="1">
      <c r="A446" s="395"/>
      <c r="B446" s="384"/>
      <c r="C446" s="385" t="s">
        <v>258</v>
      </c>
      <c r="D446" s="386">
        <v>43491</v>
      </c>
      <c r="E446" s="387">
        <v>0</v>
      </c>
      <c r="F446" s="388">
        <v>0</v>
      </c>
      <c r="G446" s="387">
        <v>0</v>
      </c>
      <c r="H446" s="388">
        <v>0</v>
      </c>
      <c r="I446" s="388" t="s">
        <v>273</v>
      </c>
      <c r="J446" s="389"/>
      <c r="L446" s="391"/>
    </row>
    <row r="447" spans="1:12" s="349" customFormat="1" ht="18" customHeight="1">
      <c r="A447" s="394"/>
      <c r="B447" s="343"/>
      <c r="C447" s="344" t="s">
        <v>259</v>
      </c>
      <c r="D447" s="345">
        <v>43492</v>
      </c>
      <c r="E447" s="346">
        <v>1</v>
      </c>
      <c r="F447" s="347">
        <v>850000</v>
      </c>
      <c r="G447" s="346">
        <v>1</v>
      </c>
      <c r="H447" s="347">
        <v>850000</v>
      </c>
      <c r="I447" s="347" t="s">
        <v>268</v>
      </c>
      <c r="J447" s="348"/>
      <c r="L447" s="358"/>
    </row>
    <row r="448" spans="1:12" s="349" customFormat="1" ht="18" customHeight="1">
      <c r="A448" s="394"/>
      <c r="B448" s="343"/>
      <c r="C448" s="344" t="s">
        <v>260</v>
      </c>
      <c r="D448" s="345">
        <v>43493</v>
      </c>
      <c r="E448" s="346">
        <v>1</v>
      </c>
      <c r="F448" s="347">
        <v>850000</v>
      </c>
      <c r="G448" s="346">
        <v>1</v>
      </c>
      <c r="H448" s="347">
        <v>850000</v>
      </c>
      <c r="I448" s="347" t="s">
        <v>268</v>
      </c>
      <c r="J448" s="348"/>
      <c r="L448" s="358"/>
    </row>
    <row r="449" spans="1:12" s="349" customFormat="1" ht="18" customHeight="1">
      <c r="A449" s="394"/>
      <c r="B449" s="343"/>
      <c r="C449" s="344" t="s">
        <v>261</v>
      </c>
      <c r="D449" s="345">
        <v>43494</v>
      </c>
      <c r="E449" s="346">
        <v>1</v>
      </c>
      <c r="F449" s="347">
        <v>850000</v>
      </c>
      <c r="G449" s="346">
        <v>1</v>
      </c>
      <c r="H449" s="347">
        <v>850000</v>
      </c>
      <c r="I449" s="347" t="s">
        <v>268</v>
      </c>
      <c r="J449" s="348"/>
      <c r="L449" s="358"/>
    </row>
    <row r="450" spans="1:12" s="349" customFormat="1" ht="18" customHeight="1">
      <c r="A450" s="394"/>
      <c r="B450" s="343"/>
      <c r="C450" s="344" t="s">
        <v>262</v>
      </c>
      <c r="D450" s="345">
        <v>43495</v>
      </c>
      <c r="E450" s="346">
        <v>1</v>
      </c>
      <c r="F450" s="347">
        <v>850000</v>
      </c>
      <c r="G450" s="346">
        <v>1</v>
      </c>
      <c r="H450" s="347">
        <v>850000</v>
      </c>
      <c r="I450" s="347" t="s">
        <v>268</v>
      </c>
      <c r="J450" s="348"/>
      <c r="L450" s="358"/>
    </row>
    <row r="451" spans="1:12" s="349" customFormat="1" ht="18" customHeight="1">
      <c r="A451" s="394"/>
      <c r="B451" s="343"/>
      <c r="C451" s="344" t="s">
        <v>263</v>
      </c>
      <c r="D451" s="345">
        <v>43496</v>
      </c>
      <c r="E451" s="346">
        <v>1</v>
      </c>
      <c r="F451" s="347">
        <v>850000</v>
      </c>
      <c r="G451" s="346">
        <v>1</v>
      </c>
      <c r="H451" s="347">
        <v>850000</v>
      </c>
      <c r="I451" s="347" t="s">
        <v>268</v>
      </c>
      <c r="J451" s="348"/>
      <c r="L451" s="358"/>
    </row>
    <row r="452" spans="1:12" s="297" customFormat="1" ht="24.95" customHeight="1">
      <c r="A452" s="277"/>
      <c r="B452" s="320"/>
      <c r="C452" s="676" t="s">
        <v>264</v>
      </c>
      <c r="D452" s="676"/>
      <c r="E452" s="677">
        <f>SUM(F421:F451)</f>
        <v>18700000</v>
      </c>
      <c r="F452" s="677"/>
      <c r="G452" s="677">
        <f>SUM(H421:H451)</f>
        <v>18700000</v>
      </c>
      <c r="H452" s="677"/>
      <c r="I452" s="330"/>
      <c r="J452" s="321"/>
      <c r="L452" s="356">
        <v>22</v>
      </c>
    </row>
    <row r="453" spans="1:12" s="296" customFormat="1" ht="30" customHeight="1">
      <c r="A453" s="277"/>
      <c r="B453" s="322"/>
      <c r="C453" s="657" t="s">
        <v>62</v>
      </c>
      <c r="D453" s="657"/>
      <c r="E453" s="658">
        <f>+E452+G452</f>
        <v>37400000</v>
      </c>
      <c r="F453" s="659"/>
      <c r="G453" s="659"/>
      <c r="H453" s="660"/>
      <c r="I453" s="331"/>
      <c r="J453" s="323"/>
      <c r="L453" s="359">
        <f>+L452*2*850000</f>
        <v>37400000</v>
      </c>
    </row>
    <row r="454" spans="1:12" ht="20.100000000000001" customHeight="1">
      <c r="B454" s="307"/>
      <c r="J454" s="308"/>
    </row>
    <row r="455" spans="1:12" ht="18" customHeight="1">
      <c r="B455" s="307"/>
      <c r="C455" s="290" t="s">
        <v>136</v>
      </c>
      <c r="E455" s="183"/>
      <c r="F455" s="234" t="s">
        <v>131</v>
      </c>
      <c r="G455" s="234" t="s">
        <v>130</v>
      </c>
      <c r="H455" s="234" t="s">
        <v>129</v>
      </c>
      <c r="I455" s="234" t="s">
        <v>128</v>
      </c>
      <c r="J455" s="308"/>
    </row>
    <row r="456" spans="1:12" s="335" customFormat="1" ht="39.950000000000003" customHeight="1">
      <c r="B456" s="332"/>
      <c r="C456" s="333">
        <v>5</v>
      </c>
      <c r="D456" s="334"/>
      <c r="F456" s="336">
        <v>4</v>
      </c>
      <c r="G456" s="336">
        <v>3</v>
      </c>
      <c r="H456" s="336">
        <v>2</v>
      </c>
      <c r="I456" s="336">
        <v>1</v>
      </c>
      <c r="J456" s="337"/>
      <c r="L456" s="357"/>
    </row>
    <row r="457" spans="1:12" ht="17.100000000000001" customHeight="1">
      <c r="B457" s="307"/>
      <c r="C457" s="290"/>
      <c r="E457" s="183"/>
      <c r="F457" s="236" t="s">
        <v>114</v>
      </c>
      <c r="G457" s="237" t="s">
        <v>113</v>
      </c>
      <c r="H457" s="238" t="s">
        <v>112</v>
      </c>
      <c r="I457" s="234" t="s">
        <v>16</v>
      </c>
      <c r="J457" s="308"/>
    </row>
    <row r="458" spans="1:12" ht="15" customHeight="1" thickBot="1">
      <c r="B458" s="374"/>
      <c r="C458" s="375" t="s">
        <v>132</v>
      </c>
      <c r="D458" s="376"/>
      <c r="E458" s="377"/>
      <c r="F458" s="375" t="s">
        <v>132</v>
      </c>
      <c r="G458" s="375" t="s">
        <v>132</v>
      </c>
      <c r="H458" s="375" t="s">
        <v>132</v>
      </c>
      <c r="I458" s="375" t="s">
        <v>132</v>
      </c>
      <c r="J458" s="378"/>
    </row>
    <row r="459" spans="1:12" ht="9.9499999999999993" customHeight="1" thickTop="1">
      <c r="B459" s="364"/>
      <c r="C459" s="364"/>
      <c r="D459" s="365"/>
      <c r="E459" s="366"/>
      <c r="F459" s="367"/>
      <c r="G459" s="366"/>
      <c r="H459" s="367"/>
      <c r="I459" s="367"/>
      <c r="J459" s="364"/>
    </row>
    <row r="461" spans="1:12" ht="9.9499999999999993" customHeight="1" thickBot="1">
      <c r="B461" s="379"/>
      <c r="C461" s="379"/>
      <c r="D461" s="380"/>
      <c r="E461" s="381"/>
      <c r="F461" s="382"/>
      <c r="G461" s="381"/>
      <c r="H461" s="382"/>
      <c r="I461" s="382"/>
      <c r="J461" s="379"/>
    </row>
    <row r="462" spans="1:12" ht="9.9499999999999993" customHeight="1" thickTop="1">
      <c r="A462" s="661" t="s">
        <v>314</v>
      </c>
      <c r="B462" s="301"/>
      <c r="C462" s="302"/>
      <c r="D462" s="303"/>
      <c r="E462" s="304"/>
      <c r="F462" s="305"/>
      <c r="G462" s="304"/>
      <c r="H462" s="305"/>
      <c r="I462" s="305"/>
      <c r="J462" s="306"/>
    </row>
    <row r="463" spans="1:12" ht="17.100000000000001" customHeight="1">
      <c r="A463" s="661"/>
      <c r="B463" s="307"/>
      <c r="C463" s="298" t="s">
        <v>138</v>
      </c>
      <c r="D463" s="299"/>
      <c r="G463" s="662" t="s">
        <v>310</v>
      </c>
      <c r="H463" s="662"/>
      <c r="I463" s="662"/>
      <c r="J463" s="308"/>
    </row>
    <row r="464" spans="1:12" s="275" customFormat="1" ht="30" customHeight="1">
      <c r="A464" s="661"/>
      <c r="B464" s="309"/>
      <c r="C464" s="279" t="s">
        <v>119</v>
      </c>
      <c r="D464" s="292" t="s">
        <v>244</v>
      </c>
      <c r="F464" s="310"/>
      <c r="G464" s="311"/>
      <c r="H464" s="310"/>
      <c r="I464" s="310"/>
      <c r="J464" s="312"/>
      <c r="L464" s="352"/>
    </row>
    <row r="465" spans="1:12" s="276" customFormat="1" ht="23.1" customHeight="1">
      <c r="A465" s="277"/>
      <c r="B465" s="313"/>
      <c r="C465" s="280" t="s">
        <v>120</v>
      </c>
      <c r="D465" s="293" t="s">
        <v>311</v>
      </c>
      <c r="F465" s="663" t="s">
        <v>303</v>
      </c>
      <c r="G465" s="664"/>
      <c r="H465" s="664"/>
      <c r="I465" s="665"/>
      <c r="J465" s="315"/>
      <c r="L465" s="353"/>
    </row>
    <row r="466" spans="1:12" s="276" customFormat="1" ht="23.1" customHeight="1">
      <c r="A466" s="277"/>
      <c r="B466" s="313"/>
      <c r="C466" s="280" t="s">
        <v>121</v>
      </c>
      <c r="D466" s="293" t="s">
        <v>313</v>
      </c>
      <c r="F466" s="666"/>
      <c r="G466" s="667"/>
      <c r="H466" s="667"/>
      <c r="I466" s="668"/>
      <c r="J466" s="315"/>
      <c r="L466" s="353"/>
    </row>
    <row r="467" spans="1:12" s="278" customFormat="1" ht="50.1" customHeight="1">
      <c r="A467" s="392"/>
      <c r="B467" s="316"/>
      <c r="C467" s="669" t="s">
        <v>2</v>
      </c>
      <c r="D467" s="671" t="s">
        <v>283</v>
      </c>
      <c r="E467" s="673" t="s">
        <v>275</v>
      </c>
      <c r="F467" s="674"/>
      <c r="G467" s="673" t="s">
        <v>276</v>
      </c>
      <c r="H467" s="674"/>
      <c r="I467" s="675" t="s">
        <v>85</v>
      </c>
      <c r="J467" s="317"/>
      <c r="L467" s="354"/>
    </row>
    <row r="468" spans="1:12" s="278" customFormat="1" ht="24.95" customHeight="1">
      <c r="A468" s="392"/>
      <c r="B468" s="316"/>
      <c r="C468" s="670"/>
      <c r="D468" s="672"/>
      <c r="E468" s="294" t="s">
        <v>256</v>
      </c>
      <c r="F468" s="295" t="s">
        <v>27</v>
      </c>
      <c r="G468" s="294" t="s">
        <v>256</v>
      </c>
      <c r="H468" s="295" t="s">
        <v>27</v>
      </c>
      <c r="I468" s="675"/>
      <c r="J468" s="317"/>
      <c r="L468" s="354"/>
    </row>
    <row r="469" spans="1:12" s="390" customFormat="1" ht="18" customHeight="1">
      <c r="A469" s="395"/>
      <c r="B469" s="384"/>
      <c r="C469" s="385" t="s">
        <v>257</v>
      </c>
      <c r="D469" s="386">
        <v>43862</v>
      </c>
      <c r="E469" s="387">
        <v>0</v>
      </c>
      <c r="F469" s="388">
        <v>0</v>
      </c>
      <c r="G469" s="387">
        <v>0</v>
      </c>
      <c r="H469" s="388">
        <v>0</v>
      </c>
      <c r="I469" s="388" t="s">
        <v>273</v>
      </c>
      <c r="J469" s="389"/>
      <c r="L469" s="391"/>
    </row>
    <row r="470" spans="1:12" s="390" customFormat="1" ht="18" customHeight="1">
      <c r="A470" s="395"/>
      <c r="B470" s="384"/>
      <c r="C470" s="385" t="s">
        <v>258</v>
      </c>
      <c r="D470" s="386">
        <v>43863</v>
      </c>
      <c r="E470" s="387">
        <v>0</v>
      </c>
      <c r="F470" s="388">
        <v>0</v>
      </c>
      <c r="G470" s="387">
        <v>0</v>
      </c>
      <c r="H470" s="388">
        <v>0</v>
      </c>
      <c r="I470" s="388" t="s">
        <v>273</v>
      </c>
      <c r="J470" s="389"/>
      <c r="L470" s="391"/>
    </row>
    <row r="471" spans="1:12" s="349" customFormat="1" ht="18" customHeight="1">
      <c r="A471" s="394"/>
      <c r="B471" s="343"/>
      <c r="C471" s="344" t="s">
        <v>259</v>
      </c>
      <c r="D471" s="345">
        <v>43864</v>
      </c>
      <c r="E471" s="346">
        <v>1</v>
      </c>
      <c r="F471" s="347">
        <v>850000</v>
      </c>
      <c r="G471" s="346">
        <v>1</v>
      </c>
      <c r="H471" s="347">
        <v>850000</v>
      </c>
      <c r="I471" s="347" t="s">
        <v>268</v>
      </c>
      <c r="J471" s="348"/>
      <c r="L471" s="358"/>
    </row>
    <row r="472" spans="1:12" s="349" customFormat="1" ht="18" customHeight="1">
      <c r="A472" s="394"/>
      <c r="B472" s="343"/>
      <c r="C472" s="344" t="s">
        <v>260</v>
      </c>
      <c r="D472" s="345">
        <v>43865</v>
      </c>
      <c r="E472" s="346">
        <v>1</v>
      </c>
      <c r="F472" s="347">
        <v>850000</v>
      </c>
      <c r="G472" s="346">
        <v>1</v>
      </c>
      <c r="H472" s="347">
        <v>850000</v>
      </c>
      <c r="I472" s="347" t="s">
        <v>268</v>
      </c>
      <c r="J472" s="348"/>
      <c r="L472" s="358"/>
    </row>
    <row r="473" spans="1:12" s="349" customFormat="1" ht="18" customHeight="1">
      <c r="A473" s="394"/>
      <c r="B473" s="343"/>
      <c r="C473" s="344" t="s">
        <v>261</v>
      </c>
      <c r="D473" s="345">
        <v>43866</v>
      </c>
      <c r="E473" s="346">
        <v>1</v>
      </c>
      <c r="F473" s="347">
        <v>850000</v>
      </c>
      <c r="G473" s="346">
        <v>1</v>
      </c>
      <c r="H473" s="347">
        <v>850000</v>
      </c>
      <c r="I473" s="347" t="s">
        <v>268</v>
      </c>
      <c r="J473" s="348"/>
      <c r="L473" s="358"/>
    </row>
    <row r="474" spans="1:12" s="349" customFormat="1" ht="18" customHeight="1">
      <c r="A474" s="394"/>
      <c r="B474" s="343"/>
      <c r="C474" s="344" t="s">
        <v>262</v>
      </c>
      <c r="D474" s="345">
        <v>43867</v>
      </c>
      <c r="E474" s="346">
        <v>1</v>
      </c>
      <c r="F474" s="347">
        <v>850000</v>
      </c>
      <c r="G474" s="346">
        <v>1</v>
      </c>
      <c r="H474" s="347">
        <v>850000</v>
      </c>
      <c r="I474" s="347" t="s">
        <v>268</v>
      </c>
      <c r="J474" s="348"/>
      <c r="L474" s="358"/>
    </row>
    <row r="475" spans="1:12" s="349" customFormat="1" ht="18" customHeight="1">
      <c r="A475" s="394"/>
      <c r="B475" s="343"/>
      <c r="C475" s="344" t="s">
        <v>263</v>
      </c>
      <c r="D475" s="345">
        <v>43868</v>
      </c>
      <c r="E475" s="346">
        <v>1</v>
      </c>
      <c r="F475" s="347">
        <v>850000</v>
      </c>
      <c r="G475" s="346">
        <v>1</v>
      </c>
      <c r="H475" s="347">
        <v>850000</v>
      </c>
      <c r="I475" s="347" t="s">
        <v>268</v>
      </c>
      <c r="J475" s="348"/>
      <c r="L475" s="358"/>
    </row>
    <row r="476" spans="1:12" s="390" customFormat="1" ht="18" customHeight="1">
      <c r="A476" s="395"/>
      <c r="B476" s="384"/>
      <c r="C476" s="385" t="s">
        <v>257</v>
      </c>
      <c r="D476" s="386">
        <v>43869</v>
      </c>
      <c r="E476" s="387">
        <v>0</v>
      </c>
      <c r="F476" s="388">
        <v>0</v>
      </c>
      <c r="G476" s="387">
        <v>0</v>
      </c>
      <c r="H476" s="388">
        <v>0</v>
      </c>
      <c r="I476" s="388" t="s">
        <v>273</v>
      </c>
      <c r="J476" s="389"/>
      <c r="L476" s="391"/>
    </row>
    <row r="477" spans="1:12" s="390" customFormat="1" ht="18" customHeight="1">
      <c r="A477" s="395"/>
      <c r="B477" s="384"/>
      <c r="C477" s="385" t="s">
        <v>258</v>
      </c>
      <c r="D477" s="386">
        <v>43870</v>
      </c>
      <c r="E477" s="387">
        <v>0</v>
      </c>
      <c r="F477" s="388">
        <v>0</v>
      </c>
      <c r="G477" s="387">
        <v>0</v>
      </c>
      <c r="H477" s="388">
        <v>0</v>
      </c>
      <c r="I477" s="388" t="s">
        <v>273</v>
      </c>
      <c r="J477" s="389"/>
      <c r="L477" s="391"/>
    </row>
    <row r="478" spans="1:12" s="349" customFormat="1" ht="18" customHeight="1">
      <c r="A478" s="394"/>
      <c r="B478" s="343"/>
      <c r="C478" s="344" t="s">
        <v>259</v>
      </c>
      <c r="D478" s="345">
        <v>43871</v>
      </c>
      <c r="E478" s="346">
        <v>1</v>
      </c>
      <c r="F478" s="347">
        <v>850000</v>
      </c>
      <c r="G478" s="346">
        <v>1</v>
      </c>
      <c r="H478" s="347">
        <v>850000</v>
      </c>
      <c r="I478" s="347" t="s">
        <v>268</v>
      </c>
      <c r="J478" s="348"/>
      <c r="L478" s="358"/>
    </row>
    <row r="479" spans="1:12" s="349" customFormat="1" ht="18" customHeight="1">
      <c r="A479" s="394"/>
      <c r="B479" s="343"/>
      <c r="C479" s="344" t="s">
        <v>260</v>
      </c>
      <c r="D479" s="345">
        <v>43872</v>
      </c>
      <c r="E479" s="346">
        <v>1</v>
      </c>
      <c r="F479" s="347">
        <v>850000</v>
      </c>
      <c r="G479" s="346">
        <v>1</v>
      </c>
      <c r="H479" s="347">
        <v>850000</v>
      </c>
      <c r="I479" s="347" t="s">
        <v>268</v>
      </c>
      <c r="J479" s="348"/>
      <c r="L479" s="358"/>
    </row>
    <row r="480" spans="1:12" s="349" customFormat="1" ht="18" customHeight="1">
      <c r="A480" s="394"/>
      <c r="B480" s="343"/>
      <c r="C480" s="344" t="s">
        <v>261</v>
      </c>
      <c r="D480" s="345">
        <v>43873</v>
      </c>
      <c r="E480" s="346">
        <v>1</v>
      </c>
      <c r="F480" s="347">
        <v>850000</v>
      </c>
      <c r="G480" s="346">
        <v>1</v>
      </c>
      <c r="H480" s="347">
        <v>850000</v>
      </c>
      <c r="I480" s="347" t="s">
        <v>268</v>
      </c>
      <c r="J480" s="348"/>
      <c r="L480" s="358"/>
    </row>
    <row r="481" spans="1:12" s="349" customFormat="1" ht="18" customHeight="1">
      <c r="A481" s="394"/>
      <c r="B481" s="343"/>
      <c r="C481" s="344" t="s">
        <v>262</v>
      </c>
      <c r="D481" s="345">
        <v>43874</v>
      </c>
      <c r="E481" s="346">
        <v>1</v>
      </c>
      <c r="F481" s="347">
        <v>850000</v>
      </c>
      <c r="G481" s="346">
        <v>1</v>
      </c>
      <c r="H481" s="347">
        <v>850000</v>
      </c>
      <c r="I481" s="347" t="s">
        <v>268</v>
      </c>
      <c r="J481" s="348"/>
      <c r="L481" s="358"/>
    </row>
    <row r="482" spans="1:12" s="349" customFormat="1" ht="18" customHeight="1">
      <c r="A482" s="394"/>
      <c r="B482" s="343"/>
      <c r="C482" s="344" t="s">
        <v>263</v>
      </c>
      <c r="D482" s="345">
        <v>43875</v>
      </c>
      <c r="E482" s="346">
        <v>1</v>
      </c>
      <c r="F482" s="347">
        <v>850000</v>
      </c>
      <c r="G482" s="346">
        <v>1</v>
      </c>
      <c r="H482" s="347">
        <v>850000</v>
      </c>
      <c r="I482" s="347" t="s">
        <v>268</v>
      </c>
      <c r="J482" s="348"/>
      <c r="L482" s="358"/>
    </row>
    <row r="483" spans="1:12" s="390" customFormat="1" ht="18" customHeight="1">
      <c r="A483" s="395"/>
      <c r="B483" s="384"/>
      <c r="C483" s="385" t="s">
        <v>257</v>
      </c>
      <c r="D483" s="386">
        <v>43876</v>
      </c>
      <c r="E483" s="387">
        <v>0</v>
      </c>
      <c r="F483" s="388">
        <v>0</v>
      </c>
      <c r="G483" s="387">
        <v>0</v>
      </c>
      <c r="H483" s="388">
        <v>0</v>
      </c>
      <c r="I483" s="388" t="s">
        <v>273</v>
      </c>
      <c r="J483" s="389"/>
      <c r="L483" s="391"/>
    </row>
    <row r="484" spans="1:12" s="390" customFormat="1" ht="18" customHeight="1">
      <c r="A484" s="395"/>
      <c r="B484" s="384"/>
      <c r="C484" s="385" t="s">
        <v>258</v>
      </c>
      <c r="D484" s="386">
        <v>43877</v>
      </c>
      <c r="E484" s="387">
        <v>0</v>
      </c>
      <c r="F484" s="388">
        <v>0</v>
      </c>
      <c r="G484" s="387">
        <v>0</v>
      </c>
      <c r="H484" s="388">
        <v>0</v>
      </c>
      <c r="I484" s="388" t="s">
        <v>273</v>
      </c>
      <c r="J484" s="389"/>
      <c r="L484" s="391"/>
    </row>
    <row r="485" spans="1:12" s="349" customFormat="1" ht="18" customHeight="1">
      <c r="A485" s="394"/>
      <c r="B485" s="343"/>
      <c r="C485" s="344" t="s">
        <v>259</v>
      </c>
      <c r="D485" s="345">
        <v>43878</v>
      </c>
      <c r="E485" s="346">
        <v>1</v>
      </c>
      <c r="F485" s="347">
        <v>850000</v>
      </c>
      <c r="G485" s="346">
        <v>1</v>
      </c>
      <c r="H485" s="347">
        <v>850000</v>
      </c>
      <c r="I485" s="347" t="s">
        <v>268</v>
      </c>
      <c r="J485" s="348"/>
      <c r="L485" s="358"/>
    </row>
    <row r="486" spans="1:12" s="349" customFormat="1" ht="18" customHeight="1">
      <c r="A486" s="394"/>
      <c r="B486" s="343"/>
      <c r="C486" s="344" t="s">
        <v>260</v>
      </c>
      <c r="D486" s="345">
        <v>43879</v>
      </c>
      <c r="E486" s="346">
        <v>1</v>
      </c>
      <c r="F486" s="347">
        <v>850000</v>
      </c>
      <c r="G486" s="346">
        <v>1</v>
      </c>
      <c r="H486" s="347">
        <v>850000</v>
      </c>
      <c r="I486" s="347" t="s">
        <v>268</v>
      </c>
      <c r="J486" s="348"/>
      <c r="L486" s="358"/>
    </row>
    <row r="487" spans="1:12" s="349" customFormat="1" ht="18" customHeight="1">
      <c r="A487" s="394"/>
      <c r="B487" s="343"/>
      <c r="C487" s="344" t="s">
        <v>261</v>
      </c>
      <c r="D487" s="345">
        <v>43880</v>
      </c>
      <c r="E487" s="346">
        <v>1</v>
      </c>
      <c r="F487" s="347">
        <v>850000</v>
      </c>
      <c r="G487" s="346">
        <v>1</v>
      </c>
      <c r="H487" s="347">
        <v>850000</v>
      </c>
      <c r="I487" s="347" t="s">
        <v>268</v>
      </c>
      <c r="J487" s="348"/>
      <c r="L487" s="358"/>
    </row>
    <row r="488" spans="1:12" s="349" customFormat="1" ht="18" customHeight="1">
      <c r="A488" s="394"/>
      <c r="B488" s="343"/>
      <c r="C488" s="344" t="s">
        <v>262</v>
      </c>
      <c r="D488" s="345">
        <v>43881</v>
      </c>
      <c r="E488" s="346">
        <v>1</v>
      </c>
      <c r="F488" s="347">
        <v>850000</v>
      </c>
      <c r="G488" s="346">
        <v>1</v>
      </c>
      <c r="H488" s="347">
        <v>850000</v>
      </c>
      <c r="I488" s="347" t="s">
        <v>268</v>
      </c>
      <c r="J488" s="348"/>
      <c r="L488" s="358"/>
    </row>
    <row r="489" spans="1:12" s="349" customFormat="1" ht="18" customHeight="1">
      <c r="A489" s="394"/>
      <c r="B489" s="343"/>
      <c r="C489" s="344" t="s">
        <v>263</v>
      </c>
      <c r="D489" s="345">
        <v>43882</v>
      </c>
      <c r="E489" s="346">
        <v>1</v>
      </c>
      <c r="F489" s="347">
        <v>850000</v>
      </c>
      <c r="G489" s="346">
        <v>1</v>
      </c>
      <c r="H489" s="347">
        <v>850000</v>
      </c>
      <c r="I489" s="347" t="s">
        <v>268</v>
      </c>
      <c r="J489" s="348"/>
      <c r="L489" s="358"/>
    </row>
    <row r="490" spans="1:12" s="390" customFormat="1" ht="18" customHeight="1">
      <c r="A490" s="395"/>
      <c r="B490" s="384"/>
      <c r="C490" s="385" t="s">
        <v>257</v>
      </c>
      <c r="D490" s="386">
        <v>43883</v>
      </c>
      <c r="E490" s="387">
        <v>0</v>
      </c>
      <c r="F490" s="388">
        <v>0</v>
      </c>
      <c r="G490" s="387">
        <v>0</v>
      </c>
      <c r="H490" s="388">
        <v>0</v>
      </c>
      <c r="I490" s="388" t="s">
        <v>273</v>
      </c>
      <c r="J490" s="389"/>
      <c r="L490" s="391"/>
    </row>
    <row r="491" spans="1:12" s="390" customFormat="1" ht="18" customHeight="1">
      <c r="A491" s="395"/>
      <c r="B491" s="384"/>
      <c r="C491" s="385" t="s">
        <v>258</v>
      </c>
      <c r="D491" s="386">
        <v>43884</v>
      </c>
      <c r="E491" s="387">
        <v>0</v>
      </c>
      <c r="F491" s="388">
        <v>0</v>
      </c>
      <c r="G491" s="387">
        <v>0</v>
      </c>
      <c r="H491" s="388">
        <v>0</v>
      </c>
      <c r="I491" s="388" t="s">
        <v>273</v>
      </c>
      <c r="J491" s="389"/>
      <c r="L491" s="391"/>
    </row>
    <row r="492" spans="1:12" s="349" customFormat="1" ht="18" customHeight="1">
      <c r="A492" s="394"/>
      <c r="B492" s="343"/>
      <c r="C492" s="344" t="s">
        <v>259</v>
      </c>
      <c r="D492" s="345">
        <v>43885</v>
      </c>
      <c r="E492" s="346">
        <v>1</v>
      </c>
      <c r="F492" s="347">
        <v>850000</v>
      </c>
      <c r="G492" s="346">
        <v>1</v>
      </c>
      <c r="H492" s="347">
        <v>850000</v>
      </c>
      <c r="I492" s="347" t="s">
        <v>268</v>
      </c>
      <c r="J492" s="348"/>
      <c r="L492" s="358"/>
    </row>
    <row r="493" spans="1:12" s="349" customFormat="1" ht="18" customHeight="1">
      <c r="A493" s="394"/>
      <c r="B493" s="343"/>
      <c r="C493" s="344" t="s">
        <v>260</v>
      </c>
      <c r="D493" s="345">
        <v>43886</v>
      </c>
      <c r="E493" s="346">
        <v>1</v>
      </c>
      <c r="F493" s="347">
        <v>850000</v>
      </c>
      <c r="G493" s="346">
        <v>1</v>
      </c>
      <c r="H493" s="347">
        <v>850000</v>
      </c>
      <c r="I493" s="347" t="s">
        <v>268</v>
      </c>
      <c r="J493" s="348"/>
      <c r="L493" s="358"/>
    </row>
    <row r="494" spans="1:12" s="349" customFormat="1" ht="18" customHeight="1">
      <c r="A494" s="394"/>
      <c r="B494" s="343"/>
      <c r="C494" s="344" t="s">
        <v>261</v>
      </c>
      <c r="D494" s="345">
        <v>43887</v>
      </c>
      <c r="E494" s="346">
        <v>1</v>
      </c>
      <c r="F494" s="347">
        <v>850000</v>
      </c>
      <c r="G494" s="346">
        <v>1</v>
      </c>
      <c r="H494" s="347">
        <v>850000</v>
      </c>
      <c r="I494" s="347" t="s">
        <v>268</v>
      </c>
      <c r="J494" s="348"/>
      <c r="L494" s="358"/>
    </row>
    <row r="495" spans="1:12" s="349" customFormat="1" ht="18" customHeight="1">
      <c r="A495" s="394"/>
      <c r="B495" s="343"/>
      <c r="C495" s="344" t="s">
        <v>262</v>
      </c>
      <c r="D495" s="345">
        <v>43888</v>
      </c>
      <c r="E495" s="346">
        <v>1</v>
      </c>
      <c r="F495" s="347">
        <v>850000</v>
      </c>
      <c r="G495" s="346">
        <v>1</v>
      </c>
      <c r="H495" s="347">
        <v>850000</v>
      </c>
      <c r="I495" s="347" t="s">
        <v>268</v>
      </c>
      <c r="J495" s="348"/>
      <c r="L495" s="358"/>
    </row>
    <row r="496" spans="1:12" s="349" customFormat="1" ht="18" customHeight="1">
      <c r="A496" s="394"/>
      <c r="B496" s="343"/>
      <c r="C496" s="344" t="s">
        <v>263</v>
      </c>
      <c r="D496" s="345">
        <v>43889</v>
      </c>
      <c r="E496" s="346">
        <v>1</v>
      </c>
      <c r="F496" s="347">
        <v>850000</v>
      </c>
      <c r="G496" s="346">
        <v>1</v>
      </c>
      <c r="H496" s="347">
        <v>850000</v>
      </c>
      <c r="I496" s="347" t="s">
        <v>268</v>
      </c>
      <c r="J496" s="348"/>
      <c r="L496" s="358"/>
    </row>
    <row r="497" spans="1:12" s="390" customFormat="1" ht="18" customHeight="1">
      <c r="A497" s="395"/>
      <c r="B497" s="384"/>
      <c r="C497" s="385" t="s">
        <v>257</v>
      </c>
      <c r="D497" s="386">
        <v>43890</v>
      </c>
      <c r="E497" s="387">
        <v>0</v>
      </c>
      <c r="F497" s="388">
        <v>0</v>
      </c>
      <c r="G497" s="387">
        <v>0</v>
      </c>
      <c r="H497" s="388">
        <v>0</v>
      </c>
      <c r="I497" s="388" t="s">
        <v>273</v>
      </c>
      <c r="J497" s="389"/>
      <c r="L497" s="391"/>
    </row>
    <row r="498" spans="1:12" s="297" customFormat="1" ht="24.95" customHeight="1">
      <c r="A498" s="277"/>
      <c r="B498" s="320"/>
      <c r="C498" s="676" t="s">
        <v>264</v>
      </c>
      <c r="D498" s="676"/>
      <c r="E498" s="677">
        <f>SUM(F469:F497)</f>
        <v>17000000</v>
      </c>
      <c r="F498" s="677"/>
      <c r="G498" s="677">
        <f>SUM(H469:H497)</f>
        <v>17000000</v>
      </c>
      <c r="H498" s="677"/>
      <c r="I498" s="330"/>
      <c r="J498" s="321"/>
      <c r="L498" s="356">
        <v>20</v>
      </c>
    </row>
    <row r="499" spans="1:12" s="296" customFormat="1" ht="30" customHeight="1">
      <c r="A499" s="277"/>
      <c r="B499" s="322"/>
      <c r="C499" s="657" t="s">
        <v>62</v>
      </c>
      <c r="D499" s="657"/>
      <c r="E499" s="658">
        <f>+E498+G498</f>
        <v>34000000</v>
      </c>
      <c r="F499" s="659"/>
      <c r="G499" s="659"/>
      <c r="H499" s="660"/>
      <c r="I499" s="331"/>
      <c r="J499" s="323"/>
      <c r="L499" s="359">
        <f>+L498*2*850000</f>
        <v>34000000</v>
      </c>
    </row>
    <row r="500" spans="1:12" ht="20.100000000000001" customHeight="1">
      <c r="B500" s="307"/>
      <c r="J500" s="308"/>
    </row>
    <row r="501" spans="1:12" ht="18" customHeight="1">
      <c r="B501" s="307"/>
      <c r="C501" s="290" t="s">
        <v>136</v>
      </c>
      <c r="E501" s="183"/>
      <c r="F501" s="234" t="s">
        <v>131</v>
      </c>
      <c r="G501" s="234" t="s">
        <v>130</v>
      </c>
      <c r="H501" s="234" t="s">
        <v>129</v>
      </c>
      <c r="I501" s="234" t="s">
        <v>128</v>
      </c>
      <c r="J501" s="308"/>
    </row>
    <row r="502" spans="1:12" s="335" customFormat="1" ht="39.950000000000003" customHeight="1">
      <c r="B502" s="332"/>
      <c r="C502" s="333">
        <v>5</v>
      </c>
      <c r="D502" s="334"/>
      <c r="F502" s="336">
        <v>4</v>
      </c>
      <c r="G502" s="336">
        <v>3</v>
      </c>
      <c r="H502" s="336">
        <v>2</v>
      </c>
      <c r="I502" s="336">
        <v>1</v>
      </c>
      <c r="J502" s="337"/>
      <c r="L502" s="357"/>
    </row>
    <row r="503" spans="1:12" ht="17.100000000000001" customHeight="1">
      <c r="B503" s="307"/>
      <c r="C503" s="290"/>
      <c r="E503" s="183"/>
      <c r="F503" s="236" t="s">
        <v>114</v>
      </c>
      <c r="G503" s="237" t="s">
        <v>113</v>
      </c>
      <c r="H503" s="238" t="s">
        <v>112</v>
      </c>
      <c r="I503" s="234" t="s">
        <v>16</v>
      </c>
      <c r="J503" s="308"/>
    </row>
    <row r="504" spans="1:12" ht="15" customHeight="1" thickBot="1">
      <c r="B504" s="374"/>
      <c r="C504" s="375" t="s">
        <v>132</v>
      </c>
      <c r="D504" s="376"/>
      <c r="E504" s="377"/>
      <c r="F504" s="375" t="s">
        <v>132</v>
      </c>
      <c r="G504" s="375" t="s">
        <v>132</v>
      </c>
      <c r="H504" s="375" t="s">
        <v>132</v>
      </c>
      <c r="I504" s="375" t="s">
        <v>132</v>
      </c>
      <c r="J504" s="378"/>
    </row>
    <row r="505" spans="1:12" ht="9.9499999999999993" customHeight="1" thickTop="1">
      <c r="B505" s="364"/>
      <c r="C505" s="364"/>
      <c r="D505" s="365"/>
      <c r="E505" s="366"/>
      <c r="F505" s="367"/>
      <c r="G505" s="366"/>
      <c r="H505" s="367"/>
      <c r="I505" s="367"/>
      <c r="J505" s="364"/>
    </row>
    <row r="507" spans="1:12" ht="9.9499999999999993" customHeight="1" thickBot="1">
      <c r="B507" s="379"/>
      <c r="C507" s="379"/>
      <c r="D507" s="380"/>
      <c r="E507" s="381"/>
      <c r="F507" s="382"/>
      <c r="G507" s="381"/>
      <c r="H507" s="382"/>
      <c r="I507" s="382"/>
      <c r="J507" s="379"/>
    </row>
    <row r="508" spans="1:12" ht="9.9499999999999993" customHeight="1" thickTop="1">
      <c r="A508" s="661" t="s">
        <v>314</v>
      </c>
      <c r="B508" s="301"/>
      <c r="C508" s="302"/>
      <c r="D508" s="303"/>
      <c r="E508" s="304"/>
      <c r="F508" s="305"/>
      <c r="G508" s="304"/>
      <c r="H508" s="305"/>
      <c r="I508" s="305"/>
      <c r="J508" s="306"/>
    </row>
    <row r="509" spans="1:12" ht="17.100000000000001" customHeight="1">
      <c r="A509" s="661"/>
      <c r="B509" s="307"/>
      <c r="C509" s="298" t="s">
        <v>138</v>
      </c>
      <c r="D509" s="299"/>
      <c r="G509" s="662" t="s">
        <v>316</v>
      </c>
      <c r="H509" s="662"/>
      <c r="I509" s="662"/>
      <c r="J509" s="308"/>
    </row>
    <row r="510" spans="1:12" s="275" customFormat="1" ht="30" customHeight="1">
      <c r="A510" s="661"/>
      <c r="B510" s="309"/>
      <c r="C510" s="279" t="s">
        <v>119</v>
      </c>
      <c r="D510" s="292" t="s">
        <v>244</v>
      </c>
      <c r="F510" s="310"/>
      <c r="G510" s="311"/>
      <c r="H510" s="310"/>
      <c r="I510" s="310"/>
      <c r="J510" s="312"/>
      <c r="L510" s="352"/>
    </row>
    <row r="511" spans="1:12" s="276" customFormat="1" ht="23.1" customHeight="1">
      <c r="A511" s="277"/>
      <c r="B511" s="313"/>
      <c r="C511" s="280" t="s">
        <v>120</v>
      </c>
      <c r="D511" s="293" t="s">
        <v>315</v>
      </c>
      <c r="F511" s="663" t="s">
        <v>303</v>
      </c>
      <c r="G511" s="664"/>
      <c r="H511" s="664"/>
      <c r="I511" s="665"/>
      <c r="J511" s="315"/>
      <c r="L511" s="353"/>
    </row>
    <row r="512" spans="1:12" s="276" customFormat="1" ht="23.1" customHeight="1">
      <c r="A512" s="277"/>
      <c r="B512" s="313"/>
      <c r="C512" s="280" t="s">
        <v>121</v>
      </c>
      <c r="D512" s="293" t="s">
        <v>317</v>
      </c>
      <c r="F512" s="666"/>
      <c r="G512" s="667"/>
      <c r="H512" s="667"/>
      <c r="I512" s="668"/>
      <c r="J512" s="315"/>
      <c r="L512" s="353"/>
    </row>
    <row r="513" spans="1:12" s="278" customFormat="1" ht="50.1" customHeight="1">
      <c r="A513" s="392"/>
      <c r="B513" s="316"/>
      <c r="C513" s="669" t="s">
        <v>2</v>
      </c>
      <c r="D513" s="671" t="s">
        <v>283</v>
      </c>
      <c r="E513" s="673" t="s">
        <v>275</v>
      </c>
      <c r="F513" s="674"/>
      <c r="G513" s="673" t="s">
        <v>276</v>
      </c>
      <c r="H513" s="674"/>
      <c r="I513" s="675" t="s">
        <v>85</v>
      </c>
      <c r="J513" s="317"/>
      <c r="L513" s="354"/>
    </row>
    <row r="514" spans="1:12" s="278" customFormat="1" ht="24.95" customHeight="1">
      <c r="A514" s="392"/>
      <c r="B514" s="316"/>
      <c r="C514" s="670"/>
      <c r="D514" s="672"/>
      <c r="E514" s="294" t="s">
        <v>256</v>
      </c>
      <c r="F514" s="295" t="s">
        <v>27</v>
      </c>
      <c r="G514" s="294" t="s">
        <v>256</v>
      </c>
      <c r="H514" s="295" t="s">
        <v>27</v>
      </c>
      <c r="I514" s="675"/>
      <c r="J514" s="317"/>
      <c r="L514" s="354"/>
    </row>
    <row r="515" spans="1:12" s="390" customFormat="1" ht="18" customHeight="1">
      <c r="A515" s="395"/>
      <c r="B515" s="384"/>
      <c r="C515" s="385" t="s">
        <v>258</v>
      </c>
      <c r="D515" s="386">
        <v>43891</v>
      </c>
      <c r="E515" s="387">
        <v>0</v>
      </c>
      <c r="F515" s="388">
        <v>0</v>
      </c>
      <c r="G515" s="387">
        <v>0</v>
      </c>
      <c r="H515" s="388">
        <v>0</v>
      </c>
      <c r="I515" s="388" t="s">
        <v>273</v>
      </c>
      <c r="J515" s="389"/>
      <c r="L515" s="391"/>
    </row>
    <row r="516" spans="1:12" s="349" customFormat="1" ht="18" customHeight="1">
      <c r="A516" s="394"/>
      <c r="B516" s="343"/>
      <c r="C516" s="344" t="s">
        <v>259</v>
      </c>
      <c r="D516" s="345">
        <v>43892</v>
      </c>
      <c r="E516" s="346">
        <v>1</v>
      </c>
      <c r="F516" s="347">
        <v>850000</v>
      </c>
      <c r="G516" s="346">
        <v>1</v>
      </c>
      <c r="H516" s="347">
        <v>850000</v>
      </c>
      <c r="I516" s="347" t="s">
        <v>268</v>
      </c>
      <c r="J516" s="348"/>
      <c r="L516" s="358"/>
    </row>
    <row r="517" spans="1:12" s="349" customFormat="1" ht="18" customHeight="1">
      <c r="A517" s="394"/>
      <c r="B517" s="343"/>
      <c r="C517" s="344" t="s">
        <v>260</v>
      </c>
      <c r="D517" s="345">
        <v>43893</v>
      </c>
      <c r="E517" s="346">
        <v>1</v>
      </c>
      <c r="F517" s="347">
        <v>850000</v>
      </c>
      <c r="G517" s="346">
        <v>1</v>
      </c>
      <c r="H517" s="347">
        <v>850000</v>
      </c>
      <c r="I517" s="347" t="s">
        <v>268</v>
      </c>
      <c r="J517" s="348"/>
      <c r="L517" s="358"/>
    </row>
    <row r="518" spans="1:12" s="349" customFormat="1" ht="18" customHeight="1">
      <c r="A518" s="394"/>
      <c r="B518" s="343"/>
      <c r="C518" s="344" t="s">
        <v>261</v>
      </c>
      <c r="D518" s="345">
        <v>43894</v>
      </c>
      <c r="E518" s="346">
        <v>1</v>
      </c>
      <c r="F518" s="347">
        <v>850000</v>
      </c>
      <c r="G518" s="346">
        <v>1</v>
      </c>
      <c r="H518" s="347">
        <v>850000</v>
      </c>
      <c r="I518" s="347" t="s">
        <v>268</v>
      </c>
      <c r="J518" s="348"/>
      <c r="L518" s="358"/>
    </row>
    <row r="519" spans="1:12" s="349" customFormat="1" ht="18" customHeight="1">
      <c r="A519" s="394"/>
      <c r="B519" s="343"/>
      <c r="C519" s="344" t="s">
        <v>262</v>
      </c>
      <c r="D519" s="345">
        <v>43895</v>
      </c>
      <c r="E519" s="346">
        <v>1</v>
      </c>
      <c r="F519" s="347">
        <v>850000</v>
      </c>
      <c r="G519" s="346">
        <v>1</v>
      </c>
      <c r="H519" s="347">
        <v>850000</v>
      </c>
      <c r="I519" s="347" t="s">
        <v>268</v>
      </c>
      <c r="J519" s="348"/>
      <c r="L519" s="358"/>
    </row>
    <row r="520" spans="1:12" s="349" customFormat="1" ht="18" customHeight="1">
      <c r="A520" s="394"/>
      <c r="B520" s="343"/>
      <c r="C520" s="344" t="s">
        <v>263</v>
      </c>
      <c r="D520" s="345">
        <v>43896</v>
      </c>
      <c r="E520" s="346">
        <v>1</v>
      </c>
      <c r="F520" s="347">
        <v>850000</v>
      </c>
      <c r="G520" s="346">
        <v>1</v>
      </c>
      <c r="H520" s="347">
        <v>850000</v>
      </c>
      <c r="I520" s="347" t="s">
        <v>268</v>
      </c>
      <c r="J520" s="348"/>
      <c r="L520" s="358"/>
    </row>
    <row r="521" spans="1:12" s="390" customFormat="1" ht="18" customHeight="1">
      <c r="A521" s="395"/>
      <c r="B521" s="384"/>
      <c r="C521" s="385" t="s">
        <v>257</v>
      </c>
      <c r="D521" s="386">
        <v>43897</v>
      </c>
      <c r="E521" s="387">
        <v>0</v>
      </c>
      <c r="F521" s="388">
        <v>0</v>
      </c>
      <c r="G521" s="387">
        <v>0</v>
      </c>
      <c r="H521" s="388">
        <v>0</v>
      </c>
      <c r="I521" s="388" t="s">
        <v>273</v>
      </c>
      <c r="J521" s="389"/>
      <c r="L521" s="391"/>
    </row>
    <row r="522" spans="1:12" s="390" customFormat="1" ht="18" customHeight="1">
      <c r="A522" s="395"/>
      <c r="B522" s="384"/>
      <c r="C522" s="385" t="s">
        <v>258</v>
      </c>
      <c r="D522" s="386">
        <v>43898</v>
      </c>
      <c r="E522" s="387">
        <v>0</v>
      </c>
      <c r="F522" s="388">
        <v>0</v>
      </c>
      <c r="G522" s="387">
        <v>0</v>
      </c>
      <c r="H522" s="388">
        <v>0</v>
      </c>
      <c r="I522" s="388" t="s">
        <v>273</v>
      </c>
      <c r="J522" s="389"/>
      <c r="L522" s="391"/>
    </row>
    <row r="523" spans="1:12" s="349" customFormat="1" ht="18" customHeight="1">
      <c r="A523" s="394"/>
      <c r="B523" s="343"/>
      <c r="C523" s="344" t="s">
        <v>259</v>
      </c>
      <c r="D523" s="345">
        <v>43899</v>
      </c>
      <c r="E523" s="346">
        <v>1</v>
      </c>
      <c r="F523" s="347">
        <v>850000</v>
      </c>
      <c r="G523" s="346">
        <v>1</v>
      </c>
      <c r="H523" s="347">
        <v>850000</v>
      </c>
      <c r="I523" s="347" t="s">
        <v>268</v>
      </c>
      <c r="J523" s="348"/>
      <c r="L523" s="358"/>
    </row>
    <row r="524" spans="1:12" s="349" customFormat="1" ht="18" customHeight="1">
      <c r="A524" s="394"/>
      <c r="B524" s="343"/>
      <c r="C524" s="344" t="s">
        <v>260</v>
      </c>
      <c r="D524" s="345">
        <v>43900</v>
      </c>
      <c r="E524" s="346">
        <v>1</v>
      </c>
      <c r="F524" s="347">
        <v>850000</v>
      </c>
      <c r="G524" s="346">
        <v>1</v>
      </c>
      <c r="H524" s="347">
        <v>850000</v>
      </c>
      <c r="I524" s="347" t="s">
        <v>268</v>
      </c>
      <c r="J524" s="348"/>
      <c r="L524" s="358"/>
    </row>
    <row r="525" spans="1:12" s="349" customFormat="1" ht="18" customHeight="1">
      <c r="A525" s="394"/>
      <c r="B525" s="343"/>
      <c r="C525" s="344" t="s">
        <v>261</v>
      </c>
      <c r="D525" s="345">
        <v>43901</v>
      </c>
      <c r="E525" s="346">
        <v>1</v>
      </c>
      <c r="F525" s="347">
        <v>850000</v>
      </c>
      <c r="G525" s="346">
        <v>1</v>
      </c>
      <c r="H525" s="347">
        <v>850000</v>
      </c>
      <c r="I525" s="347" t="s">
        <v>268</v>
      </c>
      <c r="J525" s="348"/>
      <c r="L525" s="358"/>
    </row>
    <row r="526" spans="1:12" s="349" customFormat="1" ht="18" customHeight="1">
      <c r="A526" s="394"/>
      <c r="B526" s="343"/>
      <c r="C526" s="344" t="s">
        <v>262</v>
      </c>
      <c r="D526" s="345">
        <v>43902</v>
      </c>
      <c r="E526" s="346">
        <v>1</v>
      </c>
      <c r="F526" s="347">
        <v>850000</v>
      </c>
      <c r="G526" s="346">
        <v>1</v>
      </c>
      <c r="H526" s="347">
        <v>850000</v>
      </c>
      <c r="I526" s="347" t="s">
        <v>268</v>
      </c>
      <c r="J526" s="348"/>
      <c r="L526" s="358"/>
    </row>
    <row r="527" spans="1:12" s="349" customFormat="1" ht="18" customHeight="1">
      <c r="A527" s="394"/>
      <c r="B527" s="343"/>
      <c r="C527" s="344" t="s">
        <v>263</v>
      </c>
      <c r="D527" s="345">
        <v>43903</v>
      </c>
      <c r="E527" s="346">
        <v>1</v>
      </c>
      <c r="F527" s="347">
        <v>850000</v>
      </c>
      <c r="G527" s="346">
        <v>1</v>
      </c>
      <c r="H527" s="347">
        <v>850000</v>
      </c>
      <c r="I527" s="347" t="s">
        <v>268</v>
      </c>
      <c r="J527" s="348"/>
      <c r="L527" s="358"/>
    </row>
    <row r="528" spans="1:12" s="390" customFormat="1" ht="18" customHeight="1">
      <c r="A528" s="395"/>
      <c r="B528" s="384"/>
      <c r="C528" s="385" t="s">
        <v>257</v>
      </c>
      <c r="D528" s="386">
        <v>43904</v>
      </c>
      <c r="E528" s="387">
        <v>0</v>
      </c>
      <c r="F528" s="388">
        <v>0</v>
      </c>
      <c r="G528" s="387">
        <v>0</v>
      </c>
      <c r="H528" s="388">
        <v>0</v>
      </c>
      <c r="I528" s="388" t="s">
        <v>273</v>
      </c>
      <c r="J528" s="389"/>
      <c r="L528" s="391"/>
    </row>
    <row r="529" spans="1:12" s="390" customFormat="1" ht="18" customHeight="1">
      <c r="A529" s="395"/>
      <c r="B529" s="384"/>
      <c r="C529" s="385" t="s">
        <v>258</v>
      </c>
      <c r="D529" s="386">
        <v>43905</v>
      </c>
      <c r="E529" s="387">
        <v>0</v>
      </c>
      <c r="F529" s="388">
        <v>0</v>
      </c>
      <c r="G529" s="387">
        <v>0</v>
      </c>
      <c r="H529" s="388">
        <v>0</v>
      </c>
      <c r="I529" s="388" t="s">
        <v>273</v>
      </c>
      <c r="J529" s="389"/>
      <c r="L529" s="391"/>
    </row>
    <row r="530" spans="1:12" s="349" customFormat="1" ht="18" customHeight="1">
      <c r="A530" s="394"/>
      <c r="B530" s="343"/>
      <c r="C530" s="344" t="s">
        <v>259</v>
      </c>
      <c r="D530" s="345">
        <v>43906</v>
      </c>
      <c r="E530" s="346">
        <v>1</v>
      </c>
      <c r="F530" s="347">
        <v>850000</v>
      </c>
      <c r="G530" s="346">
        <v>1</v>
      </c>
      <c r="H530" s="347">
        <v>850000</v>
      </c>
      <c r="I530" s="347" t="s">
        <v>268</v>
      </c>
      <c r="J530" s="348"/>
      <c r="L530" s="358"/>
    </row>
    <row r="531" spans="1:12" s="349" customFormat="1" ht="18" customHeight="1">
      <c r="A531" s="394"/>
      <c r="B531" s="343"/>
      <c r="C531" s="344" t="s">
        <v>260</v>
      </c>
      <c r="D531" s="345">
        <v>43907</v>
      </c>
      <c r="E531" s="346">
        <v>1</v>
      </c>
      <c r="F531" s="347">
        <v>850000</v>
      </c>
      <c r="G531" s="346">
        <v>1</v>
      </c>
      <c r="H531" s="347">
        <v>850000</v>
      </c>
      <c r="I531" s="347" t="s">
        <v>268</v>
      </c>
      <c r="J531" s="348"/>
      <c r="L531" s="358"/>
    </row>
    <row r="532" spans="1:12" s="349" customFormat="1" ht="18" customHeight="1">
      <c r="A532" s="394"/>
      <c r="B532" s="343"/>
      <c r="C532" s="344" t="s">
        <v>261</v>
      </c>
      <c r="D532" s="345">
        <v>43908</v>
      </c>
      <c r="E532" s="346">
        <v>1</v>
      </c>
      <c r="F532" s="347">
        <v>850000</v>
      </c>
      <c r="G532" s="346">
        <v>1</v>
      </c>
      <c r="H532" s="347">
        <v>850000</v>
      </c>
      <c r="I532" s="347" t="s">
        <v>268</v>
      </c>
      <c r="J532" s="348"/>
      <c r="L532" s="358"/>
    </row>
    <row r="533" spans="1:12" s="349" customFormat="1" ht="18" customHeight="1">
      <c r="A533" s="394"/>
      <c r="B533" s="343"/>
      <c r="C533" s="344" t="s">
        <v>262</v>
      </c>
      <c r="D533" s="345">
        <v>43909</v>
      </c>
      <c r="E533" s="346">
        <v>1</v>
      </c>
      <c r="F533" s="347">
        <v>850000</v>
      </c>
      <c r="G533" s="346">
        <v>1</v>
      </c>
      <c r="H533" s="347">
        <v>850000</v>
      </c>
      <c r="I533" s="347" t="s">
        <v>268</v>
      </c>
      <c r="J533" s="348"/>
      <c r="L533" s="358"/>
    </row>
    <row r="534" spans="1:12" s="349" customFormat="1" ht="18" customHeight="1">
      <c r="A534" s="394"/>
      <c r="B534" s="343"/>
      <c r="C534" s="344" t="s">
        <v>263</v>
      </c>
      <c r="D534" s="345">
        <v>43910</v>
      </c>
      <c r="E534" s="346">
        <v>1</v>
      </c>
      <c r="F534" s="347">
        <v>850000</v>
      </c>
      <c r="G534" s="346">
        <v>1</v>
      </c>
      <c r="H534" s="347">
        <v>850000</v>
      </c>
      <c r="I534" s="347" t="s">
        <v>268</v>
      </c>
      <c r="J534" s="348"/>
      <c r="L534" s="358"/>
    </row>
    <row r="535" spans="1:12" s="390" customFormat="1" ht="18" customHeight="1">
      <c r="A535" s="395"/>
      <c r="B535" s="384"/>
      <c r="C535" s="385" t="s">
        <v>257</v>
      </c>
      <c r="D535" s="386">
        <v>43911</v>
      </c>
      <c r="E535" s="387">
        <v>0</v>
      </c>
      <c r="F535" s="388">
        <v>0</v>
      </c>
      <c r="G535" s="387">
        <v>0</v>
      </c>
      <c r="H535" s="388">
        <v>0</v>
      </c>
      <c r="I535" s="388" t="s">
        <v>273</v>
      </c>
      <c r="J535" s="389"/>
      <c r="L535" s="391"/>
    </row>
    <row r="536" spans="1:12" s="390" customFormat="1" ht="18" customHeight="1">
      <c r="A536" s="395"/>
      <c r="B536" s="384"/>
      <c r="C536" s="385" t="s">
        <v>258</v>
      </c>
      <c r="D536" s="386">
        <v>43912</v>
      </c>
      <c r="E536" s="387">
        <v>0</v>
      </c>
      <c r="F536" s="388">
        <v>0</v>
      </c>
      <c r="G536" s="387">
        <v>0</v>
      </c>
      <c r="H536" s="388">
        <v>0</v>
      </c>
      <c r="I536" s="388" t="s">
        <v>273</v>
      </c>
      <c r="J536" s="389"/>
      <c r="L536" s="391"/>
    </row>
    <row r="537" spans="1:12" s="349" customFormat="1" ht="18" customHeight="1">
      <c r="A537" s="394"/>
      <c r="B537" s="343"/>
      <c r="C537" s="344" t="s">
        <v>259</v>
      </c>
      <c r="D537" s="345">
        <v>43913</v>
      </c>
      <c r="E537" s="346">
        <v>1</v>
      </c>
      <c r="F537" s="347">
        <v>850000</v>
      </c>
      <c r="G537" s="346">
        <v>1</v>
      </c>
      <c r="H537" s="347">
        <v>850000</v>
      </c>
      <c r="I537" s="347" t="s">
        <v>268</v>
      </c>
      <c r="J537" s="348"/>
      <c r="L537" s="358"/>
    </row>
    <row r="538" spans="1:12" s="349" customFormat="1" ht="18" customHeight="1">
      <c r="A538" s="394"/>
      <c r="B538" s="343"/>
      <c r="C538" s="344" t="s">
        <v>260</v>
      </c>
      <c r="D538" s="345">
        <v>43914</v>
      </c>
      <c r="E538" s="346">
        <v>1</v>
      </c>
      <c r="F538" s="347">
        <v>850000</v>
      </c>
      <c r="G538" s="346">
        <v>1</v>
      </c>
      <c r="H538" s="347">
        <v>850000</v>
      </c>
      <c r="I538" s="347" t="s">
        <v>268</v>
      </c>
      <c r="J538" s="348"/>
      <c r="L538" s="358"/>
    </row>
    <row r="539" spans="1:12" s="349" customFormat="1" ht="18" customHeight="1">
      <c r="A539" s="394"/>
      <c r="B539" s="343"/>
      <c r="C539" s="385" t="s">
        <v>261</v>
      </c>
      <c r="D539" s="386">
        <v>43915</v>
      </c>
      <c r="E539" s="387">
        <v>0</v>
      </c>
      <c r="F539" s="388">
        <v>0</v>
      </c>
      <c r="G539" s="387">
        <v>0</v>
      </c>
      <c r="H539" s="388">
        <v>0</v>
      </c>
      <c r="I539" s="388" t="s">
        <v>273</v>
      </c>
      <c r="J539" s="348"/>
      <c r="L539" s="358"/>
    </row>
    <row r="540" spans="1:12" s="349" customFormat="1" ht="18" customHeight="1">
      <c r="A540" s="394"/>
      <c r="B540" s="343"/>
      <c r="C540" s="344" t="s">
        <v>262</v>
      </c>
      <c r="D540" s="345">
        <v>43916</v>
      </c>
      <c r="E540" s="346">
        <v>1</v>
      </c>
      <c r="F540" s="347">
        <v>850000</v>
      </c>
      <c r="G540" s="346">
        <v>1</v>
      </c>
      <c r="H540" s="347">
        <v>850000</v>
      </c>
      <c r="I540" s="347" t="s">
        <v>268</v>
      </c>
      <c r="J540" s="348"/>
      <c r="L540" s="358"/>
    </row>
    <row r="541" spans="1:12" s="349" customFormat="1" ht="18" customHeight="1">
      <c r="A541" s="394"/>
      <c r="B541" s="343"/>
      <c r="C541" s="344" t="s">
        <v>263</v>
      </c>
      <c r="D541" s="345">
        <v>43917</v>
      </c>
      <c r="E541" s="346">
        <v>1</v>
      </c>
      <c r="F541" s="347">
        <v>850000</v>
      </c>
      <c r="G541" s="346">
        <v>1</v>
      </c>
      <c r="H541" s="347">
        <v>850000</v>
      </c>
      <c r="I541" s="347" t="s">
        <v>268</v>
      </c>
      <c r="J541" s="348"/>
      <c r="L541" s="358"/>
    </row>
    <row r="542" spans="1:12" s="390" customFormat="1" ht="18" customHeight="1">
      <c r="A542" s="395"/>
      <c r="B542" s="384"/>
      <c r="C542" s="385" t="s">
        <v>257</v>
      </c>
      <c r="D542" s="386">
        <v>43918</v>
      </c>
      <c r="E542" s="387">
        <v>0</v>
      </c>
      <c r="F542" s="388">
        <v>0</v>
      </c>
      <c r="G542" s="387">
        <v>0</v>
      </c>
      <c r="H542" s="388">
        <v>0</v>
      </c>
      <c r="I542" s="388" t="s">
        <v>273</v>
      </c>
      <c r="J542" s="389"/>
      <c r="L542" s="391"/>
    </row>
    <row r="543" spans="1:12" s="390" customFormat="1" ht="18" customHeight="1">
      <c r="A543" s="395"/>
      <c r="B543" s="384"/>
      <c r="C543" s="385" t="s">
        <v>258</v>
      </c>
      <c r="D543" s="386">
        <v>43919</v>
      </c>
      <c r="E543" s="387">
        <v>0</v>
      </c>
      <c r="F543" s="388">
        <v>0</v>
      </c>
      <c r="G543" s="387">
        <v>0</v>
      </c>
      <c r="H543" s="388">
        <v>0</v>
      </c>
      <c r="I543" s="388" t="s">
        <v>273</v>
      </c>
      <c r="J543" s="389"/>
      <c r="L543" s="391"/>
    </row>
    <row r="544" spans="1:12" s="349" customFormat="1" ht="18" customHeight="1">
      <c r="A544" s="394"/>
      <c r="B544" s="343"/>
      <c r="C544" s="344" t="s">
        <v>259</v>
      </c>
      <c r="D544" s="345">
        <v>43920</v>
      </c>
      <c r="E544" s="346">
        <v>1</v>
      </c>
      <c r="F544" s="347">
        <v>850000</v>
      </c>
      <c r="G544" s="346">
        <v>1</v>
      </c>
      <c r="H544" s="347">
        <v>850000</v>
      </c>
      <c r="I544" s="347" t="s">
        <v>268</v>
      </c>
      <c r="J544" s="348"/>
      <c r="L544" s="358"/>
    </row>
    <row r="545" spans="1:12" s="349" customFormat="1" ht="18" customHeight="1">
      <c r="A545" s="394"/>
      <c r="B545" s="343"/>
      <c r="C545" s="344" t="s">
        <v>260</v>
      </c>
      <c r="D545" s="345">
        <v>43921</v>
      </c>
      <c r="E545" s="346">
        <v>1</v>
      </c>
      <c r="F545" s="347">
        <v>850000</v>
      </c>
      <c r="G545" s="346">
        <v>1</v>
      </c>
      <c r="H545" s="347">
        <v>850000</v>
      </c>
      <c r="I545" s="347" t="s">
        <v>268</v>
      </c>
      <c r="J545" s="348"/>
      <c r="L545" s="358"/>
    </row>
    <row r="546" spans="1:12" s="297" customFormat="1" ht="24.95" customHeight="1">
      <c r="A546" s="277"/>
      <c r="B546" s="320"/>
      <c r="C546" s="676" t="s">
        <v>264</v>
      </c>
      <c r="D546" s="676"/>
      <c r="E546" s="677">
        <f>SUM(F515:F545)</f>
        <v>17850000</v>
      </c>
      <c r="F546" s="677"/>
      <c r="G546" s="677">
        <f>SUM(H515:H545)</f>
        <v>17850000</v>
      </c>
      <c r="H546" s="677"/>
      <c r="I546" s="330"/>
      <c r="J546" s="321"/>
      <c r="L546" s="356">
        <v>21</v>
      </c>
    </row>
    <row r="547" spans="1:12" s="296" customFormat="1" ht="30" customHeight="1">
      <c r="A547" s="277"/>
      <c r="B547" s="322"/>
      <c r="C547" s="657" t="s">
        <v>62</v>
      </c>
      <c r="D547" s="657"/>
      <c r="E547" s="658">
        <f>+E546+G546</f>
        <v>35700000</v>
      </c>
      <c r="F547" s="659"/>
      <c r="G547" s="659"/>
      <c r="H547" s="660"/>
      <c r="I547" s="331"/>
      <c r="J547" s="323"/>
      <c r="L547" s="359">
        <f>+L546*2*850000</f>
        <v>35700000</v>
      </c>
    </row>
    <row r="548" spans="1:12" ht="20.100000000000001" customHeight="1">
      <c r="B548" s="307"/>
      <c r="J548" s="308"/>
    </row>
    <row r="549" spans="1:12" ht="18" customHeight="1">
      <c r="B549" s="307"/>
      <c r="C549" s="290" t="s">
        <v>136</v>
      </c>
      <c r="E549" s="183"/>
      <c r="F549" s="234" t="s">
        <v>131</v>
      </c>
      <c r="G549" s="234" t="s">
        <v>130</v>
      </c>
      <c r="H549" s="234" t="s">
        <v>129</v>
      </c>
      <c r="I549" s="234" t="s">
        <v>128</v>
      </c>
      <c r="J549" s="308"/>
    </row>
    <row r="550" spans="1:12" s="335" customFormat="1" ht="39.950000000000003" customHeight="1">
      <c r="B550" s="332"/>
      <c r="C550" s="333">
        <v>5</v>
      </c>
      <c r="D550" s="334"/>
      <c r="F550" s="336">
        <v>4</v>
      </c>
      <c r="G550" s="336">
        <v>3</v>
      </c>
      <c r="H550" s="336">
        <v>2</v>
      </c>
      <c r="I550" s="336">
        <v>1</v>
      </c>
      <c r="J550" s="337"/>
      <c r="L550" s="357"/>
    </row>
    <row r="551" spans="1:12" ht="17.100000000000001" customHeight="1">
      <c r="B551" s="307"/>
      <c r="C551" s="290"/>
      <c r="E551" s="183"/>
      <c r="F551" s="236" t="s">
        <v>114</v>
      </c>
      <c r="G551" s="237" t="s">
        <v>113</v>
      </c>
      <c r="H551" s="238" t="s">
        <v>112</v>
      </c>
      <c r="I551" s="234" t="s">
        <v>16</v>
      </c>
      <c r="J551" s="308"/>
    </row>
    <row r="552" spans="1:12" ht="15" customHeight="1" thickBot="1">
      <c r="B552" s="374"/>
      <c r="C552" s="375" t="s">
        <v>132</v>
      </c>
      <c r="D552" s="376"/>
      <c r="E552" s="377"/>
      <c r="F552" s="375" t="s">
        <v>132</v>
      </c>
      <c r="G552" s="375" t="s">
        <v>132</v>
      </c>
      <c r="H552" s="375" t="s">
        <v>132</v>
      </c>
      <c r="I552" s="375" t="s">
        <v>132</v>
      </c>
      <c r="J552" s="378"/>
    </row>
    <row r="553" spans="1:12" ht="9.9499999999999993" customHeight="1" thickTop="1">
      <c r="B553" s="364"/>
      <c r="C553" s="364"/>
      <c r="D553" s="365"/>
      <c r="E553" s="366"/>
      <c r="F553" s="367"/>
      <c r="G553" s="366"/>
      <c r="H553" s="367"/>
      <c r="I553" s="367"/>
      <c r="J553" s="364"/>
    </row>
    <row r="555" spans="1:12" ht="9.9499999999999993" customHeight="1" thickBot="1">
      <c r="B555" s="379"/>
      <c r="C555" s="379"/>
      <c r="D555" s="380"/>
      <c r="E555" s="381"/>
      <c r="F555" s="382"/>
      <c r="G555" s="381"/>
      <c r="H555" s="382"/>
      <c r="I555" s="382"/>
      <c r="J555" s="379"/>
    </row>
    <row r="556" spans="1:12" ht="9.9499999999999993" customHeight="1" thickTop="1">
      <c r="A556" s="661" t="s">
        <v>318</v>
      </c>
      <c r="B556" s="301"/>
      <c r="C556" s="302"/>
      <c r="D556" s="303"/>
      <c r="E556" s="304"/>
      <c r="F556" s="305"/>
      <c r="G556" s="304"/>
      <c r="H556" s="305"/>
      <c r="I556" s="305"/>
      <c r="J556" s="306"/>
    </row>
    <row r="557" spans="1:12" ht="17.100000000000001" customHeight="1">
      <c r="A557" s="661"/>
      <c r="B557" s="307"/>
      <c r="C557" s="298" t="s">
        <v>138</v>
      </c>
      <c r="D557" s="299"/>
      <c r="G557" s="662" t="s">
        <v>319</v>
      </c>
      <c r="H557" s="662"/>
      <c r="I557" s="662"/>
      <c r="J557" s="308"/>
    </row>
    <row r="558" spans="1:12" s="275" customFormat="1" ht="30" customHeight="1">
      <c r="A558" s="661"/>
      <c r="B558" s="309"/>
      <c r="C558" s="279" t="s">
        <v>119</v>
      </c>
      <c r="D558" s="292" t="s">
        <v>244</v>
      </c>
      <c r="F558" s="310"/>
      <c r="G558" s="311"/>
      <c r="H558" s="310"/>
      <c r="I558" s="310"/>
      <c r="J558" s="312"/>
      <c r="L558" s="352"/>
    </row>
    <row r="559" spans="1:12" s="276" customFormat="1" ht="23.1" customHeight="1">
      <c r="A559" s="277"/>
      <c r="B559" s="313"/>
      <c r="C559" s="280" t="s">
        <v>120</v>
      </c>
      <c r="D559" s="293" t="s">
        <v>320</v>
      </c>
      <c r="F559" s="663" t="s">
        <v>303</v>
      </c>
      <c r="G559" s="664"/>
      <c r="H559" s="664"/>
      <c r="I559" s="665"/>
      <c r="J559" s="315"/>
      <c r="L559" s="353"/>
    </row>
    <row r="560" spans="1:12" s="276" customFormat="1" ht="23.1" customHeight="1">
      <c r="A560" s="277"/>
      <c r="B560" s="313"/>
      <c r="C560" s="280" t="s">
        <v>121</v>
      </c>
      <c r="D560" s="293" t="s">
        <v>321</v>
      </c>
      <c r="F560" s="666"/>
      <c r="G560" s="667"/>
      <c r="H560" s="667"/>
      <c r="I560" s="668"/>
      <c r="J560" s="315"/>
      <c r="L560" s="353"/>
    </row>
    <row r="561" spans="1:12" s="278" customFormat="1" ht="50.1" customHeight="1">
      <c r="A561" s="392"/>
      <c r="B561" s="316"/>
      <c r="C561" s="669" t="s">
        <v>2</v>
      </c>
      <c r="D561" s="671" t="s">
        <v>283</v>
      </c>
      <c r="E561" s="673" t="s">
        <v>275</v>
      </c>
      <c r="F561" s="674"/>
      <c r="G561" s="673" t="s">
        <v>276</v>
      </c>
      <c r="H561" s="674"/>
      <c r="I561" s="675" t="s">
        <v>85</v>
      </c>
      <c r="J561" s="317"/>
      <c r="L561" s="354"/>
    </row>
    <row r="562" spans="1:12" s="278" customFormat="1" ht="24.95" customHeight="1">
      <c r="A562" s="392"/>
      <c r="B562" s="316"/>
      <c r="C562" s="670"/>
      <c r="D562" s="672"/>
      <c r="E562" s="294" t="s">
        <v>256</v>
      </c>
      <c r="F562" s="295" t="s">
        <v>27</v>
      </c>
      <c r="G562" s="294" t="s">
        <v>256</v>
      </c>
      <c r="H562" s="295" t="s">
        <v>27</v>
      </c>
      <c r="I562" s="675"/>
      <c r="J562" s="317"/>
      <c r="L562" s="354"/>
    </row>
    <row r="563" spans="1:12" s="349" customFormat="1" ht="18" customHeight="1">
      <c r="A563" s="394"/>
      <c r="B563" s="343"/>
      <c r="C563" s="344" t="s">
        <v>261</v>
      </c>
      <c r="D563" s="345">
        <v>43922</v>
      </c>
      <c r="E563" s="346">
        <v>1</v>
      </c>
      <c r="F563" s="347">
        <v>850000</v>
      </c>
      <c r="G563" s="346">
        <v>1</v>
      </c>
      <c r="H563" s="347">
        <v>850000</v>
      </c>
      <c r="I563" s="347" t="s">
        <v>268</v>
      </c>
      <c r="J563" s="348"/>
      <c r="L563" s="358"/>
    </row>
    <row r="564" spans="1:12" s="349" customFormat="1" ht="18" customHeight="1">
      <c r="A564" s="394"/>
      <c r="B564" s="343"/>
      <c r="C564" s="344" t="s">
        <v>262</v>
      </c>
      <c r="D564" s="345">
        <v>43923</v>
      </c>
      <c r="E564" s="346">
        <v>1</v>
      </c>
      <c r="F564" s="347">
        <v>850000</v>
      </c>
      <c r="G564" s="346">
        <v>1</v>
      </c>
      <c r="H564" s="347">
        <v>850000</v>
      </c>
      <c r="I564" s="347" t="s">
        <v>268</v>
      </c>
      <c r="J564" s="348"/>
      <c r="L564" s="358"/>
    </row>
    <row r="565" spans="1:12" s="349" customFormat="1" ht="18" customHeight="1">
      <c r="A565" s="394"/>
      <c r="B565" s="343"/>
      <c r="C565" s="344" t="s">
        <v>263</v>
      </c>
      <c r="D565" s="345">
        <v>43924</v>
      </c>
      <c r="E565" s="346">
        <v>1</v>
      </c>
      <c r="F565" s="347">
        <v>850000</v>
      </c>
      <c r="G565" s="346">
        <v>1</v>
      </c>
      <c r="H565" s="347">
        <v>850000</v>
      </c>
      <c r="I565" s="347" t="s">
        <v>268</v>
      </c>
      <c r="J565" s="348"/>
      <c r="L565" s="358"/>
    </row>
    <row r="566" spans="1:12" s="390" customFormat="1" ht="18" customHeight="1">
      <c r="A566" s="395"/>
      <c r="B566" s="384"/>
      <c r="C566" s="385" t="s">
        <v>257</v>
      </c>
      <c r="D566" s="386">
        <v>43925</v>
      </c>
      <c r="E566" s="387">
        <v>0</v>
      </c>
      <c r="F566" s="388">
        <v>0</v>
      </c>
      <c r="G566" s="387">
        <v>0</v>
      </c>
      <c r="H566" s="388">
        <v>0</v>
      </c>
      <c r="I566" s="388" t="s">
        <v>273</v>
      </c>
      <c r="J566" s="389"/>
      <c r="L566" s="391"/>
    </row>
    <row r="567" spans="1:12" s="390" customFormat="1" ht="18" customHeight="1">
      <c r="A567" s="395"/>
      <c r="B567" s="384"/>
      <c r="C567" s="385" t="s">
        <v>258</v>
      </c>
      <c r="D567" s="386">
        <v>43926</v>
      </c>
      <c r="E567" s="387">
        <v>0</v>
      </c>
      <c r="F567" s="388">
        <v>0</v>
      </c>
      <c r="G567" s="387">
        <v>0</v>
      </c>
      <c r="H567" s="388">
        <v>0</v>
      </c>
      <c r="I567" s="388" t="s">
        <v>273</v>
      </c>
      <c r="J567" s="389"/>
      <c r="L567" s="391"/>
    </row>
    <row r="568" spans="1:12" s="349" customFormat="1" ht="18" customHeight="1">
      <c r="A568" s="394"/>
      <c r="B568" s="343"/>
      <c r="C568" s="344" t="s">
        <v>259</v>
      </c>
      <c r="D568" s="345">
        <v>43927</v>
      </c>
      <c r="E568" s="346">
        <v>1</v>
      </c>
      <c r="F568" s="347">
        <v>850000</v>
      </c>
      <c r="G568" s="346">
        <v>1</v>
      </c>
      <c r="H568" s="347">
        <v>850000</v>
      </c>
      <c r="I568" s="347" t="s">
        <v>268</v>
      </c>
      <c r="J568" s="348"/>
      <c r="L568" s="358"/>
    </row>
    <row r="569" spans="1:12" s="349" customFormat="1" ht="18" customHeight="1">
      <c r="A569" s="394"/>
      <c r="B569" s="343"/>
      <c r="C569" s="344" t="s">
        <v>260</v>
      </c>
      <c r="D569" s="345">
        <v>43928</v>
      </c>
      <c r="E569" s="346">
        <v>1</v>
      </c>
      <c r="F569" s="347">
        <v>850000</v>
      </c>
      <c r="G569" s="346">
        <v>1</v>
      </c>
      <c r="H569" s="347">
        <v>850000</v>
      </c>
      <c r="I569" s="347" t="s">
        <v>268</v>
      </c>
      <c r="J569" s="348"/>
      <c r="L569" s="358"/>
    </row>
    <row r="570" spans="1:12" s="349" customFormat="1" ht="18" customHeight="1">
      <c r="A570" s="394"/>
      <c r="B570" s="343"/>
      <c r="C570" s="344" t="s">
        <v>261</v>
      </c>
      <c r="D570" s="345">
        <v>43929</v>
      </c>
      <c r="E570" s="346">
        <v>1</v>
      </c>
      <c r="F570" s="347">
        <v>850000</v>
      </c>
      <c r="G570" s="346">
        <v>1</v>
      </c>
      <c r="H570" s="347">
        <v>850000</v>
      </c>
      <c r="I570" s="347" t="s">
        <v>268</v>
      </c>
      <c r="J570" s="348"/>
      <c r="L570" s="358"/>
    </row>
    <row r="571" spans="1:12" s="349" customFormat="1" ht="18" customHeight="1">
      <c r="A571" s="394"/>
      <c r="B571" s="343"/>
      <c r="C571" s="344" t="s">
        <v>262</v>
      </c>
      <c r="D571" s="345">
        <v>43930</v>
      </c>
      <c r="E571" s="346">
        <v>1</v>
      </c>
      <c r="F571" s="347">
        <v>850000</v>
      </c>
      <c r="G571" s="346">
        <v>1</v>
      </c>
      <c r="H571" s="347">
        <v>850000</v>
      </c>
      <c r="I571" s="347" t="s">
        <v>268</v>
      </c>
      <c r="J571" s="348"/>
      <c r="L571" s="358"/>
    </row>
    <row r="572" spans="1:12" s="390" customFormat="1" ht="18" customHeight="1">
      <c r="A572" s="395"/>
      <c r="B572" s="384"/>
      <c r="C572" s="385" t="s">
        <v>263</v>
      </c>
      <c r="D572" s="386">
        <v>43931</v>
      </c>
      <c r="E572" s="387">
        <v>1</v>
      </c>
      <c r="F572" s="388">
        <v>0</v>
      </c>
      <c r="G572" s="387">
        <v>0</v>
      </c>
      <c r="H572" s="388">
        <v>0</v>
      </c>
      <c r="I572" s="388" t="s">
        <v>273</v>
      </c>
      <c r="J572" s="389"/>
      <c r="L572" s="391"/>
    </row>
    <row r="573" spans="1:12" s="390" customFormat="1" ht="18" customHeight="1">
      <c r="A573" s="395"/>
      <c r="B573" s="384"/>
      <c r="C573" s="385" t="s">
        <v>257</v>
      </c>
      <c r="D573" s="386">
        <v>43932</v>
      </c>
      <c r="E573" s="387">
        <v>0</v>
      </c>
      <c r="F573" s="388">
        <v>0</v>
      </c>
      <c r="G573" s="387">
        <v>0</v>
      </c>
      <c r="H573" s="388">
        <v>0</v>
      </c>
      <c r="I573" s="388" t="s">
        <v>273</v>
      </c>
      <c r="J573" s="389"/>
      <c r="L573" s="391"/>
    </row>
    <row r="574" spans="1:12" s="390" customFormat="1" ht="18" customHeight="1">
      <c r="A574" s="395"/>
      <c r="B574" s="384"/>
      <c r="C574" s="385" t="s">
        <v>258</v>
      </c>
      <c r="D574" s="386">
        <v>43933</v>
      </c>
      <c r="E574" s="387">
        <v>0</v>
      </c>
      <c r="F574" s="388">
        <v>0</v>
      </c>
      <c r="G574" s="387">
        <v>0</v>
      </c>
      <c r="H574" s="388">
        <v>0</v>
      </c>
      <c r="I574" s="388" t="s">
        <v>273</v>
      </c>
      <c r="J574" s="389"/>
      <c r="L574" s="391"/>
    </row>
    <row r="575" spans="1:12" s="349" customFormat="1" ht="18" customHeight="1">
      <c r="A575" s="394"/>
      <c r="B575" s="343"/>
      <c r="C575" s="344" t="s">
        <v>259</v>
      </c>
      <c r="D575" s="345">
        <v>43934</v>
      </c>
      <c r="E575" s="346">
        <v>1</v>
      </c>
      <c r="F575" s="347">
        <v>850000</v>
      </c>
      <c r="G575" s="346">
        <v>1</v>
      </c>
      <c r="H575" s="347">
        <v>850000</v>
      </c>
      <c r="I575" s="347" t="s">
        <v>268</v>
      </c>
      <c r="J575" s="348"/>
      <c r="L575" s="358"/>
    </row>
    <row r="576" spans="1:12" s="349" customFormat="1" ht="18" customHeight="1">
      <c r="A576" s="394"/>
      <c r="B576" s="343"/>
      <c r="C576" s="344" t="s">
        <v>260</v>
      </c>
      <c r="D576" s="345">
        <v>43935</v>
      </c>
      <c r="E576" s="346">
        <v>1</v>
      </c>
      <c r="F576" s="347">
        <v>850000</v>
      </c>
      <c r="G576" s="346">
        <v>1</v>
      </c>
      <c r="H576" s="347">
        <v>850000</v>
      </c>
      <c r="I576" s="347" t="s">
        <v>268</v>
      </c>
      <c r="J576" s="348"/>
      <c r="L576" s="358"/>
    </row>
    <row r="577" spans="1:12" s="349" customFormat="1" ht="18" customHeight="1">
      <c r="A577" s="394"/>
      <c r="B577" s="343"/>
      <c r="C577" s="344" t="s">
        <v>261</v>
      </c>
      <c r="D577" s="345">
        <v>43936</v>
      </c>
      <c r="E577" s="346">
        <v>1</v>
      </c>
      <c r="F577" s="347">
        <v>850000</v>
      </c>
      <c r="G577" s="346">
        <v>1</v>
      </c>
      <c r="H577" s="347">
        <v>850000</v>
      </c>
      <c r="I577" s="347" t="s">
        <v>268</v>
      </c>
      <c r="J577" s="348"/>
      <c r="L577" s="358"/>
    </row>
    <row r="578" spans="1:12" s="349" customFormat="1" ht="18" customHeight="1">
      <c r="A578" s="394"/>
      <c r="B578" s="343"/>
      <c r="C578" s="344" t="s">
        <v>262</v>
      </c>
      <c r="D578" s="345">
        <v>43937</v>
      </c>
      <c r="E578" s="346">
        <v>1</v>
      </c>
      <c r="F578" s="347">
        <v>850000</v>
      </c>
      <c r="G578" s="346">
        <v>1</v>
      </c>
      <c r="H578" s="347">
        <v>850000</v>
      </c>
      <c r="I578" s="347" t="s">
        <v>268</v>
      </c>
      <c r="J578" s="348"/>
      <c r="L578" s="358"/>
    </row>
    <row r="579" spans="1:12" s="349" customFormat="1" ht="18" customHeight="1">
      <c r="A579" s="394"/>
      <c r="B579" s="343"/>
      <c r="C579" s="344" t="s">
        <v>263</v>
      </c>
      <c r="D579" s="345">
        <v>43938</v>
      </c>
      <c r="E579" s="346">
        <v>1</v>
      </c>
      <c r="F579" s="347">
        <v>850000</v>
      </c>
      <c r="G579" s="346">
        <v>1</v>
      </c>
      <c r="H579" s="347">
        <v>850000</v>
      </c>
      <c r="I579" s="347" t="s">
        <v>268</v>
      </c>
      <c r="J579" s="348"/>
      <c r="L579" s="358"/>
    </row>
    <row r="580" spans="1:12" s="390" customFormat="1" ht="18" customHeight="1">
      <c r="A580" s="395"/>
      <c r="B580" s="384"/>
      <c r="C580" s="385" t="s">
        <v>257</v>
      </c>
      <c r="D580" s="386">
        <v>43939</v>
      </c>
      <c r="E580" s="387">
        <v>0</v>
      </c>
      <c r="F580" s="388">
        <v>0</v>
      </c>
      <c r="G580" s="387">
        <v>0</v>
      </c>
      <c r="H580" s="388">
        <v>0</v>
      </c>
      <c r="I580" s="388" t="s">
        <v>273</v>
      </c>
      <c r="J580" s="389"/>
      <c r="L580" s="391"/>
    </row>
    <row r="581" spans="1:12" s="390" customFormat="1" ht="18" customHeight="1">
      <c r="A581" s="395"/>
      <c r="B581" s="384"/>
      <c r="C581" s="385" t="s">
        <v>258</v>
      </c>
      <c r="D581" s="386">
        <v>43940</v>
      </c>
      <c r="E581" s="387">
        <v>0</v>
      </c>
      <c r="F581" s="388">
        <v>0</v>
      </c>
      <c r="G581" s="387">
        <v>0</v>
      </c>
      <c r="H581" s="388">
        <v>0</v>
      </c>
      <c r="I581" s="388" t="s">
        <v>273</v>
      </c>
      <c r="J581" s="389"/>
      <c r="L581" s="391"/>
    </row>
    <row r="582" spans="1:12" s="349" customFormat="1" ht="18" customHeight="1">
      <c r="A582" s="394"/>
      <c r="B582" s="343"/>
      <c r="C582" s="344" t="s">
        <v>259</v>
      </c>
      <c r="D582" s="345">
        <v>43941</v>
      </c>
      <c r="E582" s="346">
        <v>1</v>
      </c>
      <c r="F582" s="347">
        <v>850000</v>
      </c>
      <c r="G582" s="346">
        <v>1</v>
      </c>
      <c r="H582" s="347">
        <v>850000</v>
      </c>
      <c r="I582" s="347" t="s">
        <v>268</v>
      </c>
      <c r="J582" s="348"/>
      <c r="L582" s="358"/>
    </row>
    <row r="583" spans="1:12" s="349" customFormat="1" ht="18" customHeight="1">
      <c r="A583" s="394"/>
      <c r="B583" s="343"/>
      <c r="C583" s="344" t="s">
        <v>260</v>
      </c>
      <c r="D583" s="345">
        <v>43942</v>
      </c>
      <c r="E583" s="346">
        <v>1</v>
      </c>
      <c r="F583" s="347">
        <v>850000</v>
      </c>
      <c r="G583" s="346">
        <v>1</v>
      </c>
      <c r="H583" s="347">
        <v>850000</v>
      </c>
      <c r="I583" s="347" t="s">
        <v>268</v>
      </c>
      <c r="J583" s="348"/>
      <c r="L583" s="358"/>
    </row>
    <row r="584" spans="1:12" s="349" customFormat="1" ht="18" customHeight="1">
      <c r="A584" s="394"/>
      <c r="B584" s="343"/>
      <c r="C584" s="344" t="s">
        <v>261</v>
      </c>
      <c r="D584" s="345">
        <v>43943</v>
      </c>
      <c r="E584" s="346">
        <v>1</v>
      </c>
      <c r="F584" s="347">
        <v>850000</v>
      </c>
      <c r="G584" s="346">
        <v>1</v>
      </c>
      <c r="H584" s="347">
        <v>850000</v>
      </c>
      <c r="I584" s="347" t="s">
        <v>268</v>
      </c>
      <c r="J584" s="348"/>
      <c r="L584" s="358"/>
    </row>
    <row r="585" spans="1:12" s="349" customFormat="1" ht="18" customHeight="1">
      <c r="A585" s="394"/>
      <c r="B585" s="343"/>
      <c r="C585" s="344" t="s">
        <v>262</v>
      </c>
      <c r="D585" s="345">
        <v>43944</v>
      </c>
      <c r="E585" s="346">
        <v>1</v>
      </c>
      <c r="F585" s="347">
        <v>850000</v>
      </c>
      <c r="G585" s="346">
        <v>1</v>
      </c>
      <c r="H585" s="347">
        <v>850000</v>
      </c>
      <c r="I585" s="347" t="s">
        <v>268</v>
      </c>
      <c r="J585" s="348"/>
      <c r="L585" s="358"/>
    </row>
    <row r="586" spans="1:12" s="349" customFormat="1" ht="18" customHeight="1">
      <c r="A586" s="394"/>
      <c r="B586" s="343"/>
      <c r="C586" s="344" t="s">
        <v>263</v>
      </c>
      <c r="D586" s="345">
        <v>43945</v>
      </c>
      <c r="E586" s="346">
        <v>1</v>
      </c>
      <c r="F586" s="347">
        <v>850000</v>
      </c>
      <c r="G586" s="346">
        <v>1</v>
      </c>
      <c r="H586" s="347">
        <v>850000</v>
      </c>
      <c r="I586" s="347" t="s">
        <v>268</v>
      </c>
      <c r="J586" s="348"/>
      <c r="L586" s="358"/>
    </row>
    <row r="587" spans="1:12" s="390" customFormat="1" ht="18" customHeight="1">
      <c r="A587" s="395"/>
      <c r="B587" s="384"/>
      <c r="C587" s="385" t="s">
        <v>257</v>
      </c>
      <c r="D587" s="386">
        <v>43946</v>
      </c>
      <c r="E587" s="387">
        <v>0</v>
      </c>
      <c r="F587" s="388">
        <v>0</v>
      </c>
      <c r="G587" s="387">
        <v>0</v>
      </c>
      <c r="H587" s="388">
        <v>0</v>
      </c>
      <c r="I587" s="388" t="s">
        <v>273</v>
      </c>
      <c r="J587" s="389"/>
      <c r="L587" s="391"/>
    </row>
    <row r="588" spans="1:12" s="390" customFormat="1" ht="18" customHeight="1">
      <c r="A588" s="395"/>
      <c r="B588" s="384"/>
      <c r="C588" s="385" t="s">
        <v>258</v>
      </c>
      <c r="D588" s="386">
        <v>43947</v>
      </c>
      <c r="E588" s="387">
        <v>0</v>
      </c>
      <c r="F588" s="388">
        <v>0</v>
      </c>
      <c r="G588" s="387">
        <v>0</v>
      </c>
      <c r="H588" s="388">
        <v>0</v>
      </c>
      <c r="I588" s="388" t="s">
        <v>273</v>
      </c>
      <c r="J588" s="389"/>
      <c r="L588" s="391"/>
    </row>
    <row r="589" spans="1:12" s="349" customFormat="1" ht="18" customHeight="1">
      <c r="A589" s="394"/>
      <c r="B589" s="343"/>
      <c r="C589" s="344" t="s">
        <v>259</v>
      </c>
      <c r="D589" s="345">
        <v>43948</v>
      </c>
      <c r="E589" s="346">
        <v>1</v>
      </c>
      <c r="F589" s="347">
        <v>850000</v>
      </c>
      <c r="G589" s="346">
        <v>1</v>
      </c>
      <c r="H589" s="347">
        <v>850000</v>
      </c>
      <c r="I589" s="347" t="s">
        <v>268</v>
      </c>
      <c r="J589" s="348"/>
      <c r="L589" s="358"/>
    </row>
    <row r="590" spans="1:12" s="349" customFormat="1" ht="18" customHeight="1">
      <c r="A590" s="394"/>
      <c r="B590" s="343"/>
      <c r="C590" s="344" t="s">
        <v>260</v>
      </c>
      <c r="D590" s="345">
        <v>43949</v>
      </c>
      <c r="E590" s="346">
        <v>1</v>
      </c>
      <c r="F590" s="347">
        <v>850000</v>
      </c>
      <c r="G590" s="346">
        <v>1</v>
      </c>
      <c r="H590" s="347">
        <v>850000</v>
      </c>
      <c r="I590" s="347" t="s">
        <v>268</v>
      </c>
      <c r="J590" s="348"/>
      <c r="L590" s="358"/>
    </row>
    <row r="591" spans="1:12" s="349" customFormat="1" ht="18" customHeight="1">
      <c r="A591" s="394"/>
      <c r="B591" s="343"/>
      <c r="C591" s="344" t="s">
        <v>261</v>
      </c>
      <c r="D591" s="345">
        <v>43950</v>
      </c>
      <c r="E591" s="346">
        <v>1</v>
      </c>
      <c r="F591" s="347">
        <v>850000</v>
      </c>
      <c r="G591" s="346">
        <v>1</v>
      </c>
      <c r="H591" s="347">
        <v>850000</v>
      </c>
      <c r="I591" s="347" t="s">
        <v>268</v>
      </c>
      <c r="J591" s="348"/>
      <c r="L591" s="358"/>
    </row>
    <row r="592" spans="1:12" s="349" customFormat="1" ht="18" customHeight="1">
      <c r="A592" s="394"/>
      <c r="B592" s="343"/>
      <c r="C592" s="344" t="s">
        <v>262</v>
      </c>
      <c r="D592" s="345">
        <v>43951</v>
      </c>
      <c r="E592" s="346">
        <v>1</v>
      </c>
      <c r="F592" s="347">
        <v>850000</v>
      </c>
      <c r="G592" s="346">
        <v>1</v>
      </c>
      <c r="H592" s="347">
        <v>850000</v>
      </c>
      <c r="I592" s="347" t="s">
        <v>268</v>
      </c>
      <c r="J592" s="348"/>
      <c r="L592" s="358"/>
    </row>
    <row r="593" spans="1:12" s="297" customFormat="1" ht="24.95" customHeight="1">
      <c r="A593" s="277"/>
      <c r="B593" s="320"/>
      <c r="C593" s="676" t="s">
        <v>264</v>
      </c>
      <c r="D593" s="676"/>
      <c r="E593" s="677">
        <f>SUM(F563:F592)</f>
        <v>17850000</v>
      </c>
      <c r="F593" s="677"/>
      <c r="G593" s="677">
        <f>SUM(H563:H592)</f>
        <v>17850000</v>
      </c>
      <c r="H593" s="677"/>
      <c r="I593" s="330"/>
      <c r="J593" s="321"/>
      <c r="L593" s="356">
        <v>21</v>
      </c>
    </row>
    <row r="594" spans="1:12" s="296" customFormat="1" ht="30" customHeight="1">
      <c r="A594" s="277"/>
      <c r="B594" s="322"/>
      <c r="C594" s="657" t="s">
        <v>62</v>
      </c>
      <c r="D594" s="657"/>
      <c r="E594" s="658">
        <f>+E593+G593</f>
        <v>35700000</v>
      </c>
      <c r="F594" s="659"/>
      <c r="G594" s="659"/>
      <c r="H594" s="660"/>
      <c r="I594" s="331"/>
      <c r="J594" s="323"/>
      <c r="L594" s="359">
        <f>+L593*2*850000</f>
        <v>35700000</v>
      </c>
    </row>
    <row r="595" spans="1:12" ht="20.100000000000001" customHeight="1">
      <c r="B595" s="307"/>
      <c r="J595" s="308"/>
    </row>
    <row r="596" spans="1:12" ht="18" customHeight="1">
      <c r="B596" s="307"/>
      <c r="C596" s="290" t="s">
        <v>136</v>
      </c>
      <c r="E596" s="183"/>
      <c r="F596" s="234" t="s">
        <v>131</v>
      </c>
      <c r="G596" s="234" t="s">
        <v>130</v>
      </c>
      <c r="H596" s="234" t="s">
        <v>129</v>
      </c>
      <c r="I596" s="234" t="s">
        <v>128</v>
      </c>
      <c r="J596" s="308"/>
    </row>
    <row r="597" spans="1:12" s="335" customFormat="1" ht="39.950000000000003" customHeight="1">
      <c r="B597" s="332"/>
      <c r="C597" s="333">
        <v>5</v>
      </c>
      <c r="D597" s="334"/>
      <c r="F597" s="336">
        <v>4</v>
      </c>
      <c r="G597" s="336">
        <v>3</v>
      </c>
      <c r="H597" s="336">
        <v>2</v>
      </c>
      <c r="I597" s="336">
        <v>1</v>
      </c>
      <c r="J597" s="337"/>
      <c r="L597" s="357"/>
    </row>
    <row r="598" spans="1:12" ht="17.100000000000001" customHeight="1">
      <c r="B598" s="307"/>
      <c r="C598" s="290"/>
      <c r="E598" s="183"/>
      <c r="F598" s="236" t="s">
        <v>114</v>
      </c>
      <c r="G598" s="237" t="s">
        <v>113</v>
      </c>
      <c r="H598" s="238" t="s">
        <v>112</v>
      </c>
      <c r="I598" s="234" t="s">
        <v>16</v>
      </c>
      <c r="J598" s="308"/>
    </row>
    <row r="599" spans="1:12" ht="15" customHeight="1" thickBot="1">
      <c r="B599" s="374"/>
      <c r="C599" s="375" t="s">
        <v>132</v>
      </c>
      <c r="D599" s="376"/>
      <c r="E599" s="377"/>
      <c r="F599" s="375" t="s">
        <v>132</v>
      </c>
      <c r="G599" s="375" t="s">
        <v>132</v>
      </c>
      <c r="H599" s="375" t="s">
        <v>132</v>
      </c>
      <c r="I599" s="375" t="s">
        <v>132</v>
      </c>
      <c r="J599" s="378"/>
    </row>
    <row r="600" spans="1:12" ht="9.9499999999999993" customHeight="1" thickTop="1">
      <c r="B600" s="364"/>
      <c r="C600" s="364"/>
      <c r="D600" s="365"/>
      <c r="E600" s="366"/>
      <c r="F600" s="367"/>
      <c r="G600" s="366"/>
      <c r="H600" s="367"/>
      <c r="I600" s="367"/>
      <c r="J600" s="364"/>
    </row>
    <row r="602" spans="1:12" ht="9.9499999999999993" customHeight="1" thickBot="1">
      <c r="B602" s="379"/>
      <c r="C602" s="379"/>
      <c r="D602" s="380"/>
      <c r="E602" s="381"/>
      <c r="F602" s="382"/>
      <c r="G602" s="381"/>
      <c r="H602" s="382"/>
      <c r="I602" s="382"/>
      <c r="J602" s="379"/>
    </row>
    <row r="603" spans="1:12" ht="9.9499999999999993" customHeight="1" thickTop="1">
      <c r="A603" s="661" t="s">
        <v>318</v>
      </c>
      <c r="B603" s="301"/>
      <c r="C603" s="302"/>
      <c r="D603" s="303"/>
      <c r="E603" s="304"/>
      <c r="F603" s="305"/>
      <c r="G603" s="304"/>
      <c r="H603" s="305"/>
      <c r="I603" s="305"/>
      <c r="J603" s="306"/>
    </row>
    <row r="604" spans="1:12" ht="17.100000000000001" customHeight="1">
      <c r="A604" s="661"/>
      <c r="B604" s="307"/>
      <c r="C604" s="298" t="s">
        <v>138</v>
      </c>
      <c r="D604" s="299"/>
      <c r="G604" s="662" t="s">
        <v>322</v>
      </c>
      <c r="H604" s="662"/>
      <c r="I604" s="662"/>
      <c r="J604" s="308"/>
    </row>
    <row r="605" spans="1:12" s="275" customFormat="1" ht="30" customHeight="1">
      <c r="A605" s="661"/>
      <c r="B605" s="309"/>
      <c r="C605" s="279" t="s">
        <v>119</v>
      </c>
      <c r="D605" s="292" t="s">
        <v>244</v>
      </c>
      <c r="F605" s="310"/>
      <c r="G605" s="311"/>
      <c r="H605" s="310"/>
      <c r="I605" s="310"/>
      <c r="J605" s="312"/>
      <c r="L605" s="352"/>
    </row>
    <row r="606" spans="1:12" s="276" customFormat="1" ht="23.1" customHeight="1">
      <c r="A606" s="277"/>
      <c r="B606" s="313"/>
      <c r="C606" s="280" t="s">
        <v>120</v>
      </c>
      <c r="D606" s="293" t="s">
        <v>326</v>
      </c>
      <c r="F606" s="663" t="s">
        <v>303</v>
      </c>
      <c r="G606" s="664"/>
      <c r="H606" s="664"/>
      <c r="I606" s="665"/>
      <c r="J606" s="315"/>
      <c r="L606" s="353"/>
    </row>
    <row r="607" spans="1:12" s="276" customFormat="1" ht="23.1" customHeight="1">
      <c r="A607" s="277"/>
      <c r="B607" s="313"/>
      <c r="C607" s="280" t="s">
        <v>121</v>
      </c>
      <c r="D607" s="293" t="s">
        <v>325</v>
      </c>
      <c r="F607" s="666"/>
      <c r="G607" s="667"/>
      <c r="H607" s="667"/>
      <c r="I607" s="668"/>
      <c r="J607" s="315"/>
      <c r="L607" s="353"/>
    </row>
    <row r="608" spans="1:12" s="278" customFormat="1" ht="50.1" customHeight="1">
      <c r="A608" s="392"/>
      <c r="B608" s="316"/>
      <c r="C608" s="669" t="s">
        <v>2</v>
      </c>
      <c r="D608" s="671" t="s">
        <v>283</v>
      </c>
      <c r="E608" s="673" t="s">
        <v>275</v>
      </c>
      <c r="F608" s="674"/>
      <c r="G608" s="673" t="s">
        <v>276</v>
      </c>
      <c r="H608" s="674"/>
      <c r="I608" s="675" t="s">
        <v>85</v>
      </c>
      <c r="J608" s="317"/>
      <c r="L608" s="354"/>
    </row>
    <row r="609" spans="1:12" s="278" customFormat="1" ht="24.95" customHeight="1">
      <c r="A609" s="392"/>
      <c r="B609" s="316"/>
      <c r="C609" s="670"/>
      <c r="D609" s="672"/>
      <c r="E609" s="294" t="s">
        <v>256</v>
      </c>
      <c r="F609" s="295" t="s">
        <v>27</v>
      </c>
      <c r="G609" s="294" t="s">
        <v>256</v>
      </c>
      <c r="H609" s="295" t="s">
        <v>27</v>
      </c>
      <c r="I609" s="675"/>
      <c r="J609" s="317"/>
      <c r="L609" s="354"/>
    </row>
    <row r="610" spans="1:12" s="390" customFormat="1" ht="18" customHeight="1">
      <c r="A610" s="395"/>
      <c r="B610" s="384"/>
      <c r="C610" s="385" t="s">
        <v>263</v>
      </c>
      <c r="D610" s="386">
        <v>43952</v>
      </c>
      <c r="E610" s="387">
        <v>0</v>
      </c>
      <c r="F610" s="388">
        <v>0</v>
      </c>
      <c r="G610" s="387">
        <v>0</v>
      </c>
      <c r="H610" s="388">
        <v>0</v>
      </c>
      <c r="I610" s="388" t="s">
        <v>273</v>
      </c>
      <c r="J610" s="389"/>
      <c r="L610" s="391"/>
    </row>
    <row r="611" spans="1:12" s="390" customFormat="1" ht="18" customHeight="1">
      <c r="A611" s="395"/>
      <c r="B611" s="384"/>
      <c r="C611" s="385" t="s">
        <v>257</v>
      </c>
      <c r="D611" s="386">
        <v>43953</v>
      </c>
      <c r="E611" s="387">
        <v>0</v>
      </c>
      <c r="F611" s="388">
        <v>0</v>
      </c>
      <c r="G611" s="387">
        <v>0</v>
      </c>
      <c r="H611" s="388">
        <v>0</v>
      </c>
      <c r="I611" s="388" t="s">
        <v>273</v>
      </c>
      <c r="J611" s="389"/>
      <c r="L611" s="391"/>
    </row>
    <row r="612" spans="1:12" s="390" customFormat="1" ht="18" customHeight="1">
      <c r="A612" s="395"/>
      <c r="B612" s="384"/>
      <c r="C612" s="385" t="s">
        <v>258</v>
      </c>
      <c r="D612" s="386">
        <v>43954</v>
      </c>
      <c r="E612" s="387">
        <v>0</v>
      </c>
      <c r="F612" s="388">
        <v>0</v>
      </c>
      <c r="G612" s="387">
        <v>0</v>
      </c>
      <c r="H612" s="388">
        <v>0</v>
      </c>
      <c r="I612" s="388" t="s">
        <v>273</v>
      </c>
      <c r="J612" s="389"/>
      <c r="L612" s="391"/>
    </row>
    <row r="613" spans="1:12" s="349" customFormat="1" ht="18" customHeight="1">
      <c r="A613" s="394"/>
      <c r="B613" s="343"/>
      <c r="C613" s="344" t="s">
        <v>259</v>
      </c>
      <c r="D613" s="345">
        <v>43955</v>
      </c>
      <c r="E613" s="346">
        <v>1</v>
      </c>
      <c r="F613" s="347">
        <v>850000</v>
      </c>
      <c r="G613" s="346">
        <v>1</v>
      </c>
      <c r="H613" s="347">
        <v>850000</v>
      </c>
      <c r="I613" s="347" t="s">
        <v>268</v>
      </c>
      <c r="J613" s="348"/>
      <c r="L613" s="358"/>
    </row>
    <row r="614" spans="1:12" s="349" customFormat="1" ht="18" customHeight="1">
      <c r="A614" s="394"/>
      <c r="B614" s="343"/>
      <c r="C614" s="344" t="s">
        <v>260</v>
      </c>
      <c r="D614" s="345">
        <v>43956</v>
      </c>
      <c r="E614" s="346">
        <v>1</v>
      </c>
      <c r="F614" s="347">
        <v>850000</v>
      </c>
      <c r="G614" s="346">
        <v>1</v>
      </c>
      <c r="H614" s="347">
        <v>850000</v>
      </c>
      <c r="I614" s="347" t="s">
        <v>268</v>
      </c>
      <c r="J614" s="348"/>
      <c r="L614" s="358"/>
    </row>
    <row r="615" spans="1:12" s="349" customFormat="1" ht="18" customHeight="1">
      <c r="A615" s="394"/>
      <c r="B615" s="343"/>
      <c r="C615" s="344" t="s">
        <v>261</v>
      </c>
      <c r="D615" s="345">
        <v>43957</v>
      </c>
      <c r="E615" s="346">
        <v>1</v>
      </c>
      <c r="F615" s="347">
        <v>850000</v>
      </c>
      <c r="G615" s="346">
        <v>1</v>
      </c>
      <c r="H615" s="347">
        <v>850000</v>
      </c>
      <c r="I615" s="347" t="s">
        <v>268</v>
      </c>
      <c r="J615" s="348"/>
      <c r="L615" s="358"/>
    </row>
    <row r="616" spans="1:12" s="390" customFormat="1" ht="18" customHeight="1">
      <c r="A616" s="395"/>
      <c r="B616" s="384"/>
      <c r="C616" s="385" t="s">
        <v>262</v>
      </c>
      <c r="D616" s="386">
        <v>43958</v>
      </c>
      <c r="E616" s="387">
        <v>0</v>
      </c>
      <c r="F616" s="388">
        <v>0</v>
      </c>
      <c r="G616" s="387">
        <v>0</v>
      </c>
      <c r="H616" s="388">
        <v>0</v>
      </c>
      <c r="I616" s="388" t="s">
        <v>273</v>
      </c>
      <c r="J616" s="389"/>
      <c r="L616" s="391"/>
    </row>
    <row r="617" spans="1:12" s="349" customFormat="1" ht="18" customHeight="1">
      <c r="A617" s="394"/>
      <c r="B617" s="343"/>
      <c r="C617" s="344" t="s">
        <v>263</v>
      </c>
      <c r="D617" s="345">
        <v>43959</v>
      </c>
      <c r="E617" s="346">
        <v>1</v>
      </c>
      <c r="F617" s="347">
        <v>850000</v>
      </c>
      <c r="G617" s="346">
        <v>1</v>
      </c>
      <c r="H617" s="347">
        <v>850000</v>
      </c>
      <c r="I617" s="347" t="s">
        <v>268</v>
      </c>
      <c r="J617" s="348"/>
      <c r="L617" s="358"/>
    </row>
    <row r="618" spans="1:12" s="390" customFormat="1" ht="18" customHeight="1">
      <c r="A618" s="395"/>
      <c r="B618" s="384"/>
      <c r="C618" s="385" t="s">
        <v>257</v>
      </c>
      <c r="D618" s="386">
        <v>43960</v>
      </c>
      <c r="E618" s="387">
        <v>0</v>
      </c>
      <c r="F618" s="388">
        <v>0</v>
      </c>
      <c r="G618" s="387">
        <v>0</v>
      </c>
      <c r="H618" s="388">
        <v>0</v>
      </c>
      <c r="I618" s="388" t="s">
        <v>273</v>
      </c>
      <c r="J618" s="389"/>
      <c r="L618" s="391"/>
    </row>
    <row r="619" spans="1:12" s="390" customFormat="1" ht="18" customHeight="1">
      <c r="A619" s="395"/>
      <c r="B619" s="384"/>
      <c r="C619" s="385" t="s">
        <v>258</v>
      </c>
      <c r="D619" s="386">
        <v>43961</v>
      </c>
      <c r="E619" s="387">
        <v>0</v>
      </c>
      <c r="F619" s="388">
        <v>0</v>
      </c>
      <c r="G619" s="387">
        <v>0</v>
      </c>
      <c r="H619" s="388">
        <v>0</v>
      </c>
      <c r="I619" s="388" t="s">
        <v>273</v>
      </c>
      <c r="J619" s="389"/>
      <c r="L619" s="391"/>
    </row>
    <row r="620" spans="1:12" s="349" customFormat="1" ht="18" customHeight="1">
      <c r="A620" s="394"/>
      <c r="B620" s="343"/>
      <c r="C620" s="344" t="s">
        <v>259</v>
      </c>
      <c r="D620" s="345">
        <v>43962</v>
      </c>
      <c r="E620" s="346">
        <v>1</v>
      </c>
      <c r="F620" s="347">
        <v>850000</v>
      </c>
      <c r="G620" s="346">
        <v>1</v>
      </c>
      <c r="H620" s="347">
        <v>850000</v>
      </c>
      <c r="I620" s="347" t="s">
        <v>268</v>
      </c>
      <c r="J620" s="348"/>
      <c r="L620" s="358"/>
    </row>
    <row r="621" spans="1:12" s="349" customFormat="1" ht="18" customHeight="1">
      <c r="A621" s="394"/>
      <c r="B621" s="343"/>
      <c r="C621" s="344" t="s">
        <v>260</v>
      </c>
      <c r="D621" s="345">
        <v>43963</v>
      </c>
      <c r="E621" s="346">
        <v>1</v>
      </c>
      <c r="F621" s="347">
        <v>850000</v>
      </c>
      <c r="G621" s="346">
        <v>1</v>
      </c>
      <c r="H621" s="347">
        <v>850000</v>
      </c>
      <c r="I621" s="347" t="s">
        <v>268</v>
      </c>
      <c r="J621" s="348"/>
      <c r="L621" s="358"/>
    </row>
    <row r="622" spans="1:12" s="349" customFormat="1" ht="18" customHeight="1">
      <c r="A622" s="394"/>
      <c r="B622" s="343"/>
      <c r="C622" s="344" t="s">
        <v>261</v>
      </c>
      <c r="D622" s="345">
        <v>43964</v>
      </c>
      <c r="E622" s="346">
        <v>1</v>
      </c>
      <c r="F622" s="347">
        <v>850000</v>
      </c>
      <c r="G622" s="346">
        <v>1</v>
      </c>
      <c r="H622" s="347">
        <v>850000</v>
      </c>
      <c r="I622" s="347" t="s">
        <v>268</v>
      </c>
      <c r="J622" s="348"/>
      <c r="L622" s="358"/>
    </row>
    <row r="623" spans="1:12" s="349" customFormat="1" ht="18" customHeight="1">
      <c r="A623" s="394"/>
      <c r="B623" s="343"/>
      <c r="C623" s="344" t="s">
        <v>262</v>
      </c>
      <c r="D623" s="345">
        <v>43965</v>
      </c>
      <c r="E623" s="346">
        <v>1</v>
      </c>
      <c r="F623" s="347">
        <v>850000</v>
      </c>
      <c r="G623" s="346">
        <v>1</v>
      </c>
      <c r="H623" s="347">
        <v>850000</v>
      </c>
      <c r="I623" s="347" t="s">
        <v>268</v>
      </c>
      <c r="J623" s="348"/>
      <c r="L623" s="358"/>
    </row>
    <row r="624" spans="1:12" s="349" customFormat="1" ht="18" customHeight="1">
      <c r="A624" s="394"/>
      <c r="B624" s="343"/>
      <c r="C624" s="344" t="s">
        <v>263</v>
      </c>
      <c r="D624" s="345">
        <v>43966</v>
      </c>
      <c r="E624" s="346">
        <v>1</v>
      </c>
      <c r="F624" s="347">
        <v>850000</v>
      </c>
      <c r="G624" s="346">
        <v>1</v>
      </c>
      <c r="H624" s="347">
        <v>850000</v>
      </c>
      <c r="I624" s="347" t="s">
        <v>268</v>
      </c>
      <c r="J624" s="348"/>
      <c r="L624" s="358"/>
    </row>
    <row r="625" spans="1:12" s="390" customFormat="1" ht="18" customHeight="1">
      <c r="A625" s="395"/>
      <c r="B625" s="384"/>
      <c r="C625" s="385" t="s">
        <v>257</v>
      </c>
      <c r="D625" s="386">
        <v>43967</v>
      </c>
      <c r="E625" s="387">
        <v>0</v>
      </c>
      <c r="F625" s="388">
        <v>0</v>
      </c>
      <c r="G625" s="387">
        <v>0</v>
      </c>
      <c r="H625" s="388">
        <v>0</v>
      </c>
      <c r="I625" s="388" t="s">
        <v>273</v>
      </c>
      <c r="J625" s="389"/>
      <c r="L625" s="391"/>
    </row>
    <row r="626" spans="1:12" s="390" customFormat="1" ht="18" customHeight="1">
      <c r="A626" s="395"/>
      <c r="B626" s="384"/>
      <c r="C626" s="385" t="s">
        <v>258</v>
      </c>
      <c r="D626" s="386">
        <v>43968</v>
      </c>
      <c r="E626" s="387">
        <v>0</v>
      </c>
      <c r="F626" s="388">
        <v>0</v>
      </c>
      <c r="G626" s="387">
        <v>0</v>
      </c>
      <c r="H626" s="388">
        <v>0</v>
      </c>
      <c r="I626" s="388" t="s">
        <v>273</v>
      </c>
      <c r="J626" s="389"/>
      <c r="L626" s="391"/>
    </row>
    <row r="627" spans="1:12" s="349" customFormat="1" ht="18" customHeight="1">
      <c r="A627" s="394"/>
      <c r="B627" s="343"/>
      <c r="C627" s="344" t="s">
        <v>259</v>
      </c>
      <c r="D627" s="345">
        <v>43969</v>
      </c>
      <c r="E627" s="346">
        <v>1</v>
      </c>
      <c r="F627" s="347">
        <v>850000</v>
      </c>
      <c r="G627" s="346">
        <v>1</v>
      </c>
      <c r="H627" s="347">
        <v>850000</v>
      </c>
      <c r="I627" s="347" t="s">
        <v>268</v>
      </c>
      <c r="J627" s="348"/>
      <c r="L627" s="358"/>
    </row>
    <row r="628" spans="1:12" s="349" customFormat="1" ht="18" customHeight="1">
      <c r="A628" s="394"/>
      <c r="B628" s="343"/>
      <c r="C628" s="344" t="s">
        <v>260</v>
      </c>
      <c r="D628" s="345">
        <v>43970</v>
      </c>
      <c r="E628" s="346">
        <v>1</v>
      </c>
      <c r="F628" s="347">
        <v>850000</v>
      </c>
      <c r="G628" s="346">
        <v>1</v>
      </c>
      <c r="H628" s="347">
        <v>850000</v>
      </c>
      <c r="I628" s="347" t="s">
        <v>268</v>
      </c>
      <c r="J628" s="348"/>
      <c r="L628" s="358"/>
    </row>
    <row r="629" spans="1:12" s="349" customFormat="1" ht="18" customHeight="1">
      <c r="A629" s="394"/>
      <c r="B629" s="343"/>
      <c r="C629" s="344" t="s">
        <v>261</v>
      </c>
      <c r="D629" s="345">
        <v>43971</v>
      </c>
      <c r="E629" s="346">
        <v>1</v>
      </c>
      <c r="F629" s="347">
        <v>850000</v>
      </c>
      <c r="G629" s="346">
        <v>1</v>
      </c>
      <c r="H629" s="347">
        <v>850000</v>
      </c>
      <c r="I629" s="347" t="s">
        <v>268</v>
      </c>
      <c r="J629" s="348"/>
      <c r="L629" s="358"/>
    </row>
    <row r="630" spans="1:12" s="390" customFormat="1" ht="18" customHeight="1">
      <c r="A630" s="395"/>
      <c r="B630" s="384"/>
      <c r="C630" s="385" t="s">
        <v>262</v>
      </c>
      <c r="D630" s="386">
        <v>43972</v>
      </c>
      <c r="E630" s="387">
        <v>0</v>
      </c>
      <c r="F630" s="388">
        <v>0</v>
      </c>
      <c r="G630" s="387">
        <v>0</v>
      </c>
      <c r="H630" s="388">
        <v>0</v>
      </c>
      <c r="I630" s="388" t="s">
        <v>273</v>
      </c>
      <c r="J630" s="389"/>
      <c r="L630" s="391"/>
    </row>
    <row r="631" spans="1:12" s="390" customFormat="1" ht="18" customHeight="1">
      <c r="A631" s="395"/>
      <c r="B631" s="384"/>
      <c r="C631" s="385" t="s">
        <v>263</v>
      </c>
      <c r="D631" s="386">
        <v>43973</v>
      </c>
      <c r="E631" s="387">
        <v>0</v>
      </c>
      <c r="F631" s="388">
        <v>0</v>
      </c>
      <c r="G631" s="387">
        <v>0</v>
      </c>
      <c r="H631" s="388">
        <v>0</v>
      </c>
      <c r="I631" s="388" t="s">
        <v>273</v>
      </c>
      <c r="J631" s="389"/>
      <c r="L631" s="391"/>
    </row>
    <row r="632" spans="1:12" s="390" customFormat="1" ht="18" customHeight="1">
      <c r="A632" s="395"/>
      <c r="B632" s="384"/>
      <c r="C632" s="385" t="s">
        <v>257</v>
      </c>
      <c r="D632" s="386">
        <v>43974</v>
      </c>
      <c r="E632" s="387">
        <v>0</v>
      </c>
      <c r="F632" s="388">
        <v>0</v>
      </c>
      <c r="G632" s="387">
        <v>0</v>
      </c>
      <c r="H632" s="388">
        <v>0</v>
      </c>
      <c r="I632" s="388" t="s">
        <v>273</v>
      </c>
      <c r="J632" s="389"/>
      <c r="L632" s="391"/>
    </row>
    <row r="633" spans="1:12" s="390" customFormat="1" ht="18" customHeight="1">
      <c r="A633" s="395"/>
      <c r="B633" s="384"/>
      <c r="C633" s="385" t="s">
        <v>258</v>
      </c>
      <c r="D633" s="386">
        <v>43975</v>
      </c>
      <c r="E633" s="387">
        <v>0</v>
      </c>
      <c r="F633" s="388">
        <v>0</v>
      </c>
      <c r="G633" s="387">
        <v>0</v>
      </c>
      <c r="H633" s="388">
        <v>0</v>
      </c>
      <c r="I633" s="388" t="s">
        <v>273</v>
      </c>
      <c r="J633" s="389"/>
      <c r="L633" s="391"/>
    </row>
    <row r="634" spans="1:12" s="390" customFormat="1" ht="18" customHeight="1">
      <c r="A634" s="395"/>
      <c r="B634" s="384"/>
      <c r="C634" s="385" t="s">
        <v>259</v>
      </c>
      <c r="D634" s="386">
        <v>43976</v>
      </c>
      <c r="E634" s="387">
        <v>0</v>
      </c>
      <c r="F634" s="388">
        <v>0</v>
      </c>
      <c r="G634" s="387">
        <v>0</v>
      </c>
      <c r="H634" s="388">
        <v>0</v>
      </c>
      <c r="I634" s="388" t="s">
        <v>273</v>
      </c>
      <c r="J634" s="389"/>
      <c r="L634" s="391"/>
    </row>
    <row r="635" spans="1:12" s="390" customFormat="1" ht="18" customHeight="1">
      <c r="A635" s="395"/>
      <c r="B635" s="384"/>
      <c r="C635" s="385" t="s">
        <v>260</v>
      </c>
      <c r="D635" s="386">
        <v>43977</v>
      </c>
      <c r="E635" s="387">
        <v>0</v>
      </c>
      <c r="F635" s="388">
        <v>0</v>
      </c>
      <c r="G635" s="387">
        <v>0</v>
      </c>
      <c r="H635" s="388">
        <v>0</v>
      </c>
      <c r="I635" s="388" t="s">
        <v>273</v>
      </c>
      <c r="J635" s="389"/>
      <c r="L635" s="391"/>
    </row>
    <row r="636" spans="1:12" s="349" customFormat="1" ht="18" customHeight="1">
      <c r="A636" s="394"/>
      <c r="B636" s="343"/>
      <c r="C636" s="344" t="s">
        <v>261</v>
      </c>
      <c r="D636" s="345">
        <v>43978</v>
      </c>
      <c r="E636" s="346">
        <v>1</v>
      </c>
      <c r="F636" s="347">
        <v>850000</v>
      </c>
      <c r="G636" s="346">
        <v>1</v>
      </c>
      <c r="H636" s="347">
        <v>850000</v>
      </c>
      <c r="I636" s="347" t="s">
        <v>268</v>
      </c>
      <c r="J636" s="348"/>
      <c r="L636" s="358"/>
    </row>
    <row r="637" spans="1:12" s="349" customFormat="1" ht="18" customHeight="1">
      <c r="A637" s="394"/>
      <c r="B637" s="343"/>
      <c r="C637" s="344" t="s">
        <v>262</v>
      </c>
      <c r="D637" s="345">
        <v>43979</v>
      </c>
      <c r="E637" s="346">
        <v>1</v>
      </c>
      <c r="F637" s="347">
        <v>850000</v>
      </c>
      <c r="G637" s="346">
        <v>1</v>
      </c>
      <c r="H637" s="347">
        <v>850000</v>
      </c>
      <c r="I637" s="347" t="s">
        <v>268</v>
      </c>
      <c r="J637" s="348"/>
      <c r="L637" s="358"/>
    </row>
    <row r="638" spans="1:12" s="349" customFormat="1" ht="18" customHeight="1">
      <c r="A638" s="394"/>
      <c r="B638" s="343"/>
      <c r="C638" s="344" t="s">
        <v>263</v>
      </c>
      <c r="D638" s="345">
        <v>43980</v>
      </c>
      <c r="E638" s="346">
        <v>1</v>
      </c>
      <c r="F638" s="347">
        <v>850000</v>
      </c>
      <c r="G638" s="346">
        <v>1</v>
      </c>
      <c r="H638" s="347">
        <v>850000</v>
      </c>
      <c r="I638" s="347" t="s">
        <v>268</v>
      </c>
      <c r="J638" s="348"/>
      <c r="L638" s="358"/>
    </row>
    <row r="639" spans="1:12" s="349" customFormat="1" ht="18" customHeight="1">
      <c r="A639" s="394"/>
      <c r="B639" s="343"/>
      <c r="C639" s="344" t="s">
        <v>257</v>
      </c>
      <c r="D639" s="345">
        <v>43981</v>
      </c>
      <c r="E639" s="346">
        <v>1</v>
      </c>
      <c r="F639" s="347">
        <v>850000</v>
      </c>
      <c r="G639" s="346">
        <v>1</v>
      </c>
      <c r="H639" s="347">
        <v>850000</v>
      </c>
      <c r="I639" s="347" t="s">
        <v>268</v>
      </c>
      <c r="J639" s="348"/>
      <c r="L639" s="358"/>
    </row>
    <row r="640" spans="1:12" s="390" customFormat="1" ht="18" customHeight="1">
      <c r="A640" s="395"/>
      <c r="B640" s="384"/>
      <c r="C640" s="385" t="s">
        <v>258</v>
      </c>
      <c r="D640" s="386">
        <v>43982</v>
      </c>
      <c r="E640" s="387">
        <v>0</v>
      </c>
      <c r="F640" s="388">
        <v>0</v>
      </c>
      <c r="G640" s="387">
        <v>0</v>
      </c>
      <c r="H640" s="388">
        <v>0</v>
      </c>
      <c r="I640" s="388" t="s">
        <v>273</v>
      </c>
      <c r="J640" s="389"/>
      <c r="L640" s="391"/>
    </row>
    <row r="641" spans="1:12" s="297" customFormat="1" ht="19.5" customHeight="1">
      <c r="A641" s="277"/>
      <c r="B641" s="320"/>
      <c r="C641" s="676" t="s">
        <v>264</v>
      </c>
      <c r="D641" s="676"/>
      <c r="E641" s="677">
        <f>SUM(F610:F640)</f>
        <v>13600000</v>
      </c>
      <c r="F641" s="677"/>
      <c r="G641" s="677">
        <f>SUM(H610:H640)</f>
        <v>13600000</v>
      </c>
      <c r="H641" s="677"/>
      <c r="I641" s="330"/>
      <c r="J641" s="321"/>
      <c r="L641" s="356">
        <v>16</v>
      </c>
    </row>
    <row r="642" spans="1:12" s="296" customFormat="1" ht="24.95" customHeight="1">
      <c r="A642" s="277"/>
      <c r="B642" s="322"/>
      <c r="C642" s="687" t="s">
        <v>62</v>
      </c>
      <c r="D642" s="688"/>
      <c r="E642" s="688"/>
      <c r="F642" s="689"/>
      <c r="G642" s="690">
        <f>+G641+E641</f>
        <v>27200000</v>
      </c>
      <c r="H642" s="691"/>
      <c r="I642" s="331"/>
      <c r="J642" s="323"/>
      <c r="L642" s="359">
        <f>+L641*2*850000</f>
        <v>27200000</v>
      </c>
    </row>
    <row r="643" spans="1:12" s="296" customFormat="1" ht="20.100000000000001" customHeight="1">
      <c r="A643" s="277"/>
      <c r="B643" s="322"/>
      <c r="C643" s="399"/>
      <c r="D643" s="398"/>
      <c r="E643" s="331"/>
      <c r="F643" s="396"/>
      <c r="G643" s="396"/>
      <c r="H643" s="397"/>
      <c r="I643" s="331"/>
      <c r="J643" s="323"/>
      <c r="L643" s="359"/>
    </row>
    <row r="644" spans="1:12" ht="18" customHeight="1">
      <c r="B644" s="307"/>
      <c r="C644" s="290" t="s">
        <v>136</v>
      </c>
      <c r="E644" s="183"/>
      <c r="F644" s="234" t="s">
        <v>131</v>
      </c>
      <c r="G644" s="234" t="s">
        <v>130</v>
      </c>
      <c r="H644" s="234" t="s">
        <v>129</v>
      </c>
      <c r="I644" s="234" t="s">
        <v>128</v>
      </c>
      <c r="J644" s="308"/>
    </row>
    <row r="645" spans="1:12" s="335" customFormat="1" ht="39.950000000000003" customHeight="1">
      <c r="B645" s="332"/>
      <c r="C645" s="333">
        <v>5</v>
      </c>
      <c r="D645" s="334"/>
      <c r="F645" s="336">
        <v>4</v>
      </c>
      <c r="G645" s="336">
        <v>3</v>
      </c>
      <c r="H645" s="336">
        <v>2</v>
      </c>
      <c r="I645" s="336">
        <v>1</v>
      </c>
      <c r="J645" s="337"/>
      <c r="L645" s="357"/>
    </row>
    <row r="646" spans="1:12" ht="17.100000000000001" customHeight="1">
      <c r="B646" s="307"/>
      <c r="C646" s="290"/>
      <c r="E646" s="183"/>
      <c r="F646" s="236" t="s">
        <v>114</v>
      </c>
      <c r="G646" s="237" t="s">
        <v>113</v>
      </c>
      <c r="H646" s="238" t="s">
        <v>112</v>
      </c>
      <c r="I646" s="234" t="s">
        <v>16</v>
      </c>
      <c r="J646" s="308"/>
    </row>
    <row r="647" spans="1:12" ht="15" customHeight="1" thickBot="1">
      <c r="B647" s="374"/>
      <c r="C647" s="375" t="s">
        <v>132</v>
      </c>
      <c r="D647" s="376"/>
      <c r="E647" s="377"/>
      <c r="F647" s="375" t="s">
        <v>132</v>
      </c>
      <c r="G647" s="375" t="s">
        <v>132</v>
      </c>
      <c r="H647" s="375" t="s">
        <v>132</v>
      </c>
      <c r="I647" s="375" t="s">
        <v>132</v>
      </c>
      <c r="J647" s="378"/>
    </row>
    <row r="648" spans="1:12" ht="9.9499999999999993" customHeight="1" thickTop="1">
      <c r="B648" s="364"/>
      <c r="C648" s="364"/>
      <c r="D648" s="365"/>
      <c r="E648" s="366"/>
      <c r="F648" s="367"/>
      <c r="G648" s="366"/>
      <c r="H648" s="367"/>
      <c r="I648" s="367"/>
      <c r="J648" s="364"/>
    </row>
    <row r="650" spans="1:12" ht="9.9499999999999993" customHeight="1" thickBot="1">
      <c r="B650" s="379"/>
      <c r="C650" s="379"/>
      <c r="D650" s="380"/>
      <c r="E650" s="381"/>
      <c r="F650" s="382"/>
      <c r="G650" s="381"/>
      <c r="H650" s="382"/>
      <c r="I650" s="382"/>
      <c r="J650" s="379"/>
    </row>
    <row r="651" spans="1:12" ht="9.9499999999999993" customHeight="1" thickTop="1">
      <c r="A651" s="661" t="s">
        <v>318</v>
      </c>
      <c r="B651" s="301"/>
      <c r="C651" s="302"/>
      <c r="D651" s="303"/>
      <c r="E651" s="304"/>
      <c r="F651" s="305"/>
      <c r="G651" s="304"/>
      <c r="H651" s="305"/>
      <c r="I651" s="305"/>
      <c r="J651" s="306"/>
    </row>
    <row r="652" spans="1:12" ht="17.100000000000001" customHeight="1">
      <c r="A652" s="661"/>
      <c r="B652" s="307"/>
      <c r="C652" s="298" t="s">
        <v>138</v>
      </c>
      <c r="D652" s="299"/>
      <c r="G652" s="662" t="s">
        <v>323</v>
      </c>
      <c r="H652" s="662"/>
      <c r="I652" s="662"/>
      <c r="J652" s="308"/>
    </row>
    <row r="653" spans="1:12" s="275" customFormat="1" ht="30" customHeight="1">
      <c r="A653" s="661"/>
      <c r="B653" s="309"/>
      <c r="C653" s="279" t="s">
        <v>119</v>
      </c>
      <c r="D653" s="292" t="s">
        <v>244</v>
      </c>
      <c r="F653" s="310"/>
      <c r="G653" s="311"/>
      <c r="H653" s="310"/>
      <c r="I653" s="310"/>
      <c r="J653" s="312"/>
      <c r="L653" s="352"/>
    </row>
    <row r="654" spans="1:12" s="276" customFormat="1" ht="23.1" customHeight="1">
      <c r="A654" s="277"/>
      <c r="B654" s="313"/>
      <c r="C654" s="280" t="s">
        <v>120</v>
      </c>
      <c r="D654" s="293" t="s">
        <v>329</v>
      </c>
      <c r="F654" s="663" t="s">
        <v>303</v>
      </c>
      <c r="G654" s="664"/>
      <c r="H654" s="664"/>
      <c r="I654" s="665"/>
      <c r="J654" s="315"/>
      <c r="L654" s="353"/>
    </row>
    <row r="655" spans="1:12" s="276" customFormat="1" ht="23.1" customHeight="1">
      <c r="A655" s="277"/>
      <c r="B655" s="313"/>
      <c r="C655" s="280" t="s">
        <v>121</v>
      </c>
      <c r="D655" s="293" t="s">
        <v>324</v>
      </c>
      <c r="F655" s="666"/>
      <c r="G655" s="667"/>
      <c r="H655" s="667"/>
      <c r="I655" s="668"/>
      <c r="J655" s="315"/>
      <c r="L655" s="353"/>
    </row>
    <row r="656" spans="1:12" s="278" customFormat="1" ht="50.1" customHeight="1">
      <c r="A656" s="392"/>
      <c r="B656" s="316"/>
      <c r="C656" s="669" t="s">
        <v>2</v>
      </c>
      <c r="D656" s="671" t="s">
        <v>283</v>
      </c>
      <c r="E656" s="673" t="s">
        <v>275</v>
      </c>
      <c r="F656" s="674"/>
      <c r="G656" s="673" t="s">
        <v>276</v>
      </c>
      <c r="H656" s="674"/>
      <c r="I656" s="675" t="s">
        <v>85</v>
      </c>
      <c r="J656" s="317"/>
      <c r="L656" s="354"/>
    </row>
    <row r="657" spans="1:12" s="278" customFormat="1" ht="24.95" customHeight="1">
      <c r="A657" s="392"/>
      <c r="B657" s="316"/>
      <c r="C657" s="670"/>
      <c r="D657" s="672"/>
      <c r="E657" s="294" t="s">
        <v>256</v>
      </c>
      <c r="F657" s="295" t="s">
        <v>27</v>
      </c>
      <c r="G657" s="294" t="s">
        <v>256</v>
      </c>
      <c r="H657" s="295" t="s">
        <v>27</v>
      </c>
      <c r="I657" s="675"/>
      <c r="J657" s="317"/>
      <c r="L657" s="354"/>
    </row>
    <row r="658" spans="1:12" s="390" customFormat="1" ht="18" customHeight="1">
      <c r="A658" s="395"/>
      <c r="B658" s="384"/>
      <c r="C658" s="385" t="s">
        <v>259</v>
      </c>
      <c r="D658" s="386">
        <v>43983</v>
      </c>
      <c r="E658" s="387">
        <v>0</v>
      </c>
      <c r="F658" s="388">
        <v>0</v>
      </c>
      <c r="G658" s="387">
        <v>0</v>
      </c>
      <c r="H658" s="388">
        <v>0</v>
      </c>
      <c r="I658" s="388" t="s">
        <v>273</v>
      </c>
      <c r="J658" s="389"/>
      <c r="L658" s="391"/>
    </row>
    <row r="659" spans="1:12" s="349" customFormat="1" ht="18" customHeight="1">
      <c r="A659" s="394"/>
      <c r="B659" s="343"/>
      <c r="C659" s="344" t="s">
        <v>260</v>
      </c>
      <c r="D659" s="345">
        <v>43984</v>
      </c>
      <c r="E659" s="346">
        <v>1</v>
      </c>
      <c r="F659" s="347">
        <v>850000</v>
      </c>
      <c r="G659" s="346">
        <v>1</v>
      </c>
      <c r="H659" s="347">
        <v>850000</v>
      </c>
      <c r="I659" s="347" t="s">
        <v>268</v>
      </c>
      <c r="J659" s="348"/>
      <c r="L659" s="358"/>
    </row>
    <row r="660" spans="1:12" s="349" customFormat="1" ht="18" customHeight="1">
      <c r="A660" s="394"/>
      <c r="B660" s="343"/>
      <c r="C660" s="344" t="s">
        <v>261</v>
      </c>
      <c r="D660" s="345">
        <v>43985</v>
      </c>
      <c r="E660" s="346">
        <v>1</v>
      </c>
      <c r="F660" s="347">
        <v>850000</v>
      </c>
      <c r="G660" s="346">
        <v>1</v>
      </c>
      <c r="H660" s="347">
        <v>850000</v>
      </c>
      <c r="I660" s="347" t="s">
        <v>268</v>
      </c>
      <c r="J660" s="348"/>
      <c r="L660" s="358"/>
    </row>
    <row r="661" spans="1:12" s="349" customFormat="1" ht="18" customHeight="1">
      <c r="A661" s="394"/>
      <c r="B661" s="343"/>
      <c r="C661" s="344" t="s">
        <v>262</v>
      </c>
      <c r="D661" s="345">
        <v>43986</v>
      </c>
      <c r="E661" s="346">
        <v>1</v>
      </c>
      <c r="F661" s="347">
        <v>850000</v>
      </c>
      <c r="G661" s="346">
        <v>1</v>
      </c>
      <c r="H661" s="347">
        <v>850000</v>
      </c>
      <c r="I661" s="347" t="s">
        <v>268</v>
      </c>
      <c r="J661" s="348"/>
      <c r="L661" s="358"/>
    </row>
    <row r="662" spans="1:12" s="349" customFormat="1" ht="18" customHeight="1">
      <c r="A662" s="394"/>
      <c r="B662" s="343"/>
      <c r="C662" s="344" t="s">
        <v>263</v>
      </c>
      <c r="D662" s="345">
        <v>43987</v>
      </c>
      <c r="E662" s="346">
        <v>1</v>
      </c>
      <c r="F662" s="347">
        <v>850000</v>
      </c>
      <c r="G662" s="346">
        <v>1</v>
      </c>
      <c r="H662" s="347">
        <v>850000</v>
      </c>
      <c r="I662" s="347" t="s">
        <v>268</v>
      </c>
      <c r="J662" s="348"/>
      <c r="L662" s="358"/>
    </row>
    <row r="663" spans="1:12" s="390" customFormat="1" ht="18" customHeight="1">
      <c r="A663" s="395"/>
      <c r="B663" s="384"/>
      <c r="C663" s="385" t="s">
        <v>257</v>
      </c>
      <c r="D663" s="386">
        <v>43988</v>
      </c>
      <c r="E663" s="387">
        <v>0</v>
      </c>
      <c r="F663" s="388">
        <v>0</v>
      </c>
      <c r="G663" s="387">
        <v>0</v>
      </c>
      <c r="H663" s="388">
        <v>0</v>
      </c>
      <c r="I663" s="388" t="s">
        <v>273</v>
      </c>
      <c r="J663" s="389"/>
      <c r="L663" s="391"/>
    </row>
    <row r="664" spans="1:12" s="390" customFormat="1" ht="18" customHeight="1">
      <c r="A664" s="395"/>
      <c r="B664" s="384"/>
      <c r="C664" s="385" t="s">
        <v>258</v>
      </c>
      <c r="D664" s="386">
        <v>43989</v>
      </c>
      <c r="E664" s="387">
        <v>0</v>
      </c>
      <c r="F664" s="388">
        <v>0</v>
      </c>
      <c r="G664" s="387">
        <v>0</v>
      </c>
      <c r="H664" s="388">
        <v>0</v>
      </c>
      <c r="I664" s="388" t="s">
        <v>273</v>
      </c>
      <c r="J664" s="389"/>
      <c r="L664" s="391"/>
    </row>
    <row r="665" spans="1:12" s="349" customFormat="1" ht="18" customHeight="1">
      <c r="A665" s="394"/>
      <c r="B665" s="343"/>
      <c r="C665" s="344" t="s">
        <v>259</v>
      </c>
      <c r="D665" s="345">
        <v>43990</v>
      </c>
      <c r="E665" s="346">
        <v>1</v>
      </c>
      <c r="F665" s="347">
        <v>850000</v>
      </c>
      <c r="G665" s="346">
        <v>1</v>
      </c>
      <c r="H665" s="347">
        <v>850000</v>
      </c>
      <c r="I665" s="347" t="s">
        <v>268</v>
      </c>
      <c r="J665" s="348"/>
      <c r="L665" s="358"/>
    </row>
    <row r="666" spans="1:12" s="349" customFormat="1" ht="18" customHeight="1">
      <c r="A666" s="394"/>
      <c r="B666" s="343"/>
      <c r="C666" s="344" t="s">
        <v>260</v>
      </c>
      <c r="D666" s="345">
        <v>43991</v>
      </c>
      <c r="E666" s="346">
        <v>1</v>
      </c>
      <c r="F666" s="347">
        <v>850000</v>
      </c>
      <c r="G666" s="346">
        <v>1</v>
      </c>
      <c r="H666" s="347">
        <v>850000</v>
      </c>
      <c r="I666" s="347" t="s">
        <v>268</v>
      </c>
      <c r="J666" s="348"/>
      <c r="L666" s="358"/>
    </row>
    <row r="667" spans="1:12" s="349" customFormat="1" ht="18" customHeight="1">
      <c r="A667" s="394"/>
      <c r="B667" s="343"/>
      <c r="C667" s="344" t="s">
        <v>261</v>
      </c>
      <c r="D667" s="345">
        <v>43992</v>
      </c>
      <c r="E667" s="346">
        <v>1</v>
      </c>
      <c r="F667" s="347">
        <v>850000</v>
      </c>
      <c r="G667" s="346">
        <v>1</v>
      </c>
      <c r="H667" s="347">
        <v>850000</v>
      </c>
      <c r="I667" s="347" t="s">
        <v>268</v>
      </c>
      <c r="J667" s="348"/>
      <c r="L667" s="358"/>
    </row>
    <row r="668" spans="1:12" s="349" customFormat="1" ht="18" customHeight="1">
      <c r="A668" s="394"/>
      <c r="B668" s="343"/>
      <c r="C668" s="344" t="s">
        <v>262</v>
      </c>
      <c r="D668" s="345">
        <v>43993</v>
      </c>
      <c r="E668" s="346">
        <v>1</v>
      </c>
      <c r="F668" s="347">
        <v>850000</v>
      </c>
      <c r="G668" s="346">
        <v>1</v>
      </c>
      <c r="H668" s="347">
        <v>850000</v>
      </c>
      <c r="I668" s="347" t="s">
        <v>268</v>
      </c>
      <c r="J668" s="348"/>
      <c r="L668" s="358"/>
    </row>
    <row r="669" spans="1:12" s="349" customFormat="1" ht="18" customHeight="1">
      <c r="A669" s="394"/>
      <c r="B669" s="343"/>
      <c r="C669" s="344" t="s">
        <v>263</v>
      </c>
      <c r="D669" s="345">
        <v>43994</v>
      </c>
      <c r="E669" s="346">
        <v>1</v>
      </c>
      <c r="F669" s="347">
        <v>850000</v>
      </c>
      <c r="G669" s="346">
        <v>1</v>
      </c>
      <c r="H669" s="347">
        <v>850000</v>
      </c>
      <c r="I669" s="347" t="s">
        <v>268</v>
      </c>
      <c r="J669" s="348"/>
      <c r="L669" s="358"/>
    </row>
    <row r="670" spans="1:12" s="390" customFormat="1" ht="18" customHeight="1">
      <c r="A670" s="395"/>
      <c r="B670" s="384"/>
      <c r="C670" s="385" t="s">
        <v>257</v>
      </c>
      <c r="D670" s="386">
        <v>43995</v>
      </c>
      <c r="E670" s="387">
        <v>0</v>
      </c>
      <c r="F670" s="388">
        <v>0</v>
      </c>
      <c r="G670" s="387">
        <v>0</v>
      </c>
      <c r="H670" s="388">
        <v>0</v>
      </c>
      <c r="I670" s="388" t="s">
        <v>273</v>
      </c>
      <c r="J670" s="389"/>
      <c r="L670" s="391"/>
    </row>
    <row r="671" spans="1:12" s="390" customFormat="1" ht="18" customHeight="1">
      <c r="A671" s="395"/>
      <c r="B671" s="384"/>
      <c r="C671" s="385" t="s">
        <v>258</v>
      </c>
      <c r="D671" s="386">
        <v>43996</v>
      </c>
      <c r="E671" s="387">
        <v>0</v>
      </c>
      <c r="F671" s="388">
        <v>0</v>
      </c>
      <c r="G671" s="387">
        <v>0</v>
      </c>
      <c r="H671" s="388">
        <v>0</v>
      </c>
      <c r="I671" s="388" t="s">
        <v>273</v>
      </c>
      <c r="J671" s="389"/>
      <c r="L671" s="391"/>
    </row>
    <row r="672" spans="1:12" s="349" customFormat="1" ht="18" customHeight="1">
      <c r="A672" s="394"/>
      <c r="B672" s="343"/>
      <c r="C672" s="344" t="s">
        <v>259</v>
      </c>
      <c r="D672" s="345">
        <v>43997</v>
      </c>
      <c r="E672" s="346">
        <v>1</v>
      </c>
      <c r="F672" s="347">
        <v>850000</v>
      </c>
      <c r="G672" s="346">
        <v>1</v>
      </c>
      <c r="H672" s="347">
        <v>850000</v>
      </c>
      <c r="I672" s="347" t="s">
        <v>268</v>
      </c>
      <c r="J672" s="348"/>
      <c r="L672" s="358"/>
    </row>
    <row r="673" spans="1:12" s="349" customFormat="1" ht="18" customHeight="1">
      <c r="A673" s="394"/>
      <c r="B673" s="343"/>
      <c r="C673" s="344" t="s">
        <v>260</v>
      </c>
      <c r="D673" s="345">
        <v>43998</v>
      </c>
      <c r="E673" s="346">
        <v>1</v>
      </c>
      <c r="F673" s="347">
        <v>850000</v>
      </c>
      <c r="G673" s="346">
        <v>1</v>
      </c>
      <c r="H673" s="347">
        <v>850000</v>
      </c>
      <c r="I673" s="347" t="s">
        <v>268</v>
      </c>
      <c r="J673" s="348"/>
      <c r="L673" s="358"/>
    </row>
    <row r="674" spans="1:12" s="349" customFormat="1" ht="18" customHeight="1">
      <c r="A674" s="394"/>
      <c r="B674" s="343"/>
      <c r="C674" s="344" t="s">
        <v>261</v>
      </c>
      <c r="D674" s="345">
        <v>43999</v>
      </c>
      <c r="E674" s="346">
        <v>1</v>
      </c>
      <c r="F674" s="347">
        <v>850000</v>
      </c>
      <c r="G674" s="346">
        <v>1</v>
      </c>
      <c r="H674" s="347">
        <v>850000</v>
      </c>
      <c r="I674" s="347" t="s">
        <v>268</v>
      </c>
      <c r="J674" s="348"/>
      <c r="L674" s="358"/>
    </row>
    <row r="675" spans="1:12" s="349" customFormat="1" ht="18" customHeight="1">
      <c r="A675" s="394"/>
      <c r="B675" s="343"/>
      <c r="C675" s="344" t="s">
        <v>262</v>
      </c>
      <c r="D675" s="345">
        <v>44000</v>
      </c>
      <c r="E675" s="346">
        <v>1</v>
      </c>
      <c r="F675" s="347">
        <v>850000</v>
      </c>
      <c r="G675" s="346">
        <v>1</v>
      </c>
      <c r="H675" s="347">
        <v>850000</v>
      </c>
      <c r="I675" s="347" t="s">
        <v>268</v>
      </c>
      <c r="J675" s="348"/>
      <c r="L675" s="358"/>
    </row>
    <row r="676" spans="1:12" s="349" customFormat="1" ht="18" customHeight="1">
      <c r="A676" s="394"/>
      <c r="B676" s="343"/>
      <c r="C676" s="344" t="s">
        <v>263</v>
      </c>
      <c r="D676" s="345">
        <v>44001</v>
      </c>
      <c r="E676" s="346">
        <v>1</v>
      </c>
      <c r="F676" s="347">
        <v>850000</v>
      </c>
      <c r="G676" s="346">
        <v>1</v>
      </c>
      <c r="H676" s="347">
        <v>850000</v>
      </c>
      <c r="I676" s="347" t="s">
        <v>268</v>
      </c>
      <c r="J676" s="348"/>
      <c r="L676" s="358"/>
    </row>
    <row r="677" spans="1:12" s="390" customFormat="1" ht="18" customHeight="1">
      <c r="A677" s="395"/>
      <c r="B677" s="384"/>
      <c r="C677" s="385" t="s">
        <v>257</v>
      </c>
      <c r="D677" s="386">
        <v>44002</v>
      </c>
      <c r="E677" s="387">
        <v>0</v>
      </c>
      <c r="F677" s="388">
        <v>0</v>
      </c>
      <c r="G677" s="387">
        <v>0</v>
      </c>
      <c r="H677" s="388">
        <v>0</v>
      </c>
      <c r="I677" s="388" t="s">
        <v>273</v>
      </c>
      <c r="J677" s="389"/>
      <c r="L677" s="391"/>
    </row>
    <row r="678" spans="1:12" s="390" customFormat="1" ht="18" customHeight="1">
      <c r="A678" s="395"/>
      <c r="B678" s="384"/>
      <c r="C678" s="385" t="s">
        <v>258</v>
      </c>
      <c r="D678" s="386">
        <v>44003</v>
      </c>
      <c r="E678" s="387">
        <v>0</v>
      </c>
      <c r="F678" s="388">
        <v>0</v>
      </c>
      <c r="G678" s="387">
        <v>0</v>
      </c>
      <c r="H678" s="388">
        <v>0</v>
      </c>
      <c r="I678" s="388" t="s">
        <v>273</v>
      </c>
      <c r="J678" s="389"/>
      <c r="L678" s="391"/>
    </row>
    <row r="679" spans="1:12" s="349" customFormat="1" ht="18" customHeight="1">
      <c r="A679" s="394"/>
      <c r="B679" s="343"/>
      <c r="C679" s="344" t="s">
        <v>259</v>
      </c>
      <c r="D679" s="345">
        <v>44004</v>
      </c>
      <c r="E679" s="346">
        <v>1</v>
      </c>
      <c r="F679" s="347">
        <v>850000</v>
      </c>
      <c r="G679" s="346">
        <v>1</v>
      </c>
      <c r="H679" s="347">
        <v>850000</v>
      </c>
      <c r="I679" s="347" t="s">
        <v>268</v>
      </c>
      <c r="J679" s="348"/>
      <c r="L679" s="358"/>
    </row>
    <row r="680" spans="1:12" s="349" customFormat="1" ht="18" customHeight="1">
      <c r="A680" s="394"/>
      <c r="B680" s="343"/>
      <c r="C680" s="344" t="s">
        <v>260</v>
      </c>
      <c r="D680" s="345">
        <v>44005</v>
      </c>
      <c r="E680" s="346">
        <v>1</v>
      </c>
      <c r="F680" s="347">
        <v>850000</v>
      </c>
      <c r="G680" s="346">
        <v>1</v>
      </c>
      <c r="H680" s="347">
        <v>850000</v>
      </c>
      <c r="I680" s="347" t="s">
        <v>268</v>
      </c>
      <c r="J680" s="348"/>
      <c r="L680" s="358"/>
    </row>
    <row r="681" spans="1:12" s="349" customFormat="1" ht="18" customHeight="1">
      <c r="A681" s="394"/>
      <c r="B681" s="343"/>
      <c r="C681" s="344" t="s">
        <v>261</v>
      </c>
      <c r="D681" s="345">
        <v>44006</v>
      </c>
      <c r="E681" s="346">
        <v>1</v>
      </c>
      <c r="F681" s="347">
        <v>850000</v>
      </c>
      <c r="G681" s="346">
        <v>1</v>
      </c>
      <c r="H681" s="347">
        <v>850000</v>
      </c>
      <c r="I681" s="347" t="s">
        <v>268</v>
      </c>
      <c r="J681" s="348"/>
      <c r="L681" s="358"/>
    </row>
    <row r="682" spans="1:12" s="349" customFormat="1" ht="18" customHeight="1">
      <c r="A682" s="394"/>
      <c r="B682" s="343"/>
      <c r="C682" s="344" t="s">
        <v>262</v>
      </c>
      <c r="D682" s="345">
        <v>44007</v>
      </c>
      <c r="E682" s="346">
        <v>1</v>
      </c>
      <c r="F682" s="347">
        <v>850000</v>
      </c>
      <c r="G682" s="346">
        <v>1</v>
      </c>
      <c r="H682" s="347">
        <v>850000</v>
      </c>
      <c r="I682" s="347" t="s">
        <v>268</v>
      </c>
      <c r="J682" s="348"/>
      <c r="L682" s="358"/>
    </row>
    <row r="683" spans="1:12" s="349" customFormat="1" ht="18" customHeight="1">
      <c r="A683" s="394"/>
      <c r="B683" s="343"/>
      <c r="C683" s="344" t="s">
        <v>263</v>
      </c>
      <c r="D683" s="345">
        <v>44008</v>
      </c>
      <c r="E683" s="346">
        <v>1</v>
      </c>
      <c r="F683" s="347">
        <v>850000</v>
      </c>
      <c r="G683" s="346">
        <v>1</v>
      </c>
      <c r="H683" s="347">
        <v>850000</v>
      </c>
      <c r="I683" s="347" t="s">
        <v>268</v>
      </c>
      <c r="J683" s="348"/>
      <c r="L683" s="358"/>
    </row>
    <row r="684" spans="1:12" s="390" customFormat="1" ht="18" customHeight="1">
      <c r="A684" s="395"/>
      <c r="B684" s="384"/>
      <c r="C684" s="385" t="s">
        <v>257</v>
      </c>
      <c r="D684" s="386">
        <v>44009</v>
      </c>
      <c r="E684" s="387">
        <v>0</v>
      </c>
      <c r="F684" s="388">
        <v>0</v>
      </c>
      <c r="G684" s="387">
        <v>0</v>
      </c>
      <c r="H684" s="388">
        <v>0</v>
      </c>
      <c r="I684" s="388" t="s">
        <v>273</v>
      </c>
      <c r="J684" s="389"/>
      <c r="L684" s="391"/>
    </row>
    <row r="685" spans="1:12" s="390" customFormat="1" ht="18" customHeight="1">
      <c r="A685" s="395"/>
      <c r="B685" s="384"/>
      <c r="C685" s="385" t="s">
        <v>258</v>
      </c>
      <c r="D685" s="386">
        <v>44010</v>
      </c>
      <c r="E685" s="387">
        <v>0</v>
      </c>
      <c r="F685" s="388">
        <v>0</v>
      </c>
      <c r="G685" s="387">
        <v>0</v>
      </c>
      <c r="H685" s="388">
        <v>0</v>
      </c>
      <c r="I685" s="388" t="s">
        <v>273</v>
      </c>
      <c r="J685" s="389"/>
      <c r="L685" s="391"/>
    </row>
    <row r="686" spans="1:12" s="349" customFormat="1" ht="18" customHeight="1">
      <c r="A686" s="394"/>
      <c r="B686" s="343"/>
      <c r="C686" s="344" t="s">
        <v>259</v>
      </c>
      <c r="D686" s="345">
        <v>44011</v>
      </c>
      <c r="E686" s="346">
        <v>1</v>
      </c>
      <c r="F686" s="347">
        <v>850000</v>
      </c>
      <c r="G686" s="346">
        <v>1</v>
      </c>
      <c r="H686" s="347">
        <v>850000</v>
      </c>
      <c r="I686" s="347" t="s">
        <v>268</v>
      </c>
      <c r="J686" s="348"/>
      <c r="L686" s="358"/>
    </row>
    <row r="687" spans="1:12" s="349" customFormat="1" ht="18" customHeight="1">
      <c r="A687" s="394"/>
      <c r="B687" s="343"/>
      <c r="C687" s="344" t="s">
        <v>260</v>
      </c>
      <c r="D687" s="345">
        <v>44012</v>
      </c>
      <c r="E687" s="346">
        <v>1</v>
      </c>
      <c r="F687" s="347">
        <v>850000</v>
      </c>
      <c r="G687" s="346">
        <v>1</v>
      </c>
      <c r="H687" s="347">
        <v>850000</v>
      </c>
      <c r="I687" s="347" t="s">
        <v>268</v>
      </c>
      <c r="J687" s="348"/>
      <c r="L687" s="358"/>
    </row>
    <row r="688" spans="1:12" s="297" customFormat="1" ht="24.95" customHeight="1">
      <c r="A688" s="277"/>
      <c r="B688" s="320"/>
      <c r="C688" s="694" t="s">
        <v>264</v>
      </c>
      <c r="D688" s="695"/>
      <c r="E688" s="696">
        <f>SUM(F658:F687)</f>
        <v>17850000</v>
      </c>
      <c r="F688" s="697"/>
      <c r="G688" s="696">
        <f>SUM(H658:H687)</f>
        <v>17850000</v>
      </c>
      <c r="H688" s="697"/>
      <c r="I688" s="330"/>
      <c r="J688" s="321"/>
      <c r="L688" s="356">
        <v>21</v>
      </c>
    </row>
    <row r="689" spans="1:12" s="296" customFormat="1" ht="20.100000000000001" customHeight="1">
      <c r="A689" s="277"/>
      <c r="B689" s="322"/>
      <c r="C689" s="692" t="s">
        <v>62</v>
      </c>
      <c r="D689" s="692"/>
      <c r="E689" s="692"/>
      <c r="F689" s="692"/>
      <c r="G689" s="690">
        <f>+G688+E688</f>
        <v>35700000</v>
      </c>
      <c r="H689" s="691"/>
      <c r="I689" s="331"/>
      <c r="J689" s="323"/>
      <c r="L689" s="359">
        <f>+L688*2*850000</f>
        <v>35700000</v>
      </c>
    </row>
    <row r="690" spans="1:12" s="296" customFormat="1" ht="20.100000000000001" customHeight="1">
      <c r="A690" s="277"/>
      <c r="B690" s="322"/>
      <c r="C690" s="692" t="s">
        <v>327</v>
      </c>
      <c r="D690" s="692"/>
      <c r="E690" s="692"/>
      <c r="F690" s="692"/>
      <c r="G690" s="690">
        <f>850000*2</f>
        <v>1700000</v>
      </c>
      <c r="H690" s="691"/>
      <c r="I690" s="331"/>
      <c r="J690" s="323"/>
      <c r="L690" s="359">
        <f>850000*2</f>
        <v>1700000</v>
      </c>
    </row>
    <row r="691" spans="1:12" s="296" customFormat="1" ht="24.95" customHeight="1">
      <c r="A691" s="277"/>
      <c r="B691" s="322"/>
      <c r="C691" s="693" t="s">
        <v>328</v>
      </c>
      <c r="D691" s="693"/>
      <c r="E691" s="693"/>
      <c r="F691" s="693"/>
      <c r="G691" s="658">
        <f>+G689-G690</f>
        <v>34000000</v>
      </c>
      <c r="H691" s="660"/>
      <c r="I691" s="331"/>
      <c r="J691" s="323"/>
      <c r="L691" s="359">
        <f>+L689-L690</f>
        <v>34000000</v>
      </c>
    </row>
    <row r="692" spans="1:12" ht="20.100000000000001" customHeight="1">
      <c r="B692" s="307"/>
      <c r="J692" s="308"/>
    </row>
    <row r="693" spans="1:12" ht="18" customHeight="1">
      <c r="B693" s="307"/>
      <c r="C693" s="290" t="s">
        <v>136</v>
      </c>
      <c r="E693" s="183"/>
      <c r="F693" s="234" t="s">
        <v>131</v>
      </c>
      <c r="G693" s="234" t="s">
        <v>130</v>
      </c>
      <c r="H693" s="234" t="s">
        <v>129</v>
      </c>
      <c r="I693" s="234" t="s">
        <v>128</v>
      </c>
      <c r="J693" s="308"/>
    </row>
    <row r="694" spans="1:12" s="335" customFormat="1" ht="39.950000000000003" customHeight="1">
      <c r="B694" s="332"/>
      <c r="C694" s="333">
        <v>5</v>
      </c>
      <c r="D694" s="334"/>
      <c r="F694" s="336">
        <v>4</v>
      </c>
      <c r="G694" s="336">
        <v>3</v>
      </c>
      <c r="H694" s="336">
        <v>2</v>
      </c>
      <c r="I694" s="336">
        <v>1</v>
      </c>
      <c r="J694" s="337"/>
      <c r="L694" s="357"/>
    </row>
    <row r="695" spans="1:12" ht="17.100000000000001" customHeight="1">
      <c r="B695" s="307"/>
      <c r="C695" s="290"/>
      <c r="E695" s="183"/>
      <c r="F695" s="236" t="s">
        <v>114</v>
      </c>
      <c r="G695" s="237" t="s">
        <v>113</v>
      </c>
      <c r="H695" s="238" t="s">
        <v>112</v>
      </c>
      <c r="I695" s="234" t="s">
        <v>16</v>
      </c>
      <c r="J695" s="308"/>
    </row>
    <row r="696" spans="1:12" ht="15" customHeight="1" thickBot="1">
      <c r="B696" s="374"/>
      <c r="C696" s="375" t="s">
        <v>132</v>
      </c>
      <c r="D696" s="376"/>
      <c r="E696" s="377"/>
      <c r="F696" s="375" t="s">
        <v>132</v>
      </c>
      <c r="G696" s="375" t="s">
        <v>132</v>
      </c>
      <c r="H696" s="375" t="s">
        <v>132</v>
      </c>
      <c r="I696" s="375" t="s">
        <v>132</v>
      </c>
      <c r="J696" s="378"/>
    </row>
    <row r="697" spans="1:12" ht="9.9499999999999993" customHeight="1" thickTop="1">
      <c r="B697" s="364"/>
      <c r="C697" s="364"/>
      <c r="D697" s="365"/>
      <c r="E697" s="366"/>
      <c r="F697" s="367"/>
      <c r="G697" s="366"/>
      <c r="H697" s="367"/>
      <c r="I697" s="367"/>
      <c r="J697" s="364"/>
    </row>
  </sheetData>
  <mergeCells count="221">
    <mergeCell ref="C690:F690"/>
    <mergeCell ref="G690:H690"/>
    <mergeCell ref="C691:F691"/>
    <mergeCell ref="G691:H691"/>
    <mergeCell ref="C688:D688"/>
    <mergeCell ref="E688:F688"/>
    <mergeCell ref="G688:H688"/>
    <mergeCell ref="C689:F689"/>
    <mergeCell ref="G689:H689"/>
    <mergeCell ref="A651:A653"/>
    <mergeCell ref="G652:I652"/>
    <mergeCell ref="F654:I655"/>
    <mergeCell ref="C656:C657"/>
    <mergeCell ref="D656:D657"/>
    <mergeCell ref="E656:F656"/>
    <mergeCell ref="G656:H656"/>
    <mergeCell ref="I656:I657"/>
    <mergeCell ref="C642:F642"/>
    <mergeCell ref="G642:H642"/>
    <mergeCell ref="A603:A605"/>
    <mergeCell ref="G604:I604"/>
    <mergeCell ref="F606:I607"/>
    <mergeCell ref="C608:C609"/>
    <mergeCell ref="D608:D609"/>
    <mergeCell ref="E608:F608"/>
    <mergeCell ref="G608:H608"/>
    <mergeCell ref="I608:I609"/>
    <mergeCell ref="C641:D641"/>
    <mergeCell ref="E641:F641"/>
    <mergeCell ref="G641:H641"/>
    <mergeCell ref="C547:D547"/>
    <mergeCell ref="E547:H547"/>
    <mergeCell ref="A508:A510"/>
    <mergeCell ref="G509:I509"/>
    <mergeCell ref="F511:I512"/>
    <mergeCell ref="C513:C514"/>
    <mergeCell ref="D513:D514"/>
    <mergeCell ref="E513:F513"/>
    <mergeCell ref="G513:H513"/>
    <mergeCell ref="I513:I514"/>
    <mergeCell ref="C546:D546"/>
    <mergeCell ref="E546:F546"/>
    <mergeCell ref="G546:H546"/>
    <mergeCell ref="A414:A416"/>
    <mergeCell ref="C404:D404"/>
    <mergeCell ref="E404:F404"/>
    <mergeCell ref="G404:H404"/>
    <mergeCell ref="C405:D405"/>
    <mergeCell ref="E405:H405"/>
    <mergeCell ref="G367:I367"/>
    <mergeCell ref="F369:I370"/>
    <mergeCell ref="C371:C372"/>
    <mergeCell ref="D371:D372"/>
    <mergeCell ref="E371:F371"/>
    <mergeCell ref="G371:H371"/>
    <mergeCell ref="I371:I372"/>
    <mergeCell ref="C356:D356"/>
    <mergeCell ref="E356:F356"/>
    <mergeCell ref="G356:H356"/>
    <mergeCell ref="C357:D357"/>
    <mergeCell ref="E357:H357"/>
    <mergeCell ref="C326:D326"/>
    <mergeCell ref="E326:H326"/>
    <mergeCell ref="G335:I335"/>
    <mergeCell ref="F337:I338"/>
    <mergeCell ref="C339:C340"/>
    <mergeCell ref="D339:D340"/>
    <mergeCell ref="E339:F339"/>
    <mergeCell ref="G339:H339"/>
    <mergeCell ref="I339:I340"/>
    <mergeCell ref="G304:I304"/>
    <mergeCell ref="F306:I307"/>
    <mergeCell ref="C308:C309"/>
    <mergeCell ref="D308:D309"/>
    <mergeCell ref="E308:F308"/>
    <mergeCell ref="G308:H308"/>
    <mergeCell ref="I308:I309"/>
    <mergeCell ref="C325:D325"/>
    <mergeCell ref="E325:F325"/>
    <mergeCell ref="G325:H325"/>
    <mergeCell ref="C230:D230"/>
    <mergeCell ref="E230:H230"/>
    <mergeCell ref="F210:I211"/>
    <mergeCell ref="C212:C213"/>
    <mergeCell ref="D212:D213"/>
    <mergeCell ref="E212:F212"/>
    <mergeCell ref="G212:H212"/>
    <mergeCell ref="I212:I213"/>
    <mergeCell ref="G177:I177"/>
    <mergeCell ref="G208:I208"/>
    <mergeCell ref="C229:D229"/>
    <mergeCell ref="E229:F229"/>
    <mergeCell ref="G229:H229"/>
    <mergeCell ref="C198:D198"/>
    <mergeCell ref="E198:F198"/>
    <mergeCell ref="G198:H198"/>
    <mergeCell ref="C199:D199"/>
    <mergeCell ref="E199:H199"/>
    <mergeCell ref="F179:I180"/>
    <mergeCell ref="C181:C182"/>
    <mergeCell ref="E117:F117"/>
    <mergeCell ref="G117:H117"/>
    <mergeCell ref="I117:I118"/>
    <mergeCell ref="C134:D134"/>
    <mergeCell ref="E134:F134"/>
    <mergeCell ref="G134:H134"/>
    <mergeCell ref="D181:D182"/>
    <mergeCell ref="E181:F181"/>
    <mergeCell ref="C135:D135"/>
    <mergeCell ref="E135:H135"/>
    <mergeCell ref="F146:I147"/>
    <mergeCell ref="C148:C149"/>
    <mergeCell ref="D148:D149"/>
    <mergeCell ref="E148:F148"/>
    <mergeCell ref="G148:H148"/>
    <mergeCell ref="I148:I149"/>
    <mergeCell ref="C166:D166"/>
    <mergeCell ref="E166:F166"/>
    <mergeCell ref="G166:H166"/>
    <mergeCell ref="G181:H181"/>
    <mergeCell ref="I181:I182"/>
    <mergeCell ref="C167:D167"/>
    <mergeCell ref="E167:H167"/>
    <mergeCell ref="G5:I6"/>
    <mergeCell ref="E8:F8"/>
    <mergeCell ref="G8:H8"/>
    <mergeCell ref="E40:F40"/>
    <mergeCell ref="G40:H40"/>
    <mergeCell ref="C40:D40"/>
    <mergeCell ref="D8:D9"/>
    <mergeCell ref="C8:C9"/>
    <mergeCell ref="C103:D103"/>
    <mergeCell ref="E103:F103"/>
    <mergeCell ref="G103:H103"/>
    <mergeCell ref="F83:I84"/>
    <mergeCell ref="C54:C55"/>
    <mergeCell ref="D54:D55"/>
    <mergeCell ref="E54:F54"/>
    <mergeCell ref="G54:H54"/>
    <mergeCell ref="C85:C86"/>
    <mergeCell ref="D85:D86"/>
    <mergeCell ref="E85:F85"/>
    <mergeCell ref="G85:H85"/>
    <mergeCell ref="I85:I86"/>
    <mergeCell ref="C71:D71"/>
    <mergeCell ref="E71:F71"/>
    <mergeCell ref="G71:H71"/>
    <mergeCell ref="F52:I53"/>
    <mergeCell ref="I8:I9"/>
    <mergeCell ref="C261:D261"/>
    <mergeCell ref="E261:F261"/>
    <mergeCell ref="G261:H261"/>
    <mergeCell ref="C262:D262"/>
    <mergeCell ref="E262:H262"/>
    <mergeCell ref="G240:I240"/>
    <mergeCell ref="F242:I243"/>
    <mergeCell ref="C244:C245"/>
    <mergeCell ref="D244:D245"/>
    <mergeCell ref="E244:F244"/>
    <mergeCell ref="G244:H244"/>
    <mergeCell ref="I244:I245"/>
    <mergeCell ref="C41:D41"/>
    <mergeCell ref="E41:H41"/>
    <mergeCell ref="C72:D72"/>
    <mergeCell ref="E72:H72"/>
    <mergeCell ref="I54:I55"/>
    <mergeCell ref="C104:D104"/>
    <mergeCell ref="E104:H104"/>
    <mergeCell ref="F115:I116"/>
    <mergeCell ref="C117:C118"/>
    <mergeCell ref="D117:D118"/>
    <mergeCell ref="C293:D293"/>
    <mergeCell ref="E293:F293"/>
    <mergeCell ref="G293:H293"/>
    <mergeCell ref="C294:D294"/>
    <mergeCell ref="E294:H294"/>
    <mergeCell ref="G271:I271"/>
    <mergeCell ref="F273:I274"/>
    <mergeCell ref="C275:C276"/>
    <mergeCell ref="D275:D276"/>
    <mergeCell ref="E275:F275"/>
    <mergeCell ref="G275:H275"/>
    <mergeCell ref="I275:I276"/>
    <mergeCell ref="C453:D453"/>
    <mergeCell ref="E453:H453"/>
    <mergeCell ref="G415:I415"/>
    <mergeCell ref="F417:I418"/>
    <mergeCell ref="C419:C420"/>
    <mergeCell ref="D419:D420"/>
    <mergeCell ref="E419:F419"/>
    <mergeCell ref="G419:H419"/>
    <mergeCell ref="I419:I420"/>
    <mergeCell ref="C452:D452"/>
    <mergeCell ref="E452:F452"/>
    <mergeCell ref="G452:H452"/>
    <mergeCell ref="C499:D499"/>
    <mergeCell ref="E499:H499"/>
    <mergeCell ref="A462:A464"/>
    <mergeCell ref="G463:I463"/>
    <mergeCell ref="F465:I466"/>
    <mergeCell ref="C467:C468"/>
    <mergeCell ref="D467:D468"/>
    <mergeCell ref="E467:F467"/>
    <mergeCell ref="G467:H467"/>
    <mergeCell ref="I467:I468"/>
    <mergeCell ref="C498:D498"/>
    <mergeCell ref="E498:F498"/>
    <mergeCell ref="G498:H498"/>
    <mergeCell ref="C594:D594"/>
    <mergeCell ref="E594:H594"/>
    <mergeCell ref="A556:A558"/>
    <mergeCell ref="G557:I557"/>
    <mergeCell ref="F559:I560"/>
    <mergeCell ref="C561:C562"/>
    <mergeCell ref="D561:D562"/>
    <mergeCell ref="E561:F561"/>
    <mergeCell ref="G561:H561"/>
    <mergeCell ref="I561:I562"/>
    <mergeCell ref="C593:D593"/>
    <mergeCell ref="E593:F593"/>
    <mergeCell ref="G593:H593"/>
  </mergeCells>
  <printOptions horizontalCentered="1" verticalCentered="1"/>
  <pageMargins left="0" right="0" top="0.19685039370078741" bottom="0.19685039370078741" header="0.19685039370078741" footer="0.19685039370078741"/>
  <pageSetup paperSize="9"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683"/>
  <sheetViews>
    <sheetView showGridLines="0" topLeftCell="A671" zoomScaleNormal="100" workbookViewId="0">
      <selection activeCell="K276" sqref="K276:L276"/>
    </sheetView>
  </sheetViews>
  <sheetFormatPr defaultRowHeight="12.75"/>
  <cols>
    <col min="1" max="1" width="5.7109375" style="277" customWidth="1"/>
    <col min="2" max="2" width="1.7109375" style="183" customWidth="1"/>
    <col min="3" max="3" width="9.7109375" style="183" customWidth="1"/>
    <col min="4" max="4" width="10.7109375" style="281" customWidth="1"/>
    <col min="5" max="5" width="15.7109375" style="277" customWidth="1"/>
    <col min="6" max="6" width="15.7109375" style="287" customWidth="1"/>
    <col min="7" max="7" width="15.7109375" style="277" customWidth="1"/>
    <col min="8" max="8" width="15.7109375" style="287" customWidth="1"/>
    <col min="9" max="9" width="22.28515625" style="287" bestFit="1" customWidth="1"/>
    <col min="10" max="10" width="1.7109375" style="183" customWidth="1"/>
    <col min="11" max="11" width="9.140625" style="183"/>
    <col min="12" max="12" width="18.7109375" style="351" customWidth="1"/>
    <col min="13" max="13" width="10.7109375" style="183" bestFit="1" customWidth="1"/>
    <col min="14" max="16384" width="9.140625" style="183"/>
  </cols>
  <sheetData>
    <row r="2" spans="1:12" ht="9.9499999999999993" customHeight="1" thickBot="1">
      <c r="B2" s="379"/>
      <c r="C2" s="379"/>
      <c r="D2" s="380"/>
      <c r="E2" s="381"/>
      <c r="F2" s="382"/>
      <c r="G2" s="381"/>
      <c r="H2" s="382"/>
      <c r="I2" s="382"/>
      <c r="J2" s="379"/>
    </row>
    <row r="3" spans="1:12" ht="9.9499999999999993" customHeight="1" thickTop="1">
      <c r="A3" s="661" t="s">
        <v>333</v>
      </c>
      <c r="B3" s="301"/>
      <c r="C3" s="302"/>
      <c r="D3" s="303"/>
      <c r="E3" s="304"/>
      <c r="F3" s="305"/>
      <c r="G3" s="304"/>
      <c r="H3" s="305"/>
      <c r="I3" s="305"/>
      <c r="J3" s="306"/>
    </row>
    <row r="4" spans="1:12" ht="17.100000000000001" customHeight="1">
      <c r="A4" s="661"/>
      <c r="B4" s="307"/>
      <c r="C4" s="298" t="s">
        <v>138</v>
      </c>
      <c r="D4" s="299"/>
      <c r="G4" s="662" t="s">
        <v>332</v>
      </c>
      <c r="H4" s="662"/>
      <c r="I4" s="662"/>
      <c r="J4" s="308"/>
    </row>
    <row r="5" spans="1:12" s="275" customFormat="1" ht="30" customHeight="1">
      <c r="A5" s="661"/>
      <c r="B5" s="309"/>
      <c r="C5" s="279" t="s">
        <v>119</v>
      </c>
      <c r="D5" s="292" t="s">
        <v>244</v>
      </c>
      <c r="F5" s="310"/>
      <c r="G5" s="311"/>
      <c r="H5" s="310"/>
      <c r="I5" s="310"/>
      <c r="J5" s="312"/>
      <c r="L5" s="352"/>
    </row>
    <row r="6" spans="1:12" s="276" customFormat="1" ht="23.1" customHeight="1">
      <c r="A6" s="277"/>
      <c r="B6" s="313"/>
      <c r="C6" s="280" t="s">
        <v>120</v>
      </c>
      <c r="D6" s="293" t="s">
        <v>330</v>
      </c>
      <c r="F6" s="663" t="s">
        <v>303</v>
      </c>
      <c r="G6" s="664"/>
      <c r="H6" s="664"/>
      <c r="I6" s="665"/>
      <c r="J6" s="315"/>
      <c r="L6" s="353"/>
    </row>
    <row r="7" spans="1:12" s="276" customFormat="1" ht="23.1" customHeight="1">
      <c r="A7" s="277"/>
      <c r="B7" s="313"/>
      <c r="C7" s="280" t="s">
        <v>121</v>
      </c>
      <c r="D7" s="293" t="s">
        <v>331</v>
      </c>
      <c r="F7" s="666"/>
      <c r="G7" s="667"/>
      <c r="H7" s="667"/>
      <c r="I7" s="668"/>
      <c r="J7" s="315"/>
      <c r="L7" s="353"/>
    </row>
    <row r="8" spans="1:12" s="278" customFormat="1" ht="50.1" customHeight="1">
      <c r="A8" s="392"/>
      <c r="B8" s="316"/>
      <c r="C8" s="669" t="s">
        <v>2</v>
      </c>
      <c r="D8" s="671" t="s">
        <v>283</v>
      </c>
      <c r="E8" s="673" t="s">
        <v>275</v>
      </c>
      <c r="F8" s="674"/>
      <c r="G8" s="673" t="s">
        <v>276</v>
      </c>
      <c r="H8" s="674"/>
      <c r="I8" s="675" t="s">
        <v>85</v>
      </c>
      <c r="J8" s="317"/>
      <c r="L8" s="354"/>
    </row>
    <row r="9" spans="1:12" s="278" customFormat="1" ht="24.95" customHeight="1">
      <c r="A9" s="392"/>
      <c r="B9" s="316"/>
      <c r="C9" s="670"/>
      <c r="D9" s="672"/>
      <c r="E9" s="294" t="s">
        <v>256</v>
      </c>
      <c r="F9" s="295" t="s">
        <v>27</v>
      </c>
      <c r="G9" s="294" t="s">
        <v>256</v>
      </c>
      <c r="H9" s="295" t="s">
        <v>27</v>
      </c>
      <c r="I9" s="675"/>
      <c r="J9" s="317"/>
      <c r="L9" s="354"/>
    </row>
    <row r="10" spans="1:12" s="349" customFormat="1" ht="18" customHeight="1">
      <c r="A10" s="394"/>
      <c r="B10" s="343"/>
      <c r="C10" s="344" t="s">
        <v>261</v>
      </c>
      <c r="D10" s="345">
        <v>44013</v>
      </c>
      <c r="E10" s="346">
        <v>1</v>
      </c>
      <c r="F10" s="347">
        <v>850000</v>
      </c>
      <c r="G10" s="346">
        <v>1</v>
      </c>
      <c r="H10" s="347">
        <v>850000</v>
      </c>
      <c r="I10" s="347" t="s">
        <v>268</v>
      </c>
      <c r="J10" s="348"/>
      <c r="L10" s="358"/>
    </row>
    <row r="11" spans="1:12" s="349" customFormat="1" ht="18" customHeight="1">
      <c r="A11" s="394"/>
      <c r="B11" s="343"/>
      <c r="C11" s="344" t="s">
        <v>262</v>
      </c>
      <c r="D11" s="345">
        <v>44014</v>
      </c>
      <c r="E11" s="346">
        <v>1</v>
      </c>
      <c r="F11" s="347">
        <v>850000</v>
      </c>
      <c r="G11" s="346">
        <v>1</v>
      </c>
      <c r="H11" s="347">
        <v>850000</v>
      </c>
      <c r="I11" s="347" t="s">
        <v>268</v>
      </c>
      <c r="J11" s="348"/>
      <c r="L11" s="358"/>
    </row>
    <row r="12" spans="1:12" s="349" customFormat="1" ht="18" customHeight="1">
      <c r="A12" s="394"/>
      <c r="B12" s="343"/>
      <c r="C12" s="344" t="s">
        <v>263</v>
      </c>
      <c r="D12" s="345">
        <v>44015</v>
      </c>
      <c r="E12" s="346">
        <v>1</v>
      </c>
      <c r="F12" s="347">
        <v>850000</v>
      </c>
      <c r="G12" s="346">
        <v>1</v>
      </c>
      <c r="H12" s="347">
        <v>850000</v>
      </c>
      <c r="I12" s="347" t="s">
        <v>268</v>
      </c>
      <c r="J12" s="348"/>
      <c r="L12" s="358"/>
    </row>
    <row r="13" spans="1:12" s="390" customFormat="1" ht="18" customHeight="1">
      <c r="A13" s="395"/>
      <c r="B13" s="384"/>
      <c r="C13" s="385" t="s">
        <v>257</v>
      </c>
      <c r="D13" s="386">
        <v>44016</v>
      </c>
      <c r="E13" s="387">
        <v>0</v>
      </c>
      <c r="F13" s="388">
        <v>0</v>
      </c>
      <c r="G13" s="387">
        <v>0</v>
      </c>
      <c r="H13" s="388">
        <v>0</v>
      </c>
      <c r="I13" s="388" t="s">
        <v>273</v>
      </c>
      <c r="J13" s="389"/>
      <c r="L13" s="391"/>
    </row>
    <row r="14" spans="1:12" s="390" customFormat="1" ht="18" customHeight="1">
      <c r="A14" s="395"/>
      <c r="B14" s="384"/>
      <c r="C14" s="385" t="s">
        <v>258</v>
      </c>
      <c r="D14" s="386">
        <v>44017</v>
      </c>
      <c r="E14" s="387">
        <v>0</v>
      </c>
      <c r="F14" s="388">
        <v>0</v>
      </c>
      <c r="G14" s="387">
        <v>0</v>
      </c>
      <c r="H14" s="388">
        <v>0</v>
      </c>
      <c r="I14" s="388" t="s">
        <v>273</v>
      </c>
      <c r="J14" s="389"/>
      <c r="L14" s="391"/>
    </row>
    <row r="15" spans="1:12" s="349" customFormat="1" ht="18" customHeight="1">
      <c r="A15" s="394"/>
      <c r="B15" s="343"/>
      <c r="C15" s="344" t="s">
        <v>259</v>
      </c>
      <c r="D15" s="345">
        <v>44018</v>
      </c>
      <c r="E15" s="346">
        <v>1</v>
      </c>
      <c r="F15" s="347">
        <v>850000</v>
      </c>
      <c r="G15" s="346">
        <v>1</v>
      </c>
      <c r="H15" s="347">
        <v>850000</v>
      </c>
      <c r="I15" s="347" t="s">
        <v>268</v>
      </c>
      <c r="J15" s="348"/>
      <c r="L15" s="358"/>
    </row>
    <row r="16" spans="1:12" s="349" customFormat="1" ht="18" customHeight="1">
      <c r="A16" s="394"/>
      <c r="B16" s="343"/>
      <c r="C16" s="344" t="s">
        <v>260</v>
      </c>
      <c r="D16" s="345">
        <v>44019</v>
      </c>
      <c r="E16" s="346">
        <v>1</v>
      </c>
      <c r="F16" s="347">
        <v>850000</v>
      </c>
      <c r="G16" s="346">
        <v>1</v>
      </c>
      <c r="H16" s="347">
        <v>850000</v>
      </c>
      <c r="I16" s="347" t="s">
        <v>268</v>
      </c>
      <c r="J16" s="348"/>
      <c r="L16" s="358"/>
    </row>
    <row r="17" spans="1:12" s="349" customFormat="1" ht="18" customHeight="1">
      <c r="A17" s="394"/>
      <c r="B17" s="343"/>
      <c r="C17" s="344" t="s">
        <v>261</v>
      </c>
      <c r="D17" s="345">
        <v>44020</v>
      </c>
      <c r="E17" s="346">
        <v>1</v>
      </c>
      <c r="F17" s="347">
        <v>850000</v>
      </c>
      <c r="G17" s="346">
        <v>1</v>
      </c>
      <c r="H17" s="347">
        <v>850000</v>
      </c>
      <c r="I17" s="347" t="s">
        <v>268</v>
      </c>
      <c r="J17" s="348"/>
      <c r="L17" s="358"/>
    </row>
    <row r="18" spans="1:12" s="349" customFormat="1" ht="18" customHeight="1">
      <c r="A18" s="394"/>
      <c r="B18" s="343"/>
      <c r="C18" s="344" t="s">
        <v>262</v>
      </c>
      <c r="D18" s="345">
        <v>44021</v>
      </c>
      <c r="E18" s="346">
        <v>1</v>
      </c>
      <c r="F18" s="347">
        <v>850000</v>
      </c>
      <c r="G18" s="346">
        <v>1</v>
      </c>
      <c r="H18" s="347">
        <v>850000</v>
      </c>
      <c r="I18" s="347" t="s">
        <v>268</v>
      </c>
      <c r="J18" s="348"/>
      <c r="L18" s="358"/>
    </row>
    <row r="19" spans="1:12" s="349" customFormat="1" ht="18" customHeight="1">
      <c r="A19" s="394"/>
      <c r="B19" s="343"/>
      <c r="C19" s="344" t="s">
        <v>263</v>
      </c>
      <c r="D19" s="345">
        <v>44022</v>
      </c>
      <c r="E19" s="346">
        <v>1</v>
      </c>
      <c r="F19" s="347">
        <v>850000</v>
      </c>
      <c r="G19" s="346">
        <v>1</v>
      </c>
      <c r="H19" s="347">
        <v>850000</v>
      </c>
      <c r="I19" s="347" t="s">
        <v>268</v>
      </c>
      <c r="J19" s="348"/>
      <c r="L19" s="358"/>
    </row>
    <row r="20" spans="1:12" s="390" customFormat="1" ht="18" customHeight="1">
      <c r="A20" s="395"/>
      <c r="B20" s="384"/>
      <c r="C20" s="385" t="s">
        <v>257</v>
      </c>
      <c r="D20" s="386">
        <v>44023</v>
      </c>
      <c r="E20" s="387">
        <v>0</v>
      </c>
      <c r="F20" s="388">
        <v>0</v>
      </c>
      <c r="G20" s="387">
        <v>0</v>
      </c>
      <c r="H20" s="388">
        <v>0</v>
      </c>
      <c r="I20" s="388" t="s">
        <v>273</v>
      </c>
      <c r="J20" s="389"/>
      <c r="L20" s="391"/>
    </row>
    <row r="21" spans="1:12" s="390" customFormat="1" ht="18" customHeight="1">
      <c r="A21" s="395"/>
      <c r="B21" s="384"/>
      <c r="C21" s="385" t="s">
        <v>258</v>
      </c>
      <c r="D21" s="386">
        <v>44024</v>
      </c>
      <c r="E21" s="387">
        <v>0</v>
      </c>
      <c r="F21" s="388">
        <v>0</v>
      </c>
      <c r="G21" s="387">
        <v>0</v>
      </c>
      <c r="H21" s="388">
        <v>0</v>
      </c>
      <c r="I21" s="388" t="s">
        <v>273</v>
      </c>
      <c r="J21" s="389"/>
      <c r="L21" s="391"/>
    </row>
    <row r="22" spans="1:12" s="349" customFormat="1" ht="18" customHeight="1">
      <c r="A22" s="394"/>
      <c r="B22" s="343"/>
      <c r="C22" s="344" t="s">
        <v>259</v>
      </c>
      <c r="D22" s="345">
        <v>44025</v>
      </c>
      <c r="E22" s="346">
        <v>1</v>
      </c>
      <c r="F22" s="347">
        <v>850000</v>
      </c>
      <c r="G22" s="346">
        <v>1</v>
      </c>
      <c r="H22" s="347">
        <v>850000</v>
      </c>
      <c r="I22" s="347" t="s">
        <v>268</v>
      </c>
      <c r="J22" s="348"/>
      <c r="L22" s="358"/>
    </row>
    <row r="23" spans="1:12" s="349" customFormat="1" ht="18" customHeight="1">
      <c r="A23" s="394"/>
      <c r="B23" s="343"/>
      <c r="C23" s="344" t="s">
        <v>260</v>
      </c>
      <c r="D23" s="345">
        <v>44026</v>
      </c>
      <c r="E23" s="346">
        <v>1</v>
      </c>
      <c r="F23" s="347">
        <v>850000</v>
      </c>
      <c r="G23" s="346">
        <v>1</v>
      </c>
      <c r="H23" s="347">
        <v>850000</v>
      </c>
      <c r="I23" s="347" t="s">
        <v>268</v>
      </c>
      <c r="J23" s="348"/>
      <c r="L23" s="358"/>
    </row>
    <row r="24" spans="1:12" s="349" customFormat="1" ht="18" customHeight="1">
      <c r="A24" s="394"/>
      <c r="B24" s="343"/>
      <c r="C24" s="344" t="s">
        <v>261</v>
      </c>
      <c r="D24" s="345">
        <v>44027</v>
      </c>
      <c r="E24" s="346">
        <v>1</v>
      </c>
      <c r="F24" s="347">
        <v>850000</v>
      </c>
      <c r="G24" s="346">
        <v>1</v>
      </c>
      <c r="H24" s="347">
        <v>850000</v>
      </c>
      <c r="I24" s="347" t="s">
        <v>268</v>
      </c>
      <c r="J24" s="348"/>
      <c r="L24" s="358"/>
    </row>
    <row r="25" spans="1:12" s="349" customFormat="1" ht="18" customHeight="1">
      <c r="A25" s="394"/>
      <c r="B25" s="343"/>
      <c r="C25" s="344" t="s">
        <v>262</v>
      </c>
      <c r="D25" s="345">
        <v>44028</v>
      </c>
      <c r="E25" s="346">
        <v>1</v>
      </c>
      <c r="F25" s="347">
        <v>850000</v>
      </c>
      <c r="G25" s="346">
        <v>1</v>
      </c>
      <c r="H25" s="347">
        <v>850000</v>
      </c>
      <c r="I25" s="347" t="s">
        <v>268</v>
      </c>
      <c r="J25" s="348"/>
      <c r="L25" s="358"/>
    </row>
    <row r="26" spans="1:12" s="349" customFormat="1" ht="18" customHeight="1">
      <c r="A26" s="394"/>
      <c r="B26" s="343"/>
      <c r="C26" s="344" t="s">
        <v>263</v>
      </c>
      <c r="D26" s="345">
        <v>44029</v>
      </c>
      <c r="E26" s="346">
        <v>1</v>
      </c>
      <c r="F26" s="347">
        <v>850000</v>
      </c>
      <c r="G26" s="346">
        <v>1</v>
      </c>
      <c r="H26" s="347">
        <v>850000</v>
      </c>
      <c r="I26" s="347" t="s">
        <v>268</v>
      </c>
      <c r="J26" s="348"/>
      <c r="L26" s="358"/>
    </row>
    <row r="27" spans="1:12" s="390" customFormat="1" ht="18" customHeight="1">
      <c r="A27" s="395"/>
      <c r="B27" s="384"/>
      <c r="C27" s="385" t="s">
        <v>257</v>
      </c>
      <c r="D27" s="386">
        <v>44030</v>
      </c>
      <c r="E27" s="387">
        <v>0</v>
      </c>
      <c r="F27" s="388">
        <v>0</v>
      </c>
      <c r="G27" s="387">
        <v>0</v>
      </c>
      <c r="H27" s="388">
        <v>0</v>
      </c>
      <c r="I27" s="388" t="s">
        <v>273</v>
      </c>
      <c r="J27" s="389"/>
      <c r="L27" s="391"/>
    </row>
    <row r="28" spans="1:12" s="390" customFormat="1" ht="18" customHeight="1">
      <c r="A28" s="395"/>
      <c r="B28" s="384"/>
      <c r="C28" s="385" t="s">
        <v>258</v>
      </c>
      <c r="D28" s="386">
        <v>44031</v>
      </c>
      <c r="E28" s="387">
        <v>0</v>
      </c>
      <c r="F28" s="388">
        <v>0</v>
      </c>
      <c r="G28" s="387">
        <v>0</v>
      </c>
      <c r="H28" s="388">
        <v>0</v>
      </c>
      <c r="I28" s="388" t="s">
        <v>273</v>
      </c>
      <c r="J28" s="389"/>
      <c r="L28" s="391"/>
    </row>
    <row r="29" spans="1:12" s="349" customFormat="1" ht="18" customHeight="1">
      <c r="A29" s="394"/>
      <c r="B29" s="343"/>
      <c r="C29" s="344" t="s">
        <v>259</v>
      </c>
      <c r="D29" s="345">
        <v>44032</v>
      </c>
      <c r="E29" s="346">
        <v>1</v>
      </c>
      <c r="F29" s="347">
        <v>850000</v>
      </c>
      <c r="G29" s="346">
        <v>1</v>
      </c>
      <c r="H29" s="347">
        <v>850000</v>
      </c>
      <c r="I29" s="347" t="s">
        <v>268</v>
      </c>
      <c r="J29" s="348"/>
      <c r="L29" s="358"/>
    </row>
    <row r="30" spans="1:12" s="349" customFormat="1" ht="18" customHeight="1">
      <c r="A30" s="394"/>
      <c r="B30" s="343"/>
      <c r="C30" s="344" t="s">
        <v>260</v>
      </c>
      <c r="D30" s="345">
        <v>44033</v>
      </c>
      <c r="E30" s="346">
        <v>1</v>
      </c>
      <c r="F30" s="347">
        <v>850000</v>
      </c>
      <c r="G30" s="346">
        <v>1</v>
      </c>
      <c r="H30" s="347">
        <v>850000</v>
      </c>
      <c r="I30" s="347" t="s">
        <v>268</v>
      </c>
      <c r="J30" s="348"/>
      <c r="L30" s="358"/>
    </row>
    <row r="31" spans="1:12" s="349" customFormat="1" ht="18" customHeight="1">
      <c r="A31" s="394"/>
      <c r="B31" s="343"/>
      <c r="C31" s="344" t="s">
        <v>261</v>
      </c>
      <c r="D31" s="345">
        <v>44034</v>
      </c>
      <c r="E31" s="346">
        <v>1</v>
      </c>
      <c r="F31" s="347">
        <v>850000</v>
      </c>
      <c r="G31" s="346">
        <v>1</v>
      </c>
      <c r="H31" s="347">
        <v>850000</v>
      </c>
      <c r="I31" s="347" t="s">
        <v>268</v>
      </c>
      <c r="J31" s="348"/>
      <c r="L31" s="358"/>
    </row>
    <row r="32" spans="1:12" s="349" customFormat="1" ht="18" customHeight="1">
      <c r="A32" s="394"/>
      <c r="B32" s="343"/>
      <c r="C32" s="344" t="s">
        <v>262</v>
      </c>
      <c r="D32" s="345">
        <v>44035</v>
      </c>
      <c r="E32" s="346">
        <v>1</v>
      </c>
      <c r="F32" s="347">
        <v>850000</v>
      </c>
      <c r="G32" s="346">
        <v>1</v>
      </c>
      <c r="H32" s="347">
        <v>850000</v>
      </c>
      <c r="I32" s="347" t="s">
        <v>268</v>
      </c>
      <c r="J32" s="348"/>
      <c r="L32" s="358"/>
    </row>
    <row r="33" spans="1:12" s="349" customFormat="1" ht="18" customHeight="1">
      <c r="A33" s="394"/>
      <c r="B33" s="343"/>
      <c r="C33" s="344" t="s">
        <v>263</v>
      </c>
      <c r="D33" s="345">
        <v>44036</v>
      </c>
      <c r="E33" s="346">
        <v>1</v>
      </c>
      <c r="F33" s="347">
        <v>850000</v>
      </c>
      <c r="G33" s="346">
        <v>1</v>
      </c>
      <c r="H33" s="347">
        <v>850000</v>
      </c>
      <c r="I33" s="347" t="s">
        <v>268</v>
      </c>
      <c r="J33" s="348"/>
      <c r="L33" s="358"/>
    </row>
    <row r="34" spans="1:12" s="349" customFormat="1" ht="18" customHeight="1">
      <c r="A34" s="394"/>
      <c r="B34" s="343"/>
      <c r="C34" s="344" t="s">
        <v>257</v>
      </c>
      <c r="D34" s="345">
        <v>44037</v>
      </c>
      <c r="E34" s="346">
        <v>1</v>
      </c>
      <c r="F34" s="347">
        <v>850000</v>
      </c>
      <c r="G34" s="346">
        <v>1</v>
      </c>
      <c r="H34" s="347">
        <v>850000</v>
      </c>
      <c r="I34" s="347" t="s">
        <v>268</v>
      </c>
      <c r="J34" s="348"/>
      <c r="L34" s="358"/>
    </row>
    <row r="35" spans="1:12" s="390" customFormat="1" ht="18" customHeight="1">
      <c r="A35" s="395"/>
      <c r="B35" s="384"/>
      <c r="C35" s="385" t="s">
        <v>258</v>
      </c>
      <c r="D35" s="386">
        <v>44038</v>
      </c>
      <c r="E35" s="387">
        <v>0</v>
      </c>
      <c r="F35" s="388">
        <v>0</v>
      </c>
      <c r="G35" s="387">
        <v>0</v>
      </c>
      <c r="H35" s="388">
        <v>0</v>
      </c>
      <c r="I35" s="388" t="s">
        <v>273</v>
      </c>
      <c r="J35" s="389"/>
      <c r="L35" s="391"/>
    </row>
    <row r="36" spans="1:12" s="349" customFormat="1" ht="18" customHeight="1">
      <c r="A36" s="394"/>
      <c r="B36" s="343"/>
      <c r="C36" s="344" t="s">
        <v>259</v>
      </c>
      <c r="D36" s="345">
        <v>44039</v>
      </c>
      <c r="E36" s="346">
        <v>1</v>
      </c>
      <c r="F36" s="347">
        <v>850000</v>
      </c>
      <c r="G36" s="346">
        <v>1</v>
      </c>
      <c r="H36" s="347">
        <v>850000</v>
      </c>
      <c r="I36" s="347" t="s">
        <v>268</v>
      </c>
      <c r="J36" s="348"/>
      <c r="L36" s="358"/>
    </row>
    <row r="37" spans="1:12" s="349" customFormat="1" ht="18" customHeight="1">
      <c r="A37" s="394"/>
      <c r="B37" s="343"/>
      <c r="C37" s="344" t="s">
        <v>260</v>
      </c>
      <c r="D37" s="345">
        <v>44040</v>
      </c>
      <c r="E37" s="346">
        <v>1</v>
      </c>
      <c r="F37" s="347">
        <v>850000</v>
      </c>
      <c r="G37" s="346">
        <v>1</v>
      </c>
      <c r="H37" s="347">
        <v>850000</v>
      </c>
      <c r="I37" s="347" t="s">
        <v>268</v>
      </c>
      <c r="J37" s="348"/>
      <c r="L37" s="358"/>
    </row>
    <row r="38" spans="1:12" s="349" customFormat="1" ht="18" customHeight="1">
      <c r="A38" s="394"/>
      <c r="B38" s="343"/>
      <c r="C38" s="344" t="s">
        <v>261</v>
      </c>
      <c r="D38" s="345">
        <v>44041</v>
      </c>
      <c r="E38" s="346">
        <v>1</v>
      </c>
      <c r="F38" s="347">
        <v>850000</v>
      </c>
      <c r="G38" s="346">
        <v>1</v>
      </c>
      <c r="H38" s="347">
        <v>850000</v>
      </c>
      <c r="I38" s="347" t="s">
        <v>268</v>
      </c>
      <c r="J38" s="348"/>
      <c r="L38" s="358"/>
    </row>
    <row r="39" spans="1:12" s="390" customFormat="1" ht="18" customHeight="1">
      <c r="A39" s="395"/>
      <c r="B39" s="384"/>
      <c r="C39" s="385" t="s">
        <v>262</v>
      </c>
      <c r="D39" s="386">
        <v>44042</v>
      </c>
      <c r="E39" s="387">
        <v>0</v>
      </c>
      <c r="F39" s="388">
        <v>0</v>
      </c>
      <c r="G39" s="387">
        <v>0</v>
      </c>
      <c r="H39" s="388">
        <v>0</v>
      </c>
      <c r="I39" s="388" t="s">
        <v>273</v>
      </c>
      <c r="J39" s="389"/>
      <c r="L39" s="391"/>
    </row>
    <row r="40" spans="1:12" s="390" customFormat="1" ht="18" customHeight="1">
      <c r="A40" s="395"/>
      <c r="B40" s="384"/>
      <c r="C40" s="385" t="s">
        <v>262</v>
      </c>
      <c r="D40" s="386">
        <v>44043</v>
      </c>
      <c r="E40" s="387">
        <v>0</v>
      </c>
      <c r="F40" s="388">
        <v>0</v>
      </c>
      <c r="G40" s="387">
        <v>0</v>
      </c>
      <c r="H40" s="388">
        <v>0</v>
      </c>
      <c r="I40" s="388" t="s">
        <v>273</v>
      </c>
      <c r="J40" s="389"/>
      <c r="L40" s="391"/>
    </row>
    <row r="41" spans="1:12" s="297" customFormat="1" ht="24.95" customHeight="1">
      <c r="A41" s="277"/>
      <c r="B41" s="320"/>
      <c r="C41" s="694" t="s">
        <v>264</v>
      </c>
      <c r="D41" s="695"/>
      <c r="E41" s="696">
        <f>SUM(F10:F40)</f>
        <v>18700000</v>
      </c>
      <c r="F41" s="697"/>
      <c r="G41" s="696">
        <f>SUM(H10:H40)</f>
        <v>18700000</v>
      </c>
      <c r="H41" s="697"/>
      <c r="I41" s="330"/>
      <c r="J41" s="321"/>
      <c r="L41" s="356">
        <v>22</v>
      </c>
    </row>
    <row r="42" spans="1:12" s="296" customFormat="1" ht="20.100000000000001" customHeight="1">
      <c r="A42" s="277"/>
      <c r="B42" s="322"/>
      <c r="C42" s="692" t="s">
        <v>62</v>
      </c>
      <c r="D42" s="692"/>
      <c r="E42" s="692"/>
      <c r="F42" s="692"/>
      <c r="G42" s="690">
        <f>+G41+E41</f>
        <v>37400000</v>
      </c>
      <c r="H42" s="691"/>
      <c r="I42" s="331"/>
      <c r="J42" s="323"/>
      <c r="L42" s="359">
        <f>+L41*2*850000</f>
        <v>37400000</v>
      </c>
    </row>
    <row r="43" spans="1:12" ht="20.100000000000001" customHeight="1">
      <c r="B43" s="307"/>
      <c r="J43" s="308"/>
    </row>
    <row r="44" spans="1:12" ht="18" customHeight="1">
      <c r="B44" s="307"/>
      <c r="C44" s="290" t="s">
        <v>136</v>
      </c>
      <c r="E44" s="183"/>
      <c r="F44" s="234" t="s">
        <v>131</v>
      </c>
      <c r="G44" s="234" t="s">
        <v>130</v>
      </c>
      <c r="H44" s="234" t="s">
        <v>129</v>
      </c>
      <c r="I44" s="234" t="s">
        <v>128</v>
      </c>
      <c r="J44" s="308"/>
    </row>
    <row r="45" spans="1:12" s="335" customFormat="1" ht="39.950000000000003" customHeight="1">
      <c r="B45" s="332"/>
      <c r="C45" s="333">
        <v>5</v>
      </c>
      <c r="D45" s="334"/>
      <c r="F45" s="336">
        <v>4</v>
      </c>
      <c r="G45" s="336">
        <v>3</v>
      </c>
      <c r="H45" s="336">
        <v>2</v>
      </c>
      <c r="I45" s="336">
        <v>1</v>
      </c>
      <c r="J45" s="337"/>
      <c r="L45" s="357"/>
    </row>
    <row r="46" spans="1:12" ht="17.100000000000001" customHeight="1">
      <c r="B46" s="307"/>
      <c r="C46" s="290"/>
      <c r="E46" s="183"/>
      <c r="F46" s="236" t="s">
        <v>114</v>
      </c>
      <c r="G46" s="237" t="s">
        <v>113</v>
      </c>
      <c r="H46" s="238" t="s">
        <v>112</v>
      </c>
      <c r="I46" s="234" t="s">
        <v>16</v>
      </c>
      <c r="J46" s="308"/>
    </row>
    <row r="47" spans="1:12" ht="15" customHeight="1" thickBot="1">
      <c r="B47" s="374"/>
      <c r="C47" s="375" t="s">
        <v>132</v>
      </c>
      <c r="D47" s="376"/>
      <c r="E47" s="377"/>
      <c r="F47" s="375" t="s">
        <v>132</v>
      </c>
      <c r="G47" s="375" t="s">
        <v>132</v>
      </c>
      <c r="H47" s="375" t="s">
        <v>132</v>
      </c>
      <c r="I47" s="375" t="s">
        <v>132</v>
      </c>
      <c r="J47" s="378"/>
    </row>
    <row r="48" spans="1:12" ht="9.9499999999999993" customHeight="1" thickTop="1">
      <c r="B48" s="364"/>
      <c r="C48" s="364"/>
      <c r="D48" s="365"/>
      <c r="E48" s="366"/>
      <c r="F48" s="367"/>
      <c r="G48" s="366"/>
      <c r="H48" s="367"/>
      <c r="I48" s="367"/>
      <c r="J48" s="364"/>
    </row>
    <row r="50" spans="1:12" ht="9.9499999999999993" customHeight="1" thickBot="1">
      <c r="B50" s="379"/>
      <c r="C50" s="379"/>
      <c r="D50" s="380"/>
      <c r="E50" s="381"/>
      <c r="F50" s="382"/>
      <c r="G50" s="381"/>
      <c r="H50" s="382"/>
      <c r="I50" s="382"/>
      <c r="J50" s="379"/>
    </row>
    <row r="51" spans="1:12" ht="9.9499999999999993" customHeight="1" thickTop="1">
      <c r="A51" s="661" t="s">
        <v>333</v>
      </c>
      <c r="B51" s="301"/>
      <c r="C51" s="302"/>
      <c r="D51" s="303"/>
      <c r="E51" s="304"/>
      <c r="F51" s="305"/>
      <c r="G51" s="304"/>
      <c r="H51" s="305"/>
      <c r="I51" s="305"/>
      <c r="J51" s="306"/>
    </row>
    <row r="52" spans="1:12" ht="17.100000000000001" customHeight="1">
      <c r="A52" s="661"/>
      <c r="B52" s="307"/>
      <c r="C52" s="298" t="s">
        <v>138</v>
      </c>
      <c r="D52" s="299"/>
      <c r="G52" s="662" t="s">
        <v>336</v>
      </c>
      <c r="H52" s="662"/>
      <c r="I52" s="662"/>
      <c r="J52" s="308"/>
    </row>
    <row r="53" spans="1:12" s="275" customFormat="1" ht="30" customHeight="1">
      <c r="A53" s="661"/>
      <c r="B53" s="309"/>
      <c r="C53" s="279" t="s">
        <v>119</v>
      </c>
      <c r="D53" s="292" t="s">
        <v>244</v>
      </c>
      <c r="F53" s="310"/>
      <c r="G53" s="311"/>
      <c r="H53" s="310"/>
      <c r="I53" s="310"/>
      <c r="J53" s="312"/>
      <c r="L53" s="352"/>
    </row>
    <row r="54" spans="1:12" s="276" customFormat="1" ht="23.1" customHeight="1">
      <c r="A54" s="277"/>
      <c r="B54" s="313"/>
      <c r="C54" s="280" t="s">
        <v>120</v>
      </c>
      <c r="D54" s="293" t="s">
        <v>334</v>
      </c>
      <c r="F54" s="663" t="s">
        <v>303</v>
      </c>
      <c r="G54" s="664"/>
      <c r="H54" s="664"/>
      <c r="I54" s="665"/>
      <c r="J54" s="315"/>
      <c r="L54" s="353"/>
    </row>
    <row r="55" spans="1:12" s="276" customFormat="1" ht="23.1" customHeight="1">
      <c r="A55" s="277"/>
      <c r="B55" s="313"/>
      <c r="C55" s="280" t="s">
        <v>121</v>
      </c>
      <c r="D55" s="293" t="s">
        <v>335</v>
      </c>
      <c r="F55" s="666"/>
      <c r="G55" s="667"/>
      <c r="H55" s="667"/>
      <c r="I55" s="668"/>
      <c r="J55" s="315"/>
      <c r="L55" s="353"/>
    </row>
    <row r="56" spans="1:12" s="278" customFormat="1" ht="50.1" customHeight="1">
      <c r="A56" s="392"/>
      <c r="B56" s="316"/>
      <c r="C56" s="669" t="s">
        <v>2</v>
      </c>
      <c r="D56" s="671" t="s">
        <v>283</v>
      </c>
      <c r="E56" s="673" t="s">
        <v>275</v>
      </c>
      <c r="F56" s="674"/>
      <c r="G56" s="673" t="s">
        <v>276</v>
      </c>
      <c r="H56" s="674"/>
      <c r="I56" s="675" t="s">
        <v>85</v>
      </c>
      <c r="J56" s="317"/>
      <c r="L56" s="354"/>
    </row>
    <row r="57" spans="1:12" s="278" customFormat="1" ht="24.95" customHeight="1">
      <c r="A57" s="392"/>
      <c r="B57" s="316"/>
      <c r="C57" s="670"/>
      <c r="D57" s="672"/>
      <c r="E57" s="294" t="s">
        <v>256</v>
      </c>
      <c r="F57" s="295" t="s">
        <v>27</v>
      </c>
      <c r="G57" s="294" t="s">
        <v>256</v>
      </c>
      <c r="H57" s="295" t="s">
        <v>27</v>
      </c>
      <c r="I57" s="675"/>
      <c r="J57" s="317"/>
      <c r="L57" s="354"/>
    </row>
    <row r="58" spans="1:12" s="390" customFormat="1" ht="18" customHeight="1">
      <c r="A58" s="395"/>
      <c r="B58" s="384"/>
      <c r="C58" s="385" t="s">
        <v>257</v>
      </c>
      <c r="D58" s="386">
        <v>44044</v>
      </c>
      <c r="E58" s="387">
        <v>0</v>
      </c>
      <c r="F58" s="388">
        <v>0</v>
      </c>
      <c r="G58" s="387">
        <v>0</v>
      </c>
      <c r="H58" s="388">
        <v>0</v>
      </c>
      <c r="I58" s="388" t="s">
        <v>273</v>
      </c>
      <c r="J58" s="389"/>
      <c r="L58" s="391"/>
    </row>
    <row r="59" spans="1:12" s="390" customFormat="1" ht="18" customHeight="1">
      <c r="A59" s="395"/>
      <c r="B59" s="384"/>
      <c r="C59" s="385" t="s">
        <v>258</v>
      </c>
      <c r="D59" s="386">
        <v>44045</v>
      </c>
      <c r="E59" s="387">
        <v>0</v>
      </c>
      <c r="F59" s="388">
        <v>0</v>
      </c>
      <c r="G59" s="387">
        <v>0</v>
      </c>
      <c r="H59" s="388">
        <v>0</v>
      </c>
      <c r="I59" s="388" t="s">
        <v>273</v>
      </c>
      <c r="J59" s="389"/>
      <c r="L59" s="391"/>
    </row>
    <row r="60" spans="1:12" s="349" customFormat="1" ht="18" customHeight="1">
      <c r="A60" s="394"/>
      <c r="B60" s="343"/>
      <c r="C60" s="344" t="s">
        <v>259</v>
      </c>
      <c r="D60" s="345">
        <v>44046</v>
      </c>
      <c r="E60" s="346">
        <v>1</v>
      </c>
      <c r="F60" s="347">
        <v>850000</v>
      </c>
      <c r="G60" s="346">
        <v>1</v>
      </c>
      <c r="H60" s="347">
        <v>850000</v>
      </c>
      <c r="I60" s="347" t="s">
        <v>268</v>
      </c>
      <c r="J60" s="348"/>
      <c r="L60" s="358"/>
    </row>
    <row r="61" spans="1:12" s="349" customFormat="1" ht="18" customHeight="1">
      <c r="A61" s="394"/>
      <c r="B61" s="343"/>
      <c r="C61" s="344" t="s">
        <v>260</v>
      </c>
      <c r="D61" s="345">
        <v>44047</v>
      </c>
      <c r="E61" s="346">
        <v>1</v>
      </c>
      <c r="F61" s="347">
        <v>850000</v>
      </c>
      <c r="G61" s="346">
        <v>1</v>
      </c>
      <c r="H61" s="347">
        <v>850000</v>
      </c>
      <c r="I61" s="347" t="s">
        <v>268</v>
      </c>
      <c r="J61" s="348"/>
      <c r="L61" s="358"/>
    </row>
    <row r="62" spans="1:12" s="349" customFormat="1" ht="18" customHeight="1">
      <c r="A62" s="394"/>
      <c r="B62" s="343"/>
      <c r="C62" s="344" t="s">
        <v>261</v>
      </c>
      <c r="D62" s="345">
        <v>44048</v>
      </c>
      <c r="E62" s="346">
        <v>1</v>
      </c>
      <c r="F62" s="347">
        <v>850000</v>
      </c>
      <c r="G62" s="346">
        <v>1</v>
      </c>
      <c r="H62" s="347">
        <v>850000</v>
      </c>
      <c r="I62" s="347" t="s">
        <v>268</v>
      </c>
      <c r="J62" s="348"/>
      <c r="L62" s="358"/>
    </row>
    <row r="63" spans="1:12" s="349" customFormat="1" ht="18" customHeight="1">
      <c r="A63" s="394"/>
      <c r="B63" s="343"/>
      <c r="C63" s="344" t="s">
        <v>262</v>
      </c>
      <c r="D63" s="345">
        <v>44049</v>
      </c>
      <c r="E63" s="346">
        <v>1</v>
      </c>
      <c r="F63" s="347">
        <v>850000</v>
      </c>
      <c r="G63" s="346">
        <v>1</v>
      </c>
      <c r="H63" s="347">
        <v>850000</v>
      </c>
      <c r="I63" s="347" t="s">
        <v>268</v>
      </c>
      <c r="J63" s="348"/>
      <c r="L63" s="358"/>
    </row>
    <row r="64" spans="1:12" s="349" customFormat="1" ht="18" customHeight="1">
      <c r="A64" s="394"/>
      <c r="B64" s="343"/>
      <c r="C64" s="344" t="s">
        <v>263</v>
      </c>
      <c r="D64" s="345">
        <v>44050</v>
      </c>
      <c r="E64" s="346">
        <v>1</v>
      </c>
      <c r="F64" s="347">
        <v>850000</v>
      </c>
      <c r="G64" s="346">
        <v>1</v>
      </c>
      <c r="H64" s="347">
        <v>850000</v>
      </c>
      <c r="I64" s="347" t="s">
        <v>268</v>
      </c>
      <c r="J64" s="348"/>
      <c r="L64" s="358"/>
    </row>
    <row r="65" spans="1:12" s="390" customFormat="1" ht="18" customHeight="1">
      <c r="A65" s="395"/>
      <c r="B65" s="384"/>
      <c r="C65" s="385" t="s">
        <v>257</v>
      </c>
      <c r="D65" s="386">
        <v>44051</v>
      </c>
      <c r="E65" s="387">
        <v>0</v>
      </c>
      <c r="F65" s="388">
        <v>0</v>
      </c>
      <c r="G65" s="387">
        <v>0</v>
      </c>
      <c r="H65" s="388">
        <v>0</v>
      </c>
      <c r="I65" s="388" t="s">
        <v>273</v>
      </c>
      <c r="J65" s="389"/>
      <c r="L65" s="391"/>
    </row>
    <row r="66" spans="1:12" s="390" customFormat="1" ht="18" customHeight="1">
      <c r="A66" s="395"/>
      <c r="B66" s="384"/>
      <c r="C66" s="385" t="s">
        <v>258</v>
      </c>
      <c r="D66" s="386">
        <v>44052</v>
      </c>
      <c r="E66" s="387">
        <v>0</v>
      </c>
      <c r="F66" s="388">
        <v>0</v>
      </c>
      <c r="G66" s="387">
        <v>0</v>
      </c>
      <c r="H66" s="388">
        <v>0</v>
      </c>
      <c r="I66" s="388" t="s">
        <v>273</v>
      </c>
      <c r="J66" s="389"/>
      <c r="L66" s="391"/>
    </row>
    <row r="67" spans="1:12" s="349" customFormat="1" ht="18" customHeight="1">
      <c r="A67" s="394"/>
      <c r="B67" s="343"/>
      <c r="C67" s="344" t="s">
        <v>259</v>
      </c>
      <c r="D67" s="345">
        <v>44053</v>
      </c>
      <c r="E67" s="346">
        <v>1</v>
      </c>
      <c r="F67" s="347">
        <v>850000</v>
      </c>
      <c r="G67" s="346">
        <v>1</v>
      </c>
      <c r="H67" s="347">
        <v>850000</v>
      </c>
      <c r="I67" s="347" t="s">
        <v>268</v>
      </c>
      <c r="J67" s="348"/>
      <c r="L67" s="358"/>
    </row>
    <row r="68" spans="1:12" s="349" customFormat="1" ht="18" customHeight="1">
      <c r="A68" s="394"/>
      <c r="B68" s="343"/>
      <c r="C68" s="344" t="s">
        <v>260</v>
      </c>
      <c r="D68" s="345">
        <v>44054</v>
      </c>
      <c r="E68" s="346">
        <v>1</v>
      </c>
      <c r="F68" s="347">
        <v>850000</v>
      </c>
      <c r="G68" s="346">
        <v>1</v>
      </c>
      <c r="H68" s="347">
        <v>850000</v>
      </c>
      <c r="I68" s="347" t="s">
        <v>268</v>
      </c>
      <c r="J68" s="348"/>
      <c r="L68" s="358"/>
    </row>
    <row r="69" spans="1:12" s="349" customFormat="1" ht="18" customHeight="1">
      <c r="A69" s="394"/>
      <c r="B69" s="343"/>
      <c r="C69" s="344" t="s">
        <v>261</v>
      </c>
      <c r="D69" s="345">
        <v>44055</v>
      </c>
      <c r="E69" s="346">
        <v>1</v>
      </c>
      <c r="F69" s="347">
        <v>850000</v>
      </c>
      <c r="G69" s="346">
        <v>1</v>
      </c>
      <c r="H69" s="347">
        <v>850000</v>
      </c>
      <c r="I69" s="347" t="s">
        <v>268</v>
      </c>
      <c r="J69" s="348"/>
      <c r="L69" s="358"/>
    </row>
    <row r="70" spans="1:12" s="349" customFormat="1" ht="18" customHeight="1">
      <c r="A70" s="394"/>
      <c r="B70" s="343"/>
      <c r="C70" s="344" t="s">
        <v>262</v>
      </c>
      <c r="D70" s="345">
        <v>44056</v>
      </c>
      <c r="E70" s="346">
        <v>1</v>
      </c>
      <c r="F70" s="347">
        <v>850000</v>
      </c>
      <c r="G70" s="346">
        <v>1</v>
      </c>
      <c r="H70" s="347">
        <v>850000</v>
      </c>
      <c r="I70" s="347" t="s">
        <v>268</v>
      </c>
      <c r="J70" s="348"/>
      <c r="L70" s="358"/>
    </row>
    <row r="71" spans="1:12" s="349" customFormat="1" ht="18" customHeight="1">
      <c r="A71" s="394"/>
      <c r="B71" s="343"/>
      <c r="C71" s="344" t="s">
        <v>263</v>
      </c>
      <c r="D71" s="345">
        <v>44057</v>
      </c>
      <c r="E71" s="346">
        <v>1</v>
      </c>
      <c r="F71" s="347">
        <v>850000</v>
      </c>
      <c r="G71" s="346">
        <v>1</v>
      </c>
      <c r="H71" s="347">
        <v>850000</v>
      </c>
      <c r="I71" s="347" t="s">
        <v>268</v>
      </c>
      <c r="J71" s="348"/>
      <c r="L71" s="358"/>
    </row>
    <row r="72" spans="1:12" s="349" customFormat="1" ht="18" customHeight="1">
      <c r="A72" s="394"/>
      <c r="B72" s="343"/>
      <c r="C72" s="344" t="s">
        <v>257</v>
      </c>
      <c r="D72" s="345">
        <v>44058</v>
      </c>
      <c r="E72" s="346">
        <v>1</v>
      </c>
      <c r="F72" s="347">
        <v>850000</v>
      </c>
      <c r="G72" s="346">
        <v>1</v>
      </c>
      <c r="H72" s="347">
        <v>850000</v>
      </c>
      <c r="I72" s="347" t="s">
        <v>268</v>
      </c>
      <c r="J72" s="348"/>
      <c r="L72" s="358"/>
    </row>
    <row r="73" spans="1:12" s="390" customFormat="1" ht="18" customHeight="1">
      <c r="A73" s="395"/>
      <c r="B73" s="384"/>
      <c r="C73" s="385" t="s">
        <v>258</v>
      </c>
      <c r="D73" s="386">
        <v>44059</v>
      </c>
      <c r="E73" s="387">
        <v>0</v>
      </c>
      <c r="F73" s="388">
        <v>0</v>
      </c>
      <c r="G73" s="387">
        <v>0</v>
      </c>
      <c r="H73" s="388">
        <v>0</v>
      </c>
      <c r="I73" s="388" t="s">
        <v>273</v>
      </c>
      <c r="J73" s="389"/>
      <c r="L73" s="391"/>
    </row>
    <row r="74" spans="1:12" s="390" customFormat="1" ht="18" customHeight="1">
      <c r="A74" s="395"/>
      <c r="B74" s="384"/>
      <c r="C74" s="385" t="s">
        <v>259</v>
      </c>
      <c r="D74" s="386">
        <v>44060</v>
      </c>
      <c r="E74" s="387">
        <v>0</v>
      </c>
      <c r="F74" s="388">
        <v>0</v>
      </c>
      <c r="G74" s="387">
        <v>0</v>
      </c>
      <c r="H74" s="388">
        <v>0</v>
      </c>
      <c r="I74" s="388" t="s">
        <v>273</v>
      </c>
      <c r="J74" s="389"/>
      <c r="L74" s="391"/>
    </row>
    <row r="75" spans="1:12" s="390" customFormat="1" ht="18" customHeight="1">
      <c r="A75" s="395"/>
      <c r="B75" s="384"/>
      <c r="C75" s="385" t="s">
        <v>260</v>
      </c>
      <c r="D75" s="386">
        <v>44061</v>
      </c>
      <c r="E75" s="387">
        <v>0</v>
      </c>
      <c r="F75" s="388">
        <v>0</v>
      </c>
      <c r="G75" s="387">
        <v>0</v>
      </c>
      <c r="H75" s="388">
        <v>0</v>
      </c>
      <c r="I75" s="388" t="s">
        <v>273</v>
      </c>
      <c r="J75" s="389"/>
      <c r="L75" s="391"/>
    </row>
    <row r="76" spans="1:12" s="390" customFormat="1" ht="18" customHeight="1">
      <c r="A76" s="395"/>
      <c r="B76" s="384"/>
      <c r="C76" s="385" t="s">
        <v>261</v>
      </c>
      <c r="D76" s="386">
        <v>44062</v>
      </c>
      <c r="E76" s="387">
        <v>0</v>
      </c>
      <c r="F76" s="388">
        <v>0</v>
      </c>
      <c r="G76" s="387">
        <v>0</v>
      </c>
      <c r="H76" s="388">
        <v>0</v>
      </c>
      <c r="I76" s="388" t="s">
        <v>273</v>
      </c>
      <c r="J76" s="389"/>
      <c r="L76" s="391"/>
    </row>
    <row r="77" spans="1:12" s="390" customFormat="1" ht="18" customHeight="1">
      <c r="A77" s="395"/>
      <c r="B77" s="384"/>
      <c r="C77" s="385" t="s">
        <v>262</v>
      </c>
      <c r="D77" s="386">
        <v>44063</v>
      </c>
      <c r="E77" s="387">
        <v>0</v>
      </c>
      <c r="F77" s="388">
        <v>0</v>
      </c>
      <c r="G77" s="387">
        <v>0</v>
      </c>
      <c r="H77" s="388">
        <v>0</v>
      </c>
      <c r="I77" s="388" t="s">
        <v>273</v>
      </c>
      <c r="J77" s="389"/>
      <c r="L77" s="391"/>
    </row>
    <row r="78" spans="1:12" s="390" customFormat="1" ht="18" customHeight="1">
      <c r="A78" s="395"/>
      <c r="B78" s="384"/>
      <c r="C78" s="385" t="s">
        <v>263</v>
      </c>
      <c r="D78" s="386">
        <v>44064</v>
      </c>
      <c r="E78" s="387">
        <v>0</v>
      </c>
      <c r="F78" s="388">
        <v>0</v>
      </c>
      <c r="G78" s="387">
        <v>0</v>
      </c>
      <c r="H78" s="388">
        <v>0</v>
      </c>
      <c r="I78" s="388" t="s">
        <v>273</v>
      </c>
      <c r="J78" s="389"/>
      <c r="L78" s="391"/>
    </row>
    <row r="79" spans="1:12" s="390" customFormat="1" ht="18" customHeight="1">
      <c r="A79" s="395"/>
      <c r="B79" s="384"/>
      <c r="C79" s="385" t="s">
        <v>257</v>
      </c>
      <c r="D79" s="386">
        <v>44065</v>
      </c>
      <c r="E79" s="387">
        <v>0</v>
      </c>
      <c r="F79" s="388">
        <v>0</v>
      </c>
      <c r="G79" s="387">
        <v>0</v>
      </c>
      <c r="H79" s="388">
        <v>0</v>
      </c>
      <c r="I79" s="388" t="s">
        <v>273</v>
      </c>
      <c r="J79" s="389"/>
      <c r="L79" s="391"/>
    </row>
    <row r="80" spans="1:12" s="390" customFormat="1" ht="18" customHeight="1">
      <c r="A80" s="395"/>
      <c r="B80" s="384"/>
      <c r="C80" s="385" t="s">
        <v>258</v>
      </c>
      <c r="D80" s="386">
        <v>44066</v>
      </c>
      <c r="E80" s="387">
        <v>0</v>
      </c>
      <c r="F80" s="388">
        <v>0</v>
      </c>
      <c r="G80" s="387">
        <v>0</v>
      </c>
      <c r="H80" s="388">
        <v>0</v>
      </c>
      <c r="I80" s="388" t="s">
        <v>273</v>
      </c>
      <c r="J80" s="389"/>
      <c r="L80" s="391"/>
    </row>
    <row r="81" spans="1:12" s="349" customFormat="1" ht="18" customHeight="1">
      <c r="A81" s="394"/>
      <c r="B81" s="343"/>
      <c r="C81" s="344" t="s">
        <v>259</v>
      </c>
      <c r="D81" s="345">
        <v>44067</v>
      </c>
      <c r="E81" s="346">
        <v>1</v>
      </c>
      <c r="F81" s="347">
        <v>850000</v>
      </c>
      <c r="G81" s="346">
        <v>1</v>
      </c>
      <c r="H81" s="347">
        <v>850000</v>
      </c>
      <c r="I81" s="347" t="s">
        <v>268</v>
      </c>
      <c r="J81" s="348"/>
      <c r="L81" s="358"/>
    </row>
    <row r="82" spans="1:12" s="349" customFormat="1" ht="18" customHeight="1">
      <c r="A82" s="394"/>
      <c r="B82" s="343"/>
      <c r="C82" s="344" t="s">
        <v>260</v>
      </c>
      <c r="D82" s="345">
        <v>44068</v>
      </c>
      <c r="E82" s="346">
        <v>1</v>
      </c>
      <c r="F82" s="347">
        <v>850000</v>
      </c>
      <c r="G82" s="346">
        <v>1</v>
      </c>
      <c r="H82" s="347">
        <v>850000</v>
      </c>
      <c r="I82" s="347" t="s">
        <v>268</v>
      </c>
      <c r="J82" s="348"/>
      <c r="L82" s="358"/>
    </row>
    <row r="83" spans="1:12" s="349" customFormat="1" ht="18" customHeight="1">
      <c r="A83" s="394"/>
      <c r="B83" s="343"/>
      <c r="C83" s="344" t="s">
        <v>261</v>
      </c>
      <c r="D83" s="345">
        <v>44069</v>
      </c>
      <c r="E83" s="346">
        <v>1</v>
      </c>
      <c r="F83" s="347">
        <v>850000</v>
      </c>
      <c r="G83" s="346">
        <v>1</v>
      </c>
      <c r="H83" s="347">
        <v>850000</v>
      </c>
      <c r="I83" s="347" t="s">
        <v>268</v>
      </c>
      <c r="J83" s="348"/>
      <c r="L83" s="358"/>
    </row>
    <row r="84" spans="1:12" s="349" customFormat="1" ht="18" customHeight="1">
      <c r="A84" s="394"/>
      <c r="B84" s="343"/>
      <c r="C84" s="344" t="s">
        <v>262</v>
      </c>
      <c r="D84" s="345">
        <v>44070</v>
      </c>
      <c r="E84" s="346">
        <v>1</v>
      </c>
      <c r="F84" s="347">
        <v>850000</v>
      </c>
      <c r="G84" s="346">
        <v>1</v>
      </c>
      <c r="H84" s="347">
        <v>850000</v>
      </c>
      <c r="I84" s="347" t="s">
        <v>268</v>
      </c>
      <c r="J84" s="348"/>
      <c r="L84" s="358"/>
    </row>
    <row r="85" spans="1:12" s="349" customFormat="1" ht="18" customHeight="1">
      <c r="A85" s="394"/>
      <c r="B85" s="343"/>
      <c r="C85" s="344" t="s">
        <v>263</v>
      </c>
      <c r="D85" s="345">
        <v>44071</v>
      </c>
      <c r="E85" s="346">
        <v>1</v>
      </c>
      <c r="F85" s="347">
        <v>850000</v>
      </c>
      <c r="G85" s="346">
        <v>1</v>
      </c>
      <c r="H85" s="347">
        <v>850000</v>
      </c>
      <c r="I85" s="347" t="s">
        <v>268</v>
      </c>
      <c r="J85" s="348"/>
      <c r="L85" s="358"/>
    </row>
    <row r="86" spans="1:12" s="349" customFormat="1" ht="18" customHeight="1">
      <c r="A86" s="394"/>
      <c r="B86" s="343"/>
      <c r="C86" s="344" t="s">
        <v>257</v>
      </c>
      <c r="D86" s="345">
        <v>44072</v>
      </c>
      <c r="E86" s="346">
        <v>1</v>
      </c>
      <c r="F86" s="347">
        <v>850000</v>
      </c>
      <c r="G86" s="346">
        <v>1</v>
      </c>
      <c r="H86" s="347">
        <v>850000</v>
      </c>
      <c r="I86" s="347" t="s">
        <v>268</v>
      </c>
      <c r="J86" s="348"/>
      <c r="L86" s="358"/>
    </row>
    <row r="87" spans="1:12" s="390" customFormat="1" ht="18" customHeight="1">
      <c r="A87" s="395"/>
      <c r="B87" s="384"/>
      <c r="C87" s="385" t="s">
        <v>258</v>
      </c>
      <c r="D87" s="386">
        <v>44073</v>
      </c>
      <c r="E87" s="387">
        <v>0</v>
      </c>
      <c r="F87" s="388">
        <v>0</v>
      </c>
      <c r="G87" s="387">
        <v>0</v>
      </c>
      <c r="H87" s="388">
        <v>0</v>
      </c>
      <c r="I87" s="388" t="s">
        <v>273</v>
      </c>
      <c r="J87" s="389"/>
      <c r="L87" s="391"/>
    </row>
    <row r="88" spans="1:12" s="349" customFormat="1" ht="18" customHeight="1">
      <c r="A88" s="394"/>
      <c r="B88" s="343"/>
      <c r="C88" s="344" t="s">
        <v>259</v>
      </c>
      <c r="D88" s="345">
        <v>44074</v>
      </c>
      <c r="E88" s="346">
        <v>1</v>
      </c>
      <c r="F88" s="347">
        <v>850000</v>
      </c>
      <c r="G88" s="346">
        <v>1</v>
      </c>
      <c r="H88" s="347">
        <v>850000</v>
      </c>
      <c r="I88" s="347" t="s">
        <v>268</v>
      </c>
      <c r="J88" s="348"/>
      <c r="L88" s="358"/>
    </row>
    <row r="89" spans="1:12" s="349" customFormat="1" ht="18" customHeight="1">
      <c r="A89" s="394"/>
      <c r="B89" s="343"/>
      <c r="C89" s="716" t="s">
        <v>337</v>
      </c>
      <c r="D89" s="717"/>
      <c r="E89" s="704">
        <f>SUM(E58:E88)</f>
        <v>18</v>
      </c>
      <c r="F89" s="705"/>
      <c r="G89" s="704">
        <f>SUM(G58:G88)</f>
        <v>18</v>
      </c>
      <c r="H89" s="705"/>
      <c r="I89" s="400"/>
      <c r="J89" s="348"/>
      <c r="L89" s="358"/>
    </row>
    <row r="90" spans="1:12" s="297" customFormat="1" ht="24.95" customHeight="1">
      <c r="A90" s="277"/>
      <c r="B90" s="320"/>
      <c r="C90" s="694" t="s">
        <v>264</v>
      </c>
      <c r="D90" s="695"/>
      <c r="E90" s="696">
        <f>SUM(F58:F88)</f>
        <v>15300000</v>
      </c>
      <c r="F90" s="697"/>
      <c r="G90" s="696">
        <f>SUM(H58:H88)</f>
        <v>15300000</v>
      </c>
      <c r="H90" s="697"/>
      <c r="I90" s="330"/>
      <c r="J90" s="321"/>
      <c r="L90" s="356">
        <v>18</v>
      </c>
    </row>
    <row r="91" spans="1:12" s="296" customFormat="1" ht="20.100000000000001" customHeight="1">
      <c r="A91" s="277"/>
      <c r="B91" s="322"/>
      <c r="C91" s="692" t="s">
        <v>62</v>
      </c>
      <c r="D91" s="692"/>
      <c r="E91" s="692"/>
      <c r="F91" s="692"/>
      <c r="G91" s="690">
        <f>+G90+E90</f>
        <v>30600000</v>
      </c>
      <c r="H91" s="691"/>
      <c r="I91" s="331"/>
      <c r="J91" s="323"/>
      <c r="L91" s="359">
        <f>+L90*2*850000</f>
        <v>30600000</v>
      </c>
    </row>
    <row r="92" spans="1:12" ht="20.100000000000001" customHeight="1">
      <c r="B92" s="307"/>
      <c r="J92" s="308"/>
    </row>
    <row r="93" spans="1:12" ht="18" customHeight="1">
      <c r="B93" s="307"/>
      <c r="C93" s="290" t="s">
        <v>136</v>
      </c>
      <c r="E93" s="183"/>
      <c r="F93" s="234" t="s">
        <v>131</v>
      </c>
      <c r="G93" s="234" t="s">
        <v>130</v>
      </c>
      <c r="H93" s="234" t="s">
        <v>129</v>
      </c>
      <c r="I93" s="234" t="s">
        <v>128</v>
      </c>
      <c r="J93" s="308"/>
    </row>
    <row r="94" spans="1:12" s="335" customFormat="1" ht="39.950000000000003" customHeight="1">
      <c r="B94" s="332"/>
      <c r="C94" s="333">
        <v>5</v>
      </c>
      <c r="D94" s="334"/>
      <c r="F94" s="336">
        <v>4</v>
      </c>
      <c r="G94" s="336">
        <v>3</v>
      </c>
      <c r="H94" s="336">
        <v>2</v>
      </c>
      <c r="I94" s="336">
        <v>1</v>
      </c>
      <c r="J94" s="337"/>
      <c r="L94" s="357"/>
    </row>
    <row r="95" spans="1:12" ht="17.100000000000001" customHeight="1">
      <c r="B95" s="307"/>
      <c r="C95" s="290"/>
      <c r="E95" s="183"/>
      <c r="F95" s="236" t="s">
        <v>114</v>
      </c>
      <c r="G95" s="237" t="s">
        <v>113</v>
      </c>
      <c r="H95" s="238" t="s">
        <v>112</v>
      </c>
      <c r="I95" s="234" t="s">
        <v>16</v>
      </c>
      <c r="J95" s="308"/>
    </row>
    <row r="96" spans="1:12" ht="15" customHeight="1" thickBot="1">
      <c r="B96" s="374"/>
      <c r="C96" s="375" t="s">
        <v>132</v>
      </c>
      <c r="D96" s="376"/>
      <c r="E96" s="377"/>
      <c r="F96" s="375" t="s">
        <v>132</v>
      </c>
      <c r="G96" s="375" t="s">
        <v>132</v>
      </c>
      <c r="H96" s="375" t="s">
        <v>132</v>
      </c>
      <c r="I96" s="375" t="s">
        <v>132</v>
      </c>
      <c r="J96" s="378"/>
    </row>
    <row r="97" spans="1:12" ht="9.9499999999999993" customHeight="1" thickTop="1">
      <c r="B97" s="364"/>
      <c r="C97" s="364"/>
      <c r="D97" s="365"/>
      <c r="E97" s="366"/>
      <c r="F97" s="367"/>
      <c r="G97" s="366"/>
      <c r="H97" s="367"/>
      <c r="I97" s="367"/>
      <c r="J97" s="364"/>
    </row>
    <row r="99" spans="1:12" ht="9.9499999999999993" customHeight="1" thickBot="1">
      <c r="B99" s="379"/>
      <c r="C99" s="379"/>
      <c r="D99" s="380"/>
      <c r="E99" s="381"/>
      <c r="F99" s="382"/>
      <c r="G99" s="381"/>
      <c r="H99" s="382"/>
      <c r="I99" s="382"/>
      <c r="J99" s="379"/>
    </row>
    <row r="100" spans="1:12" ht="9.9499999999999993" customHeight="1" thickTop="1">
      <c r="A100" s="661">
        <v>44063</v>
      </c>
      <c r="B100" s="301"/>
      <c r="C100" s="302"/>
      <c r="D100" s="303"/>
      <c r="E100" s="304"/>
      <c r="F100" s="305"/>
      <c r="G100" s="304"/>
      <c r="H100" s="305"/>
      <c r="I100" s="305"/>
      <c r="J100" s="306"/>
    </row>
    <row r="101" spans="1:12" ht="17.100000000000001" customHeight="1">
      <c r="A101" s="661"/>
      <c r="B101" s="307"/>
      <c r="C101" s="298" t="s">
        <v>138</v>
      </c>
      <c r="D101" s="299"/>
      <c r="G101" s="662" t="s">
        <v>338</v>
      </c>
      <c r="H101" s="662"/>
      <c r="I101" s="662"/>
      <c r="J101" s="308"/>
    </row>
    <row r="102" spans="1:12" s="275" customFormat="1" ht="30" customHeight="1">
      <c r="A102" s="661"/>
      <c r="B102" s="309"/>
      <c r="C102" s="279" t="s">
        <v>119</v>
      </c>
      <c r="D102" s="292" t="s">
        <v>244</v>
      </c>
      <c r="F102" s="310"/>
      <c r="G102" s="311"/>
      <c r="H102" s="310"/>
      <c r="I102" s="310"/>
      <c r="J102" s="312"/>
      <c r="L102" s="352"/>
    </row>
    <row r="103" spans="1:12" s="276" customFormat="1" ht="23.1" customHeight="1">
      <c r="A103" s="277"/>
      <c r="B103" s="313"/>
      <c r="C103" s="280" t="s">
        <v>120</v>
      </c>
      <c r="D103" s="293" t="s">
        <v>339</v>
      </c>
      <c r="F103" s="663" t="s">
        <v>303</v>
      </c>
      <c r="G103" s="664"/>
      <c r="H103" s="664"/>
      <c r="I103" s="665"/>
      <c r="J103" s="315"/>
      <c r="L103" s="353"/>
    </row>
    <row r="104" spans="1:12" s="276" customFormat="1" ht="23.1" customHeight="1">
      <c r="A104" s="277"/>
      <c r="B104" s="313"/>
      <c r="C104" s="280" t="s">
        <v>121</v>
      </c>
      <c r="D104" s="293" t="s">
        <v>340</v>
      </c>
      <c r="F104" s="666"/>
      <c r="G104" s="667"/>
      <c r="H104" s="667"/>
      <c r="I104" s="668"/>
      <c r="J104" s="315"/>
      <c r="L104" s="353"/>
    </row>
    <row r="105" spans="1:12" s="278" customFormat="1" ht="50.1" customHeight="1">
      <c r="A105" s="392"/>
      <c r="B105" s="316"/>
      <c r="C105" s="669" t="s">
        <v>2</v>
      </c>
      <c r="D105" s="671" t="s">
        <v>283</v>
      </c>
      <c r="E105" s="673" t="s">
        <v>275</v>
      </c>
      <c r="F105" s="674"/>
      <c r="G105" s="673" t="s">
        <v>276</v>
      </c>
      <c r="H105" s="674"/>
      <c r="I105" s="675" t="s">
        <v>85</v>
      </c>
      <c r="J105" s="317"/>
      <c r="L105" s="354"/>
    </row>
    <row r="106" spans="1:12" s="278" customFormat="1" ht="24.95" customHeight="1">
      <c r="A106" s="392"/>
      <c r="B106" s="316"/>
      <c r="C106" s="670"/>
      <c r="D106" s="672"/>
      <c r="E106" s="294" t="s">
        <v>256</v>
      </c>
      <c r="F106" s="295" t="s">
        <v>27</v>
      </c>
      <c r="G106" s="294" t="s">
        <v>256</v>
      </c>
      <c r="H106" s="295" t="s">
        <v>27</v>
      </c>
      <c r="I106" s="675"/>
      <c r="J106" s="317"/>
      <c r="L106" s="354"/>
    </row>
    <row r="107" spans="1:12" s="349" customFormat="1" ht="18" customHeight="1">
      <c r="A107" s="394"/>
      <c r="B107" s="343"/>
      <c r="C107" s="344" t="s">
        <v>260</v>
      </c>
      <c r="D107" s="345">
        <v>44075</v>
      </c>
      <c r="E107" s="346">
        <v>1</v>
      </c>
      <c r="F107" s="347">
        <v>850000</v>
      </c>
      <c r="G107" s="346">
        <v>1</v>
      </c>
      <c r="H107" s="347">
        <v>850000</v>
      </c>
      <c r="I107" s="347" t="s">
        <v>268</v>
      </c>
      <c r="J107" s="348"/>
      <c r="L107" s="358"/>
    </row>
    <row r="108" spans="1:12" s="349" customFormat="1" ht="18" customHeight="1">
      <c r="A108" s="394"/>
      <c r="B108" s="343"/>
      <c r="C108" s="344" t="s">
        <v>261</v>
      </c>
      <c r="D108" s="345">
        <v>44076</v>
      </c>
      <c r="E108" s="346">
        <v>1</v>
      </c>
      <c r="F108" s="347">
        <v>850000</v>
      </c>
      <c r="G108" s="346">
        <v>1</v>
      </c>
      <c r="H108" s="347">
        <v>850000</v>
      </c>
      <c r="I108" s="347" t="s">
        <v>268</v>
      </c>
      <c r="J108" s="348"/>
      <c r="L108" s="358"/>
    </row>
    <row r="109" spans="1:12" s="349" customFormat="1" ht="18" customHeight="1">
      <c r="A109" s="394"/>
      <c r="B109" s="343"/>
      <c r="C109" s="344" t="s">
        <v>262</v>
      </c>
      <c r="D109" s="345">
        <v>44077</v>
      </c>
      <c r="E109" s="346">
        <v>1</v>
      </c>
      <c r="F109" s="347">
        <v>850000</v>
      </c>
      <c r="G109" s="346">
        <v>1</v>
      </c>
      <c r="H109" s="347">
        <v>850000</v>
      </c>
      <c r="I109" s="347" t="s">
        <v>268</v>
      </c>
      <c r="J109" s="348"/>
      <c r="L109" s="358"/>
    </row>
    <row r="110" spans="1:12" s="349" customFormat="1" ht="18" customHeight="1">
      <c r="A110" s="394"/>
      <c r="B110" s="343"/>
      <c r="C110" s="344" t="s">
        <v>263</v>
      </c>
      <c r="D110" s="345">
        <v>44078</v>
      </c>
      <c r="E110" s="346">
        <v>1</v>
      </c>
      <c r="F110" s="347">
        <v>850000</v>
      </c>
      <c r="G110" s="346">
        <v>1</v>
      </c>
      <c r="H110" s="347">
        <v>850000</v>
      </c>
      <c r="I110" s="347" t="s">
        <v>268</v>
      </c>
      <c r="J110" s="348"/>
      <c r="L110" s="358"/>
    </row>
    <row r="111" spans="1:12" s="390" customFormat="1" ht="18" customHeight="1">
      <c r="A111" s="395"/>
      <c r="B111" s="384"/>
      <c r="C111" s="385" t="s">
        <v>257</v>
      </c>
      <c r="D111" s="386">
        <v>44079</v>
      </c>
      <c r="E111" s="387">
        <v>0</v>
      </c>
      <c r="F111" s="388">
        <v>0</v>
      </c>
      <c r="G111" s="387">
        <v>0</v>
      </c>
      <c r="H111" s="388">
        <v>0</v>
      </c>
      <c r="I111" s="388" t="s">
        <v>273</v>
      </c>
      <c r="J111" s="389"/>
      <c r="L111" s="391"/>
    </row>
    <row r="112" spans="1:12" s="390" customFormat="1" ht="18" customHeight="1">
      <c r="A112" s="395"/>
      <c r="B112" s="384"/>
      <c r="C112" s="385" t="s">
        <v>258</v>
      </c>
      <c r="D112" s="386">
        <v>44080</v>
      </c>
      <c r="E112" s="387">
        <v>0</v>
      </c>
      <c r="F112" s="388">
        <v>0</v>
      </c>
      <c r="G112" s="387">
        <v>0</v>
      </c>
      <c r="H112" s="388">
        <v>0</v>
      </c>
      <c r="I112" s="388" t="s">
        <v>273</v>
      </c>
      <c r="J112" s="389"/>
      <c r="L112" s="391"/>
    </row>
    <row r="113" spans="1:12" s="349" customFormat="1" ht="18" customHeight="1">
      <c r="A113" s="394"/>
      <c r="B113" s="343"/>
      <c r="C113" s="344" t="s">
        <v>259</v>
      </c>
      <c r="D113" s="345">
        <v>44081</v>
      </c>
      <c r="E113" s="346">
        <v>1</v>
      </c>
      <c r="F113" s="347">
        <v>850000</v>
      </c>
      <c r="G113" s="346">
        <v>1</v>
      </c>
      <c r="H113" s="347">
        <v>850000</v>
      </c>
      <c r="I113" s="347" t="s">
        <v>268</v>
      </c>
      <c r="J113" s="348"/>
      <c r="L113" s="358"/>
    </row>
    <row r="114" spans="1:12" s="349" customFormat="1" ht="18" customHeight="1">
      <c r="A114" s="394"/>
      <c r="B114" s="343"/>
      <c r="C114" s="344" t="s">
        <v>260</v>
      </c>
      <c r="D114" s="345">
        <v>44082</v>
      </c>
      <c r="E114" s="346">
        <v>1</v>
      </c>
      <c r="F114" s="347">
        <v>850000</v>
      </c>
      <c r="G114" s="346">
        <v>1</v>
      </c>
      <c r="H114" s="347">
        <v>850000</v>
      </c>
      <c r="I114" s="347" t="s">
        <v>268</v>
      </c>
      <c r="J114" s="348"/>
      <c r="L114" s="358"/>
    </row>
    <row r="115" spans="1:12" s="349" customFormat="1" ht="18" customHeight="1">
      <c r="A115" s="394"/>
      <c r="B115" s="343"/>
      <c r="C115" s="344" t="s">
        <v>261</v>
      </c>
      <c r="D115" s="345">
        <v>44083</v>
      </c>
      <c r="E115" s="346">
        <v>1</v>
      </c>
      <c r="F115" s="347">
        <v>850000</v>
      </c>
      <c r="G115" s="346">
        <v>1</v>
      </c>
      <c r="H115" s="347">
        <v>850000</v>
      </c>
      <c r="I115" s="347" t="s">
        <v>268</v>
      </c>
      <c r="J115" s="348"/>
      <c r="L115" s="358"/>
    </row>
    <row r="116" spans="1:12" s="349" customFormat="1" ht="18" customHeight="1">
      <c r="A116" s="394"/>
      <c r="B116" s="343"/>
      <c r="C116" s="344" t="s">
        <v>262</v>
      </c>
      <c r="D116" s="345">
        <v>44084</v>
      </c>
      <c r="E116" s="346">
        <v>1</v>
      </c>
      <c r="F116" s="347">
        <v>850000</v>
      </c>
      <c r="G116" s="346">
        <v>1</v>
      </c>
      <c r="H116" s="347">
        <v>850000</v>
      </c>
      <c r="I116" s="347" t="s">
        <v>268</v>
      </c>
      <c r="J116" s="348"/>
      <c r="L116" s="358"/>
    </row>
    <row r="117" spans="1:12" s="349" customFormat="1" ht="18" customHeight="1">
      <c r="A117" s="394"/>
      <c r="B117" s="343"/>
      <c r="C117" s="344" t="s">
        <v>263</v>
      </c>
      <c r="D117" s="345">
        <v>44085</v>
      </c>
      <c r="E117" s="346">
        <v>1</v>
      </c>
      <c r="F117" s="347">
        <v>850000</v>
      </c>
      <c r="G117" s="346">
        <v>1</v>
      </c>
      <c r="H117" s="347">
        <v>850000</v>
      </c>
      <c r="I117" s="347" t="s">
        <v>268</v>
      </c>
      <c r="J117" s="348"/>
      <c r="L117" s="358"/>
    </row>
    <row r="118" spans="1:12" s="390" customFormat="1" ht="18" customHeight="1">
      <c r="A118" s="395"/>
      <c r="B118" s="384"/>
      <c r="C118" s="385" t="s">
        <v>257</v>
      </c>
      <c r="D118" s="386">
        <v>44086</v>
      </c>
      <c r="E118" s="387">
        <v>0</v>
      </c>
      <c r="F118" s="388">
        <v>0</v>
      </c>
      <c r="G118" s="387">
        <v>0</v>
      </c>
      <c r="H118" s="388">
        <v>0</v>
      </c>
      <c r="I118" s="388" t="s">
        <v>273</v>
      </c>
      <c r="J118" s="389"/>
      <c r="L118" s="391"/>
    </row>
    <row r="119" spans="1:12" s="390" customFormat="1" ht="18" customHeight="1">
      <c r="A119" s="395"/>
      <c r="B119" s="384"/>
      <c r="C119" s="385" t="s">
        <v>258</v>
      </c>
      <c r="D119" s="386">
        <v>44087</v>
      </c>
      <c r="E119" s="387">
        <v>0</v>
      </c>
      <c r="F119" s="388">
        <v>0</v>
      </c>
      <c r="G119" s="387">
        <v>0</v>
      </c>
      <c r="H119" s="388">
        <v>0</v>
      </c>
      <c r="I119" s="388" t="s">
        <v>273</v>
      </c>
      <c r="J119" s="389"/>
      <c r="L119" s="391"/>
    </row>
    <row r="120" spans="1:12" s="349" customFormat="1" ht="18" customHeight="1">
      <c r="A120" s="394"/>
      <c r="B120" s="343"/>
      <c r="C120" s="344" t="s">
        <v>259</v>
      </c>
      <c r="D120" s="345">
        <v>44088</v>
      </c>
      <c r="E120" s="346">
        <v>1</v>
      </c>
      <c r="F120" s="347">
        <v>850000</v>
      </c>
      <c r="G120" s="346">
        <v>1</v>
      </c>
      <c r="H120" s="347">
        <v>850000</v>
      </c>
      <c r="I120" s="347" t="s">
        <v>268</v>
      </c>
      <c r="J120" s="348"/>
      <c r="L120" s="358"/>
    </row>
    <row r="121" spans="1:12" s="349" customFormat="1" ht="18" customHeight="1">
      <c r="A121" s="394"/>
      <c r="B121" s="343"/>
      <c r="C121" s="344" t="s">
        <v>260</v>
      </c>
      <c r="D121" s="345">
        <v>44089</v>
      </c>
      <c r="E121" s="346">
        <v>1</v>
      </c>
      <c r="F121" s="347">
        <v>850000</v>
      </c>
      <c r="G121" s="346">
        <v>1</v>
      </c>
      <c r="H121" s="347">
        <v>850000</v>
      </c>
      <c r="I121" s="347" t="s">
        <v>268</v>
      </c>
      <c r="J121" s="348"/>
      <c r="L121" s="358"/>
    </row>
    <row r="122" spans="1:12" s="349" customFormat="1" ht="18" customHeight="1">
      <c r="A122" s="394"/>
      <c r="B122" s="343"/>
      <c r="C122" s="344" t="s">
        <v>261</v>
      </c>
      <c r="D122" s="345">
        <v>44090</v>
      </c>
      <c r="E122" s="346">
        <v>1</v>
      </c>
      <c r="F122" s="347">
        <v>850000</v>
      </c>
      <c r="G122" s="346">
        <v>1</v>
      </c>
      <c r="H122" s="347">
        <v>850000</v>
      </c>
      <c r="I122" s="347" t="s">
        <v>268</v>
      </c>
      <c r="J122" s="348"/>
      <c r="L122" s="358"/>
    </row>
    <row r="123" spans="1:12" s="349" customFormat="1" ht="18" customHeight="1">
      <c r="A123" s="394"/>
      <c r="B123" s="343"/>
      <c r="C123" s="344" t="s">
        <v>262</v>
      </c>
      <c r="D123" s="345">
        <v>44091</v>
      </c>
      <c r="E123" s="346">
        <v>1</v>
      </c>
      <c r="F123" s="347">
        <v>850000</v>
      </c>
      <c r="G123" s="346">
        <v>1</v>
      </c>
      <c r="H123" s="347">
        <v>850000</v>
      </c>
      <c r="I123" s="347" t="s">
        <v>268</v>
      </c>
      <c r="J123" s="348"/>
      <c r="L123" s="358"/>
    </row>
    <row r="124" spans="1:12" s="349" customFormat="1" ht="18" customHeight="1">
      <c r="A124" s="394"/>
      <c r="B124" s="343"/>
      <c r="C124" s="344" t="s">
        <v>263</v>
      </c>
      <c r="D124" s="345">
        <v>44092</v>
      </c>
      <c r="E124" s="346">
        <v>1</v>
      </c>
      <c r="F124" s="347">
        <v>850000</v>
      </c>
      <c r="G124" s="346">
        <v>1</v>
      </c>
      <c r="H124" s="347">
        <v>850000</v>
      </c>
      <c r="I124" s="347" t="s">
        <v>268</v>
      </c>
      <c r="J124" s="348"/>
      <c r="L124" s="358"/>
    </row>
    <row r="125" spans="1:12" s="390" customFormat="1" ht="18" customHeight="1">
      <c r="A125" s="395"/>
      <c r="B125" s="384"/>
      <c r="C125" s="385" t="s">
        <v>257</v>
      </c>
      <c r="D125" s="386">
        <v>44093</v>
      </c>
      <c r="E125" s="387">
        <v>0</v>
      </c>
      <c r="F125" s="388">
        <v>0</v>
      </c>
      <c r="G125" s="387">
        <v>0</v>
      </c>
      <c r="H125" s="388">
        <v>0</v>
      </c>
      <c r="I125" s="388" t="s">
        <v>273</v>
      </c>
      <c r="J125" s="389"/>
      <c r="L125" s="391"/>
    </row>
    <row r="126" spans="1:12" s="390" customFormat="1" ht="18" customHeight="1">
      <c r="A126" s="395"/>
      <c r="B126" s="384"/>
      <c r="C126" s="385" t="s">
        <v>258</v>
      </c>
      <c r="D126" s="386">
        <v>44094</v>
      </c>
      <c r="E126" s="387">
        <v>0</v>
      </c>
      <c r="F126" s="388">
        <v>0</v>
      </c>
      <c r="G126" s="387">
        <v>0</v>
      </c>
      <c r="H126" s="388">
        <v>0</v>
      </c>
      <c r="I126" s="388" t="s">
        <v>273</v>
      </c>
      <c r="J126" s="389"/>
      <c r="L126" s="391"/>
    </row>
    <row r="127" spans="1:12" s="349" customFormat="1" ht="18" customHeight="1">
      <c r="A127" s="394"/>
      <c r="B127" s="343"/>
      <c r="C127" s="344" t="s">
        <v>259</v>
      </c>
      <c r="D127" s="345">
        <v>44095</v>
      </c>
      <c r="E127" s="346">
        <v>1</v>
      </c>
      <c r="F127" s="347">
        <v>850000</v>
      </c>
      <c r="G127" s="346">
        <v>1</v>
      </c>
      <c r="H127" s="347">
        <v>850000</v>
      </c>
      <c r="I127" s="347" t="s">
        <v>268</v>
      </c>
      <c r="J127" s="348"/>
      <c r="L127" s="358"/>
    </row>
    <row r="128" spans="1:12" s="349" customFormat="1" ht="18" customHeight="1">
      <c r="A128" s="394"/>
      <c r="B128" s="343"/>
      <c r="C128" s="344" t="s">
        <v>260</v>
      </c>
      <c r="D128" s="345">
        <v>44096</v>
      </c>
      <c r="E128" s="346">
        <v>1</v>
      </c>
      <c r="F128" s="347">
        <v>850000</v>
      </c>
      <c r="G128" s="346">
        <v>1</v>
      </c>
      <c r="H128" s="347">
        <v>850000</v>
      </c>
      <c r="I128" s="347" t="s">
        <v>268</v>
      </c>
      <c r="J128" s="348"/>
      <c r="L128" s="358"/>
    </row>
    <row r="129" spans="1:12" s="349" customFormat="1" ht="18" customHeight="1">
      <c r="A129" s="394"/>
      <c r="B129" s="343"/>
      <c r="C129" s="344" t="s">
        <v>261</v>
      </c>
      <c r="D129" s="345">
        <v>44097</v>
      </c>
      <c r="E129" s="346">
        <v>1</v>
      </c>
      <c r="F129" s="347">
        <v>850000</v>
      </c>
      <c r="G129" s="346">
        <v>1</v>
      </c>
      <c r="H129" s="347">
        <v>850000</v>
      </c>
      <c r="I129" s="347" t="s">
        <v>268</v>
      </c>
      <c r="J129" s="348"/>
      <c r="L129" s="358"/>
    </row>
    <row r="130" spans="1:12" s="349" customFormat="1" ht="18" customHeight="1">
      <c r="A130" s="394"/>
      <c r="B130" s="343"/>
      <c r="C130" s="344" t="s">
        <v>262</v>
      </c>
      <c r="D130" s="345">
        <v>44098</v>
      </c>
      <c r="E130" s="346">
        <v>1</v>
      </c>
      <c r="F130" s="347">
        <v>850000</v>
      </c>
      <c r="G130" s="346">
        <v>1</v>
      </c>
      <c r="H130" s="347">
        <v>850000</v>
      </c>
      <c r="I130" s="347" t="s">
        <v>268</v>
      </c>
      <c r="J130" s="348"/>
      <c r="L130" s="358"/>
    </row>
    <row r="131" spans="1:12" s="349" customFormat="1" ht="18" customHeight="1">
      <c r="A131" s="394"/>
      <c r="B131" s="343"/>
      <c r="C131" s="344" t="s">
        <v>263</v>
      </c>
      <c r="D131" s="345">
        <v>44099</v>
      </c>
      <c r="E131" s="346">
        <v>1</v>
      </c>
      <c r="F131" s="347">
        <v>850000</v>
      </c>
      <c r="G131" s="346">
        <v>1</v>
      </c>
      <c r="H131" s="347">
        <v>850000</v>
      </c>
      <c r="I131" s="347" t="s">
        <v>268</v>
      </c>
      <c r="J131" s="348"/>
      <c r="L131" s="358"/>
    </row>
    <row r="132" spans="1:12" s="390" customFormat="1" ht="18" customHeight="1">
      <c r="A132" s="395"/>
      <c r="B132" s="384"/>
      <c r="C132" s="385" t="s">
        <v>257</v>
      </c>
      <c r="D132" s="386">
        <v>44100</v>
      </c>
      <c r="E132" s="387">
        <v>0</v>
      </c>
      <c r="F132" s="388">
        <v>0</v>
      </c>
      <c r="G132" s="387">
        <v>0</v>
      </c>
      <c r="H132" s="388">
        <v>0</v>
      </c>
      <c r="I132" s="388" t="s">
        <v>273</v>
      </c>
      <c r="J132" s="389"/>
      <c r="L132" s="391"/>
    </row>
    <row r="133" spans="1:12" s="390" customFormat="1" ht="18" customHeight="1">
      <c r="A133" s="395"/>
      <c r="B133" s="384"/>
      <c r="C133" s="385" t="s">
        <v>258</v>
      </c>
      <c r="D133" s="386">
        <v>44101</v>
      </c>
      <c r="E133" s="387">
        <v>0</v>
      </c>
      <c r="F133" s="388">
        <v>0</v>
      </c>
      <c r="G133" s="387">
        <v>0</v>
      </c>
      <c r="H133" s="388">
        <v>0</v>
      </c>
      <c r="I133" s="388" t="s">
        <v>273</v>
      </c>
      <c r="J133" s="389"/>
      <c r="L133" s="391"/>
    </row>
    <row r="134" spans="1:12" s="349" customFormat="1" ht="18" customHeight="1">
      <c r="A134" s="394"/>
      <c r="B134" s="343"/>
      <c r="C134" s="344" t="s">
        <v>259</v>
      </c>
      <c r="D134" s="345">
        <v>44102</v>
      </c>
      <c r="E134" s="346">
        <v>1</v>
      </c>
      <c r="F134" s="347">
        <v>850000</v>
      </c>
      <c r="G134" s="346">
        <v>1</v>
      </c>
      <c r="H134" s="347">
        <v>850000</v>
      </c>
      <c r="I134" s="347" t="s">
        <v>268</v>
      </c>
      <c r="J134" s="348"/>
      <c r="L134" s="358"/>
    </row>
    <row r="135" spans="1:12" s="349" customFormat="1" ht="18" customHeight="1">
      <c r="A135" s="394"/>
      <c r="B135" s="343"/>
      <c r="C135" s="344" t="s">
        <v>260</v>
      </c>
      <c r="D135" s="345">
        <v>44103</v>
      </c>
      <c r="E135" s="346">
        <v>1</v>
      </c>
      <c r="F135" s="347">
        <v>850000</v>
      </c>
      <c r="G135" s="346">
        <v>1</v>
      </c>
      <c r="H135" s="347">
        <v>850000</v>
      </c>
      <c r="I135" s="347" t="s">
        <v>268</v>
      </c>
      <c r="J135" s="348"/>
      <c r="L135" s="358"/>
    </row>
    <row r="136" spans="1:12" s="349" customFormat="1" ht="18" customHeight="1">
      <c r="A136" s="394"/>
      <c r="B136" s="343"/>
      <c r="C136" s="344" t="s">
        <v>261</v>
      </c>
      <c r="D136" s="345">
        <v>44104</v>
      </c>
      <c r="E136" s="346">
        <v>1</v>
      </c>
      <c r="F136" s="347">
        <v>850000</v>
      </c>
      <c r="G136" s="346">
        <v>1</v>
      </c>
      <c r="H136" s="347">
        <v>850000</v>
      </c>
      <c r="I136" s="347" t="s">
        <v>268</v>
      </c>
      <c r="J136" s="348"/>
      <c r="L136" s="358"/>
    </row>
    <row r="137" spans="1:12" s="349" customFormat="1" ht="18" customHeight="1">
      <c r="A137" s="394"/>
      <c r="B137" s="343"/>
      <c r="C137" s="716" t="s">
        <v>337</v>
      </c>
      <c r="D137" s="717"/>
      <c r="E137" s="704">
        <f>SUM(E107:E136)</f>
        <v>22</v>
      </c>
      <c r="F137" s="705"/>
      <c r="G137" s="704">
        <f>SUM(G107:G136)</f>
        <v>22</v>
      </c>
      <c r="H137" s="705"/>
      <c r="I137" s="400"/>
      <c r="J137" s="348"/>
      <c r="L137" s="358"/>
    </row>
    <row r="138" spans="1:12" s="297" customFormat="1" ht="24.95" customHeight="1">
      <c r="A138" s="277"/>
      <c r="B138" s="320"/>
      <c r="C138" s="694" t="s">
        <v>264</v>
      </c>
      <c r="D138" s="695"/>
      <c r="E138" s="696">
        <f>SUM(F107:F136)</f>
        <v>18700000</v>
      </c>
      <c r="F138" s="697"/>
      <c r="G138" s="696">
        <f>SUM(H107:H136)</f>
        <v>18700000</v>
      </c>
      <c r="H138" s="697"/>
      <c r="I138" s="330"/>
      <c r="J138" s="321"/>
      <c r="L138" s="356">
        <v>22</v>
      </c>
    </row>
    <row r="139" spans="1:12" s="296" customFormat="1" ht="20.100000000000001" customHeight="1">
      <c r="A139" s="277"/>
      <c r="B139" s="322"/>
      <c r="C139" s="692" t="s">
        <v>62</v>
      </c>
      <c r="D139" s="692"/>
      <c r="E139" s="692"/>
      <c r="F139" s="692"/>
      <c r="G139" s="690">
        <f>+G138+E138</f>
        <v>37400000</v>
      </c>
      <c r="H139" s="691"/>
      <c r="I139" s="331"/>
      <c r="J139" s="323"/>
      <c r="L139" s="359">
        <f>+L138*2*850000</f>
        <v>37400000</v>
      </c>
    </row>
    <row r="140" spans="1:12" ht="20.100000000000001" customHeight="1">
      <c r="B140" s="307"/>
      <c r="J140" s="308"/>
    </row>
    <row r="141" spans="1:12" ht="18" customHeight="1">
      <c r="B141" s="307"/>
      <c r="C141" s="290" t="s">
        <v>136</v>
      </c>
      <c r="E141" s="183"/>
      <c r="F141" s="234" t="s">
        <v>131</v>
      </c>
      <c r="G141" s="234" t="s">
        <v>130</v>
      </c>
      <c r="H141" s="234" t="s">
        <v>129</v>
      </c>
      <c r="I141" s="234" t="s">
        <v>128</v>
      </c>
      <c r="J141" s="308"/>
    </row>
    <row r="142" spans="1:12" s="335" customFormat="1" ht="39.950000000000003" customHeight="1">
      <c r="B142" s="332"/>
      <c r="C142" s="333">
        <v>5</v>
      </c>
      <c r="D142" s="334"/>
      <c r="F142" s="336">
        <v>4</v>
      </c>
      <c r="G142" s="336">
        <v>3</v>
      </c>
      <c r="H142" s="336">
        <v>2</v>
      </c>
      <c r="I142" s="336">
        <v>1</v>
      </c>
      <c r="J142" s="337"/>
      <c r="L142" s="357"/>
    </row>
    <row r="143" spans="1:12" ht="17.100000000000001" customHeight="1">
      <c r="B143" s="307"/>
      <c r="C143" s="290"/>
      <c r="E143" s="183"/>
      <c r="F143" s="236" t="s">
        <v>114</v>
      </c>
      <c r="G143" s="237" t="s">
        <v>113</v>
      </c>
      <c r="H143" s="238" t="s">
        <v>112</v>
      </c>
      <c r="I143" s="234" t="s">
        <v>16</v>
      </c>
      <c r="J143" s="308"/>
    </row>
    <row r="144" spans="1:12" ht="15" customHeight="1" thickBot="1">
      <c r="B144" s="374"/>
      <c r="C144" s="375" t="s">
        <v>132</v>
      </c>
      <c r="D144" s="376"/>
      <c r="E144" s="377"/>
      <c r="F144" s="375" t="s">
        <v>132</v>
      </c>
      <c r="G144" s="375" t="s">
        <v>132</v>
      </c>
      <c r="H144" s="375" t="s">
        <v>132</v>
      </c>
      <c r="I144" s="375" t="s">
        <v>132</v>
      </c>
      <c r="J144" s="378"/>
    </row>
    <row r="145" spans="1:12" ht="9.9499999999999993" customHeight="1" thickTop="1">
      <c r="B145" s="364"/>
      <c r="C145" s="364"/>
      <c r="D145" s="365"/>
      <c r="E145" s="366"/>
      <c r="F145" s="367"/>
      <c r="G145" s="366"/>
      <c r="H145" s="367"/>
      <c r="I145" s="367"/>
      <c r="J145" s="364"/>
    </row>
    <row r="147" spans="1:12" ht="9.9499999999999993" customHeight="1" thickBot="1">
      <c r="B147" s="379"/>
      <c r="C147" s="379"/>
      <c r="D147" s="380"/>
      <c r="E147" s="381"/>
      <c r="F147" s="382"/>
      <c r="G147" s="381"/>
      <c r="H147" s="382"/>
      <c r="I147" s="382"/>
      <c r="J147" s="379"/>
    </row>
    <row r="148" spans="1:12" ht="9.9499999999999993" customHeight="1" thickTop="1">
      <c r="A148" s="661">
        <v>44094</v>
      </c>
      <c r="B148" s="301"/>
      <c r="C148" s="302"/>
      <c r="D148" s="303"/>
      <c r="E148" s="304"/>
      <c r="F148" s="305"/>
      <c r="G148" s="304"/>
      <c r="H148" s="305"/>
      <c r="I148" s="305"/>
      <c r="J148" s="306"/>
    </row>
    <row r="149" spans="1:12" ht="17.100000000000001" customHeight="1">
      <c r="A149" s="661"/>
      <c r="B149" s="307"/>
      <c r="C149" s="298" t="s">
        <v>138</v>
      </c>
      <c r="D149" s="299"/>
      <c r="G149" s="662" t="s">
        <v>343</v>
      </c>
      <c r="H149" s="662"/>
      <c r="I149" s="662"/>
      <c r="J149" s="308"/>
    </row>
    <row r="150" spans="1:12" s="275" customFormat="1" ht="30" customHeight="1">
      <c r="A150" s="661"/>
      <c r="B150" s="309"/>
      <c r="C150" s="279" t="s">
        <v>119</v>
      </c>
      <c r="D150" s="292" t="s">
        <v>244</v>
      </c>
      <c r="F150" s="310"/>
      <c r="G150" s="311"/>
      <c r="H150" s="310"/>
      <c r="I150" s="310"/>
      <c r="J150" s="312"/>
      <c r="L150" s="352"/>
    </row>
    <row r="151" spans="1:12" s="276" customFormat="1" ht="23.1" customHeight="1">
      <c r="A151" s="277"/>
      <c r="B151" s="313"/>
      <c r="C151" s="280" t="s">
        <v>120</v>
      </c>
      <c r="D151" s="293" t="s">
        <v>341</v>
      </c>
      <c r="F151" s="663" t="s">
        <v>303</v>
      </c>
      <c r="G151" s="664"/>
      <c r="H151" s="664"/>
      <c r="I151" s="665"/>
      <c r="J151" s="315"/>
      <c r="L151" s="353"/>
    </row>
    <row r="152" spans="1:12" s="276" customFormat="1" ht="23.1" customHeight="1">
      <c r="A152" s="277"/>
      <c r="B152" s="313"/>
      <c r="C152" s="280" t="s">
        <v>121</v>
      </c>
      <c r="D152" s="293" t="s">
        <v>342</v>
      </c>
      <c r="F152" s="666"/>
      <c r="G152" s="667"/>
      <c r="H152" s="667"/>
      <c r="I152" s="668"/>
      <c r="J152" s="315"/>
      <c r="L152" s="353"/>
    </row>
    <row r="153" spans="1:12" s="278" customFormat="1" ht="50.1" customHeight="1">
      <c r="A153" s="392"/>
      <c r="B153" s="316"/>
      <c r="C153" s="669" t="s">
        <v>2</v>
      </c>
      <c r="D153" s="671" t="s">
        <v>283</v>
      </c>
      <c r="E153" s="673" t="s">
        <v>275</v>
      </c>
      <c r="F153" s="674"/>
      <c r="G153" s="673" t="s">
        <v>276</v>
      </c>
      <c r="H153" s="674"/>
      <c r="I153" s="675" t="s">
        <v>85</v>
      </c>
      <c r="J153" s="317"/>
      <c r="L153" s="354"/>
    </row>
    <row r="154" spans="1:12" s="278" customFormat="1" ht="24.95" customHeight="1">
      <c r="A154" s="392"/>
      <c r="B154" s="316"/>
      <c r="C154" s="670"/>
      <c r="D154" s="672"/>
      <c r="E154" s="294" t="s">
        <v>256</v>
      </c>
      <c r="F154" s="295" t="s">
        <v>27</v>
      </c>
      <c r="G154" s="294" t="s">
        <v>256</v>
      </c>
      <c r="H154" s="295" t="s">
        <v>27</v>
      </c>
      <c r="I154" s="675"/>
      <c r="J154" s="317"/>
      <c r="L154" s="354"/>
    </row>
    <row r="155" spans="1:12" s="349" customFormat="1" ht="18" customHeight="1">
      <c r="A155" s="394"/>
      <c r="B155" s="343"/>
      <c r="C155" s="344" t="s">
        <v>262</v>
      </c>
      <c r="D155" s="345">
        <v>44105</v>
      </c>
      <c r="E155" s="346">
        <v>1</v>
      </c>
      <c r="F155" s="347">
        <v>850000</v>
      </c>
      <c r="G155" s="346">
        <v>1</v>
      </c>
      <c r="H155" s="347">
        <v>850000</v>
      </c>
      <c r="I155" s="347" t="s">
        <v>268</v>
      </c>
      <c r="J155" s="348"/>
      <c r="L155" s="358"/>
    </row>
    <row r="156" spans="1:12" s="349" customFormat="1" ht="18" customHeight="1">
      <c r="A156" s="394"/>
      <c r="B156" s="343"/>
      <c r="C156" s="344" t="s">
        <v>263</v>
      </c>
      <c r="D156" s="345">
        <v>44106</v>
      </c>
      <c r="E156" s="346">
        <v>1</v>
      </c>
      <c r="F156" s="347">
        <v>850000</v>
      </c>
      <c r="G156" s="346">
        <v>1</v>
      </c>
      <c r="H156" s="347">
        <v>850000</v>
      </c>
      <c r="I156" s="347" t="s">
        <v>268</v>
      </c>
      <c r="J156" s="348"/>
      <c r="L156" s="358"/>
    </row>
    <row r="157" spans="1:12" s="390" customFormat="1" ht="18" customHeight="1">
      <c r="A157" s="395"/>
      <c r="B157" s="384"/>
      <c r="C157" s="385" t="s">
        <v>257</v>
      </c>
      <c r="D157" s="386">
        <v>44107</v>
      </c>
      <c r="E157" s="387">
        <v>0</v>
      </c>
      <c r="F157" s="388">
        <v>0</v>
      </c>
      <c r="G157" s="387">
        <v>0</v>
      </c>
      <c r="H157" s="388">
        <v>0</v>
      </c>
      <c r="I157" s="388" t="s">
        <v>273</v>
      </c>
      <c r="J157" s="389"/>
      <c r="L157" s="391"/>
    </row>
    <row r="158" spans="1:12" s="390" customFormat="1" ht="18" customHeight="1">
      <c r="A158" s="395"/>
      <c r="B158" s="384"/>
      <c r="C158" s="385" t="s">
        <v>258</v>
      </c>
      <c r="D158" s="386">
        <v>44108</v>
      </c>
      <c r="E158" s="387">
        <v>0</v>
      </c>
      <c r="F158" s="388">
        <v>0</v>
      </c>
      <c r="G158" s="387">
        <v>0</v>
      </c>
      <c r="H158" s="388">
        <v>0</v>
      </c>
      <c r="I158" s="388" t="s">
        <v>273</v>
      </c>
      <c r="J158" s="389"/>
      <c r="L158" s="391"/>
    </row>
    <row r="159" spans="1:12" s="349" customFormat="1" ht="18" customHeight="1">
      <c r="A159" s="394"/>
      <c r="B159" s="343"/>
      <c r="C159" s="344" t="s">
        <v>259</v>
      </c>
      <c r="D159" s="345">
        <v>44109</v>
      </c>
      <c r="E159" s="346">
        <v>1</v>
      </c>
      <c r="F159" s="347">
        <v>850000</v>
      </c>
      <c r="G159" s="346">
        <v>1</v>
      </c>
      <c r="H159" s="347">
        <v>850000</v>
      </c>
      <c r="I159" s="347" t="s">
        <v>268</v>
      </c>
      <c r="J159" s="348"/>
      <c r="L159" s="358"/>
    </row>
    <row r="160" spans="1:12" s="349" customFormat="1" ht="18" customHeight="1">
      <c r="A160" s="394"/>
      <c r="B160" s="343"/>
      <c r="C160" s="344" t="s">
        <v>260</v>
      </c>
      <c r="D160" s="345">
        <v>44110</v>
      </c>
      <c r="E160" s="346">
        <v>1</v>
      </c>
      <c r="F160" s="347">
        <v>850000</v>
      </c>
      <c r="G160" s="346">
        <v>1</v>
      </c>
      <c r="H160" s="347">
        <v>850000</v>
      </c>
      <c r="I160" s="347" t="s">
        <v>268</v>
      </c>
      <c r="J160" s="348"/>
      <c r="L160" s="358"/>
    </row>
    <row r="161" spans="1:12" s="349" customFormat="1" ht="18" customHeight="1">
      <c r="A161" s="394"/>
      <c r="B161" s="343"/>
      <c r="C161" s="344" t="s">
        <v>261</v>
      </c>
      <c r="D161" s="345">
        <v>44111</v>
      </c>
      <c r="E161" s="346">
        <v>1</v>
      </c>
      <c r="F161" s="347">
        <v>850000</v>
      </c>
      <c r="G161" s="346">
        <v>1</v>
      </c>
      <c r="H161" s="347">
        <v>850000</v>
      </c>
      <c r="I161" s="347" t="s">
        <v>268</v>
      </c>
      <c r="J161" s="348"/>
      <c r="L161" s="358"/>
    </row>
    <row r="162" spans="1:12" s="349" customFormat="1" ht="18" customHeight="1">
      <c r="A162" s="394"/>
      <c r="B162" s="343"/>
      <c r="C162" s="344" t="s">
        <v>262</v>
      </c>
      <c r="D162" s="345">
        <v>44112</v>
      </c>
      <c r="E162" s="346">
        <v>1</v>
      </c>
      <c r="F162" s="347">
        <v>850000</v>
      </c>
      <c r="G162" s="346">
        <v>1</v>
      </c>
      <c r="H162" s="347">
        <v>850000</v>
      </c>
      <c r="I162" s="347" t="s">
        <v>268</v>
      </c>
      <c r="J162" s="348"/>
      <c r="L162" s="358"/>
    </row>
    <row r="163" spans="1:12" s="349" customFormat="1" ht="18" customHeight="1">
      <c r="A163" s="394"/>
      <c r="B163" s="343"/>
      <c r="C163" s="344" t="s">
        <v>263</v>
      </c>
      <c r="D163" s="345">
        <v>44113</v>
      </c>
      <c r="E163" s="346">
        <v>1</v>
      </c>
      <c r="F163" s="347">
        <v>850000</v>
      </c>
      <c r="G163" s="346">
        <v>1</v>
      </c>
      <c r="H163" s="347">
        <v>850000</v>
      </c>
      <c r="I163" s="347" t="s">
        <v>268</v>
      </c>
      <c r="J163" s="348"/>
      <c r="L163" s="358"/>
    </row>
    <row r="164" spans="1:12" s="390" customFormat="1" ht="18" customHeight="1">
      <c r="A164" s="395"/>
      <c r="B164" s="384"/>
      <c r="C164" s="385" t="s">
        <v>257</v>
      </c>
      <c r="D164" s="386">
        <v>44114</v>
      </c>
      <c r="E164" s="387">
        <v>0</v>
      </c>
      <c r="F164" s="388">
        <v>0</v>
      </c>
      <c r="G164" s="387">
        <v>0</v>
      </c>
      <c r="H164" s="388">
        <v>0</v>
      </c>
      <c r="I164" s="388" t="s">
        <v>273</v>
      </c>
      <c r="J164" s="389"/>
      <c r="L164" s="391"/>
    </row>
    <row r="165" spans="1:12" s="390" customFormat="1" ht="18" customHeight="1">
      <c r="A165" s="395"/>
      <c r="B165" s="384"/>
      <c r="C165" s="385" t="s">
        <v>258</v>
      </c>
      <c r="D165" s="386">
        <v>44115</v>
      </c>
      <c r="E165" s="387">
        <v>0</v>
      </c>
      <c r="F165" s="388">
        <v>0</v>
      </c>
      <c r="G165" s="387">
        <v>0</v>
      </c>
      <c r="H165" s="388">
        <v>0</v>
      </c>
      <c r="I165" s="388" t="s">
        <v>273</v>
      </c>
      <c r="J165" s="389"/>
      <c r="L165" s="391"/>
    </row>
    <row r="166" spans="1:12" s="349" customFormat="1" ht="18" customHeight="1">
      <c r="A166" s="394"/>
      <c r="B166" s="343"/>
      <c r="C166" s="344" t="s">
        <v>259</v>
      </c>
      <c r="D166" s="345">
        <v>44116</v>
      </c>
      <c r="E166" s="346">
        <v>1</v>
      </c>
      <c r="F166" s="347">
        <v>850000</v>
      </c>
      <c r="G166" s="346">
        <v>1</v>
      </c>
      <c r="H166" s="347">
        <v>850000</v>
      </c>
      <c r="I166" s="347" t="s">
        <v>268</v>
      </c>
      <c r="J166" s="348"/>
      <c r="L166" s="358"/>
    </row>
    <row r="167" spans="1:12" s="349" customFormat="1" ht="18" customHeight="1">
      <c r="A167" s="394"/>
      <c r="B167" s="343"/>
      <c r="C167" s="344" t="s">
        <v>260</v>
      </c>
      <c r="D167" s="345">
        <v>44117</v>
      </c>
      <c r="E167" s="346">
        <v>1</v>
      </c>
      <c r="F167" s="347">
        <v>850000</v>
      </c>
      <c r="G167" s="346">
        <v>1</v>
      </c>
      <c r="H167" s="347">
        <v>850000</v>
      </c>
      <c r="I167" s="347" t="s">
        <v>268</v>
      </c>
      <c r="J167" s="348"/>
      <c r="L167" s="358"/>
    </row>
    <row r="168" spans="1:12" s="349" customFormat="1" ht="18" customHeight="1">
      <c r="A168" s="394"/>
      <c r="B168" s="343"/>
      <c r="C168" s="344" t="s">
        <v>261</v>
      </c>
      <c r="D168" s="345">
        <v>44118</v>
      </c>
      <c r="E168" s="346">
        <v>1</v>
      </c>
      <c r="F168" s="347">
        <v>850000</v>
      </c>
      <c r="G168" s="346">
        <v>1</v>
      </c>
      <c r="H168" s="347">
        <v>850000</v>
      </c>
      <c r="I168" s="347" t="s">
        <v>268</v>
      </c>
      <c r="J168" s="348"/>
      <c r="L168" s="358"/>
    </row>
    <row r="169" spans="1:12" s="349" customFormat="1" ht="18" customHeight="1">
      <c r="A169" s="394"/>
      <c r="B169" s="343"/>
      <c r="C169" s="344" t="s">
        <v>262</v>
      </c>
      <c r="D169" s="345">
        <v>44119</v>
      </c>
      <c r="E169" s="346">
        <v>1</v>
      </c>
      <c r="F169" s="347">
        <v>850000</v>
      </c>
      <c r="G169" s="346">
        <v>1</v>
      </c>
      <c r="H169" s="347">
        <v>850000</v>
      </c>
      <c r="I169" s="347" t="s">
        <v>268</v>
      </c>
      <c r="J169" s="348"/>
      <c r="L169" s="358"/>
    </row>
    <row r="170" spans="1:12" s="349" customFormat="1" ht="18" customHeight="1">
      <c r="A170" s="394"/>
      <c r="B170" s="343"/>
      <c r="C170" s="344" t="s">
        <v>263</v>
      </c>
      <c r="D170" s="345">
        <v>44120</v>
      </c>
      <c r="E170" s="346">
        <v>1</v>
      </c>
      <c r="F170" s="347">
        <v>850000</v>
      </c>
      <c r="G170" s="346">
        <v>1</v>
      </c>
      <c r="H170" s="347">
        <v>850000</v>
      </c>
      <c r="I170" s="347" t="s">
        <v>268</v>
      </c>
      <c r="J170" s="348"/>
      <c r="L170" s="358"/>
    </row>
    <row r="171" spans="1:12" s="390" customFormat="1" ht="18" customHeight="1">
      <c r="A171" s="395"/>
      <c r="B171" s="384"/>
      <c r="C171" s="385" t="s">
        <v>257</v>
      </c>
      <c r="D171" s="386">
        <v>44121</v>
      </c>
      <c r="E171" s="387">
        <v>0</v>
      </c>
      <c r="F171" s="388">
        <v>0</v>
      </c>
      <c r="G171" s="387">
        <v>0</v>
      </c>
      <c r="H171" s="388">
        <v>0</v>
      </c>
      <c r="I171" s="388" t="s">
        <v>273</v>
      </c>
      <c r="J171" s="389"/>
      <c r="L171" s="391"/>
    </row>
    <row r="172" spans="1:12" s="390" customFormat="1" ht="18" customHeight="1">
      <c r="A172" s="395"/>
      <c r="B172" s="384"/>
      <c r="C172" s="385" t="s">
        <v>258</v>
      </c>
      <c r="D172" s="386">
        <v>44122</v>
      </c>
      <c r="E172" s="387">
        <v>0</v>
      </c>
      <c r="F172" s="388">
        <v>0</v>
      </c>
      <c r="G172" s="387">
        <v>0</v>
      </c>
      <c r="H172" s="388">
        <v>0</v>
      </c>
      <c r="I172" s="388" t="s">
        <v>273</v>
      </c>
      <c r="J172" s="389"/>
      <c r="L172" s="391"/>
    </row>
    <row r="173" spans="1:12" s="349" customFormat="1" ht="18" customHeight="1">
      <c r="A173" s="394"/>
      <c r="B173" s="343"/>
      <c r="C173" s="344" t="s">
        <v>259</v>
      </c>
      <c r="D173" s="345">
        <v>44123</v>
      </c>
      <c r="E173" s="346">
        <v>1</v>
      </c>
      <c r="F173" s="347">
        <v>850000</v>
      </c>
      <c r="G173" s="346">
        <v>1</v>
      </c>
      <c r="H173" s="347">
        <v>850000</v>
      </c>
      <c r="I173" s="347" t="s">
        <v>268</v>
      </c>
      <c r="J173" s="348"/>
      <c r="L173" s="358"/>
    </row>
    <row r="174" spans="1:12" s="349" customFormat="1" ht="18" customHeight="1">
      <c r="A174" s="394"/>
      <c r="B174" s="343"/>
      <c r="C174" s="344" t="s">
        <v>260</v>
      </c>
      <c r="D174" s="345">
        <v>44124</v>
      </c>
      <c r="E174" s="346">
        <v>1</v>
      </c>
      <c r="F174" s="347">
        <v>850000</v>
      </c>
      <c r="G174" s="346">
        <v>1</v>
      </c>
      <c r="H174" s="347">
        <v>850000</v>
      </c>
      <c r="I174" s="347" t="s">
        <v>268</v>
      </c>
      <c r="J174" s="348"/>
      <c r="L174" s="358"/>
    </row>
    <row r="175" spans="1:12" s="349" customFormat="1" ht="18" customHeight="1">
      <c r="A175" s="394"/>
      <c r="B175" s="343"/>
      <c r="C175" s="344" t="s">
        <v>261</v>
      </c>
      <c r="D175" s="345">
        <v>44125</v>
      </c>
      <c r="E175" s="346">
        <v>1</v>
      </c>
      <c r="F175" s="347">
        <v>850000</v>
      </c>
      <c r="G175" s="346">
        <v>1</v>
      </c>
      <c r="H175" s="347">
        <v>850000</v>
      </c>
      <c r="I175" s="347" t="s">
        <v>268</v>
      </c>
      <c r="J175" s="348"/>
      <c r="L175" s="358"/>
    </row>
    <row r="176" spans="1:12" s="349" customFormat="1" ht="18" customHeight="1">
      <c r="A176" s="394"/>
      <c r="B176" s="343"/>
      <c r="C176" s="344" t="s">
        <v>262</v>
      </c>
      <c r="D176" s="345">
        <v>44126</v>
      </c>
      <c r="E176" s="346">
        <v>1</v>
      </c>
      <c r="F176" s="347">
        <v>850000</v>
      </c>
      <c r="G176" s="346">
        <v>1</v>
      </c>
      <c r="H176" s="347">
        <v>850000</v>
      </c>
      <c r="I176" s="347" t="s">
        <v>268</v>
      </c>
      <c r="J176" s="348"/>
      <c r="L176" s="358"/>
    </row>
    <row r="177" spans="1:12" s="349" customFormat="1" ht="18" customHeight="1">
      <c r="A177" s="394"/>
      <c r="B177" s="343"/>
      <c r="C177" s="344" t="s">
        <v>263</v>
      </c>
      <c r="D177" s="345">
        <v>44127</v>
      </c>
      <c r="E177" s="346">
        <v>1</v>
      </c>
      <c r="F177" s="347">
        <v>850000</v>
      </c>
      <c r="G177" s="346">
        <v>1</v>
      </c>
      <c r="H177" s="347">
        <v>850000</v>
      </c>
      <c r="I177" s="347" t="s">
        <v>268</v>
      </c>
      <c r="J177" s="348"/>
      <c r="L177" s="358"/>
    </row>
    <row r="178" spans="1:12" s="390" customFormat="1" ht="18" customHeight="1">
      <c r="A178" s="395"/>
      <c r="B178" s="384"/>
      <c r="C178" s="385" t="s">
        <v>257</v>
      </c>
      <c r="D178" s="386">
        <v>44128</v>
      </c>
      <c r="E178" s="387">
        <v>0</v>
      </c>
      <c r="F178" s="388">
        <v>0</v>
      </c>
      <c r="G178" s="387">
        <v>0</v>
      </c>
      <c r="H178" s="388">
        <v>0</v>
      </c>
      <c r="I178" s="388" t="s">
        <v>273</v>
      </c>
      <c r="J178" s="389"/>
      <c r="L178" s="391"/>
    </row>
    <row r="179" spans="1:12" s="390" customFormat="1" ht="18" customHeight="1">
      <c r="A179" s="395"/>
      <c r="B179" s="384"/>
      <c r="C179" s="385" t="s">
        <v>258</v>
      </c>
      <c r="D179" s="386">
        <v>44129</v>
      </c>
      <c r="E179" s="387">
        <v>0</v>
      </c>
      <c r="F179" s="388">
        <v>0</v>
      </c>
      <c r="G179" s="387">
        <v>0</v>
      </c>
      <c r="H179" s="388">
        <v>0</v>
      </c>
      <c r="I179" s="388" t="s">
        <v>273</v>
      </c>
      <c r="J179" s="389"/>
      <c r="L179" s="391"/>
    </row>
    <row r="180" spans="1:12" s="349" customFormat="1" ht="18" customHeight="1">
      <c r="A180" s="394"/>
      <c r="B180" s="343"/>
      <c r="C180" s="344" t="s">
        <v>259</v>
      </c>
      <c r="D180" s="345">
        <v>44130</v>
      </c>
      <c r="E180" s="346">
        <v>1</v>
      </c>
      <c r="F180" s="347">
        <v>850000</v>
      </c>
      <c r="G180" s="346">
        <v>1</v>
      </c>
      <c r="H180" s="347">
        <v>850000</v>
      </c>
      <c r="I180" s="347" t="s">
        <v>268</v>
      </c>
      <c r="J180" s="348"/>
      <c r="L180" s="358"/>
    </row>
    <row r="181" spans="1:12" s="349" customFormat="1" ht="18" customHeight="1">
      <c r="A181" s="394"/>
      <c r="B181" s="343"/>
      <c r="C181" s="344" t="s">
        <v>260</v>
      </c>
      <c r="D181" s="345">
        <v>44131</v>
      </c>
      <c r="E181" s="346">
        <v>1</v>
      </c>
      <c r="F181" s="347">
        <v>850000</v>
      </c>
      <c r="G181" s="346">
        <v>1</v>
      </c>
      <c r="H181" s="347">
        <v>850000</v>
      </c>
      <c r="I181" s="347" t="s">
        <v>268</v>
      </c>
      <c r="J181" s="348"/>
      <c r="L181" s="358"/>
    </row>
    <row r="182" spans="1:12" s="390" customFormat="1" ht="18" customHeight="1">
      <c r="A182" s="395"/>
      <c r="B182" s="384"/>
      <c r="C182" s="385" t="s">
        <v>261</v>
      </c>
      <c r="D182" s="386">
        <v>44132</v>
      </c>
      <c r="E182" s="387">
        <v>0</v>
      </c>
      <c r="F182" s="388">
        <v>0</v>
      </c>
      <c r="G182" s="387">
        <v>0</v>
      </c>
      <c r="H182" s="388">
        <v>0</v>
      </c>
      <c r="I182" s="388" t="s">
        <v>273</v>
      </c>
      <c r="J182" s="389"/>
      <c r="L182" s="391"/>
    </row>
    <row r="183" spans="1:12" s="390" customFormat="1" ht="18" customHeight="1">
      <c r="A183" s="395"/>
      <c r="B183" s="384"/>
      <c r="C183" s="385" t="s">
        <v>262</v>
      </c>
      <c r="D183" s="386">
        <v>44133</v>
      </c>
      <c r="E183" s="387">
        <v>0</v>
      </c>
      <c r="F183" s="388">
        <v>0</v>
      </c>
      <c r="G183" s="387">
        <v>0</v>
      </c>
      <c r="H183" s="388">
        <v>0</v>
      </c>
      <c r="I183" s="388" t="s">
        <v>273</v>
      </c>
      <c r="J183" s="389"/>
      <c r="L183" s="391"/>
    </row>
    <row r="184" spans="1:12" s="390" customFormat="1" ht="18" customHeight="1">
      <c r="A184" s="395"/>
      <c r="B184" s="384"/>
      <c r="C184" s="385" t="s">
        <v>263</v>
      </c>
      <c r="D184" s="386">
        <v>44134</v>
      </c>
      <c r="E184" s="387">
        <v>0</v>
      </c>
      <c r="F184" s="388">
        <v>0</v>
      </c>
      <c r="G184" s="387">
        <v>0</v>
      </c>
      <c r="H184" s="388">
        <v>0</v>
      </c>
      <c r="I184" s="388" t="s">
        <v>273</v>
      </c>
      <c r="J184" s="389"/>
      <c r="L184" s="391"/>
    </row>
    <row r="185" spans="1:12" s="390" customFormat="1" ht="18" customHeight="1">
      <c r="A185" s="395"/>
      <c r="B185" s="384"/>
      <c r="C185" s="385" t="s">
        <v>257</v>
      </c>
      <c r="D185" s="386">
        <v>44135</v>
      </c>
      <c r="E185" s="387">
        <v>0</v>
      </c>
      <c r="F185" s="388">
        <v>0</v>
      </c>
      <c r="G185" s="387">
        <v>0</v>
      </c>
      <c r="H185" s="388">
        <v>0</v>
      </c>
      <c r="I185" s="388" t="s">
        <v>273</v>
      </c>
      <c r="J185" s="389"/>
      <c r="L185" s="391"/>
    </row>
    <row r="186" spans="1:12" s="349" customFormat="1" ht="18" customHeight="1">
      <c r="A186" s="394"/>
      <c r="B186" s="343"/>
      <c r="C186" s="702" t="s">
        <v>337</v>
      </c>
      <c r="D186" s="703"/>
      <c r="E186" s="704">
        <f>SUM(E155:E184)</f>
        <v>19</v>
      </c>
      <c r="F186" s="705"/>
      <c r="G186" s="704">
        <f>SUM(G155:G184)</f>
        <v>19</v>
      </c>
      <c r="H186" s="705"/>
      <c r="I186" s="400"/>
      <c r="J186" s="348"/>
      <c r="L186" s="358"/>
    </row>
    <row r="187" spans="1:12" s="297" customFormat="1" ht="20.100000000000001" customHeight="1">
      <c r="A187" s="277"/>
      <c r="B187" s="320"/>
      <c r="C187" s="706" t="s">
        <v>264</v>
      </c>
      <c r="D187" s="707"/>
      <c r="E187" s="708">
        <f>SUM(F155:F184)</f>
        <v>16150000</v>
      </c>
      <c r="F187" s="709"/>
      <c r="G187" s="696">
        <f>SUM(H155:H184)</f>
        <v>16150000</v>
      </c>
      <c r="H187" s="697"/>
      <c r="I187" s="330"/>
      <c r="J187" s="321"/>
      <c r="L187" s="356">
        <v>19</v>
      </c>
    </row>
    <row r="188" spans="1:12" s="296" customFormat="1" ht="24.95" customHeight="1">
      <c r="A188" s="277"/>
      <c r="B188" s="322"/>
      <c r="C188" s="692" t="s">
        <v>62</v>
      </c>
      <c r="D188" s="692"/>
      <c r="E188" s="692"/>
      <c r="F188" s="692"/>
      <c r="G188" s="690">
        <f>+G187+E187</f>
        <v>32300000</v>
      </c>
      <c r="H188" s="691"/>
      <c r="I188" s="331"/>
      <c r="J188" s="323"/>
      <c r="L188" s="359">
        <f>+L187*2*850000</f>
        <v>32300000</v>
      </c>
    </row>
    <row r="189" spans="1:12" ht="20.100000000000001" customHeight="1">
      <c r="B189" s="307"/>
      <c r="J189" s="308"/>
    </row>
    <row r="190" spans="1:12" ht="18" customHeight="1">
      <c r="B190" s="307"/>
      <c r="C190" s="290" t="s">
        <v>136</v>
      </c>
      <c r="E190" s="183"/>
      <c r="F190" s="234" t="s">
        <v>131</v>
      </c>
      <c r="G190" s="234" t="s">
        <v>130</v>
      </c>
      <c r="H190" s="234" t="s">
        <v>129</v>
      </c>
      <c r="I190" s="234" t="s">
        <v>128</v>
      </c>
      <c r="J190" s="308"/>
    </row>
    <row r="191" spans="1:12" s="335" customFormat="1" ht="39.950000000000003" customHeight="1">
      <c r="B191" s="332"/>
      <c r="C191" s="333">
        <v>5</v>
      </c>
      <c r="D191" s="334"/>
      <c r="F191" s="336">
        <v>4</v>
      </c>
      <c r="G191" s="336">
        <v>3</v>
      </c>
      <c r="H191" s="336">
        <v>2</v>
      </c>
      <c r="I191" s="336">
        <v>1</v>
      </c>
      <c r="J191" s="337"/>
      <c r="L191" s="357"/>
    </row>
    <row r="192" spans="1:12" ht="17.100000000000001" customHeight="1">
      <c r="B192" s="307"/>
      <c r="C192" s="290"/>
      <c r="E192" s="183"/>
      <c r="F192" s="236" t="s">
        <v>114</v>
      </c>
      <c r="G192" s="237" t="s">
        <v>113</v>
      </c>
      <c r="H192" s="238" t="s">
        <v>112</v>
      </c>
      <c r="I192" s="234" t="s">
        <v>16</v>
      </c>
      <c r="J192" s="308"/>
    </row>
    <row r="193" spans="1:12" ht="15" customHeight="1" thickBot="1">
      <c r="B193" s="374"/>
      <c r="C193" s="375" t="s">
        <v>132</v>
      </c>
      <c r="D193" s="376"/>
      <c r="E193" s="377"/>
      <c r="F193" s="375" t="s">
        <v>132</v>
      </c>
      <c r="G193" s="375" t="s">
        <v>132</v>
      </c>
      <c r="H193" s="375" t="s">
        <v>132</v>
      </c>
      <c r="I193" s="375" t="s">
        <v>132</v>
      </c>
      <c r="J193" s="378"/>
    </row>
    <row r="194" spans="1:12" ht="9.9499999999999993" customHeight="1" thickTop="1">
      <c r="B194" s="364"/>
      <c r="C194" s="364"/>
      <c r="D194" s="365"/>
      <c r="E194" s="366"/>
      <c r="F194" s="367"/>
      <c r="G194" s="366"/>
      <c r="H194" s="367"/>
      <c r="I194" s="367"/>
      <c r="J194" s="364"/>
    </row>
    <row r="196" spans="1:12" ht="9.9499999999999993" customHeight="1" thickBot="1">
      <c r="B196" s="379"/>
      <c r="C196" s="379"/>
      <c r="D196" s="380"/>
      <c r="E196" s="381"/>
      <c r="F196" s="382"/>
      <c r="G196" s="381"/>
      <c r="H196" s="382"/>
      <c r="I196" s="382"/>
      <c r="J196" s="379"/>
    </row>
    <row r="197" spans="1:12" ht="9.9499999999999993" customHeight="1" thickTop="1">
      <c r="A197" s="661">
        <v>44124</v>
      </c>
      <c r="B197" s="301"/>
      <c r="C197" s="302"/>
      <c r="D197" s="303"/>
      <c r="E197" s="304"/>
      <c r="F197" s="305"/>
      <c r="G197" s="304"/>
      <c r="H197" s="305"/>
      <c r="I197" s="305"/>
      <c r="J197" s="306"/>
    </row>
    <row r="198" spans="1:12" ht="17.100000000000001" customHeight="1">
      <c r="A198" s="661"/>
      <c r="B198" s="307"/>
      <c r="C198" s="298" t="s">
        <v>138</v>
      </c>
      <c r="D198" s="299"/>
      <c r="G198" s="662" t="s">
        <v>344</v>
      </c>
      <c r="H198" s="662"/>
      <c r="I198" s="662"/>
      <c r="J198" s="308"/>
    </row>
    <row r="199" spans="1:12" s="275" customFormat="1" ht="30" customHeight="1">
      <c r="A199" s="661"/>
      <c r="B199" s="309"/>
      <c r="C199" s="279" t="s">
        <v>119</v>
      </c>
      <c r="D199" s="292" t="s">
        <v>244</v>
      </c>
      <c r="F199" s="310"/>
      <c r="G199" s="311"/>
      <c r="H199" s="310"/>
      <c r="I199" s="310"/>
      <c r="J199" s="312"/>
      <c r="L199" s="352"/>
    </row>
    <row r="200" spans="1:12" s="276" customFormat="1" ht="23.1" customHeight="1">
      <c r="A200" s="277"/>
      <c r="B200" s="313"/>
      <c r="C200" s="280" t="s">
        <v>120</v>
      </c>
      <c r="D200" s="293" t="s">
        <v>345</v>
      </c>
      <c r="F200" s="663" t="s">
        <v>303</v>
      </c>
      <c r="G200" s="664"/>
      <c r="H200" s="664"/>
      <c r="I200" s="665"/>
      <c r="J200" s="315"/>
      <c r="L200" s="353"/>
    </row>
    <row r="201" spans="1:12" s="276" customFormat="1" ht="23.1" customHeight="1">
      <c r="A201" s="277"/>
      <c r="B201" s="313"/>
      <c r="C201" s="280" t="s">
        <v>121</v>
      </c>
      <c r="D201" s="293" t="s">
        <v>346</v>
      </c>
      <c r="F201" s="666"/>
      <c r="G201" s="667"/>
      <c r="H201" s="667"/>
      <c r="I201" s="668"/>
      <c r="J201" s="315"/>
      <c r="L201" s="353"/>
    </row>
    <row r="202" spans="1:12" s="278" customFormat="1" ht="50.1" customHeight="1">
      <c r="A202" s="392"/>
      <c r="B202" s="316"/>
      <c r="C202" s="669" t="s">
        <v>2</v>
      </c>
      <c r="D202" s="671" t="s">
        <v>283</v>
      </c>
      <c r="E202" s="673" t="s">
        <v>275</v>
      </c>
      <c r="F202" s="674"/>
      <c r="G202" s="673" t="s">
        <v>276</v>
      </c>
      <c r="H202" s="674"/>
      <c r="I202" s="675" t="s">
        <v>85</v>
      </c>
      <c r="J202" s="317"/>
      <c r="L202" s="354"/>
    </row>
    <row r="203" spans="1:12" s="278" customFormat="1" ht="24.95" customHeight="1">
      <c r="A203" s="392"/>
      <c r="B203" s="316"/>
      <c r="C203" s="670"/>
      <c r="D203" s="672"/>
      <c r="E203" s="294" t="s">
        <v>256</v>
      </c>
      <c r="F203" s="295" t="s">
        <v>27</v>
      </c>
      <c r="G203" s="294" t="s">
        <v>256</v>
      </c>
      <c r="H203" s="295" t="s">
        <v>27</v>
      </c>
      <c r="I203" s="675"/>
      <c r="J203" s="317"/>
      <c r="L203" s="354"/>
    </row>
    <row r="204" spans="1:12" s="408" customFormat="1" ht="18" customHeight="1">
      <c r="A204" s="403"/>
      <c r="B204" s="404"/>
      <c r="C204" s="405" t="s">
        <v>258</v>
      </c>
      <c r="D204" s="406">
        <v>44136</v>
      </c>
      <c r="E204" s="401">
        <v>0</v>
      </c>
      <c r="F204" s="402">
        <v>0</v>
      </c>
      <c r="G204" s="401">
        <v>0</v>
      </c>
      <c r="H204" s="402">
        <v>0</v>
      </c>
      <c r="I204" s="402" t="s">
        <v>273</v>
      </c>
      <c r="J204" s="407"/>
      <c r="L204" s="409"/>
    </row>
    <row r="205" spans="1:12" s="349" customFormat="1" ht="18" customHeight="1">
      <c r="A205" s="394"/>
      <c r="B205" s="343"/>
      <c r="C205" s="344" t="s">
        <v>259</v>
      </c>
      <c r="D205" s="345">
        <v>44137</v>
      </c>
      <c r="E205" s="346">
        <v>1</v>
      </c>
      <c r="F205" s="347">
        <v>850000</v>
      </c>
      <c r="G205" s="346">
        <v>1</v>
      </c>
      <c r="H205" s="347">
        <v>850000</v>
      </c>
      <c r="I205" s="347" t="s">
        <v>268</v>
      </c>
      <c r="J205" s="348"/>
      <c r="L205" s="358"/>
    </row>
    <row r="206" spans="1:12" s="390" customFormat="1" ht="18" customHeight="1">
      <c r="A206" s="395"/>
      <c r="B206" s="384"/>
      <c r="C206" s="344" t="s">
        <v>260</v>
      </c>
      <c r="D206" s="345">
        <v>44138</v>
      </c>
      <c r="E206" s="346">
        <v>1</v>
      </c>
      <c r="F206" s="347">
        <v>850000</v>
      </c>
      <c r="G206" s="346">
        <v>1</v>
      </c>
      <c r="H206" s="347">
        <v>850000</v>
      </c>
      <c r="I206" s="347" t="s">
        <v>268</v>
      </c>
      <c r="J206" s="389"/>
      <c r="L206" s="391"/>
    </row>
    <row r="207" spans="1:12" s="390" customFormat="1" ht="18" customHeight="1">
      <c r="A207" s="395"/>
      <c r="B207" s="384"/>
      <c r="C207" s="344" t="s">
        <v>261</v>
      </c>
      <c r="D207" s="345">
        <v>44139</v>
      </c>
      <c r="E207" s="346">
        <v>1</v>
      </c>
      <c r="F207" s="347">
        <v>850000</v>
      </c>
      <c r="G207" s="346">
        <v>1</v>
      </c>
      <c r="H207" s="347">
        <v>850000</v>
      </c>
      <c r="I207" s="347" t="s">
        <v>268</v>
      </c>
      <c r="J207" s="389"/>
      <c r="L207" s="391"/>
    </row>
    <row r="208" spans="1:12" s="349" customFormat="1" ht="18" customHeight="1">
      <c r="A208" s="394"/>
      <c r="B208" s="343"/>
      <c r="C208" s="344" t="s">
        <v>262</v>
      </c>
      <c r="D208" s="345">
        <v>44140</v>
      </c>
      <c r="E208" s="346">
        <v>1</v>
      </c>
      <c r="F208" s="347">
        <v>850000</v>
      </c>
      <c r="G208" s="346">
        <v>1</v>
      </c>
      <c r="H208" s="347">
        <v>850000</v>
      </c>
      <c r="I208" s="347" t="s">
        <v>268</v>
      </c>
      <c r="J208" s="348"/>
      <c r="L208" s="358"/>
    </row>
    <row r="209" spans="1:12" s="349" customFormat="1" ht="18" customHeight="1">
      <c r="A209" s="394"/>
      <c r="B209" s="343"/>
      <c r="C209" s="344" t="s">
        <v>263</v>
      </c>
      <c r="D209" s="345">
        <v>44141</v>
      </c>
      <c r="E209" s="346">
        <v>1</v>
      </c>
      <c r="F209" s="347">
        <v>850000</v>
      </c>
      <c r="G209" s="346">
        <v>1</v>
      </c>
      <c r="H209" s="347">
        <v>850000</v>
      </c>
      <c r="I209" s="347" t="s">
        <v>268</v>
      </c>
      <c r="J209" s="348"/>
      <c r="L209" s="358"/>
    </row>
    <row r="210" spans="1:12" s="408" customFormat="1" ht="18" customHeight="1">
      <c r="A210" s="403"/>
      <c r="B210" s="404"/>
      <c r="C210" s="405" t="s">
        <v>257</v>
      </c>
      <c r="D210" s="406">
        <v>44142</v>
      </c>
      <c r="E210" s="401">
        <v>0</v>
      </c>
      <c r="F210" s="402">
        <v>0</v>
      </c>
      <c r="G210" s="401">
        <v>0</v>
      </c>
      <c r="H210" s="402">
        <v>0</v>
      </c>
      <c r="I210" s="402" t="s">
        <v>273</v>
      </c>
      <c r="J210" s="407"/>
      <c r="L210" s="409"/>
    </row>
    <row r="211" spans="1:12" s="408" customFormat="1" ht="18" customHeight="1">
      <c r="A211" s="403"/>
      <c r="B211" s="404"/>
      <c r="C211" s="405" t="s">
        <v>258</v>
      </c>
      <c r="D211" s="406">
        <v>44143</v>
      </c>
      <c r="E211" s="401">
        <v>0</v>
      </c>
      <c r="F211" s="402">
        <v>0</v>
      </c>
      <c r="G211" s="401">
        <v>0</v>
      </c>
      <c r="H211" s="402">
        <v>0</v>
      </c>
      <c r="I211" s="402" t="s">
        <v>273</v>
      </c>
      <c r="J211" s="407"/>
      <c r="L211" s="409"/>
    </row>
    <row r="212" spans="1:12" s="408" customFormat="1" ht="18" customHeight="1">
      <c r="A212" s="403"/>
      <c r="B212" s="404"/>
      <c r="C212" s="344" t="s">
        <v>259</v>
      </c>
      <c r="D212" s="345">
        <v>44144</v>
      </c>
      <c r="E212" s="346">
        <v>1</v>
      </c>
      <c r="F212" s="347">
        <v>850000</v>
      </c>
      <c r="G212" s="346">
        <v>1</v>
      </c>
      <c r="H212" s="347">
        <v>850000</v>
      </c>
      <c r="I212" s="347" t="s">
        <v>268</v>
      </c>
      <c r="J212" s="407"/>
      <c r="L212" s="409"/>
    </row>
    <row r="213" spans="1:12" s="408" customFormat="1" ht="18" customHeight="1">
      <c r="A213" s="403"/>
      <c r="B213" s="404"/>
      <c r="C213" s="344" t="s">
        <v>260</v>
      </c>
      <c r="D213" s="345">
        <v>44145</v>
      </c>
      <c r="E213" s="346">
        <v>1</v>
      </c>
      <c r="F213" s="347">
        <v>850000</v>
      </c>
      <c r="G213" s="346">
        <v>1</v>
      </c>
      <c r="H213" s="347">
        <v>850000</v>
      </c>
      <c r="I213" s="347" t="s">
        <v>268</v>
      </c>
      <c r="J213" s="407"/>
      <c r="L213" s="409"/>
    </row>
    <row r="214" spans="1:12" s="390" customFormat="1" ht="18" customHeight="1">
      <c r="A214" s="395"/>
      <c r="B214" s="384"/>
      <c r="C214" s="344" t="s">
        <v>261</v>
      </c>
      <c r="D214" s="345">
        <v>44146</v>
      </c>
      <c r="E214" s="346">
        <v>1</v>
      </c>
      <c r="F214" s="347">
        <v>850000</v>
      </c>
      <c r="G214" s="346">
        <v>1</v>
      </c>
      <c r="H214" s="347">
        <v>850000</v>
      </c>
      <c r="I214" s="347" t="s">
        <v>268</v>
      </c>
      <c r="J214" s="389"/>
      <c r="L214" s="391"/>
    </row>
    <row r="215" spans="1:12" s="349" customFormat="1" ht="18" customHeight="1">
      <c r="A215" s="394"/>
      <c r="B215" s="343"/>
      <c r="C215" s="344" t="s">
        <v>262</v>
      </c>
      <c r="D215" s="345">
        <v>44147</v>
      </c>
      <c r="E215" s="346">
        <v>1</v>
      </c>
      <c r="F215" s="347">
        <v>850000</v>
      </c>
      <c r="G215" s="346">
        <v>1</v>
      </c>
      <c r="H215" s="347">
        <v>850000</v>
      </c>
      <c r="I215" s="347" t="s">
        <v>268</v>
      </c>
      <c r="J215" s="348"/>
      <c r="L215" s="358"/>
    </row>
    <row r="216" spans="1:12" s="349" customFormat="1" ht="18" customHeight="1">
      <c r="A216" s="394"/>
      <c r="B216" s="343"/>
      <c r="C216" s="344" t="s">
        <v>263</v>
      </c>
      <c r="D216" s="345">
        <v>44148</v>
      </c>
      <c r="E216" s="346">
        <v>1</v>
      </c>
      <c r="F216" s="347">
        <v>850000</v>
      </c>
      <c r="G216" s="346">
        <v>1</v>
      </c>
      <c r="H216" s="347">
        <v>850000</v>
      </c>
      <c r="I216" s="347" t="s">
        <v>268</v>
      </c>
      <c r="J216" s="348"/>
      <c r="L216" s="358"/>
    </row>
    <row r="217" spans="1:12" s="349" customFormat="1" ht="18" customHeight="1">
      <c r="A217" s="394"/>
      <c r="B217" s="343"/>
      <c r="C217" s="405" t="s">
        <v>257</v>
      </c>
      <c r="D217" s="406">
        <v>44149</v>
      </c>
      <c r="E217" s="401">
        <v>0</v>
      </c>
      <c r="F217" s="402">
        <v>0</v>
      </c>
      <c r="G217" s="401">
        <v>0</v>
      </c>
      <c r="H217" s="402">
        <v>0</v>
      </c>
      <c r="I217" s="402" t="s">
        <v>273</v>
      </c>
      <c r="J217" s="348"/>
      <c r="L217" s="358"/>
    </row>
    <row r="218" spans="1:12" s="408" customFormat="1" ht="18" customHeight="1">
      <c r="A218" s="403"/>
      <c r="B218" s="404"/>
      <c r="C218" s="405" t="s">
        <v>258</v>
      </c>
      <c r="D218" s="406">
        <v>44150</v>
      </c>
      <c r="E218" s="401">
        <v>0</v>
      </c>
      <c r="F218" s="402">
        <v>0</v>
      </c>
      <c r="G218" s="401">
        <v>0</v>
      </c>
      <c r="H218" s="402">
        <v>0</v>
      </c>
      <c r="I218" s="402" t="s">
        <v>273</v>
      </c>
      <c r="J218" s="407"/>
      <c r="L218" s="409"/>
    </row>
    <row r="219" spans="1:12" s="349" customFormat="1" ht="18" customHeight="1">
      <c r="A219" s="394"/>
      <c r="B219" s="343"/>
      <c r="C219" s="344" t="s">
        <v>259</v>
      </c>
      <c r="D219" s="345">
        <v>44151</v>
      </c>
      <c r="E219" s="346">
        <v>1</v>
      </c>
      <c r="F219" s="347">
        <v>850000</v>
      </c>
      <c r="G219" s="346">
        <v>1</v>
      </c>
      <c r="H219" s="347">
        <v>850000</v>
      </c>
      <c r="I219" s="347" t="s">
        <v>268</v>
      </c>
      <c r="J219" s="348"/>
      <c r="L219" s="358"/>
    </row>
    <row r="220" spans="1:12" s="390" customFormat="1" ht="18" customHeight="1">
      <c r="A220" s="395"/>
      <c r="B220" s="384"/>
      <c r="C220" s="344" t="s">
        <v>260</v>
      </c>
      <c r="D220" s="345">
        <v>44152</v>
      </c>
      <c r="E220" s="346">
        <v>1</v>
      </c>
      <c r="F220" s="347">
        <v>850000</v>
      </c>
      <c r="G220" s="346">
        <v>1</v>
      </c>
      <c r="H220" s="347">
        <v>850000</v>
      </c>
      <c r="I220" s="347" t="s">
        <v>268</v>
      </c>
      <c r="J220" s="389"/>
      <c r="L220" s="391"/>
    </row>
    <row r="221" spans="1:12" s="390" customFormat="1" ht="18" customHeight="1">
      <c r="A221" s="395"/>
      <c r="B221" s="384"/>
      <c r="C221" s="344" t="s">
        <v>261</v>
      </c>
      <c r="D221" s="345">
        <v>44153</v>
      </c>
      <c r="E221" s="346">
        <v>1</v>
      </c>
      <c r="F221" s="347">
        <v>850000</v>
      </c>
      <c r="G221" s="346">
        <v>1</v>
      </c>
      <c r="H221" s="347">
        <v>850000</v>
      </c>
      <c r="I221" s="347" t="s">
        <v>268</v>
      </c>
      <c r="J221" s="389"/>
      <c r="L221" s="391"/>
    </row>
    <row r="222" spans="1:12" s="349" customFormat="1" ht="18" customHeight="1">
      <c r="A222" s="394"/>
      <c r="B222" s="343"/>
      <c r="C222" s="344" t="s">
        <v>262</v>
      </c>
      <c r="D222" s="345">
        <v>44154</v>
      </c>
      <c r="E222" s="346">
        <v>1</v>
      </c>
      <c r="F222" s="347">
        <v>850000</v>
      </c>
      <c r="G222" s="346">
        <v>1</v>
      </c>
      <c r="H222" s="347">
        <v>850000</v>
      </c>
      <c r="I222" s="347" t="s">
        <v>268</v>
      </c>
      <c r="J222" s="348"/>
      <c r="L222" s="358"/>
    </row>
    <row r="223" spans="1:12" s="349" customFormat="1" ht="18" customHeight="1">
      <c r="A223" s="394"/>
      <c r="B223" s="343"/>
      <c r="C223" s="344" t="s">
        <v>263</v>
      </c>
      <c r="D223" s="345">
        <v>44155</v>
      </c>
      <c r="E223" s="346">
        <v>1</v>
      </c>
      <c r="F223" s="347">
        <v>850000</v>
      </c>
      <c r="G223" s="346">
        <v>1</v>
      </c>
      <c r="H223" s="347">
        <v>850000</v>
      </c>
      <c r="I223" s="347" t="s">
        <v>268</v>
      </c>
      <c r="J223" s="348"/>
      <c r="L223" s="358"/>
    </row>
    <row r="224" spans="1:12" s="349" customFormat="1" ht="18" customHeight="1">
      <c r="A224" s="394"/>
      <c r="B224" s="343"/>
      <c r="C224" s="405" t="s">
        <v>257</v>
      </c>
      <c r="D224" s="406">
        <v>44156</v>
      </c>
      <c r="E224" s="401">
        <v>0</v>
      </c>
      <c r="F224" s="402">
        <v>0</v>
      </c>
      <c r="G224" s="401">
        <v>0</v>
      </c>
      <c r="H224" s="402">
        <v>0</v>
      </c>
      <c r="I224" s="402" t="s">
        <v>273</v>
      </c>
      <c r="J224" s="348"/>
      <c r="L224" s="358"/>
    </row>
    <row r="225" spans="1:12" s="408" customFormat="1" ht="18" customHeight="1">
      <c r="A225" s="403"/>
      <c r="B225" s="404"/>
      <c r="C225" s="405" t="s">
        <v>258</v>
      </c>
      <c r="D225" s="406">
        <v>44157</v>
      </c>
      <c r="E225" s="401">
        <v>0</v>
      </c>
      <c r="F225" s="402">
        <v>0</v>
      </c>
      <c r="G225" s="401">
        <v>0</v>
      </c>
      <c r="H225" s="402">
        <v>0</v>
      </c>
      <c r="I225" s="402" t="s">
        <v>273</v>
      </c>
      <c r="J225" s="407"/>
      <c r="L225" s="409"/>
    </row>
    <row r="226" spans="1:12" s="349" customFormat="1" ht="18" customHeight="1">
      <c r="A226" s="394"/>
      <c r="B226" s="343"/>
      <c r="C226" s="344" t="s">
        <v>259</v>
      </c>
      <c r="D226" s="345">
        <v>44158</v>
      </c>
      <c r="E226" s="346">
        <v>1</v>
      </c>
      <c r="F226" s="347">
        <v>850000</v>
      </c>
      <c r="G226" s="346">
        <v>1</v>
      </c>
      <c r="H226" s="347">
        <v>850000</v>
      </c>
      <c r="I226" s="347" t="s">
        <v>268</v>
      </c>
      <c r="J226" s="348"/>
      <c r="L226" s="358"/>
    </row>
    <row r="227" spans="1:12" s="390" customFormat="1" ht="18" customHeight="1">
      <c r="A227" s="395"/>
      <c r="B227" s="384"/>
      <c r="C227" s="344" t="s">
        <v>260</v>
      </c>
      <c r="D227" s="345">
        <v>44159</v>
      </c>
      <c r="E227" s="346">
        <v>1</v>
      </c>
      <c r="F227" s="347">
        <v>850000</v>
      </c>
      <c r="G227" s="346">
        <v>1</v>
      </c>
      <c r="H227" s="347">
        <v>850000</v>
      </c>
      <c r="I227" s="347" t="s">
        <v>268</v>
      </c>
      <c r="J227" s="389"/>
      <c r="L227" s="391"/>
    </row>
    <row r="228" spans="1:12" s="390" customFormat="1" ht="18" customHeight="1">
      <c r="A228" s="395"/>
      <c r="B228" s="384"/>
      <c r="C228" s="344" t="s">
        <v>261</v>
      </c>
      <c r="D228" s="345">
        <v>44160</v>
      </c>
      <c r="E228" s="346">
        <v>1</v>
      </c>
      <c r="F228" s="347">
        <v>850000</v>
      </c>
      <c r="G228" s="346">
        <v>1</v>
      </c>
      <c r="H228" s="347">
        <v>850000</v>
      </c>
      <c r="I228" s="347" t="s">
        <v>268</v>
      </c>
      <c r="J228" s="389"/>
      <c r="L228" s="391"/>
    </row>
    <row r="229" spans="1:12" s="349" customFormat="1" ht="18" customHeight="1">
      <c r="A229" s="394"/>
      <c r="B229" s="343"/>
      <c r="C229" s="344" t="s">
        <v>262</v>
      </c>
      <c r="D229" s="345">
        <v>44161</v>
      </c>
      <c r="E229" s="346">
        <v>1</v>
      </c>
      <c r="F229" s="347">
        <v>850000</v>
      </c>
      <c r="G229" s="346">
        <v>1</v>
      </c>
      <c r="H229" s="347">
        <v>850000</v>
      </c>
      <c r="I229" s="347" t="s">
        <v>268</v>
      </c>
      <c r="J229" s="348"/>
      <c r="L229" s="358"/>
    </row>
    <row r="230" spans="1:12" s="349" customFormat="1" ht="18" customHeight="1">
      <c r="A230" s="394"/>
      <c r="B230" s="343"/>
      <c r="C230" s="344" t="s">
        <v>263</v>
      </c>
      <c r="D230" s="345">
        <v>44162</v>
      </c>
      <c r="E230" s="346">
        <v>1</v>
      </c>
      <c r="F230" s="347">
        <v>850000</v>
      </c>
      <c r="G230" s="346">
        <v>1</v>
      </c>
      <c r="H230" s="347">
        <v>850000</v>
      </c>
      <c r="I230" s="347" t="s">
        <v>268</v>
      </c>
      <c r="J230" s="348"/>
      <c r="L230" s="358"/>
    </row>
    <row r="231" spans="1:12" s="408" customFormat="1" ht="18" customHeight="1">
      <c r="A231" s="403"/>
      <c r="B231" s="404"/>
      <c r="C231" s="405" t="s">
        <v>257</v>
      </c>
      <c r="D231" s="406">
        <v>44163</v>
      </c>
      <c r="E231" s="401">
        <v>0</v>
      </c>
      <c r="F231" s="402">
        <v>0</v>
      </c>
      <c r="G231" s="401">
        <v>0</v>
      </c>
      <c r="H231" s="402">
        <v>0</v>
      </c>
      <c r="I231" s="402" t="s">
        <v>273</v>
      </c>
      <c r="J231" s="407"/>
      <c r="L231" s="409"/>
    </row>
    <row r="232" spans="1:12" s="408" customFormat="1" ht="18" customHeight="1">
      <c r="A232" s="403"/>
      <c r="B232" s="404"/>
      <c r="C232" s="405" t="s">
        <v>258</v>
      </c>
      <c r="D232" s="406">
        <v>44164</v>
      </c>
      <c r="E232" s="401">
        <v>0</v>
      </c>
      <c r="F232" s="402">
        <v>0</v>
      </c>
      <c r="G232" s="401">
        <v>0</v>
      </c>
      <c r="H232" s="402">
        <v>0</v>
      </c>
      <c r="I232" s="402" t="s">
        <v>273</v>
      </c>
      <c r="J232" s="407"/>
      <c r="L232" s="409"/>
    </row>
    <row r="233" spans="1:12" s="390" customFormat="1" ht="18" customHeight="1">
      <c r="A233" s="395"/>
      <c r="B233" s="384"/>
      <c r="C233" s="344" t="s">
        <v>259</v>
      </c>
      <c r="D233" s="345">
        <v>44165</v>
      </c>
      <c r="E233" s="346">
        <v>1</v>
      </c>
      <c r="F233" s="347">
        <v>850000</v>
      </c>
      <c r="G233" s="346">
        <v>1</v>
      </c>
      <c r="H233" s="347">
        <v>850000</v>
      </c>
      <c r="I233" s="347" t="s">
        <v>268</v>
      </c>
      <c r="J233" s="389"/>
      <c r="L233" s="391"/>
    </row>
    <row r="234" spans="1:12" s="349" customFormat="1" ht="18" customHeight="1">
      <c r="A234" s="394"/>
      <c r="B234" s="343"/>
      <c r="C234" s="702" t="s">
        <v>337</v>
      </c>
      <c r="D234" s="703"/>
      <c r="E234" s="704">
        <f>SUM(E204:E233)</f>
        <v>21</v>
      </c>
      <c r="F234" s="705"/>
      <c r="G234" s="704">
        <f>SUM(G204:G233)</f>
        <v>21</v>
      </c>
      <c r="H234" s="705"/>
      <c r="I234" s="400"/>
      <c r="J234" s="348"/>
      <c r="L234" s="358"/>
    </row>
    <row r="235" spans="1:12" s="297" customFormat="1" ht="20.100000000000001" customHeight="1">
      <c r="A235" s="277"/>
      <c r="B235" s="320"/>
      <c r="C235" s="706" t="s">
        <v>264</v>
      </c>
      <c r="D235" s="707"/>
      <c r="E235" s="708">
        <f>SUM(F204:F233)</f>
        <v>17850000</v>
      </c>
      <c r="F235" s="709"/>
      <c r="G235" s="696">
        <f>SUM(H204:H233)</f>
        <v>17850000</v>
      </c>
      <c r="H235" s="697"/>
      <c r="I235" s="330"/>
      <c r="J235" s="321"/>
      <c r="L235" s="356">
        <v>21</v>
      </c>
    </row>
    <row r="236" spans="1:12" s="296" customFormat="1" ht="24.95" customHeight="1">
      <c r="A236" s="277"/>
      <c r="B236" s="322"/>
      <c r="C236" s="692" t="s">
        <v>62</v>
      </c>
      <c r="D236" s="692"/>
      <c r="E236" s="692"/>
      <c r="F236" s="692"/>
      <c r="G236" s="690">
        <f>+G235+E235</f>
        <v>35700000</v>
      </c>
      <c r="H236" s="691"/>
      <c r="I236" s="331"/>
      <c r="J236" s="323"/>
      <c r="L236" s="359">
        <f>+L235*2*850000</f>
        <v>35700000</v>
      </c>
    </row>
    <row r="237" spans="1:12" ht="20.100000000000001" customHeight="1">
      <c r="B237" s="307"/>
      <c r="J237" s="308"/>
    </row>
    <row r="238" spans="1:12" ht="18" customHeight="1">
      <c r="B238" s="307"/>
      <c r="C238" s="290" t="s">
        <v>136</v>
      </c>
      <c r="E238" s="183"/>
      <c r="F238" s="234" t="s">
        <v>131</v>
      </c>
      <c r="G238" s="234" t="s">
        <v>130</v>
      </c>
      <c r="H238" s="234" t="s">
        <v>129</v>
      </c>
      <c r="I238" s="234" t="s">
        <v>128</v>
      </c>
      <c r="J238" s="308"/>
    </row>
    <row r="239" spans="1:12" s="335" customFormat="1" ht="39.950000000000003" customHeight="1">
      <c r="B239" s="332"/>
      <c r="C239" s="333">
        <v>5</v>
      </c>
      <c r="D239" s="334"/>
      <c r="F239" s="336">
        <v>4</v>
      </c>
      <c r="G239" s="336">
        <v>3</v>
      </c>
      <c r="H239" s="336">
        <v>2</v>
      </c>
      <c r="I239" s="336">
        <v>1</v>
      </c>
      <c r="J239" s="337"/>
      <c r="L239" s="357"/>
    </row>
    <row r="240" spans="1:12" ht="17.100000000000001" customHeight="1">
      <c r="B240" s="307"/>
      <c r="C240" s="290"/>
      <c r="E240" s="183"/>
      <c r="F240" s="236" t="s">
        <v>114</v>
      </c>
      <c r="G240" s="237" t="s">
        <v>113</v>
      </c>
      <c r="H240" s="238" t="s">
        <v>112</v>
      </c>
      <c r="I240" s="234" t="s">
        <v>16</v>
      </c>
      <c r="J240" s="308"/>
    </row>
    <row r="241" spans="1:12" ht="15" customHeight="1" thickBot="1">
      <c r="B241" s="374"/>
      <c r="C241" s="375" t="s">
        <v>132</v>
      </c>
      <c r="D241" s="376"/>
      <c r="E241" s="377"/>
      <c r="F241" s="375" t="s">
        <v>132</v>
      </c>
      <c r="G241" s="375" t="s">
        <v>132</v>
      </c>
      <c r="H241" s="375" t="s">
        <v>132</v>
      </c>
      <c r="I241" s="375" t="s">
        <v>132</v>
      </c>
      <c r="J241" s="378"/>
    </row>
    <row r="242" spans="1:12" ht="9.9499999999999993" customHeight="1" thickTop="1">
      <c r="B242" s="364"/>
      <c r="C242" s="364"/>
      <c r="D242" s="365"/>
      <c r="E242" s="366"/>
      <c r="F242" s="367"/>
      <c r="G242" s="366"/>
      <c r="H242" s="367"/>
      <c r="I242" s="367"/>
      <c r="J242" s="364"/>
    </row>
    <row r="244" spans="1:12" ht="9.9499999999999993" customHeight="1" thickBot="1">
      <c r="B244" s="379"/>
      <c r="C244" s="379"/>
      <c r="D244" s="380"/>
      <c r="E244" s="381"/>
      <c r="F244" s="382"/>
      <c r="G244" s="381"/>
      <c r="H244" s="382"/>
      <c r="I244" s="382"/>
      <c r="J244" s="379"/>
    </row>
    <row r="245" spans="1:12" ht="9.9499999999999993" customHeight="1" thickTop="1">
      <c r="A245" s="661">
        <v>44155</v>
      </c>
      <c r="B245" s="301"/>
      <c r="C245" s="302"/>
      <c r="D245" s="303"/>
      <c r="E245" s="304"/>
      <c r="F245" s="305"/>
      <c r="G245" s="304"/>
      <c r="H245" s="305"/>
      <c r="I245" s="305"/>
      <c r="J245" s="306"/>
    </row>
    <row r="246" spans="1:12" ht="17.100000000000001" customHeight="1">
      <c r="A246" s="661"/>
      <c r="B246" s="307"/>
      <c r="C246" s="298" t="s">
        <v>138</v>
      </c>
      <c r="D246" s="299"/>
      <c r="G246" s="662" t="s">
        <v>347</v>
      </c>
      <c r="H246" s="662"/>
      <c r="I246" s="662"/>
      <c r="J246" s="308"/>
    </row>
    <row r="247" spans="1:12" s="275" customFormat="1" ht="30" customHeight="1">
      <c r="A247" s="661"/>
      <c r="B247" s="309"/>
      <c r="C247" s="279" t="s">
        <v>119</v>
      </c>
      <c r="D247" s="292" t="s">
        <v>244</v>
      </c>
      <c r="F247" s="310"/>
      <c r="G247" s="311"/>
      <c r="H247" s="310"/>
      <c r="I247" s="310"/>
      <c r="J247" s="312"/>
      <c r="L247" s="352"/>
    </row>
    <row r="248" spans="1:12" s="276" customFormat="1" ht="23.1" customHeight="1">
      <c r="A248" s="277"/>
      <c r="B248" s="313"/>
      <c r="C248" s="280" t="s">
        <v>120</v>
      </c>
      <c r="D248" s="293" t="s">
        <v>349</v>
      </c>
      <c r="F248" s="663" t="s">
        <v>303</v>
      </c>
      <c r="G248" s="664"/>
      <c r="H248" s="664"/>
      <c r="I248" s="665"/>
      <c r="J248" s="315"/>
      <c r="L248" s="353"/>
    </row>
    <row r="249" spans="1:12" s="276" customFormat="1" ht="23.1" customHeight="1">
      <c r="A249" s="277"/>
      <c r="B249" s="313"/>
      <c r="C249" s="280" t="s">
        <v>121</v>
      </c>
      <c r="D249" s="293" t="s">
        <v>348</v>
      </c>
      <c r="F249" s="666"/>
      <c r="G249" s="667"/>
      <c r="H249" s="667"/>
      <c r="I249" s="668"/>
      <c r="J249" s="315"/>
      <c r="L249" s="353"/>
    </row>
    <row r="250" spans="1:12" s="278" customFormat="1" ht="50.1" customHeight="1">
      <c r="A250" s="392"/>
      <c r="B250" s="316"/>
      <c r="C250" s="669" t="s">
        <v>2</v>
      </c>
      <c r="D250" s="671" t="s">
        <v>283</v>
      </c>
      <c r="E250" s="673" t="s">
        <v>275</v>
      </c>
      <c r="F250" s="674"/>
      <c r="G250" s="673" t="s">
        <v>276</v>
      </c>
      <c r="H250" s="674"/>
      <c r="I250" s="675" t="s">
        <v>85</v>
      </c>
      <c r="J250" s="317"/>
      <c r="L250" s="354"/>
    </row>
    <row r="251" spans="1:12" s="278" customFormat="1" ht="24.95" customHeight="1">
      <c r="A251" s="392"/>
      <c r="B251" s="316"/>
      <c r="C251" s="670"/>
      <c r="D251" s="672"/>
      <c r="E251" s="294" t="s">
        <v>256</v>
      </c>
      <c r="F251" s="295" t="s">
        <v>27</v>
      </c>
      <c r="G251" s="294" t="s">
        <v>256</v>
      </c>
      <c r="H251" s="295" t="s">
        <v>27</v>
      </c>
      <c r="I251" s="675"/>
      <c r="J251" s="317"/>
      <c r="L251" s="354"/>
    </row>
    <row r="252" spans="1:12" s="408" customFormat="1" ht="18" customHeight="1">
      <c r="A252" s="403"/>
      <c r="B252" s="404"/>
      <c r="C252" s="344" t="s">
        <v>260</v>
      </c>
      <c r="D252" s="345">
        <v>44166</v>
      </c>
      <c r="E252" s="346">
        <v>1</v>
      </c>
      <c r="F252" s="347">
        <v>850000</v>
      </c>
      <c r="G252" s="346">
        <v>1</v>
      </c>
      <c r="H252" s="347">
        <v>850000</v>
      </c>
      <c r="I252" s="347" t="s">
        <v>268</v>
      </c>
      <c r="J252" s="407"/>
      <c r="L252" s="409"/>
    </row>
    <row r="253" spans="1:12" s="349" customFormat="1" ht="18" customHeight="1">
      <c r="A253" s="394"/>
      <c r="B253" s="343"/>
      <c r="C253" s="344" t="s">
        <v>261</v>
      </c>
      <c r="D253" s="345">
        <v>44167</v>
      </c>
      <c r="E253" s="346">
        <v>1</v>
      </c>
      <c r="F253" s="347">
        <v>850000</v>
      </c>
      <c r="G253" s="346">
        <v>1</v>
      </c>
      <c r="H253" s="347">
        <v>850000</v>
      </c>
      <c r="I253" s="347" t="s">
        <v>268</v>
      </c>
      <c r="J253" s="348"/>
      <c r="L253" s="358"/>
    </row>
    <row r="254" spans="1:12" s="390" customFormat="1" ht="18" customHeight="1">
      <c r="A254" s="395"/>
      <c r="B254" s="384"/>
      <c r="C254" s="344" t="s">
        <v>262</v>
      </c>
      <c r="D254" s="345">
        <v>44168</v>
      </c>
      <c r="E254" s="346">
        <v>1</v>
      </c>
      <c r="F254" s="347">
        <v>850000</v>
      </c>
      <c r="G254" s="346">
        <v>1</v>
      </c>
      <c r="H254" s="347">
        <v>850000</v>
      </c>
      <c r="I254" s="347" t="s">
        <v>268</v>
      </c>
      <c r="J254" s="389"/>
      <c r="L254" s="391"/>
    </row>
    <row r="255" spans="1:12" s="390" customFormat="1" ht="18" customHeight="1">
      <c r="A255" s="395"/>
      <c r="B255" s="384"/>
      <c r="C255" s="344" t="s">
        <v>263</v>
      </c>
      <c r="D255" s="345">
        <v>44169</v>
      </c>
      <c r="E255" s="346">
        <v>1</v>
      </c>
      <c r="F255" s="347">
        <v>850000</v>
      </c>
      <c r="G255" s="346">
        <v>1</v>
      </c>
      <c r="H255" s="347">
        <v>850000</v>
      </c>
      <c r="I255" s="347" t="s">
        <v>268</v>
      </c>
      <c r="J255" s="389"/>
      <c r="L255" s="391"/>
    </row>
    <row r="256" spans="1:12" s="349" customFormat="1" ht="18" customHeight="1">
      <c r="A256" s="394"/>
      <c r="B256" s="343"/>
      <c r="C256" s="405" t="s">
        <v>257</v>
      </c>
      <c r="D256" s="345">
        <v>44170</v>
      </c>
      <c r="E256" s="401">
        <v>0</v>
      </c>
      <c r="F256" s="402">
        <v>0</v>
      </c>
      <c r="G256" s="401">
        <v>0</v>
      </c>
      <c r="H256" s="402">
        <v>0</v>
      </c>
      <c r="I256" s="402" t="s">
        <v>273</v>
      </c>
      <c r="J256" s="348"/>
      <c r="L256" s="358"/>
    </row>
    <row r="257" spans="1:12" s="349" customFormat="1" ht="18" customHeight="1">
      <c r="A257" s="394"/>
      <c r="B257" s="343"/>
      <c r="C257" s="405" t="s">
        <v>258</v>
      </c>
      <c r="D257" s="345">
        <v>44171</v>
      </c>
      <c r="E257" s="401">
        <v>0</v>
      </c>
      <c r="F257" s="402">
        <v>0</v>
      </c>
      <c r="G257" s="401">
        <v>0</v>
      </c>
      <c r="H257" s="402">
        <v>0</v>
      </c>
      <c r="I257" s="402" t="s">
        <v>273</v>
      </c>
      <c r="J257" s="348"/>
      <c r="L257" s="358"/>
    </row>
    <row r="258" spans="1:12" s="408" customFormat="1" ht="18" customHeight="1">
      <c r="A258" s="403"/>
      <c r="B258" s="404"/>
      <c r="C258" s="344" t="s">
        <v>259</v>
      </c>
      <c r="D258" s="345">
        <v>44172</v>
      </c>
      <c r="E258" s="346">
        <v>1</v>
      </c>
      <c r="F258" s="347">
        <v>850000</v>
      </c>
      <c r="G258" s="346">
        <v>1</v>
      </c>
      <c r="H258" s="347">
        <v>850000</v>
      </c>
      <c r="I258" s="347" t="s">
        <v>268</v>
      </c>
      <c r="J258" s="407"/>
      <c r="L258" s="409"/>
    </row>
    <row r="259" spans="1:12" s="408" customFormat="1" ht="18" customHeight="1">
      <c r="A259" s="403"/>
      <c r="B259" s="404"/>
      <c r="C259" s="344" t="s">
        <v>260</v>
      </c>
      <c r="D259" s="345">
        <v>44173</v>
      </c>
      <c r="E259" s="346">
        <v>1</v>
      </c>
      <c r="F259" s="347">
        <v>850000</v>
      </c>
      <c r="G259" s="346">
        <v>1</v>
      </c>
      <c r="H259" s="347">
        <v>850000</v>
      </c>
      <c r="I259" s="347" t="s">
        <v>268</v>
      </c>
      <c r="J259" s="407"/>
      <c r="L259" s="409"/>
    </row>
    <row r="260" spans="1:12" s="408" customFormat="1" ht="18" customHeight="1">
      <c r="A260" s="403"/>
      <c r="B260" s="404"/>
      <c r="C260" s="344" t="s">
        <v>261</v>
      </c>
      <c r="D260" s="345">
        <v>44174</v>
      </c>
      <c r="E260" s="346">
        <v>1</v>
      </c>
      <c r="F260" s="347">
        <v>850000</v>
      </c>
      <c r="G260" s="346">
        <v>1</v>
      </c>
      <c r="H260" s="347">
        <v>850000</v>
      </c>
      <c r="I260" s="347" t="s">
        <v>268</v>
      </c>
      <c r="J260" s="407"/>
      <c r="L260" s="409"/>
    </row>
    <row r="261" spans="1:12" s="408" customFormat="1" ht="18" customHeight="1">
      <c r="A261" s="403"/>
      <c r="B261" s="404"/>
      <c r="C261" s="344" t="s">
        <v>262</v>
      </c>
      <c r="D261" s="345">
        <v>44175</v>
      </c>
      <c r="E261" s="346">
        <v>1</v>
      </c>
      <c r="F261" s="347">
        <v>850000</v>
      </c>
      <c r="G261" s="346">
        <v>1</v>
      </c>
      <c r="H261" s="347">
        <v>850000</v>
      </c>
      <c r="I261" s="347" t="s">
        <v>268</v>
      </c>
      <c r="J261" s="407"/>
      <c r="L261" s="409"/>
    </row>
    <row r="262" spans="1:12" s="390" customFormat="1" ht="18" customHeight="1">
      <c r="A262" s="395"/>
      <c r="B262" s="384"/>
      <c r="C262" s="344" t="s">
        <v>263</v>
      </c>
      <c r="D262" s="345">
        <v>44176</v>
      </c>
      <c r="E262" s="346">
        <v>1</v>
      </c>
      <c r="F262" s="347">
        <v>850000</v>
      </c>
      <c r="G262" s="346">
        <v>1</v>
      </c>
      <c r="H262" s="347">
        <v>850000</v>
      </c>
      <c r="I262" s="347" t="s">
        <v>268</v>
      </c>
      <c r="J262" s="389"/>
      <c r="L262" s="391"/>
    </row>
    <row r="263" spans="1:12" s="349" customFormat="1" ht="18" customHeight="1">
      <c r="A263" s="394"/>
      <c r="B263" s="343"/>
      <c r="C263" s="405" t="s">
        <v>257</v>
      </c>
      <c r="D263" s="345">
        <v>44177</v>
      </c>
      <c r="E263" s="401">
        <v>0</v>
      </c>
      <c r="F263" s="402">
        <v>0</v>
      </c>
      <c r="G263" s="401">
        <v>0</v>
      </c>
      <c r="H263" s="402">
        <v>0</v>
      </c>
      <c r="I263" s="402" t="s">
        <v>273</v>
      </c>
      <c r="J263" s="348"/>
      <c r="L263" s="358"/>
    </row>
    <row r="264" spans="1:12" s="349" customFormat="1" ht="18" customHeight="1">
      <c r="A264" s="394"/>
      <c r="B264" s="343"/>
      <c r="C264" s="405" t="s">
        <v>258</v>
      </c>
      <c r="D264" s="345">
        <v>44178</v>
      </c>
      <c r="E264" s="401">
        <v>0</v>
      </c>
      <c r="F264" s="402">
        <v>0</v>
      </c>
      <c r="G264" s="401">
        <v>0</v>
      </c>
      <c r="H264" s="402">
        <v>0</v>
      </c>
      <c r="I264" s="402" t="s">
        <v>273</v>
      </c>
      <c r="J264" s="348"/>
      <c r="L264" s="358"/>
    </row>
    <row r="265" spans="1:12" s="349" customFormat="1" ht="18" customHeight="1">
      <c r="A265" s="394"/>
      <c r="B265" s="343"/>
      <c r="C265" s="344" t="s">
        <v>259</v>
      </c>
      <c r="D265" s="345">
        <v>44179</v>
      </c>
      <c r="E265" s="346">
        <v>1</v>
      </c>
      <c r="F265" s="347">
        <v>850000</v>
      </c>
      <c r="G265" s="346">
        <v>1</v>
      </c>
      <c r="H265" s="347">
        <v>850000</v>
      </c>
      <c r="I265" s="347" t="s">
        <v>268</v>
      </c>
      <c r="J265" s="348"/>
      <c r="L265" s="358"/>
    </row>
    <row r="266" spans="1:12" s="408" customFormat="1" ht="18" customHeight="1">
      <c r="A266" s="403"/>
      <c r="B266" s="404"/>
      <c r="C266" s="344" t="s">
        <v>260</v>
      </c>
      <c r="D266" s="345">
        <v>44180</v>
      </c>
      <c r="E266" s="346">
        <v>1</v>
      </c>
      <c r="F266" s="347">
        <v>850000</v>
      </c>
      <c r="G266" s="346">
        <v>1</v>
      </c>
      <c r="H266" s="347">
        <v>850000</v>
      </c>
      <c r="I266" s="347" t="s">
        <v>268</v>
      </c>
      <c r="J266" s="407"/>
      <c r="L266" s="409"/>
    </row>
    <row r="267" spans="1:12" s="349" customFormat="1" ht="18" customHeight="1">
      <c r="A267" s="394"/>
      <c r="B267" s="343"/>
      <c r="C267" s="344" t="s">
        <v>261</v>
      </c>
      <c r="D267" s="345">
        <v>44181</v>
      </c>
      <c r="E267" s="346">
        <v>1</v>
      </c>
      <c r="F267" s="347">
        <v>850000</v>
      </c>
      <c r="G267" s="346">
        <v>1</v>
      </c>
      <c r="H267" s="347">
        <v>850000</v>
      </c>
      <c r="I267" s="347" t="s">
        <v>268</v>
      </c>
      <c r="J267" s="348"/>
      <c r="L267" s="358"/>
    </row>
    <row r="268" spans="1:12" s="390" customFormat="1" ht="18" customHeight="1">
      <c r="A268" s="395"/>
      <c r="B268" s="384"/>
      <c r="C268" s="344" t="s">
        <v>262</v>
      </c>
      <c r="D268" s="345">
        <v>44182</v>
      </c>
      <c r="E268" s="346">
        <v>1</v>
      </c>
      <c r="F268" s="347">
        <v>850000</v>
      </c>
      <c r="G268" s="346">
        <v>1</v>
      </c>
      <c r="H268" s="347">
        <v>850000</v>
      </c>
      <c r="I268" s="347" t="s">
        <v>268</v>
      </c>
      <c r="J268" s="389"/>
      <c r="L268" s="391"/>
    </row>
    <row r="269" spans="1:12" s="390" customFormat="1" ht="18" customHeight="1">
      <c r="A269" s="395"/>
      <c r="B269" s="384"/>
      <c r="C269" s="344" t="s">
        <v>263</v>
      </c>
      <c r="D269" s="345">
        <v>44183</v>
      </c>
      <c r="E269" s="346">
        <v>1</v>
      </c>
      <c r="F269" s="347">
        <v>850000</v>
      </c>
      <c r="G269" s="346">
        <v>1</v>
      </c>
      <c r="H269" s="347">
        <v>850000</v>
      </c>
      <c r="I269" s="347" t="s">
        <v>268</v>
      </c>
      <c r="J269" s="389"/>
      <c r="L269" s="391"/>
    </row>
    <row r="270" spans="1:12" s="349" customFormat="1" ht="18" customHeight="1">
      <c r="A270" s="394"/>
      <c r="B270" s="343"/>
      <c r="C270" s="405" t="s">
        <v>257</v>
      </c>
      <c r="D270" s="345">
        <v>44184</v>
      </c>
      <c r="E270" s="401">
        <v>0</v>
      </c>
      <c r="F270" s="402">
        <v>0</v>
      </c>
      <c r="G270" s="401">
        <v>0</v>
      </c>
      <c r="H270" s="402">
        <v>0</v>
      </c>
      <c r="I270" s="402" t="s">
        <v>273</v>
      </c>
      <c r="J270" s="348"/>
      <c r="L270" s="358"/>
    </row>
    <row r="271" spans="1:12" s="349" customFormat="1" ht="18" customHeight="1">
      <c r="A271" s="394"/>
      <c r="B271" s="343"/>
      <c r="C271" s="405" t="s">
        <v>258</v>
      </c>
      <c r="D271" s="345">
        <v>44185</v>
      </c>
      <c r="E271" s="401">
        <v>0</v>
      </c>
      <c r="F271" s="402">
        <v>0</v>
      </c>
      <c r="G271" s="401">
        <v>0</v>
      </c>
      <c r="H271" s="402">
        <v>0</v>
      </c>
      <c r="I271" s="402" t="s">
        <v>273</v>
      </c>
      <c r="J271" s="348"/>
      <c r="L271" s="358"/>
    </row>
    <row r="272" spans="1:12" s="349" customFormat="1" ht="18" customHeight="1">
      <c r="A272" s="394"/>
      <c r="B272" s="343"/>
      <c r="C272" s="344" t="s">
        <v>259</v>
      </c>
      <c r="D272" s="345">
        <v>44186</v>
      </c>
      <c r="E272" s="346">
        <v>1</v>
      </c>
      <c r="F272" s="347">
        <v>850000</v>
      </c>
      <c r="G272" s="346">
        <v>1</v>
      </c>
      <c r="H272" s="347">
        <v>850000</v>
      </c>
      <c r="I272" s="347" t="s">
        <v>268</v>
      </c>
      <c r="J272" s="348"/>
      <c r="L272" s="358"/>
    </row>
    <row r="273" spans="1:12" s="408" customFormat="1" ht="18" customHeight="1">
      <c r="A273" s="403"/>
      <c r="B273" s="404"/>
      <c r="C273" s="344" t="s">
        <v>260</v>
      </c>
      <c r="D273" s="345">
        <v>44187</v>
      </c>
      <c r="E273" s="346">
        <v>1</v>
      </c>
      <c r="F273" s="347">
        <v>850000</v>
      </c>
      <c r="G273" s="346">
        <v>1</v>
      </c>
      <c r="H273" s="347">
        <v>850000</v>
      </c>
      <c r="I273" s="347" t="s">
        <v>268</v>
      </c>
      <c r="J273" s="407"/>
      <c r="L273" s="409"/>
    </row>
    <row r="274" spans="1:12" s="349" customFormat="1" ht="18" customHeight="1">
      <c r="A274" s="394"/>
      <c r="B274" s="343"/>
      <c r="C274" s="344" t="s">
        <v>261</v>
      </c>
      <c r="D274" s="345">
        <v>44188</v>
      </c>
      <c r="E274" s="346">
        <v>1</v>
      </c>
      <c r="F274" s="347">
        <v>850000</v>
      </c>
      <c r="G274" s="346">
        <v>1</v>
      </c>
      <c r="H274" s="347">
        <v>850000</v>
      </c>
      <c r="I274" s="347" t="s">
        <v>268</v>
      </c>
      <c r="J274" s="348"/>
      <c r="L274" s="358"/>
    </row>
    <row r="275" spans="1:12" s="390" customFormat="1" ht="18" customHeight="1">
      <c r="A275" s="395"/>
      <c r="B275" s="384"/>
      <c r="C275" s="385" t="s">
        <v>262</v>
      </c>
      <c r="D275" s="386">
        <v>44189</v>
      </c>
      <c r="E275" s="401">
        <v>0</v>
      </c>
      <c r="F275" s="402">
        <v>0</v>
      </c>
      <c r="G275" s="401">
        <v>0</v>
      </c>
      <c r="H275" s="402">
        <v>0</v>
      </c>
      <c r="I275" s="402" t="s">
        <v>273</v>
      </c>
      <c r="J275" s="389"/>
      <c r="L275" s="391"/>
    </row>
    <row r="276" spans="1:12" s="390" customFormat="1" ht="18" customHeight="1">
      <c r="A276" s="395"/>
      <c r="B276" s="384"/>
      <c r="C276" s="385" t="s">
        <v>263</v>
      </c>
      <c r="D276" s="386">
        <v>44190</v>
      </c>
      <c r="E276" s="401">
        <v>0</v>
      </c>
      <c r="F276" s="402">
        <v>0</v>
      </c>
      <c r="G276" s="401">
        <v>0</v>
      </c>
      <c r="H276" s="402">
        <v>0</v>
      </c>
      <c r="I276" s="402" t="s">
        <v>273</v>
      </c>
      <c r="J276" s="389"/>
      <c r="L276" s="391"/>
    </row>
    <row r="277" spans="1:12" s="349" customFormat="1" ht="18" customHeight="1">
      <c r="A277" s="394"/>
      <c r="B277" s="343"/>
      <c r="C277" s="385" t="s">
        <v>257</v>
      </c>
      <c r="D277" s="386">
        <v>44191</v>
      </c>
      <c r="E277" s="401">
        <v>0</v>
      </c>
      <c r="F277" s="402">
        <v>0</v>
      </c>
      <c r="G277" s="401">
        <v>0</v>
      </c>
      <c r="H277" s="402">
        <v>0</v>
      </c>
      <c r="I277" s="402" t="s">
        <v>273</v>
      </c>
      <c r="J277" s="348"/>
      <c r="L277" s="358"/>
    </row>
    <row r="278" spans="1:12" s="349" customFormat="1" ht="18" customHeight="1">
      <c r="A278" s="394"/>
      <c r="B278" s="343"/>
      <c r="C278" s="385" t="s">
        <v>258</v>
      </c>
      <c r="D278" s="386">
        <v>44192</v>
      </c>
      <c r="E278" s="401">
        <v>0</v>
      </c>
      <c r="F278" s="402">
        <v>0</v>
      </c>
      <c r="G278" s="401">
        <v>0</v>
      </c>
      <c r="H278" s="402">
        <v>0</v>
      </c>
      <c r="I278" s="402" t="s">
        <v>273</v>
      </c>
      <c r="J278" s="348"/>
      <c r="L278" s="358"/>
    </row>
    <row r="279" spans="1:12" s="408" customFormat="1" ht="18" customHeight="1">
      <c r="A279" s="403"/>
      <c r="B279" s="404"/>
      <c r="C279" s="385" t="s">
        <v>259</v>
      </c>
      <c r="D279" s="386">
        <v>44193</v>
      </c>
      <c r="E279" s="401">
        <v>0</v>
      </c>
      <c r="F279" s="402">
        <v>0</v>
      </c>
      <c r="G279" s="401">
        <v>0</v>
      </c>
      <c r="H279" s="402">
        <v>0</v>
      </c>
      <c r="I279" s="402" t="s">
        <v>273</v>
      </c>
      <c r="J279" s="407"/>
      <c r="L279" s="409"/>
    </row>
    <row r="280" spans="1:12" s="408" customFormat="1" ht="18" customHeight="1">
      <c r="A280" s="403"/>
      <c r="B280" s="404"/>
      <c r="C280" s="385" t="s">
        <v>260</v>
      </c>
      <c r="D280" s="386">
        <v>44194</v>
      </c>
      <c r="E280" s="401">
        <v>0</v>
      </c>
      <c r="F280" s="402">
        <v>0</v>
      </c>
      <c r="G280" s="401">
        <v>0</v>
      </c>
      <c r="H280" s="402">
        <v>0</v>
      </c>
      <c r="I280" s="402" t="s">
        <v>273</v>
      </c>
      <c r="J280" s="407"/>
      <c r="L280" s="409"/>
    </row>
    <row r="281" spans="1:12" s="390" customFormat="1" ht="18" customHeight="1">
      <c r="A281" s="395"/>
      <c r="B281" s="384"/>
      <c r="C281" s="385" t="s">
        <v>261</v>
      </c>
      <c r="D281" s="386">
        <v>44195</v>
      </c>
      <c r="E281" s="401">
        <v>0</v>
      </c>
      <c r="F281" s="402">
        <v>0</v>
      </c>
      <c r="G281" s="401">
        <v>0</v>
      </c>
      <c r="H281" s="402">
        <v>0</v>
      </c>
      <c r="I281" s="402" t="s">
        <v>273</v>
      </c>
      <c r="J281" s="389"/>
      <c r="L281" s="391"/>
    </row>
    <row r="282" spans="1:12" s="390" customFormat="1" ht="18" customHeight="1">
      <c r="A282" s="395"/>
      <c r="B282" s="384"/>
      <c r="C282" s="385" t="s">
        <v>262</v>
      </c>
      <c r="D282" s="386">
        <v>44196</v>
      </c>
      <c r="E282" s="401">
        <v>0</v>
      </c>
      <c r="F282" s="402">
        <v>0</v>
      </c>
      <c r="G282" s="401">
        <v>0</v>
      </c>
      <c r="H282" s="402">
        <v>0</v>
      </c>
      <c r="I282" s="402" t="s">
        <v>273</v>
      </c>
      <c r="J282" s="389"/>
      <c r="L282" s="391"/>
    </row>
    <row r="283" spans="1:12" s="349" customFormat="1" ht="18" customHeight="1">
      <c r="A283" s="394"/>
      <c r="B283" s="343"/>
      <c r="C283" s="702" t="s">
        <v>337</v>
      </c>
      <c r="D283" s="703"/>
      <c r="E283" s="704">
        <f>SUM(E252:E281)</f>
        <v>17</v>
      </c>
      <c r="F283" s="705"/>
      <c r="G283" s="704">
        <f>SUM(G252:G281)</f>
        <v>17</v>
      </c>
      <c r="H283" s="705"/>
      <c r="I283" s="400"/>
      <c r="J283" s="348"/>
      <c r="L283" s="358"/>
    </row>
    <row r="284" spans="1:12" s="297" customFormat="1" ht="20.100000000000001" customHeight="1">
      <c r="A284" s="277"/>
      <c r="B284" s="320"/>
      <c r="C284" s="706" t="s">
        <v>264</v>
      </c>
      <c r="D284" s="707"/>
      <c r="E284" s="708">
        <f>SUM(F252:F281)</f>
        <v>14450000</v>
      </c>
      <c r="F284" s="709"/>
      <c r="G284" s="696">
        <f>SUM(H252:H281)</f>
        <v>14450000</v>
      </c>
      <c r="H284" s="697"/>
      <c r="I284" s="330"/>
      <c r="J284" s="321"/>
      <c r="L284" s="356">
        <v>17</v>
      </c>
    </row>
    <row r="285" spans="1:12" s="296" customFormat="1" ht="24.95" customHeight="1">
      <c r="A285" s="277"/>
      <c r="B285" s="322"/>
      <c r="C285" s="692" t="s">
        <v>62</v>
      </c>
      <c r="D285" s="692"/>
      <c r="E285" s="692"/>
      <c r="F285" s="692"/>
      <c r="G285" s="690">
        <f>+G284+E284</f>
        <v>28900000</v>
      </c>
      <c r="H285" s="691"/>
      <c r="I285" s="331"/>
      <c r="J285" s="323"/>
      <c r="L285" s="359">
        <f>+L284*2*850000</f>
        <v>28900000</v>
      </c>
    </row>
    <row r="286" spans="1:12" ht="20.100000000000001" customHeight="1">
      <c r="B286" s="307"/>
      <c r="J286" s="308"/>
    </row>
    <row r="287" spans="1:12" ht="18" customHeight="1">
      <c r="B287" s="307"/>
      <c r="C287" s="290" t="s">
        <v>136</v>
      </c>
      <c r="E287" s="183"/>
      <c r="F287" s="234" t="s">
        <v>131</v>
      </c>
      <c r="G287" s="234" t="s">
        <v>130</v>
      </c>
      <c r="H287" s="234" t="s">
        <v>129</v>
      </c>
      <c r="I287" s="234" t="s">
        <v>128</v>
      </c>
      <c r="J287" s="308"/>
    </row>
    <row r="288" spans="1:12" s="335" customFormat="1" ht="39.950000000000003" customHeight="1">
      <c r="B288" s="332"/>
      <c r="C288" s="333">
        <v>5</v>
      </c>
      <c r="D288" s="334"/>
      <c r="F288" s="336">
        <v>4</v>
      </c>
      <c r="G288" s="336">
        <v>3</v>
      </c>
      <c r="H288" s="336">
        <v>2</v>
      </c>
      <c r="I288" s="336">
        <v>1</v>
      </c>
      <c r="J288" s="337"/>
      <c r="L288" s="357"/>
    </row>
    <row r="289" spans="1:12" ht="17.100000000000001" customHeight="1">
      <c r="B289" s="307"/>
      <c r="C289" s="290"/>
      <c r="E289" s="183"/>
      <c r="F289" s="236" t="s">
        <v>114</v>
      </c>
      <c r="G289" s="237" t="s">
        <v>113</v>
      </c>
      <c r="H289" s="238" t="s">
        <v>112</v>
      </c>
      <c r="I289" s="234" t="s">
        <v>16</v>
      </c>
      <c r="J289" s="308"/>
    </row>
    <row r="290" spans="1:12" ht="15" customHeight="1" thickBot="1">
      <c r="B290" s="374"/>
      <c r="C290" s="375" t="s">
        <v>132</v>
      </c>
      <c r="D290" s="376"/>
      <c r="E290" s="377"/>
      <c r="F290" s="375" t="s">
        <v>132</v>
      </c>
      <c r="G290" s="375" t="s">
        <v>132</v>
      </c>
      <c r="H290" s="375" t="s">
        <v>132</v>
      </c>
      <c r="I290" s="375" t="s">
        <v>132</v>
      </c>
      <c r="J290" s="378"/>
    </row>
    <row r="291" spans="1:12" ht="9.9499999999999993" customHeight="1" thickTop="1">
      <c r="B291" s="364"/>
      <c r="C291" s="364"/>
      <c r="D291" s="365"/>
      <c r="E291" s="366"/>
      <c r="F291" s="367"/>
      <c r="G291" s="366"/>
      <c r="H291" s="367"/>
      <c r="I291" s="367"/>
      <c r="J291" s="364"/>
    </row>
    <row r="293" spans="1:12" ht="9.9499999999999993" customHeight="1" thickBot="1">
      <c r="B293" s="379"/>
      <c r="C293" s="379"/>
      <c r="D293" s="380"/>
      <c r="E293" s="381"/>
      <c r="F293" s="382"/>
      <c r="G293" s="381"/>
      <c r="H293" s="382"/>
      <c r="I293" s="382"/>
      <c r="J293" s="379"/>
    </row>
    <row r="294" spans="1:12" ht="9.9499999999999993" customHeight="1" thickTop="1">
      <c r="A294" s="661">
        <v>44155</v>
      </c>
      <c r="B294" s="301"/>
      <c r="C294" s="302"/>
      <c r="D294" s="303"/>
      <c r="E294" s="304"/>
      <c r="F294" s="305"/>
      <c r="G294" s="304"/>
      <c r="H294" s="305"/>
      <c r="I294" s="305"/>
      <c r="J294" s="306"/>
    </row>
    <row r="295" spans="1:12" ht="17.100000000000001" customHeight="1">
      <c r="A295" s="661"/>
      <c r="B295" s="307"/>
      <c r="C295" s="298" t="s">
        <v>138</v>
      </c>
      <c r="D295" s="299"/>
      <c r="G295" s="662" t="s">
        <v>352</v>
      </c>
      <c r="H295" s="662"/>
      <c r="I295" s="662"/>
      <c r="J295" s="308"/>
    </row>
    <row r="296" spans="1:12" s="275" customFormat="1" ht="30" customHeight="1">
      <c r="A296" s="661"/>
      <c r="B296" s="309"/>
      <c r="C296" s="279" t="s">
        <v>119</v>
      </c>
      <c r="D296" s="292" t="s">
        <v>244</v>
      </c>
      <c r="F296" s="310"/>
      <c r="G296" s="311"/>
      <c r="H296" s="310"/>
      <c r="I296" s="310"/>
      <c r="J296" s="312"/>
      <c r="L296" s="352"/>
    </row>
    <row r="297" spans="1:12" s="276" customFormat="1" ht="23.1" customHeight="1">
      <c r="A297" s="277"/>
      <c r="B297" s="313"/>
      <c r="C297" s="280" t="s">
        <v>120</v>
      </c>
      <c r="D297" s="293" t="s">
        <v>349</v>
      </c>
      <c r="F297" s="663" t="s">
        <v>303</v>
      </c>
      <c r="G297" s="664"/>
      <c r="H297" s="664"/>
      <c r="I297" s="665"/>
      <c r="J297" s="315"/>
      <c r="L297" s="353"/>
    </row>
    <row r="298" spans="1:12" s="276" customFormat="1" ht="45" customHeight="1">
      <c r="A298" s="277"/>
      <c r="B298" s="313"/>
      <c r="C298" s="410" t="s">
        <v>121</v>
      </c>
      <c r="D298" s="714" t="s">
        <v>350</v>
      </c>
      <c r="E298" s="715"/>
      <c r="F298" s="666"/>
      <c r="G298" s="667"/>
      <c r="H298" s="667"/>
      <c r="I298" s="668"/>
      <c r="J298" s="315"/>
      <c r="L298" s="353"/>
    </row>
    <row r="299" spans="1:12" s="278" customFormat="1" ht="50.1" customHeight="1">
      <c r="A299" s="392"/>
      <c r="B299" s="316"/>
      <c r="C299" s="669" t="s">
        <v>2</v>
      </c>
      <c r="D299" s="671" t="s">
        <v>283</v>
      </c>
      <c r="E299" s="673" t="s">
        <v>275</v>
      </c>
      <c r="F299" s="674"/>
      <c r="G299" s="673" t="s">
        <v>276</v>
      </c>
      <c r="H299" s="674"/>
      <c r="I299" s="675" t="s">
        <v>85</v>
      </c>
      <c r="J299" s="317"/>
      <c r="L299" s="354"/>
    </row>
    <row r="300" spans="1:12" s="278" customFormat="1" ht="24.95" customHeight="1">
      <c r="A300" s="392"/>
      <c r="B300" s="316"/>
      <c r="C300" s="670"/>
      <c r="D300" s="672"/>
      <c r="E300" s="294" t="s">
        <v>256</v>
      </c>
      <c r="F300" s="295" t="s">
        <v>27</v>
      </c>
      <c r="G300" s="294" t="s">
        <v>256</v>
      </c>
      <c r="H300" s="295" t="s">
        <v>27</v>
      </c>
      <c r="I300" s="675"/>
      <c r="J300" s="317"/>
      <c r="L300" s="354"/>
    </row>
    <row r="301" spans="1:12" s="408" customFormat="1" ht="18" customHeight="1">
      <c r="A301" s="403"/>
      <c r="B301" s="404"/>
      <c r="C301" s="344" t="s">
        <v>260</v>
      </c>
      <c r="D301" s="345">
        <v>44166</v>
      </c>
      <c r="E301" s="346">
        <v>1</v>
      </c>
      <c r="F301" s="347">
        <v>850000</v>
      </c>
      <c r="G301" s="346">
        <v>1</v>
      </c>
      <c r="H301" s="347">
        <v>850000</v>
      </c>
      <c r="I301" s="347" t="s">
        <v>268</v>
      </c>
      <c r="J301" s="407"/>
      <c r="L301" s="409"/>
    </row>
    <row r="302" spans="1:12" s="349" customFormat="1" ht="18" customHeight="1">
      <c r="A302" s="394"/>
      <c r="B302" s="343"/>
      <c r="C302" s="344" t="s">
        <v>261</v>
      </c>
      <c r="D302" s="345">
        <v>44167</v>
      </c>
      <c r="E302" s="346">
        <v>1</v>
      </c>
      <c r="F302" s="347">
        <v>850000</v>
      </c>
      <c r="G302" s="346">
        <v>1</v>
      </c>
      <c r="H302" s="347">
        <v>850000</v>
      </c>
      <c r="I302" s="347" t="s">
        <v>268</v>
      </c>
      <c r="J302" s="348"/>
      <c r="L302" s="358"/>
    </row>
    <row r="303" spans="1:12" s="390" customFormat="1" ht="18" customHeight="1">
      <c r="A303" s="395"/>
      <c r="B303" s="384"/>
      <c r="C303" s="344" t="s">
        <v>262</v>
      </c>
      <c r="D303" s="345">
        <v>44168</v>
      </c>
      <c r="E303" s="346">
        <v>1</v>
      </c>
      <c r="F303" s="347">
        <v>850000</v>
      </c>
      <c r="G303" s="346">
        <v>1</v>
      </c>
      <c r="H303" s="347">
        <v>850000</v>
      </c>
      <c r="I303" s="347" t="s">
        <v>268</v>
      </c>
      <c r="J303" s="389"/>
      <c r="L303" s="391"/>
    </row>
    <row r="304" spans="1:12" s="390" customFormat="1" ht="18" customHeight="1">
      <c r="A304" s="395"/>
      <c r="B304" s="384"/>
      <c r="C304" s="344" t="s">
        <v>263</v>
      </c>
      <c r="D304" s="345">
        <v>44169</v>
      </c>
      <c r="E304" s="346">
        <v>1</v>
      </c>
      <c r="F304" s="347">
        <v>850000</v>
      </c>
      <c r="G304" s="346">
        <v>1</v>
      </c>
      <c r="H304" s="347">
        <v>850000</v>
      </c>
      <c r="I304" s="347" t="s">
        <v>268</v>
      </c>
      <c r="J304" s="389"/>
      <c r="L304" s="391"/>
    </row>
    <row r="305" spans="1:12" s="349" customFormat="1" ht="18" customHeight="1">
      <c r="A305" s="394"/>
      <c r="B305" s="343"/>
      <c r="C305" s="405" t="s">
        <v>257</v>
      </c>
      <c r="D305" s="345">
        <v>44170</v>
      </c>
      <c r="E305" s="401">
        <v>0</v>
      </c>
      <c r="F305" s="402">
        <v>0</v>
      </c>
      <c r="G305" s="401">
        <v>0</v>
      </c>
      <c r="H305" s="402">
        <v>0</v>
      </c>
      <c r="I305" s="402" t="s">
        <v>273</v>
      </c>
      <c r="J305" s="348"/>
      <c r="L305" s="358"/>
    </row>
    <row r="306" spans="1:12" s="349" customFormat="1" ht="18" customHeight="1">
      <c r="A306" s="394"/>
      <c r="B306" s="343"/>
      <c r="C306" s="405" t="s">
        <v>258</v>
      </c>
      <c r="D306" s="345">
        <v>44171</v>
      </c>
      <c r="E306" s="401">
        <v>0</v>
      </c>
      <c r="F306" s="402">
        <v>0</v>
      </c>
      <c r="G306" s="401">
        <v>0</v>
      </c>
      <c r="H306" s="402">
        <v>0</v>
      </c>
      <c r="I306" s="402" t="s">
        <v>273</v>
      </c>
      <c r="J306" s="348"/>
      <c r="L306" s="358"/>
    </row>
    <row r="307" spans="1:12" s="408" customFormat="1" ht="18" customHeight="1">
      <c r="A307" s="403"/>
      <c r="B307" s="404"/>
      <c r="C307" s="344" t="s">
        <v>259</v>
      </c>
      <c r="D307" s="345">
        <v>44172</v>
      </c>
      <c r="E307" s="346">
        <v>1</v>
      </c>
      <c r="F307" s="347">
        <v>850000</v>
      </c>
      <c r="G307" s="346">
        <v>1</v>
      </c>
      <c r="H307" s="347">
        <v>850000</v>
      </c>
      <c r="I307" s="347" t="s">
        <v>268</v>
      </c>
      <c r="J307" s="407"/>
      <c r="L307" s="409"/>
    </row>
    <row r="308" spans="1:12" s="408" customFormat="1" ht="18" customHeight="1">
      <c r="A308" s="403"/>
      <c r="B308" s="404"/>
      <c r="C308" s="344" t="s">
        <v>260</v>
      </c>
      <c r="D308" s="345">
        <v>44173</v>
      </c>
      <c r="E308" s="346">
        <v>1</v>
      </c>
      <c r="F308" s="347">
        <v>850000</v>
      </c>
      <c r="G308" s="346">
        <v>1</v>
      </c>
      <c r="H308" s="347">
        <v>850000</v>
      </c>
      <c r="I308" s="347" t="s">
        <v>268</v>
      </c>
      <c r="J308" s="407"/>
      <c r="L308" s="409"/>
    </row>
    <row r="309" spans="1:12" s="408" customFormat="1" ht="18" customHeight="1">
      <c r="A309" s="403"/>
      <c r="B309" s="404"/>
      <c r="C309" s="344" t="s">
        <v>261</v>
      </c>
      <c r="D309" s="345">
        <v>44174</v>
      </c>
      <c r="E309" s="346">
        <v>1</v>
      </c>
      <c r="F309" s="347">
        <v>850000</v>
      </c>
      <c r="G309" s="346">
        <v>1</v>
      </c>
      <c r="H309" s="347">
        <v>850000</v>
      </c>
      <c r="I309" s="347" t="s">
        <v>268</v>
      </c>
      <c r="J309" s="407"/>
      <c r="L309" s="409"/>
    </row>
    <row r="310" spans="1:12" s="408" customFormat="1" ht="18" customHeight="1">
      <c r="A310" s="403"/>
      <c r="B310" s="404"/>
      <c r="C310" s="344" t="s">
        <v>262</v>
      </c>
      <c r="D310" s="345">
        <v>44175</v>
      </c>
      <c r="E310" s="346">
        <v>1</v>
      </c>
      <c r="F310" s="347">
        <v>850000</v>
      </c>
      <c r="G310" s="346">
        <v>1</v>
      </c>
      <c r="H310" s="347">
        <v>850000</v>
      </c>
      <c r="I310" s="347" t="s">
        <v>268</v>
      </c>
      <c r="J310" s="407"/>
      <c r="L310" s="409"/>
    </row>
    <row r="311" spans="1:12" s="390" customFormat="1" ht="18" customHeight="1">
      <c r="A311" s="395"/>
      <c r="B311" s="384"/>
      <c r="C311" s="344" t="s">
        <v>263</v>
      </c>
      <c r="D311" s="345">
        <v>44176</v>
      </c>
      <c r="E311" s="346">
        <v>1</v>
      </c>
      <c r="F311" s="347">
        <v>850000</v>
      </c>
      <c r="G311" s="346">
        <v>1</v>
      </c>
      <c r="H311" s="347">
        <v>850000</v>
      </c>
      <c r="I311" s="347" t="s">
        <v>268</v>
      </c>
      <c r="J311" s="389"/>
      <c r="L311" s="391"/>
    </row>
    <row r="312" spans="1:12" s="349" customFormat="1" ht="18" customHeight="1">
      <c r="A312" s="394"/>
      <c r="B312" s="343"/>
      <c r="C312" s="405" t="s">
        <v>257</v>
      </c>
      <c r="D312" s="345">
        <v>44177</v>
      </c>
      <c r="E312" s="401">
        <v>0</v>
      </c>
      <c r="F312" s="402">
        <v>0</v>
      </c>
      <c r="G312" s="401">
        <v>0</v>
      </c>
      <c r="H312" s="402">
        <v>0</v>
      </c>
      <c r="I312" s="402" t="s">
        <v>273</v>
      </c>
      <c r="J312" s="348"/>
      <c r="L312" s="358"/>
    </row>
    <row r="313" spans="1:12" s="349" customFormat="1" ht="18" customHeight="1">
      <c r="A313" s="394"/>
      <c r="B313" s="343"/>
      <c r="C313" s="405" t="s">
        <v>258</v>
      </c>
      <c r="D313" s="345">
        <v>44178</v>
      </c>
      <c r="E313" s="401">
        <v>0</v>
      </c>
      <c r="F313" s="402">
        <v>0</v>
      </c>
      <c r="G313" s="401">
        <v>0</v>
      </c>
      <c r="H313" s="402">
        <v>0</v>
      </c>
      <c r="I313" s="402" t="s">
        <v>273</v>
      </c>
      <c r="J313" s="348"/>
      <c r="L313" s="358"/>
    </row>
    <row r="314" spans="1:12" s="349" customFormat="1" ht="18" customHeight="1">
      <c r="A314" s="394"/>
      <c r="B314" s="343"/>
      <c r="C314" s="344" t="s">
        <v>259</v>
      </c>
      <c r="D314" s="345">
        <v>44179</v>
      </c>
      <c r="E314" s="346">
        <v>1</v>
      </c>
      <c r="F314" s="347">
        <v>850000</v>
      </c>
      <c r="G314" s="346">
        <v>1</v>
      </c>
      <c r="H314" s="347">
        <v>850000</v>
      </c>
      <c r="I314" s="347" t="s">
        <v>268</v>
      </c>
      <c r="J314" s="348"/>
      <c r="L314" s="358"/>
    </row>
    <row r="315" spans="1:12" s="408" customFormat="1" ht="18" customHeight="1">
      <c r="A315" s="403"/>
      <c r="B315" s="404"/>
      <c r="C315" s="344" t="s">
        <v>260</v>
      </c>
      <c r="D315" s="345">
        <v>44180</v>
      </c>
      <c r="E315" s="346">
        <v>1</v>
      </c>
      <c r="F315" s="347">
        <v>850000</v>
      </c>
      <c r="G315" s="346">
        <v>1</v>
      </c>
      <c r="H315" s="347">
        <v>850000</v>
      </c>
      <c r="I315" s="347" t="s">
        <v>268</v>
      </c>
      <c r="J315" s="407"/>
      <c r="L315" s="409"/>
    </row>
    <row r="316" spans="1:12" s="349" customFormat="1" ht="18" customHeight="1">
      <c r="A316" s="394"/>
      <c r="B316" s="343"/>
      <c r="C316" s="344" t="s">
        <v>261</v>
      </c>
      <c r="D316" s="345">
        <v>44181</v>
      </c>
      <c r="E316" s="346">
        <v>1</v>
      </c>
      <c r="F316" s="347">
        <v>850000</v>
      </c>
      <c r="G316" s="346">
        <v>1</v>
      </c>
      <c r="H316" s="347">
        <v>850000</v>
      </c>
      <c r="I316" s="347" t="s">
        <v>268</v>
      </c>
      <c r="J316" s="348"/>
      <c r="L316" s="358"/>
    </row>
    <row r="317" spans="1:12" s="390" customFormat="1" ht="18" customHeight="1">
      <c r="A317" s="395"/>
      <c r="B317" s="384"/>
      <c r="C317" s="344" t="s">
        <v>262</v>
      </c>
      <c r="D317" s="345">
        <v>44182</v>
      </c>
      <c r="E317" s="346">
        <v>1</v>
      </c>
      <c r="F317" s="347">
        <v>850000</v>
      </c>
      <c r="G317" s="346">
        <v>1</v>
      </c>
      <c r="H317" s="347">
        <v>850000</v>
      </c>
      <c r="I317" s="347" t="s">
        <v>268</v>
      </c>
      <c r="J317" s="389"/>
      <c r="L317" s="391"/>
    </row>
    <row r="318" spans="1:12" s="390" customFormat="1" ht="18" customHeight="1">
      <c r="A318" s="395"/>
      <c r="B318" s="384"/>
      <c r="C318" s="344" t="s">
        <v>263</v>
      </c>
      <c r="D318" s="345">
        <v>44183</v>
      </c>
      <c r="E318" s="346">
        <v>1</v>
      </c>
      <c r="F318" s="347">
        <v>850000</v>
      </c>
      <c r="G318" s="346">
        <v>1</v>
      </c>
      <c r="H318" s="347">
        <v>850000</v>
      </c>
      <c r="I318" s="347" t="s">
        <v>268</v>
      </c>
      <c r="J318" s="389"/>
      <c r="L318" s="391"/>
    </row>
    <row r="319" spans="1:12" s="349" customFormat="1" ht="18" customHeight="1">
      <c r="A319" s="394"/>
      <c r="B319" s="343"/>
      <c r="C319" s="405" t="s">
        <v>257</v>
      </c>
      <c r="D319" s="345">
        <v>44184</v>
      </c>
      <c r="E319" s="401">
        <v>0</v>
      </c>
      <c r="F319" s="402">
        <v>0</v>
      </c>
      <c r="G319" s="401">
        <v>0</v>
      </c>
      <c r="H319" s="402">
        <v>0</v>
      </c>
      <c r="I319" s="402" t="s">
        <v>273</v>
      </c>
      <c r="J319" s="348"/>
      <c r="L319" s="358"/>
    </row>
    <row r="320" spans="1:12" s="349" customFormat="1" ht="18" customHeight="1">
      <c r="A320" s="394"/>
      <c r="B320" s="343"/>
      <c r="C320" s="405" t="s">
        <v>258</v>
      </c>
      <c r="D320" s="345">
        <v>44185</v>
      </c>
      <c r="E320" s="401">
        <v>0</v>
      </c>
      <c r="F320" s="402">
        <v>0</v>
      </c>
      <c r="G320" s="401">
        <v>0</v>
      </c>
      <c r="H320" s="402">
        <v>0</v>
      </c>
      <c r="I320" s="402" t="s">
        <v>273</v>
      </c>
      <c r="J320" s="348"/>
      <c r="L320" s="358"/>
    </row>
    <row r="321" spans="1:12" s="349" customFormat="1" ht="18" customHeight="1">
      <c r="A321" s="394"/>
      <c r="B321" s="343"/>
      <c r="C321" s="344" t="s">
        <v>259</v>
      </c>
      <c r="D321" s="345">
        <v>44186</v>
      </c>
      <c r="E321" s="346">
        <v>1</v>
      </c>
      <c r="F321" s="347">
        <v>850000</v>
      </c>
      <c r="G321" s="346">
        <v>1</v>
      </c>
      <c r="H321" s="347">
        <v>850000</v>
      </c>
      <c r="I321" s="347" t="s">
        <v>268</v>
      </c>
      <c r="J321" s="348"/>
      <c r="L321" s="358"/>
    </row>
    <row r="322" spans="1:12" s="408" customFormat="1" ht="18" customHeight="1">
      <c r="A322" s="403"/>
      <c r="B322" s="404"/>
      <c r="C322" s="344" t="s">
        <v>260</v>
      </c>
      <c r="D322" s="345">
        <v>44187</v>
      </c>
      <c r="E322" s="346">
        <v>1</v>
      </c>
      <c r="F322" s="347">
        <v>850000</v>
      </c>
      <c r="G322" s="346">
        <v>1</v>
      </c>
      <c r="H322" s="347">
        <v>850000</v>
      </c>
      <c r="I322" s="347" t="s">
        <v>268</v>
      </c>
      <c r="J322" s="407"/>
      <c r="L322" s="409"/>
    </row>
    <row r="323" spans="1:12" s="349" customFormat="1" ht="18" customHeight="1">
      <c r="A323" s="394"/>
      <c r="B323" s="343"/>
      <c r="C323" s="344" t="s">
        <v>261</v>
      </c>
      <c r="D323" s="345">
        <v>44188</v>
      </c>
      <c r="E323" s="346">
        <v>1</v>
      </c>
      <c r="F323" s="347">
        <v>850000</v>
      </c>
      <c r="G323" s="346">
        <v>1</v>
      </c>
      <c r="H323" s="347">
        <v>850000</v>
      </c>
      <c r="I323" s="347" t="s">
        <v>268</v>
      </c>
      <c r="J323" s="348"/>
      <c r="L323" s="358"/>
    </row>
    <row r="324" spans="1:12" s="390" customFormat="1" ht="18" customHeight="1">
      <c r="A324" s="395"/>
      <c r="B324" s="384"/>
      <c r="C324" s="385" t="s">
        <v>262</v>
      </c>
      <c r="D324" s="386">
        <v>44189</v>
      </c>
      <c r="E324" s="401">
        <v>0</v>
      </c>
      <c r="F324" s="402">
        <v>0</v>
      </c>
      <c r="G324" s="401">
        <v>0</v>
      </c>
      <c r="H324" s="402">
        <v>0</v>
      </c>
      <c r="I324" s="402" t="s">
        <v>273</v>
      </c>
      <c r="J324" s="389"/>
      <c r="L324" s="391"/>
    </row>
    <row r="325" spans="1:12" s="390" customFormat="1" ht="18" customHeight="1">
      <c r="A325" s="395"/>
      <c r="B325" s="384"/>
      <c r="C325" s="385" t="s">
        <v>263</v>
      </c>
      <c r="D325" s="386">
        <v>44190</v>
      </c>
      <c r="E325" s="401">
        <v>0</v>
      </c>
      <c r="F325" s="402">
        <v>0</v>
      </c>
      <c r="G325" s="401">
        <v>0</v>
      </c>
      <c r="H325" s="402">
        <v>0</v>
      </c>
      <c r="I325" s="402" t="s">
        <v>273</v>
      </c>
      <c r="J325" s="389"/>
      <c r="L325" s="391"/>
    </row>
    <row r="326" spans="1:12" s="349" customFormat="1" ht="18" customHeight="1">
      <c r="A326" s="394"/>
      <c r="B326" s="343"/>
      <c r="C326" s="385" t="s">
        <v>257</v>
      </c>
      <c r="D326" s="386">
        <v>44191</v>
      </c>
      <c r="E326" s="401">
        <v>0</v>
      </c>
      <c r="F326" s="402">
        <v>0</v>
      </c>
      <c r="G326" s="401">
        <v>0</v>
      </c>
      <c r="H326" s="402">
        <v>0</v>
      </c>
      <c r="I326" s="402" t="s">
        <v>273</v>
      </c>
      <c r="J326" s="348"/>
      <c r="L326" s="358"/>
    </row>
    <row r="327" spans="1:12" s="349" customFormat="1" ht="18" customHeight="1">
      <c r="A327" s="394"/>
      <c r="B327" s="343"/>
      <c r="C327" s="385" t="s">
        <v>258</v>
      </c>
      <c r="D327" s="386">
        <v>44192</v>
      </c>
      <c r="E327" s="401">
        <v>0</v>
      </c>
      <c r="F327" s="402">
        <v>0</v>
      </c>
      <c r="G327" s="401">
        <v>0</v>
      </c>
      <c r="H327" s="402">
        <v>0</v>
      </c>
      <c r="I327" s="402" t="s">
        <v>273</v>
      </c>
      <c r="J327" s="348"/>
      <c r="L327" s="358"/>
    </row>
    <row r="328" spans="1:12" s="349" customFormat="1" ht="18" customHeight="1">
      <c r="A328" s="394"/>
      <c r="B328" s="343"/>
      <c r="C328" s="344" t="s">
        <v>259</v>
      </c>
      <c r="D328" s="345">
        <v>44193</v>
      </c>
      <c r="E328" s="346">
        <v>1</v>
      </c>
      <c r="F328" s="347">
        <v>850000</v>
      </c>
      <c r="G328" s="346">
        <v>1</v>
      </c>
      <c r="H328" s="347">
        <v>850000</v>
      </c>
      <c r="I328" s="347" t="s">
        <v>268</v>
      </c>
      <c r="J328" s="348"/>
      <c r="L328" s="358"/>
    </row>
    <row r="329" spans="1:12" s="349" customFormat="1" ht="18" customHeight="1">
      <c r="A329" s="394"/>
      <c r="B329" s="343"/>
      <c r="C329" s="344" t="s">
        <v>260</v>
      </c>
      <c r="D329" s="345">
        <v>44194</v>
      </c>
      <c r="E329" s="346">
        <v>1</v>
      </c>
      <c r="F329" s="347">
        <v>850000</v>
      </c>
      <c r="G329" s="346">
        <v>1</v>
      </c>
      <c r="H329" s="347">
        <v>850000</v>
      </c>
      <c r="I329" s="347" t="s">
        <v>268</v>
      </c>
      <c r="J329" s="348"/>
      <c r="L329" s="358"/>
    </row>
    <row r="330" spans="1:12" s="349" customFormat="1" ht="18" customHeight="1">
      <c r="A330" s="394"/>
      <c r="B330" s="343"/>
      <c r="C330" s="344" t="s">
        <v>261</v>
      </c>
      <c r="D330" s="345">
        <v>44195</v>
      </c>
      <c r="E330" s="346">
        <v>1</v>
      </c>
      <c r="F330" s="347">
        <v>850000</v>
      </c>
      <c r="G330" s="346">
        <v>1</v>
      </c>
      <c r="H330" s="347">
        <v>850000</v>
      </c>
      <c r="I330" s="347" t="s">
        <v>268</v>
      </c>
      <c r="J330" s="348"/>
      <c r="L330" s="358"/>
    </row>
    <row r="331" spans="1:12" s="390" customFormat="1" ht="18" customHeight="1">
      <c r="A331" s="395"/>
      <c r="B331" s="384"/>
      <c r="C331" s="385" t="s">
        <v>262</v>
      </c>
      <c r="D331" s="386">
        <v>44196</v>
      </c>
      <c r="E331" s="401">
        <v>0</v>
      </c>
      <c r="F331" s="402">
        <v>0</v>
      </c>
      <c r="G331" s="401">
        <v>0</v>
      </c>
      <c r="H331" s="402">
        <v>0</v>
      </c>
      <c r="I331" s="402" t="s">
        <v>273</v>
      </c>
      <c r="J331" s="389"/>
      <c r="L331" s="391"/>
    </row>
    <row r="332" spans="1:12" s="349" customFormat="1" ht="18" customHeight="1">
      <c r="A332" s="394"/>
      <c r="B332" s="343"/>
      <c r="C332" s="702" t="s">
        <v>337</v>
      </c>
      <c r="D332" s="703"/>
      <c r="E332" s="704">
        <f>SUM(E301:E330)</f>
        <v>20</v>
      </c>
      <c r="F332" s="705"/>
      <c r="G332" s="704">
        <f>SUM(G301:G330)</f>
        <v>20</v>
      </c>
      <c r="H332" s="705"/>
      <c r="I332" s="400"/>
      <c r="J332" s="348"/>
      <c r="L332" s="358"/>
    </row>
    <row r="333" spans="1:12" s="297" customFormat="1" ht="20.100000000000001" customHeight="1">
      <c r="A333" s="277"/>
      <c r="B333" s="320"/>
      <c r="C333" s="706" t="s">
        <v>264</v>
      </c>
      <c r="D333" s="707"/>
      <c r="E333" s="708">
        <f>SUM(F301:F330)</f>
        <v>17000000</v>
      </c>
      <c r="F333" s="709"/>
      <c r="G333" s="696">
        <f>SUM(H301:H330)</f>
        <v>17000000</v>
      </c>
      <c r="H333" s="697"/>
      <c r="I333" s="330"/>
      <c r="J333" s="321"/>
      <c r="L333" s="356">
        <v>20</v>
      </c>
    </row>
    <row r="334" spans="1:12" s="296" customFormat="1" ht="24.95" customHeight="1">
      <c r="A334" s="277"/>
      <c r="B334" s="322"/>
      <c r="C334" s="692" t="s">
        <v>62</v>
      </c>
      <c r="D334" s="692"/>
      <c r="E334" s="692"/>
      <c r="F334" s="692"/>
      <c r="G334" s="690">
        <f>+G333+E333</f>
        <v>34000000</v>
      </c>
      <c r="H334" s="691"/>
      <c r="I334" s="331"/>
      <c r="J334" s="323"/>
      <c r="L334" s="359">
        <f>+L333*2*850000</f>
        <v>34000000</v>
      </c>
    </row>
    <row r="335" spans="1:12" ht="20.100000000000001" customHeight="1">
      <c r="B335" s="307"/>
      <c r="J335" s="308"/>
    </row>
    <row r="336" spans="1:12" ht="18" customHeight="1">
      <c r="B336" s="307"/>
      <c r="C336" s="290" t="s">
        <v>136</v>
      </c>
      <c r="E336" s="183"/>
      <c r="F336" s="234" t="s">
        <v>131</v>
      </c>
      <c r="G336" s="234" t="s">
        <v>130</v>
      </c>
      <c r="H336" s="234" t="s">
        <v>129</v>
      </c>
      <c r="I336" s="234" t="s">
        <v>128</v>
      </c>
      <c r="J336" s="308"/>
    </row>
    <row r="337" spans="1:12" s="335" customFormat="1" ht="30" customHeight="1">
      <c r="B337" s="332"/>
      <c r="C337" s="333">
        <v>5</v>
      </c>
      <c r="D337" s="334"/>
      <c r="F337" s="336">
        <v>4</v>
      </c>
      <c r="G337" s="336">
        <v>3</v>
      </c>
      <c r="H337" s="336">
        <v>2</v>
      </c>
      <c r="I337" s="336">
        <v>1</v>
      </c>
      <c r="J337" s="337"/>
      <c r="L337" s="357"/>
    </row>
    <row r="338" spans="1:12" ht="15" customHeight="1">
      <c r="B338" s="307"/>
      <c r="C338" s="290"/>
      <c r="E338" s="183"/>
      <c r="F338" s="236" t="s">
        <v>114</v>
      </c>
      <c r="G338" s="237" t="s">
        <v>113</v>
      </c>
      <c r="H338" s="238" t="s">
        <v>112</v>
      </c>
      <c r="I338" s="234" t="s">
        <v>16</v>
      </c>
      <c r="J338" s="308"/>
    </row>
    <row r="339" spans="1:12" ht="12.95" customHeight="1" thickBot="1">
      <c r="B339" s="374"/>
      <c r="C339" s="375" t="s">
        <v>132</v>
      </c>
      <c r="D339" s="376"/>
      <c r="E339" s="377"/>
      <c r="F339" s="375" t="s">
        <v>132</v>
      </c>
      <c r="G339" s="375" t="s">
        <v>132</v>
      </c>
      <c r="H339" s="375" t="s">
        <v>132</v>
      </c>
      <c r="I339" s="375" t="s">
        <v>132</v>
      </c>
      <c r="J339" s="378"/>
    </row>
    <row r="340" spans="1:12" ht="9.9499999999999993" customHeight="1" thickTop="1">
      <c r="B340" s="364"/>
      <c r="C340" s="364"/>
      <c r="D340" s="365"/>
      <c r="E340" s="366"/>
      <c r="F340" s="367"/>
      <c r="G340" s="366"/>
      <c r="H340" s="367"/>
      <c r="I340" s="367"/>
      <c r="J340" s="364"/>
    </row>
    <row r="341" spans="1:12" ht="9.9499999999999993" customHeight="1" thickBot="1">
      <c r="B341" s="379"/>
      <c r="C341" s="379"/>
      <c r="D341" s="380"/>
      <c r="E341" s="381"/>
      <c r="F341" s="382"/>
      <c r="G341" s="381"/>
      <c r="H341" s="382"/>
      <c r="I341" s="382"/>
      <c r="J341" s="379"/>
    </row>
    <row r="342" spans="1:12" ht="9.9499999999999993" customHeight="1" thickTop="1">
      <c r="A342" s="661">
        <v>44217</v>
      </c>
      <c r="B342" s="301"/>
      <c r="C342" s="302"/>
      <c r="D342" s="303"/>
      <c r="E342" s="304"/>
      <c r="F342" s="305"/>
      <c r="G342" s="304"/>
      <c r="H342" s="305"/>
      <c r="I342" s="305"/>
      <c r="J342" s="306"/>
    </row>
    <row r="343" spans="1:12" ht="17.100000000000001" customHeight="1">
      <c r="A343" s="661"/>
      <c r="B343" s="307"/>
      <c r="C343" s="298" t="s">
        <v>138</v>
      </c>
      <c r="D343" s="299"/>
      <c r="G343" s="662" t="s">
        <v>351</v>
      </c>
      <c r="H343" s="662"/>
      <c r="I343" s="662"/>
      <c r="J343" s="308"/>
    </row>
    <row r="344" spans="1:12" s="275" customFormat="1" ht="30" customHeight="1">
      <c r="A344" s="661"/>
      <c r="B344" s="309"/>
      <c r="C344" s="279" t="s">
        <v>119</v>
      </c>
      <c r="D344" s="292" t="s">
        <v>244</v>
      </c>
      <c r="F344" s="310"/>
      <c r="G344" s="311"/>
      <c r="H344" s="310"/>
      <c r="I344" s="310"/>
      <c r="J344" s="312"/>
      <c r="L344" s="352"/>
    </row>
    <row r="345" spans="1:12" s="276" customFormat="1" ht="23.1" customHeight="1">
      <c r="A345" s="277"/>
      <c r="B345" s="313"/>
      <c r="C345" s="280" t="s">
        <v>120</v>
      </c>
      <c r="D345" s="293" t="s">
        <v>353</v>
      </c>
      <c r="F345" s="663" t="s">
        <v>355</v>
      </c>
      <c r="G345" s="664"/>
      <c r="H345" s="664"/>
      <c r="I345" s="665"/>
      <c r="J345" s="315"/>
      <c r="L345" s="353"/>
    </row>
    <row r="346" spans="1:12" s="276" customFormat="1" ht="45" customHeight="1">
      <c r="A346" s="277"/>
      <c r="B346" s="313"/>
      <c r="C346" s="410" t="s">
        <v>356</v>
      </c>
      <c r="D346" s="712" t="s">
        <v>354</v>
      </c>
      <c r="E346" s="712"/>
      <c r="F346" s="666"/>
      <c r="G346" s="667"/>
      <c r="H346" s="667"/>
      <c r="I346" s="668"/>
      <c r="J346" s="315"/>
      <c r="L346" s="353"/>
    </row>
    <row r="347" spans="1:12" s="276" customFormat="1" ht="9.9499999999999993" customHeight="1">
      <c r="A347" s="277"/>
      <c r="B347" s="313"/>
      <c r="C347" s="410"/>
      <c r="D347" s="413"/>
      <c r="E347" s="411"/>
      <c r="F347" s="412"/>
      <c r="G347" s="412"/>
      <c r="H347" s="412"/>
      <c r="I347" s="414"/>
      <c r="J347" s="315"/>
      <c r="L347" s="353"/>
    </row>
    <row r="348" spans="1:12" s="278" customFormat="1" ht="50.1" customHeight="1">
      <c r="A348" s="392"/>
      <c r="B348" s="316"/>
      <c r="C348" s="669" t="s">
        <v>2</v>
      </c>
      <c r="D348" s="671" t="s">
        <v>283</v>
      </c>
      <c r="E348" s="673" t="s">
        <v>275</v>
      </c>
      <c r="F348" s="674"/>
      <c r="G348" s="673" t="s">
        <v>276</v>
      </c>
      <c r="H348" s="674"/>
      <c r="I348" s="713" t="s">
        <v>85</v>
      </c>
      <c r="J348" s="317"/>
      <c r="L348" s="354"/>
    </row>
    <row r="349" spans="1:12" s="278" customFormat="1" ht="24.95" customHeight="1">
      <c r="A349" s="392"/>
      <c r="B349" s="316"/>
      <c r="C349" s="670"/>
      <c r="D349" s="672"/>
      <c r="E349" s="294" t="s">
        <v>256</v>
      </c>
      <c r="F349" s="295" t="s">
        <v>27</v>
      </c>
      <c r="G349" s="294" t="s">
        <v>256</v>
      </c>
      <c r="H349" s="295" t="s">
        <v>27</v>
      </c>
      <c r="I349" s="675"/>
      <c r="J349" s="317"/>
      <c r="L349" s="354"/>
    </row>
    <row r="350" spans="1:12" s="390" customFormat="1" ht="18" customHeight="1">
      <c r="A350" s="395"/>
      <c r="B350" s="384"/>
      <c r="C350" s="385" t="s">
        <v>263</v>
      </c>
      <c r="D350" s="386">
        <v>44197</v>
      </c>
      <c r="E350" s="387">
        <v>0</v>
      </c>
      <c r="F350" s="388">
        <v>0</v>
      </c>
      <c r="G350" s="387">
        <v>0</v>
      </c>
      <c r="H350" s="388">
        <v>0</v>
      </c>
      <c r="I350" s="388" t="s">
        <v>273</v>
      </c>
      <c r="J350" s="389"/>
      <c r="L350" s="391"/>
    </row>
    <row r="351" spans="1:12" s="390" customFormat="1" ht="18" customHeight="1">
      <c r="A351" s="395"/>
      <c r="B351" s="384"/>
      <c r="C351" s="385" t="s">
        <v>257</v>
      </c>
      <c r="D351" s="386">
        <v>44198</v>
      </c>
      <c r="E351" s="387">
        <v>0</v>
      </c>
      <c r="F351" s="388">
        <v>0</v>
      </c>
      <c r="G351" s="387">
        <v>0</v>
      </c>
      <c r="H351" s="388">
        <v>0</v>
      </c>
      <c r="I351" s="388" t="s">
        <v>273</v>
      </c>
      <c r="J351" s="389"/>
      <c r="L351" s="391"/>
    </row>
    <row r="352" spans="1:12" s="390" customFormat="1" ht="18" customHeight="1">
      <c r="A352" s="395"/>
      <c r="B352" s="384"/>
      <c r="C352" s="385" t="s">
        <v>258</v>
      </c>
      <c r="D352" s="386">
        <v>44199</v>
      </c>
      <c r="E352" s="387">
        <v>0</v>
      </c>
      <c r="F352" s="388">
        <v>0</v>
      </c>
      <c r="G352" s="387">
        <v>0</v>
      </c>
      <c r="H352" s="388">
        <v>0</v>
      </c>
      <c r="I352" s="388" t="s">
        <v>273</v>
      </c>
      <c r="J352" s="389"/>
      <c r="L352" s="391"/>
    </row>
    <row r="353" spans="1:12" s="390" customFormat="1" ht="18" customHeight="1">
      <c r="A353" s="395"/>
      <c r="B353" s="384"/>
      <c r="C353" s="344" t="s">
        <v>259</v>
      </c>
      <c r="D353" s="345">
        <v>44200</v>
      </c>
      <c r="E353" s="346">
        <v>1</v>
      </c>
      <c r="F353" s="347">
        <v>850000</v>
      </c>
      <c r="G353" s="346">
        <v>1</v>
      </c>
      <c r="H353" s="347">
        <v>850000</v>
      </c>
      <c r="I353" s="347" t="s">
        <v>268</v>
      </c>
      <c r="J353" s="389"/>
      <c r="L353" s="391"/>
    </row>
    <row r="354" spans="1:12" s="349" customFormat="1" ht="18" customHeight="1">
      <c r="A354" s="394"/>
      <c r="B354" s="343"/>
      <c r="C354" s="344" t="s">
        <v>260</v>
      </c>
      <c r="D354" s="345">
        <v>44201</v>
      </c>
      <c r="E354" s="346">
        <v>1</v>
      </c>
      <c r="F354" s="347">
        <v>850000</v>
      </c>
      <c r="G354" s="346">
        <v>1</v>
      </c>
      <c r="H354" s="347">
        <v>850000</v>
      </c>
      <c r="I354" s="347" t="s">
        <v>268</v>
      </c>
      <c r="J354" s="348"/>
      <c r="L354" s="358"/>
    </row>
    <row r="355" spans="1:12" s="349" customFormat="1" ht="18" customHeight="1">
      <c r="A355" s="394"/>
      <c r="B355" s="343"/>
      <c r="C355" s="344" t="s">
        <v>261</v>
      </c>
      <c r="D355" s="345">
        <v>44202</v>
      </c>
      <c r="E355" s="346">
        <v>1</v>
      </c>
      <c r="F355" s="347">
        <v>850000</v>
      </c>
      <c r="G355" s="346">
        <v>1</v>
      </c>
      <c r="H355" s="347">
        <v>850000</v>
      </c>
      <c r="I355" s="347" t="s">
        <v>268</v>
      </c>
      <c r="J355" s="348"/>
      <c r="L355" s="358"/>
    </row>
    <row r="356" spans="1:12" s="408" customFormat="1" ht="18" customHeight="1">
      <c r="A356" s="403"/>
      <c r="B356" s="404"/>
      <c r="C356" s="344" t="s">
        <v>262</v>
      </c>
      <c r="D356" s="345">
        <v>44203</v>
      </c>
      <c r="E356" s="346">
        <v>1</v>
      </c>
      <c r="F356" s="347">
        <v>850000</v>
      </c>
      <c r="G356" s="346">
        <v>1</v>
      </c>
      <c r="H356" s="347">
        <v>850000</v>
      </c>
      <c r="I356" s="347" t="s">
        <v>268</v>
      </c>
      <c r="J356" s="407"/>
      <c r="L356" s="409"/>
    </row>
    <row r="357" spans="1:12" s="408" customFormat="1" ht="18" customHeight="1">
      <c r="A357" s="403"/>
      <c r="B357" s="404"/>
      <c r="C357" s="344" t="s">
        <v>263</v>
      </c>
      <c r="D357" s="345">
        <v>44204</v>
      </c>
      <c r="E357" s="346">
        <v>1</v>
      </c>
      <c r="F357" s="347">
        <v>850000</v>
      </c>
      <c r="G357" s="346">
        <v>1</v>
      </c>
      <c r="H357" s="347">
        <v>850000</v>
      </c>
      <c r="I357" s="347" t="s">
        <v>268</v>
      </c>
      <c r="J357" s="407"/>
      <c r="L357" s="409"/>
    </row>
    <row r="358" spans="1:12" s="390" customFormat="1" ht="18" customHeight="1">
      <c r="A358" s="395"/>
      <c r="B358" s="384"/>
      <c r="C358" s="385" t="s">
        <v>257</v>
      </c>
      <c r="D358" s="386">
        <v>44205</v>
      </c>
      <c r="E358" s="387">
        <v>0</v>
      </c>
      <c r="F358" s="388">
        <v>0</v>
      </c>
      <c r="G358" s="387">
        <v>0</v>
      </c>
      <c r="H358" s="388">
        <v>0</v>
      </c>
      <c r="I358" s="388" t="s">
        <v>273</v>
      </c>
      <c r="J358" s="389"/>
      <c r="L358" s="391"/>
    </row>
    <row r="359" spans="1:12" s="390" customFormat="1" ht="18" customHeight="1">
      <c r="A359" s="395"/>
      <c r="B359" s="384"/>
      <c r="C359" s="385" t="s">
        <v>258</v>
      </c>
      <c r="D359" s="386">
        <v>44206</v>
      </c>
      <c r="E359" s="387">
        <v>0</v>
      </c>
      <c r="F359" s="388">
        <v>0</v>
      </c>
      <c r="G359" s="387">
        <v>0</v>
      </c>
      <c r="H359" s="388">
        <v>0</v>
      </c>
      <c r="I359" s="388" t="s">
        <v>273</v>
      </c>
      <c r="J359" s="389"/>
      <c r="L359" s="391"/>
    </row>
    <row r="360" spans="1:12" s="390" customFormat="1" ht="18" customHeight="1">
      <c r="A360" s="395"/>
      <c r="B360" s="384"/>
      <c r="C360" s="344" t="s">
        <v>259</v>
      </c>
      <c r="D360" s="345">
        <v>44207</v>
      </c>
      <c r="E360" s="346">
        <v>1</v>
      </c>
      <c r="F360" s="347">
        <v>850000</v>
      </c>
      <c r="G360" s="346">
        <v>1</v>
      </c>
      <c r="H360" s="347">
        <v>850000</v>
      </c>
      <c r="I360" s="347" t="s">
        <v>268</v>
      </c>
      <c r="J360" s="389"/>
      <c r="L360" s="391"/>
    </row>
    <row r="361" spans="1:12" s="349" customFormat="1" ht="18" customHeight="1">
      <c r="A361" s="394"/>
      <c r="B361" s="343"/>
      <c r="C361" s="344" t="s">
        <v>260</v>
      </c>
      <c r="D361" s="345">
        <v>44208</v>
      </c>
      <c r="E361" s="346">
        <v>1</v>
      </c>
      <c r="F361" s="347">
        <v>850000</v>
      </c>
      <c r="G361" s="346">
        <v>1</v>
      </c>
      <c r="H361" s="347">
        <v>850000</v>
      </c>
      <c r="I361" s="347" t="s">
        <v>268</v>
      </c>
      <c r="J361" s="348"/>
      <c r="L361" s="358"/>
    </row>
    <row r="362" spans="1:12" s="349" customFormat="1" ht="18" customHeight="1">
      <c r="A362" s="394"/>
      <c r="B362" s="343"/>
      <c r="C362" s="344" t="s">
        <v>261</v>
      </c>
      <c r="D362" s="345">
        <v>44209</v>
      </c>
      <c r="E362" s="346">
        <v>1</v>
      </c>
      <c r="F362" s="347">
        <v>850000</v>
      </c>
      <c r="G362" s="346">
        <v>1</v>
      </c>
      <c r="H362" s="347">
        <v>850000</v>
      </c>
      <c r="I362" s="347" t="s">
        <v>268</v>
      </c>
      <c r="J362" s="348"/>
      <c r="L362" s="358"/>
    </row>
    <row r="363" spans="1:12" s="349" customFormat="1" ht="18" customHeight="1">
      <c r="A363" s="394"/>
      <c r="B363" s="343"/>
      <c r="C363" s="344" t="s">
        <v>262</v>
      </c>
      <c r="D363" s="345">
        <v>44210</v>
      </c>
      <c r="E363" s="346">
        <v>1</v>
      </c>
      <c r="F363" s="347">
        <v>850000</v>
      </c>
      <c r="G363" s="346">
        <v>1</v>
      </c>
      <c r="H363" s="347">
        <v>850000</v>
      </c>
      <c r="I363" s="347" t="s">
        <v>268</v>
      </c>
      <c r="J363" s="348"/>
      <c r="L363" s="358"/>
    </row>
    <row r="364" spans="1:12" s="408" customFormat="1" ht="18" customHeight="1">
      <c r="A364" s="403"/>
      <c r="B364" s="404"/>
      <c r="C364" s="344" t="s">
        <v>263</v>
      </c>
      <c r="D364" s="345">
        <v>44211</v>
      </c>
      <c r="E364" s="346">
        <v>1</v>
      </c>
      <c r="F364" s="347">
        <v>850000</v>
      </c>
      <c r="G364" s="346">
        <v>1</v>
      </c>
      <c r="H364" s="347">
        <v>850000</v>
      </c>
      <c r="I364" s="347" t="s">
        <v>268</v>
      </c>
      <c r="J364" s="407"/>
      <c r="L364" s="409"/>
    </row>
    <row r="365" spans="1:12" s="390" customFormat="1" ht="18" customHeight="1">
      <c r="A365" s="395"/>
      <c r="B365" s="384"/>
      <c r="C365" s="385" t="s">
        <v>257</v>
      </c>
      <c r="D365" s="386">
        <v>44212</v>
      </c>
      <c r="E365" s="387">
        <v>0</v>
      </c>
      <c r="F365" s="388">
        <v>0</v>
      </c>
      <c r="G365" s="387">
        <v>0</v>
      </c>
      <c r="H365" s="388">
        <v>0</v>
      </c>
      <c r="I365" s="388" t="s">
        <v>273</v>
      </c>
      <c r="J365" s="389"/>
      <c r="L365" s="391"/>
    </row>
    <row r="366" spans="1:12" s="390" customFormat="1" ht="18" customHeight="1">
      <c r="A366" s="395"/>
      <c r="B366" s="384"/>
      <c r="C366" s="385" t="s">
        <v>258</v>
      </c>
      <c r="D366" s="386">
        <v>44213</v>
      </c>
      <c r="E366" s="387">
        <v>0</v>
      </c>
      <c r="F366" s="388">
        <v>0</v>
      </c>
      <c r="G366" s="387">
        <v>0</v>
      </c>
      <c r="H366" s="388">
        <v>0</v>
      </c>
      <c r="I366" s="388" t="s">
        <v>273</v>
      </c>
      <c r="J366" s="389"/>
      <c r="L366" s="391"/>
    </row>
    <row r="367" spans="1:12" s="390" customFormat="1" ht="18" customHeight="1">
      <c r="A367" s="395"/>
      <c r="B367" s="384"/>
      <c r="C367" s="344" t="s">
        <v>259</v>
      </c>
      <c r="D367" s="345">
        <v>44214</v>
      </c>
      <c r="E367" s="346">
        <v>1</v>
      </c>
      <c r="F367" s="347">
        <v>850000</v>
      </c>
      <c r="G367" s="346">
        <v>1</v>
      </c>
      <c r="H367" s="347">
        <v>850000</v>
      </c>
      <c r="I367" s="347" t="s">
        <v>268</v>
      </c>
      <c r="J367" s="389"/>
      <c r="L367" s="391"/>
    </row>
    <row r="368" spans="1:12" s="349" customFormat="1" ht="18" customHeight="1">
      <c r="A368" s="394"/>
      <c r="B368" s="343"/>
      <c r="C368" s="344" t="s">
        <v>260</v>
      </c>
      <c r="D368" s="345">
        <v>44215</v>
      </c>
      <c r="E368" s="346">
        <v>1</v>
      </c>
      <c r="F368" s="347">
        <v>850000</v>
      </c>
      <c r="G368" s="346">
        <v>1</v>
      </c>
      <c r="H368" s="347">
        <v>850000</v>
      </c>
      <c r="I368" s="347" t="s">
        <v>268</v>
      </c>
      <c r="J368" s="348"/>
      <c r="L368" s="358"/>
    </row>
    <row r="369" spans="1:12" s="349" customFormat="1" ht="18" customHeight="1">
      <c r="A369" s="394"/>
      <c r="B369" s="343"/>
      <c r="C369" s="344" t="s">
        <v>261</v>
      </c>
      <c r="D369" s="345">
        <v>44216</v>
      </c>
      <c r="E369" s="346">
        <v>1</v>
      </c>
      <c r="F369" s="347">
        <v>850000</v>
      </c>
      <c r="G369" s="346">
        <v>1</v>
      </c>
      <c r="H369" s="347">
        <v>850000</v>
      </c>
      <c r="I369" s="347" t="s">
        <v>268</v>
      </c>
      <c r="J369" s="348"/>
      <c r="L369" s="358"/>
    </row>
    <row r="370" spans="1:12" s="349" customFormat="1" ht="18" customHeight="1">
      <c r="A370" s="394"/>
      <c r="B370" s="343"/>
      <c r="C370" s="344" t="s">
        <v>262</v>
      </c>
      <c r="D370" s="345">
        <v>44217</v>
      </c>
      <c r="E370" s="346">
        <v>1</v>
      </c>
      <c r="F370" s="347">
        <v>850000</v>
      </c>
      <c r="G370" s="346">
        <v>1</v>
      </c>
      <c r="H370" s="347">
        <v>850000</v>
      </c>
      <c r="I370" s="347" t="s">
        <v>268</v>
      </c>
      <c r="J370" s="348"/>
      <c r="L370" s="358"/>
    </row>
    <row r="371" spans="1:12" s="408" customFormat="1" ht="18" customHeight="1">
      <c r="A371" s="403"/>
      <c r="B371" s="404"/>
      <c r="C371" s="344" t="s">
        <v>263</v>
      </c>
      <c r="D371" s="345">
        <v>44218</v>
      </c>
      <c r="E371" s="346">
        <v>1</v>
      </c>
      <c r="F371" s="347">
        <v>850000</v>
      </c>
      <c r="G371" s="346">
        <v>1</v>
      </c>
      <c r="H371" s="347">
        <v>850000</v>
      </c>
      <c r="I371" s="347" t="s">
        <v>268</v>
      </c>
      <c r="J371" s="407"/>
      <c r="L371" s="409"/>
    </row>
    <row r="372" spans="1:12" s="390" customFormat="1" ht="18" customHeight="1">
      <c r="A372" s="395"/>
      <c r="B372" s="384"/>
      <c r="C372" s="385" t="s">
        <v>257</v>
      </c>
      <c r="D372" s="386">
        <v>44219</v>
      </c>
      <c r="E372" s="387">
        <v>0</v>
      </c>
      <c r="F372" s="388">
        <v>0</v>
      </c>
      <c r="G372" s="387">
        <v>0</v>
      </c>
      <c r="H372" s="388">
        <v>0</v>
      </c>
      <c r="I372" s="388" t="s">
        <v>273</v>
      </c>
      <c r="J372" s="389"/>
      <c r="L372" s="391"/>
    </row>
    <row r="373" spans="1:12" s="390" customFormat="1" ht="18" customHeight="1">
      <c r="A373" s="395"/>
      <c r="B373" s="384"/>
      <c r="C373" s="385" t="s">
        <v>258</v>
      </c>
      <c r="D373" s="386">
        <v>44220</v>
      </c>
      <c r="E373" s="387">
        <v>0</v>
      </c>
      <c r="F373" s="388">
        <v>0</v>
      </c>
      <c r="G373" s="387">
        <v>0</v>
      </c>
      <c r="H373" s="388">
        <v>0</v>
      </c>
      <c r="I373" s="388" t="s">
        <v>273</v>
      </c>
      <c r="J373" s="389"/>
      <c r="L373" s="391"/>
    </row>
    <row r="374" spans="1:12" s="390" customFormat="1" ht="18" customHeight="1">
      <c r="A374" s="395"/>
      <c r="B374" s="384"/>
      <c r="C374" s="344" t="s">
        <v>259</v>
      </c>
      <c r="D374" s="345">
        <v>44221</v>
      </c>
      <c r="E374" s="346">
        <v>1</v>
      </c>
      <c r="F374" s="347">
        <v>850000</v>
      </c>
      <c r="G374" s="346">
        <v>1</v>
      </c>
      <c r="H374" s="347">
        <v>850000</v>
      </c>
      <c r="I374" s="347" t="s">
        <v>268</v>
      </c>
      <c r="J374" s="389"/>
      <c r="L374" s="391"/>
    </row>
    <row r="375" spans="1:12" s="349" customFormat="1" ht="18" customHeight="1">
      <c r="A375" s="394"/>
      <c r="B375" s="343"/>
      <c r="C375" s="344" t="s">
        <v>260</v>
      </c>
      <c r="D375" s="345">
        <v>44222</v>
      </c>
      <c r="E375" s="346">
        <v>1</v>
      </c>
      <c r="F375" s="347">
        <v>850000</v>
      </c>
      <c r="G375" s="346">
        <v>1</v>
      </c>
      <c r="H375" s="347">
        <v>850000</v>
      </c>
      <c r="I375" s="347" t="s">
        <v>268</v>
      </c>
      <c r="J375" s="348"/>
      <c r="L375" s="358"/>
    </row>
    <row r="376" spans="1:12" s="349" customFormat="1" ht="18" customHeight="1">
      <c r="A376" s="394"/>
      <c r="B376" s="343"/>
      <c r="C376" s="344" t="s">
        <v>261</v>
      </c>
      <c r="D376" s="345">
        <v>44223</v>
      </c>
      <c r="E376" s="346">
        <v>1</v>
      </c>
      <c r="F376" s="347">
        <v>850000</v>
      </c>
      <c r="G376" s="346">
        <v>1</v>
      </c>
      <c r="H376" s="347">
        <v>850000</v>
      </c>
      <c r="I376" s="347" t="s">
        <v>268</v>
      </c>
      <c r="J376" s="348"/>
      <c r="L376" s="358"/>
    </row>
    <row r="377" spans="1:12" s="349" customFormat="1" ht="18" customHeight="1">
      <c r="A377" s="394"/>
      <c r="B377" s="343"/>
      <c r="C377" s="344" t="s">
        <v>262</v>
      </c>
      <c r="D377" s="345">
        <v>44224</v>
      </c>
      <c r="E377" s="346">
        <v>1</v>
      </c>
      <c r="F377" s="347">
        <v>850000</v>
      </c>
      <c r="G377" s="346">
        <v>1</v>
      </c>
      <c r="H377" s="347">
        <v>850000</v>
      </c>
      <c r="I377" s="347" t="s">
        <v>268</v>
      </c>
      <c r="J377" s="348"/>
      <c r="L377" s="358"/>
    </row>
    <row r="378" spans="1:12" s="349" customFormat="1" ht="18" customHeight="1">
      <c r="A378" s="394"/>
      <c r="B378" s="343"/>
      <c r="C378" s="344" t="s">
        <v>263</v>
      </c>
      <c r="D378" s="345">
        <v>44225</v>
      </c>
      <c r="E378" s="346">
        <v>1</v>
      </c>
      <c r="F378" s="347">
        <v>850000</v>
      </c>
      <c r="G378" s="346">
        <v>1</v>
      </c>
      <c r="H378" s="347">
        <v>850000</v>
      </c>
      <c r="I378" s="347" t="s">
        <v>268</v>
      </c>
      <c r="J378" s="348"/>
      <c r="L378" s="358"/>
    </row>
    <row r="379" spans="1:12" s="390" customFormat="1" ht="18" customHeight="1">
      <c r="A379" s="395"/>
      <c r="B379" s="384"/>
      <c r="C379" s="385" t="s">
        <v>257</v>
      </c>
      <c r="D379" s="386">
        <v>44226</v>
      </c>
      <c r="E379" s="387">
        <v>0</v>
      </c>
      <c r="F379" s="388">
        <v>0</v>
      </c>
      <c r="G379" s="387">
        <v>0</v>
      </c>
      <c r="H379" s="388">
        <v>0</v>
      </c>
      <c r="I379" s="388" t="s">
        <v>273</v>
      </c>
      <c r="J379" s="389"/>
      <c r="L379" s="391"/>
    </row>
    <row r="380" spans="1:12" s="390" customFormat="1" ht="18" customHeight="1">
      <c r="A380" s="395"/>
      <c r="B380" s="384"/>
      <c r="C380" s="385" t="s">
        <v>258</v>
      </c>
      <c r="D380" s="386">
        <v>44227</v>
      </c>
      <c r="E380" s="387">
        <v>0</v>
      </c>
      <c r="F380" s="388">
        <v>0</v>
      </c>
      <c r="G380" s="387">
        <v>0</v>
      </c>
      <c r="H380" s="388">
        <v>0</v>
      </c>
      <c r="I380" s="388" t="s">
        <v>273</v>
      </c>
      <c r="J380" s="389"/>
      <c r="L380" s="391"/>
    </row>
    <row r="381" spans="1:12" s="349" customFormat="1" ht="18" customHeight="1">
      <c r="A381" s="394"/>
      <c r="B381" s="343"/>
      <c r="C381" s="702" t="s">
        <v>337</v>
      </c>
      <c r="D381" s="703"/>
      <c r="E381" s="704">
        <f>SUM(E350:E379)</f>
        <v>20</v>
      </c>
      <c r="F381" s="705"/>
      <c r="G381" s="704">
        <f>SUM(G350:G379)</f>
        <v>20</v>
      </c>
      <c r="H381" s="705"/>
      <c r="I381" s="400"/>
      <c r="J381" s="348"/>
      <c r="L381" s="358"/>
    </row>
    <row r="382" spans="1:12" s="297" customFormat="1" ht="20.100000000000001" customHeight="1">
      <c r="A382" s="277"/>
      <c r="B382" s="320"/>
      <c r="C382" s="706" t="s">
        <v>264</v>
      </c>
      <c r="D382" s="707"/>
      <c r="E382" s="708">
        <f>SUM(F350:F379)</f>
        <v>17000000</v>
      </c>
      <c r="F382" s="709"/>
      <c r="G382" s="696">
        <f>SUM(H350:H379)</f>
        <v>17000000</v>
      </c>
      <c r="H382" s="697"/>
      <c r="I382" s="330"/>
      <c r="J382" s="321"/>
      <c r="L382" s="356">
        <v>20</v>
      </c>
    </row>
    <row r="383" spans="1:12" s="296" customFormat="1" ht="24.95" customHeight="1">
      <c r="A383" s="277"/>
      <c r="B383" s="322"/>
      <c r="C383" s="692" t="s">
        <v>62</v>
      </c>
      <c r="D383" s="692"/>
      <c r="E383" s="692"/>
      <c r="F383" s="692"/>
      <c r="G383" s="690">
        <f>+G382+E382</f>
        <v>34000000</v>
      </c>
      <c r="H383" s="691"/>
      <c r="I383" s="331"/>
      <c r="J383" s="323"/>
      <c r="L383" s="359">
        <f>+L382*2*850000</f>
        <v>34000000</v>
      </c>
    </row>
    <row r="384" spans="1:12" ht="20.100000000000001" customHeight="1">
      <c r="B384" s="307"/>
      <c r="C384" s="369"/>
      <c r="J384" s="308"/>
    </row>
    <row r="385" spans="1:12" ht="18" customHeight="1">
      <c r="B385" s="307"/>
      <c r="C385" s="416" t="s">
        <v>136</v>
      </c>
      <c r="E385" s="183"/>
      <c r="F385" s="234" t="s">
        <v>131</v>
      </c>
      <c r="G385" s="234" t="s">
        <v>130</v>
      </c>
      <c r="H385" s="234" t="s">
        <v>129</v>
      </c>
      <c r="I385" s="234" t="s">
        <v>128</v>
      </c>
      <c r="J385" s="308"/>
    </row>
    <row r="386" spans="1:12" s="335" customFormat="1" ht="30" customHeight="1">
      <c r="B386" s="332"/>
      <c r="C386" s="710">
        <v>5</v>
      </c>
      <c r="D386" s="711"/>
      <c r="F386" s="415">
        <v>4</v>
      </c>
      <c r="G386" s="415">
        <v>3</v>
      </c>
      <c r="H386" s="415">
        <v>2</v>
      </c>
      <c r="I386" s="415">
        <v>1</v>
      </c>
      <c r="J386" s="337"/>
      <c r="L386" s="357"/>
    </row>
    <row r="387" spans="1:12" ht="15" customHeight="1">
      <c r="B387" s="307"/>
      <c r="C387" s="698" t="s">
        <v>358</v>
      </c>
      <c r="D387" s="699"/>
      <c r="E387" s="183"/>
      <c r="F387" s="236" t="s">
        <v>114</v>
      </c>
      <c r="G387" s="237" t="s">
        <v>357</v>
      </c>
      <c r="H387" s="238" t="s">
        <v>112</v>
      </c>
      <c r="I387" s="234" t="s">
        <v>16</v>
      </c>
      <c r="J387" s="308"/>
    </row>
    <row r="388" spans="1:12" ht="12.95" customHeight="1" thickBot="1">
      <c r="B388" s="374"/>
      <c r="C388" s="700" t="s">
        <v>132</v>
      </c>
      <c r="D388" s="701"/>
      <c r="E388" s="377"/>
      <c r="F388" s="375" t="s">
        <v>132</v>
      </c>
      <c r="G388" s="375" t="s">
        <v>132</v>
      </c>
      <c r="H388" s="375" t="s">
        <v>132</v>
      </c>
      <c r="I388" s="375" t="s">
        <v>132</v>
      </c>
      <c r="J388" s="378"/>
    </row>
    <row r="389" spans="1:12" ht="9.9499999999999993" customHeight="1" thickTop="1">
      <c r="B389" s="364"/>
      <c r="C389" s="364"/>
      <c r="D389" s="365"/>
      <c r="E389" s="366"/>
      <c r="F389" s="367"/>
      <c r="G389" s="366"/>
      <c r="H389" s="367"/>
      <c r="I389" s="367"/>
      <c r="J389" s="364"/>
    </row>
    <row r="390" spans="1:12" ht="9.9499999999999993" customHeight="1" thickBot="1">
      <c r="B390" s="379"/>
      <c r="C390" s="379"/>
      <c r="D390" s="380"/>
      <c r="E390" s="381"/>
      <c r="F390" s="382"/>
      <c r="G390" s="381"/>
      <c r="H390" s="382"/>
      <c r="I390" s="382"/>
      <c r="J390" s="379"/>
    </row>
    <row r="391" spans="1:12" ht="9.9499999999999993" customHeight="1" thickTop="1">
      <c r="A391" s="661">
        <v>44248</v>
      </c>
      <c r="B391" s="301"/>
      <c r="C391" s="302"/>
      <c r="D391" s="303"/>
      <c r="E391" s="304"/>
      <c r="F391" s="305"/>
      <c r="G391" s="304"/>
      <c r="H391" s="305"/>
      <c r="I391" s="305"/>
      <c r="J391" s="306"/>
    </row>
    <row r="392" spans="1:12" ht="17.100000000000001" customHeight="1">
      <c r="A392" s="661"/>
      <c r="B392" s="307"/>
      <c r="C392" s="298" t="s">
        <v>138</v>
      </c>
      <c r="D392" s="299"/>
      <c r="G392" s="662" t="s">
        <v>359</v>
      </c>
      <c r="H392" s="662"/>
      <c r="I392" s="662"/>
      <c r="J392" s="308"/>
    </row>
    <row r="393" spans="1:12" s="275" customFormat="1" ht="30" customHeight="1">
      <c r="A393" s="661"/>
      <c r="B393" s="309"/>
      <c r="C393" s="279" t="s">
        <v>119</v>
      </c>
      <c r="D393" s="292" t="s">
        <v>244</v>
      </c>
      <c r="F393" s="310"/>
      <c r="G393" s="311"/>
      <c r="H393" s="310"/>
      <c r="I393" s="310"/>
      <c r="J393" s="312"/>
      <c r="L393" s="352"/>
    </row>
    <row r="394" spans="1:12" s="276" customFormat="1" ht="23.1" customHeight="1">
      <c r="A394" s="277"/>
      <c r="B394" s="313"/>
      <c r="C394" s="280" t="s">
        <v>120</v>
      </c>
      <c r="D394" s="293" t="s">
        <v>360</v>
      </c>
      <c r="F394" s="663" t="s">
        <v>355</v>
      </c>
      <c r="G394" s="664"/>
      <c r="H394" s="664"/>
      <c r="I394" s="665"/>
      <c r="J394" s="315"/>
      <c r="L394" s="353"/>
    </row>
    <row r="395" spans="1:12" s="276" customFormat="1" ht="45" customHeight="1">
      <c r="A395" s="277"/>
      <c r="B395" s="313"/>
      <c r="C395" s="410" t="s">
        <v>356</v>
      </c>
      <c r="D395" s="712" t="s">
        <v>361</v>
      </c>
      <c r="E395" s="712"/>
      <c r="F395" s="666"/>
      <c r="G395" s="667"/>
      <c r="H395" s="667"/>
      <c r="I395" s="668"/>
      <c r="J395" s="315"/>
      <c r="L395" s="353"/>
    </row>
    <row r="396" spans="1:12" s="276" customFormat="1" ht="9.9499999999999993" customHeight="1">
      <c r="A396" s="277"/>
      <c r="B396" s="313"/>
      <c r="C396" s="410"/>
      <c r="D396" s="413"/>
      <c r="E396" s="411"/>
      <c r="F396" s="412"/>
      <c r="G396" s="412"/>
      <c r="H396" s="412"/>
      <c r="I396" s="414"/>
      <c r="J396" s="315"/>
      <c r="L396" s="353"/>
    </row>
    <row r="397" spans="1:12" s="278" customFormat="1" ht="50.1" customHeight="1">
      <c r="A397" s="392"/>
      <c r="B397" s="316"/>
      <c r="C397" s="669" t="s">
        <v>2</v>
      </c>
      <c r="D397" s="671" t="s">
        <v>283</v>
      </c>
      <c r="E397" s="673" t="s">
        <v>275</v>
      </c>
      <c r="F397" s="674"/>
      <c r="G397" s="673" t="s">
        <v>276</v>
      </c>
      <c r="H397" s="674"/>
      <c r="I397" s="713" t="s">
        <v>85</v>
      </c>
      <c r="J397" s="317"/>
      <c r="L397" s="354"/>
    </row>
    <row r="398" spans="1:12" s="278" customFormat="1" ht="24.95" customHeight="1">
      <c r="A398" s="392"/>
      <c r="B398" s="316"/>
      <c r="C398" s="670"/>
      <c r="D398" s="672"/>
      <c r="E398" s="294" t="s">
        <v>256</v>
      </c>
      <c r="F398" s="295" t="s">
        <v>27</v>
      </c>
      <c r="G398" s="294" t="s">
        <v>256</v>
      </c>
      <c r="H398" s="295" t="s">
        <v>27</v>
      </c>
      <c r="I398" s="675"/>
      <c r="J398" s="317"/>
      <c r="L398" s="354"/>
    </row>
    <row r="399" spans="1:12" s="349" customFormat="1" ht="18" customHeight="1">
      <c r="A399" s="394"/>
      <c r="B399" s="343"/>
      <c r="C399" s="344" t="s">
        <v>259</v>
      </c>
      <c r="D399" s="345">
        <v>44228</v>
      </c>
      <c r="E399" s="346">
        <v>1</v>
      </c>
      <c r="F399" s="347">
        <v>850000</v>
      </c>
      <c r="G399" s="346">
        <v>1</v>
      </c>
      <c r="H399" s="347">
        <v>850000</v>
      </c>
      <c r="I399" s="347" t="s">
        <v>268</v>
      </c>
      <c r="J399" s="348"/>
      <c r="L399" s="358"/>
    </row>
    <row r="400" spans="1:12" s="349" customFormat="1" ht="18" customHeight="1">
      <c r="A400" s="394"/>
      <c r="B400" s="343"/>
      <c r="C400" s="344" t="s">
        <v>260</v>
      </c>
      <c r="D400" s="345">
        <v>44229</v>
      </c>
      <c r="E400" s="346">
        <v>1</v>
      </c>
      <c r="F400" s="347">
        <v>850000</v>
      </c>
      <c r="G400" s="346">
        <v>1</v>
      </c>
      <c r="H400" s="347">
        <v>850000</v>
      </c>
      <c r="I400" s="347" t="s">
        <v>268</v>
      </c>
      <c r="J400" s="348"/>
      <c r="L400" s="358"/>
    </row>
    <row r="401" spans="1:12" s="349" customFormat="1" ht="18" customHeight="1">
      <c r="A401" s="394"/>
      <c r="B401" s="343"/>
      <c r="C401" s="344" t="s">
        <v>261</v>
      </c>
      <c r="D401" s="345">
        <v>44230</v>
      </c>
      <c r="E401" s="346">
        <v>1</v>
      </c>
      <c r="F401" s="347">
        <v>850000</v>
      </c>
      <c r="G401" s="346">
        <v>1</v>
      </c>
      <c r="H401" s="347">
        <v>850000</v>
      </c>
      <c r="I401" s="347" t="s">
        <v>268</v>
      </c>
      <c r="J401" s="348"/>
      <c r="L401" s="358"/>
    </row>
    <row r="402" spans="1:12" s="349" customFormat="1" ht="18" customHeight="1">
      <c r="A402" s="394"/>
      <c r="B402" s="343"/>
      <c r="C402" s="344" t="s">
        <v>262</v>
      </c>
      <c r="D402" s="345">
        <v>44231</v>
      </c>
      <c r="E402" s="346">
        <v>1</v>
      </c>
      <c r="F402" s="347">
        <v>850000</v>
      </c>
      <c r="G402" s="346">
        <v>1</v>
      </c>
      <c r="H402" s="347">
        <v>850000</v>
      </c>
      <c r="I402" s="347" t="s">
        <v>268</v>
      </c>
      <c r="J402" s="348"/>
      <c r="L402" s="358"/>
    </row>
    <row r="403" spans="1:12" s="349" customFormat="1" ht="18" customHeight="1">
      <c r="A403" s="394"/>
      <c r="B403" s="343"/>
      <c r="C403" s="344" t="s">
        <v>263</v>
      </c>
      <c r="D403" s="345">
        <v>44232</v>
      </c>
      <c r="E403" s="346">
        <v>1</v>
      </c>
      <c r="F403" s="347">
        <v>850000</v>
      </c>
      <c r="G403" s="346">
        <v>1</v>
      </c>
      <c r="H403" s="347">
        <v>850000</v>
      </c>
      <c r="I403" s="347" t="s">
        <v>268</v>
      </c>
      <c r="J403" s="348"/>
      <c r="L403" s="358"/>
    </row>
    <row r="404" spans="1:12" s="390" customFormat="1" ht="18" customHeight="1">
      <c r="A404" s="395"/>
      <c r="B404" s="384"/>
      <c r="C404" s="385" t="s">
        <v>257</v>
      </c>
      <c r="D404" s="386">
        <v>44233</v>
      </c>
      <c r="E404" s="387">
        <v>0</v>
      </c>
      <c r="F404" s="388">
        <v>0</v>
      </c>
      <c r="G404" s="387">
        <v>0</v>
      </c>
      <c r="H404" s="388">
        <v>0</v>
      </c>
      <c r="I404" s="388" t="s">
        <v>273</v>
      </c>
      <c r="J404" s="389"/>
      <c r="L404" s="391"/>
    </row>
    <row r="405" spans="1:12" s="390" customFormat="1" ht="18" customHeight="1">
      <c r="A405" s="395"/>
      <c r="B405" s="384"/>
      <c r="C405" s="385" t="s">
        <v>258</v>
      </c>
      <c r="D405" s="386">
        <v>44234</v>
      </c>
      <c r="E405" s="387">
        <v>0</v>
      </c>
      <c r="F405" s="388">
        <v>0</v>
      </c>
      <c r="G405" s="387">
        <v>0</v>
      </c>
      <c r="H405" s="388">
        <v>0</v>
      </c>
      <c r="I405" s="388" t="s">
        <v>273</v>
      </c>
      <c r="J405" s="389"/>
      <c r="L405" s="391"/>
    </row>
    <row r="406" spans="1:12" s="349" customFormat="1" ht="18" customHeight="1">
      <c r="A406" s="394"/>
      <c r="B406" s="343"/>
      <c r="C406" s="344" t="s">
        <v>259</v>
      </c>
      <c r="D406" s="345">
        <v>44235</v>
      </c>
      <c r="E406" s="346">
        <v>1</v>
      </c>
      <c r="F406" s="347">
        <v>850000</v>
      </c>
      <c r="G406" s="346">
        <v>1</v>
      </c>
      <c r="H406" s="347">
        <v>850000</v>
      </c>
      <c r="I406" s="347" t="s">
        <v>268</v>
      </c>
      <c r="J406" s="348"/>
      <c r="L406" s="358"/>
    </row>
    <row r="407" spans="1:12" s="349" customFormat="1" ht="18" customHeight="1">
      <c r="A407" s="394"/>
      <c r="B407" s="343"/>
      <c r="C407" s="344" t="s">
        <v>260</v>
      </c>
      <c r="D407" s="345">
        <v>44236</v>
      </c>
      <c r="E407" s="346">
        <v>1</v>
      </c>
      <c r="F407" s="347">
        <v>850000</v>
      </c>
      <c r="G407" s="346">
        <v>1</v>
      </c>
      <c r="H407" s="347">
        <v>850000</v>
      </c>
      <c r="I407" s="347" t="s">
        <v>268</v>
      </c>
      <c r="J407" s="348"/>
      <c r="L407" s="358"/>
    </row>
    <row r="408" spans="1:12" s="349" customFormat="1" ht="18" customHeight="1">
      <c r="A408" s="394"/>
      <c r="B408" s="343"/>
      <c r="C408" s="344" t="s">
        <v>261</v>
      </c>
      <c r="D408" s="345">
        <v>44237</v>
      </c>
      <c r="E408" s="346">
        <v>1</v>
      </c>
      <c r="F408" s="347">
        <v>850000</v>
      </c>
      <c r="G408" s="346">
        <v>1</v>
      </c>
      <c r="H408" s="347">
        <v>850000</v>
      </c>
      <c r="I408" s="347" t="s">
        <v>268</v>
      </c>
      <c r="J408" s="348"/>
      <c r="L408" s="358"/>
    </row>
    <row r="409" spans="1:12" s="349" customFormat="1" ht="18" customHeight="1">
      <c r="A409" s="394"/>
      <c r="B409" s="343"/>
      <c r="C409" s="344" t="s">
        <v>262</v>
      </c>
      <c r="D409" s="345">
        <v>44238</v>
      </c>
      <c r="E409" s="346">
        <v>1</v>
      </c>
      <c r="F409" s="347">
        <v>850000</v>
      </c>
      <c r="G409" s="346">
        <v>1</v>
      </c>
      <c r="H409" s="347">
        <v>850000</v>
      </c>
      <c r="I409" s="347" t="s">
        <v>268</v>
      </c>
      <c r="J409" s="348"/>
      <c r="L409" s="358"/>
    </row>
    <row r="410" spans="1:12" s="390" customFormat="1" ht="18" customHeight="1">
      <c r="A410" s="395"/>
      <c r="B410" s="384"/>
      <c r="C410" s="385" t="s">
        <v>263</v>
      </c>
      <c r="D410" s="386">
        <v>44239</v>
      </c>
      <c r="E410" s="387">
        <v>0</v>
      </c>
      <c r="F410" s="388">
        <v>0</v>
      </c>
      <c r="G410" s="387">
        <v>0</v>
      </c>
      <c r="H410" s="388">
        <v>0</v>
      </c>
      <c r="I410" s="388" t="s">
        <v>273</v>
      </c>
      <c r="J410" s="389"/>
      <c r="L410" s="391"/>
    </row>
    <row r="411" spans="1:12" s="390" customFormat="1" ht="18" customHeight="1">
      <c r="A411" s="395"/>
      <c r="B411" s="384"/>
      <c r="C411" s="385" t="s">
        <v>257</v>
      </c>
      <c r="D411" s="386">
        <v>44240</v>
      </c>
      <c r="E411" s="387">
        <v>0</v>
      </c>
      <c r="F411" s="388">
        <v>0</v>
      </c>
      <c r="G411" s="387">
        <v>0</v>
      </c>
      <c r="H411" s="388">
        <v>0</v>
      </c>
      <c r="I411" s="388" t="s">
        <v>273</v>
      </c>
      <c r="J411" s="389"/>
      <c r="L411" s="391"/>
    </row>
    <row r="412" spans="1:12" s="390" customFormat="1" ht="18" customHeight="1">
      <c r="A412" s="395"/>
      <c r="B412" s="384"/>
      <c r="C412" s="385" t="s">
        <v>258</v>
      </c>
      <c r="D412" s="386">
        <v>44241</v>
      </c>
      <c r="E412" s="387">
        <v>0</v>
      </c>
      <c r="F412" s="388">
        <v>0</v>
      </c>
      <c r="G412" s="387">
        <v>0</v>
      </c>
      <c r="H412" s="388">
        <v>0</v>
      </c>
      <c r="I412" s="388" t="s">
        <v>273</v>
      </c>
      <c r="J412" s="389"/>
      <c r="L412" s="391"/>
    </row>
    <row r="413" spans="1:12" s="349" customFormat="1" ht="18" customHeight="1">
      <c r="A413" s="394"/>
      <c r="B413" s="343"/>
      <c r="C413" s="344" t="s">
        <v>259</v>
      </c>
      <c r="D413" s="345">
        <v>44242</v>
      </c>
      <c r="E413" s="346">
        <v>1</v>
      </c>
      <c r="F413" s="347">
        <v>850000</v>
      </c>
      <c r="G413" s="346">
        <v>1</v>
      </c>
      <c r="H413" s="347">
        <v>850000</v>
      </c>
      <c r="I413" s="347" t="s">
        <v>268</v>
      </c>
      <c r="J413" s="348"/>
      <c r="L413" s="358"/>
    </row>
    <row r="414" spans="1:12" s="349" customFormat="1" ht="18" customHeight="1">
      <c r="A414" s="394"/>
      <c r="B414" s="343"/>
      <c r="C414" s="344" t="s">
        <v>260</v>
      </c>
      <c r="D414" s="345">
        <v>44243</v>
      </c>
      <c r="E414" s="346">
        <v>1</v>
      </c>
      <c r="F414" s="347">
        <v>850000</v>
      </c>
      <c r="G414" s="346">
        <v>1</v>
      </c>
      <c r="H414" s="347">
        <v>850000</v>
      </c>
      <c r="I414" s="347" t="s">
        <v>268</v>
      </c>
      <c r="J414" s="348"/>
      <c r="L414" s="358"/>
    </row>
    <row r="415" spans="1:12" s="349" customFormat="1" ht="18" customHeight="1">
      <c r="A415" s="394"/>
      <c r="B415" s="343"/>
      <c r="C415" s="344" t="s">
        <v>261</v>
      </c>
      <c r="D415" s="345">
        <v>44244</v>
      </c>
      <c r="E415" s="346">
        <v>1</v>
      </c>
      <c r="F415" s="347">
        <v>850000</v>
      </c>
      <c r="G415" s="346">
        <v>1</v>
      </c>
      <c r="H415" s="347">
        <v>850000</v>
      </c>
      <c r="I415" s="347" t="s">
        <v>268</v>
      </c>
      <c r="J415" s="348"/>
      <c r="L415" s="358"/>
    </row>
    <row r="416" spans="1:12" s="349" customFormat="1" ht="18" customHeight="1">
      <c r="A416" s="394"/>
      <c r="B416" s="343"/>
      <c r="C416" s="344" t="s">
        <v>262</v>
      </c>
      <c r="D416" s="345">
        <v>44245</v>
      </c>
      <c r="E416" s="346">
        <v>1</v>
      </c>
      <c r="F416" s="347">
        <v>850000</v>
      </c>
      <c r="G416" s="346">
        <v>1</v>
      </c>
      <c r="H416" s="347">
        <v>850000</v>
      </c>
      <c r="I416" s="347" t="s">
        <v>268</v>
      </c>
      <c r="J416" s="348"/>
      <c r="L416" s="358"/>
    </row>
    <row r="417" spans="1:12" s="349" customFormat="1" ht="18" customHeight="1">
      <c r="A417" s="394"/>
      <c r="B417" s="343"/>
      <c r="C417" s="344" t="s">
        <v>263</v>
      </c>
      <c r="D417" s="345">
        <v>44246</v>
      </c>
      <c r="E417" s="346">
        <v>1</v>
      </c>
      <c r="F417" s="347">
        <v>850000</v>
      </c>
      <c r="G417" s="346">
        <v>1</v>
      </c>
      <c r="H417" s="347">
        <v>850000</v>
      </c>
      <c r="I417" s="347" t="s">
        <v>268</v>
      </c>
      <c r="J417" s="348"/>
      <c r="L417" s="358"/>
    </row>
    <row r="418" spans="1:12" s="390" customFormat="1" ht="18" customHeight="1">
      <c r="A418" s="395"/>
      <c r="B418" s="384"/>
      <c r="C418" s="385" t="s">
        <v>257</v>
      </c>
      <c r="D418" s="386">
        <v>44247</v>
      </c>
      <c r="E418" s="387">
        <v>0</v>
      </c>
      <c r="F418" s="388">
        <v>0</v>
      </c>
      <c r="G418" s="387">
        <v>0</v>
      </c>
      <c r="H418" s="388">
        <v>0</v>
      </c>
      <c r="I418" s="388" t="s">
        <v>273</v>
      </c>
      <c r="J418" s="389"/>
      <c r="L418" s="391"/>
    </row>
    <row r="419" spans="1:12" s="390" customFormat="1" ht="18" customHeight="1">
      <c r="A419" s="395"/>
      <c r="B419" s="384"/>
      <c r="C419" s="385" t="s">
        <v>258</v>
      </c>
      <c r="D419" s="386">
        <v>44248</v>
      </c>
      <c r="E419" s="387">
        <v>0</v>
      </c>
      <c r="F419" s="388">
        <v>0</v>
      </c>
      <c r="G419" s="387">
        <v>0</v>
      </c>
      <c r="H419" s="388">
        <v>0</v>
      </c>
      <c r="I419" s="388" t="s">
        <v>273</v>
      </c>
      <c r="J419" s="389"/>
      <c r="L419" s="391"/>
    </row>
    <row r="420" spans="1:12" s="349" customFormat="1" ht="18" customHeight="1">
      <c r="A420" s="394"/>
      <c r="B420" s="343"/>
      <c r="C420" s="344" t="s">
        <v>259</v>
      </c>
      <c r="D420" s="345">
        <v>44249</v>
      </c>
      <c r="E420" s="346">
        <v>1</v>
      </c>
      <c r="F420" s="347">
        <v>850000</v>
      </c>
      <c r="G420" s="346">
        <v>1</v>
      </c>
      <c r="H420" s="347">
        <v>850000</v>
      </c>
      <c r="I420" s="347" t="s">
        <v>268</v>
      </c>
      <c r="J420" s="348"/>
      <c r="L420" s="358"/>
    </row>
    <row r="421" spans="1:12" s="349" customFormat="1" ht="18" customHeight="1">
      <c r="A421" s="394"/>
      <c r="B421" s="343"/>
      <c r="C421" s="344" t="s">
        <v>260</v>
      </c>
      <c r="D421" s="345">
        <v>44250</v>
      </c>
      <c r="E421" s="346">
        <v>1</v>
      </c>
      <c r="F421" s="347">
        <v>850000</v>
      </c>
      <c r="G421" s="346">
        <v>1</v>
      </c>
      <c r="H421" s="347">
        <v>850000</v>
      </c>
      <c r="I421" s="347" t="s">
        <v>268</v>
      </c>
      <c r="J421" s="348"/>
      <c r="L421" s="358"/>
    </row>
    <row r="422" spans="1:12" s="349" customFormat="1" ht="18" customHeight="1">
      <c r="A422" s="394"/>
      <c r="B422" s="343"/>
      <c r="C422" s="344" t="s">
        <v>261</v>
      </c>
      <c r="D422" s="345">
        <v>44251</v>
      </c>
      <c r="E422" s="346">
        <v>1</v>
      </c>
      <c r="F422" s="347">
        <v>850000</v>
      </c>
      <c r="G422" s="346">
        <v>1</v>
      </c>
      <c r="H422" s="347">
        <v>850000</v>
      </c>
      <c r="I422" s="347" t="s">
        <v>268</v>
      </c>
      <c r="J422" s="348"/>
      <c r="L422" s="358"/>
    </row>
    <row r="423" spans="1:12" s="349" customFormat="1" ht="18" customHeight="1">
      <c r="A423" s="394"/>
      <c r="B423" s="343"/>
      <c r="C423" s="344" t="s">
        <v>262</v>
      </c>
      <c r="D423" s="345">
        <v>44252</v>
      </c>
      <c r="E423" s="346">
        <v>1</v>
      </c>
      <c r="F423" s="347">
        <v>850000</v>
      </c>
      <c r="G423" s="346">
        <v>1</v>
      </c>
      <c r="H423" s="347">
        <v>850000</v>
      </c>
      <c r="I423" s="347" t="s">
        <v>268</v>
      </c>
      <c r="J423" s="348"/>
      <c r="L423" s="358"/>
    </row>
    <row r="424" spans="1:12" s="349" customFormat="1" ht="18" customHeight="1">
      <c r="A424" s="394"/>
      <c r="B424" s="343"/>
      <c r="C424" s="344" t="s">
        <v>263</v>
      </c>
      <c r="D424" s="345">
        <v>44253</v>
      </c>
      <c r="E424" s="346">
        <v>1</v>
      </c>
      <c r="F424" s="347">
        <v>850000</v>
      </c>
      <c r="G424" s="346">
        <v>1</v>
      </c>
      <c r="H424" s="347">
        <v>850000</v>
      </c>
      <c r="I424" s="347" t="s">
        <v>268</v>
      </c>
      <c r="J424" s="348"/>
      <c r="L424" s="358"/>
    </row>
    <row r="425" spans="1:12" s="390" customFormat="1" ht="18" customHeight="1">
      <c r="A425" s="395"/>
      <c r="B425" s="384"/>
      <c r="C425" s="385" t="s">
        <v>257</v>
      </c>
      <c r="D425" s="386">
        <v>44254</v>
      </c>
      <c r="E425" s="387">
        <v>0</v>
      </c>
      <c r="F425" s="388">
        <v>0</v>
      </c>
      <c r="G425" s="387">
        <v>0</v>
      </c>
      <c r="H425" s="388">
        <v>0</v>
      </c>
      <c r="I425" s="388" t="s">
        <v>273</v>
      </c>
      <c r="J425" s="389"/>
      <c r="L425" s="391"/>
    </row>
    <row r="426" spans="1:12" s="390" customFormat="1" ht="18" customHeight="1">
      <c r="A426" s="395"/>
      <c r="B426" s="384"/>
      <c r="C426" s="385" t="s">
        <v>258</v>
      </c>
      <c r="D426" s="386">
        <v>44255</v>
      </c>
      <c r="E426" s="387">
        <v>0</v>
      </c>
      <c r="F426" s="388">
        <v>0</v>
      </c>
      <c r="G426" s="387">
        <v>0</v>
      </c>
      <c r="H426" s="388">
        <v>0</v>
      </c>
      <c r="I426" s="388" t="s">
        <v>273</v>
      </c>
      <c r="J426" s="389"/>
      <c r="L426" s="391"/>
    </row>
    <row r="427" spans="1:12" s="349" customFormat="1" ht="18" customHeight="1">
      <c r="A427" s="394"/>
      <c r="B427" s="343"/>
      <c r="C427" s="702" t="s">
        <v>337</v>
      </c>
      <c r="D427" s="703"/>
      <c r="E427" s="704">
        <f>SUM(E399:E426)</f>
        <v>19</v>
      </c>
      <c r="F427" s="705"/>
      <c r="G427" s="704">
        <f>SUM(G399:G426)</f>
        <v>19</v>
      </c>
      <c r="H427" s="705"/>
      <c r="I427" s="400"/>
      <c r="J427" s="348"/>
      <c r="L427" s="358"/>
    </row>
    <row r="428" spans="1:12" s="297" customFormat="1" ht="20.100000000000001" customHeight="1">
      <c r="A428" s="277"/>
      <c r="B428" s="320"/>
      <c r="C428" s="706" t="s">
        <v>264</v>
      </c>
      <c r="D428" s="707"/>
      <c r="E428" s="708">
        <f>SUM(F399:F426)</f>
        <v>16150000</v>
      </c>
      <c r="F428" s="709"/>
      <c r="G428" s="696">
        <f>SUM(H399:H426)</f>
        <v>16150000</v>
      </c>
      <c r="H428" s="697"/>
      <c r="I428" s="330"/>
      <c r="J428" s="321"/>
      <c r="L428" s="356">
        <v>19</v>
      </c>
    </row>
    <row r="429" spans="1:12" s="296" customFormat="1" ht="24.95" customHeight="1">
      <c r="A429" s="277"/>
      <c r="B429" s="322"/>
      <c r="C429" s="692" t="s">
        <v>62</v>
      </c>
      <c r="D429" s="692"/>
      <c r="E429" s="692"/>
      <c r="F429" s="692"/>
      <c r="G429" s="690">
        <f>+G428+E428</f>
        <v>32300000</v>
      </c>
      <c r="H429" s="691"/>
      <c r="I429" s="331"/>
      <c r="J429" s="323"/>
      <c r="L429" s="359">
        <f>+L428*2*850000</f>
        <v>32300000</v>
      </c>
    </row>
    <row r="430" spans="1:12" ht="20.100000000000001" customHeight="1">
      <c r="B430" s="307"/>
      <c r="C430" s="369"/>
      <c r="J430" s="308"/>
    </row>
    <row r="431" spans="1:12" ht="18" customHeight="1">
      <c r="B431" s="307"/>
      <c r="C431" s="416" t="s">
        <v>136</v>
      </c>
      <c r="E431" s="183"/>
      <c r="F431" s="234" t="s">
        <v>131</v>
      </c>
      <c r="G431" s="234" t="s">
        <v>130</v>
      </c>
      <c r="H431" s="234" t="s">
        <v>129</v>
      </c>
      <c r="I431" s="234" t="s">
        <v>128</v>
      </c>
      <c r="J431" s="308"/>
    </row>
    <row r="432" spans="1:12" s="335" customFormat="1" ht="30" customHeight="1">
      <c r="B432" s="332"/>
      <c r="C432" s="710">
        <v>5</v>
      </c>
      <c r="D432" s="711"/>
      <c r="F432" s="415">
        <v>4</v>
      </c>
      <c r="G432" s="415">
        <v>3</v>
      </c>
      <c r="H432" s="415">
        <v>2</v>
      </c>
      <c r="I432" s="415">
        <v>1</v>
      </c>
      <c r="J432" s="337"/>
      <c r="L432" s="357"/>
    </row>
    <row r="433" spans="1:12" ht="15" customHeight="1">
      <c r="B433" s="307"/>
      <c r="C433" s="698" t="s">
        <v>358</v>
      </c>
      <c r="D433" s="699"/>
      <c r="E433" s="183"/>
      <c r="F433" s="236" t="s">
        <v>114</v>
      </c>
      <c r="G433" s="237" t="s">
        <v>357</v>
      </c>
      <c r="H433" s="238" t="s">
        <v>112</v>
      </c>
      <c r="I433" s="234" t="s">
        <v>16</v>
      </c>
      <c r="J433" s="308"/>
    </row>
    <row r="434" spans="1:12" ht="12.95" customHeight="1" thickBot="1">
      <c r="B434" s="374"/>
      <c r="C434" s="700" t="s">
        <v>132</v>
      </c>
      <c r="D434" s="701"/>
      <c r="E434" s="377"/>
      <c r="F434" s="375" t="s">
        <v>132</v>
      </c>
      <c r="G434" s="375" t="s">
        <v>132</v>
      </c>
      <c r="H434" s="375" t="s">
        <v>132</v>
      </c>
      <c r="I434" s="375" t="s">
        <v>132</v>
      </c>
      <c r="J434" s="378"/>
    </row>
    <row r="435" spans="1:12" ht="9.9499999999999993" customHeight="1" thickTop="1">
      <c r="B435" s="364"/>
      <c r="C435" s="364"/>
      <c r="D435" s="365"/>
      <c r="E435" s="366"/>
      <c r="F435" s="367"/>
      <c r="G435" s="366"/>
      <c r="H435" s="367"/>
      <c r="I435" s="367"/>
      <c r="J435" s="364"/>
    </row>
    <row r="437" spans="1:12" ht="9.9499999999999993" customHeight="1" thickBot="1">
      <c r="B437" s="379"/>
      <c r="C437" s="379"/>
      <c r="D437" s="380"/>
      <c r="E437" s="381"/>
      <c r="F437" s="382"/>
      <c r="G437" s="381"/>
      <c r="H437" s="382"/>
      <c r="I437" s="382"/>
      <c r="J437" s="379"/>
    </row>
    <row r="438" spans="1:12" ht="9.9499999999999993" customHeight="1" thickTop="1">
      <c r="A438" s="661">
        <v>44286</v>
      </c>
      <c r="B438" s="301"/>
      <c r="C438" s="302"/>
      <c r="D438" s="303"/>
      <c r="E438" s="304"/>
      <c r="F438" s="305"/>
      <c r="G438" s="304"/>
      <c r="H438" s="305"/>
      <c r="I438" s="305"/>
      <c r="J438" s="306"/>
    </row>
    <row r="439" spans="1:12" ht="17.100000000000001" customHeight="1">
      <c r="A439" s="661"/>
      <c r="B439" s="307"/>
      <c r="C439" s="298" t="s">
        <v>138</v>
      </c>
      <c r="D439" s="299"/>
      <c r="G439" s="662" t="s">
        <v>362</v>
      </c>
      <c r="H439" s="662"/>
      <c r="I439" s="662"/>
      <c r="J439" s="308"/>
    </row>
    <row r="440" spans="1:12" s="275" customFormat="1" ht="30" customHeight="1">
      <c r="A440" s="661"/>
      <c r="B440" s="309"/>
      <c r="C440" s="279" t="s">
        <v>119</v>
      </c>
      <c r="D440" s="292" t="s">
        <v>244</v>
      </c>
      <c r="F440" s="310"/>
      <c r="G440" s="311"/>
      <c r="H440" s="310"/>
      <c r="I440" s="310"/>
      <c r="J440" s="312"/>
      <c r="L440" s="352"/>
    </row>
    <row r="441" spans="1:12" s="276" customFormat="1" ht="23.1" customHeight="1">
      <c r="A441" s="277"/>
      <c r="B441" s="313"/>
      <c r="C441" s="280" t="s">
        <v>120</v>
      </c>
      <c r="D441" s="293" t="s">
        <v>363</v>
      </c>
      <c r="F441" s="663" t="s">
        <v>355</v>
      </c>
      <c r="G441" s="664"/>
      <c r="H441" s="664"/>
      <c r="I441" s="665"/>
      <c r="J441" s="315"/>
      <c r="L441" s="353"/>
    </row>
    <row r="442" spans="1:12" s="276" customFormat="1" ht="45" customHeight="1">
      <c r="A442" s="277"/>
      <c r="B442" s="313"/>
      <c r="C442" s="410" t="s">
        <v>356</v>
      </c>
      <c r="D442" s="712" t="s">
        <v>364</v>
      </c>
      <c r="E442" s="712"/>
      <c r="F442" s="666"/>
      <c r="G442" s="667"/>
      <c r="H442" s="667"/>
      <c r="I442" s="668"/>
      <c r="J442" s="315"/>
      <c r="L442" s="353"/>
    </row>
    <row r="443" spans="1:12" s="276" customFormat="1" ht="9.9499999999999993" customHeight="1">
      <c r="A443" s="277"/>
      <c r="B443" s="313"/>
      <c r="C443" s="410"/>
      <c r="D443" s="413"/>
      <c r="E443" s="411"/>
      <c r="F443" s="412"/>
      <c r="G443" s="412"/>
      <c r="H443" s="412"/>
      <c r="I443" s="414"/>
      <c r="J443" s="315"/>
      <c r="L443" s="353"/>
    </row>
    <row r="444" spans="1:12" s="278" customFormat="1" ht="50.1" customHeight="1">
      <c r="A444" s="392"/>
      <c r="B444" s="316"/>
      <c r="C444" s="669" t="s">
        <v>2</v>
      </c>
      <c r="D444" s="671" t="s">
        <v>283</v>
      </c>
      <c r="E444" s="673" t="s">
        <v>275</v>
      </c>
      <c r="F444" s="674"/>
      <c r="G444" s="673" t="s">
        <v>276</v>
      </c>
      <c r="H444" s="674"/>
      <c r="I444" s="713" t="s">
        <v>85</v>
      </c>
      <c r="J444" s="317"/>
      <c r="L444" s="354"/>
    </row>
    <row r="445" spans="1:12" s="278" customFormat="1" ht="24.95" customHeight="1">
      <c r="A445" s="392"/>
      <c r="B445" s="316"/>
      <c r="C445" s="670"/>
      <c r="D445" s="672"/>
      <c r="E445" s="294" t="s">
        <v>256</v>
      </c>
      <c r="F445" s="295" t="s">
        <v>27</v>
      </c>
      <c r="G445" s="294" t="s">
        <v>256</v>
      </c>
      <c r="H445" s="295" t="s">
        <v>27</v>
      </c>
      <c r="I445" s="675"/>
      <c r="J445" s="317"/>
      <c r="L445" s="354"/>
    </row>
    <row r="446" spans="1:12" s="349" customFormat="1" ht="18" customHeight="1">
      <c r="A446" s="394"/>
      <c r="B446" s="343"/>
      <c r="C446" s="344" t="s">
        <v>259</v>
      </c>
      <c r="D446" s="345">
        <v>44256</v>
      </c>
      <c r="E446" s="346">
        <v>1</v>
      </c>
      <c r="F446" s="347">
        <v>850000</v>
      </c>
      <c r="G446" s="346">
        <v>1</v>
      </c>
      <c r="H446" s="347">
        <v>850000</v>
      </c>
      <c r="I446" s="347" t="s">
        <v>268</v>
      </c>
      <c r="J446" s="348"/>
      <c r="L446" s="358"/>
    </row>
    <row r="447" spans="1:12" s="349" customFormat="1" ht="18" customHeight="1">
      <c r="A447" s="394"/>
      <c r="B447" s="343"/>
      <c r="C447" s="344" t="s">
        <v>260</v>
      </c>
      <c r="D447" s="345">
        <v>44257</v>
      </c>
      <c r="E447" s="346">
        <v>1</v>
      </c>
      <c r="F447" s="347">
        <v>850000</v>
      </c>
      <c r="G447" s="346">
        <v>1</v>
      </c>
      <c r="H447" s="347">
        <v>850000</v>
      </c>
      <c r="I447" s="347" t="s">
        <v>268</v>
      </c>
      <c r="J447" s="348"/>
      <c r="L447" s="358"/>
    </row>
    <row r="448" spans="1:12" s="349" customFormat="1" ht="18" customHeight="1">
      <c r="A448" s="394"/>
      <c r="B448" s="343"/>
      <c r="C448" s="344" t="s">
        <v>261</v>
      </c>
      <c r="D448" s="345">
        <v>44258</v>
      </c>
      <c r="E448" s="346">
        <v>1</v>
      </c>
      <c r="F448" s="347">
        <v>850000</v>
      </c>
      <c r="G448" s="346">
        <v>1</v>
      </c>
      <c r="H448" s="347">
        <v>850000</v>
      </c>
      <c r="I448" s="347" t="s">
        <v>268</v>
      </c>
      <c r="J448" s="348"/>
      <c r="L448" s="358"/>
    </row>
    <row r="449" spans="1:12" s="349" customFormat="1" ht="18" customHeight="1">
      <c r="A449" s="394"/>
      <c r="B449" s="343"/>
      <c r="C449" s="344" t="s">
        <v>262</v>
      </c>
      <c r="D449" s="345">
        <v>44259</v>
      </c>
      <c r="E449" s="346">
        <v>1</v>
      </c>
      <c r="F449" s="347">
        <v>850000</v>
      </c>
      <c r="G449" s="346">
        <v>1</v>
      </c>
      <c r="H449" s="347">
        <v>850000</v>
      </c>
      <c r="I449" s="347" t="s">
        <v>268</v>
      </c>
      <c r="J449" s="348"/>
      <c r="L449" s="358"/>
    </row>
    <row r="450" spans="1:12" s="349" customFormat="1" ht="18" customHeight="1">
      <c r="A450" s="394"/>
      <c r="B450" s="343"/>
      <c r="C450" s="344" t="s">
        <v>263</v>
      </c>
      <c r="D450" s="345">
        <v>44260</v>
      </c>
      <c r="E450" s="346">
        <v>1</v>
      </c>
      <c r="F450" s="347">
        <v>850000</v>
      </c>
      <c r="G450" s="346">
        <v>1</v>
      </c>
      <c r="H450" s="347">
        <v>850000</v>
      </c>
      <c r="I450" s="347" t="s">
        <v>268</v>
      </c>
      <c r="J450" s="348"/>
      <c r="L450" s="358"/>
    </row>
    <row r="451" spans="1:12" s="349" customFormat="1" ht="18" customHeight="1">
      <c r="A451" s="394"/>
      <c r="B451" s="343"/>
      <c r="C451" s="344" t="s">
        <v>257</v>
      </c>
      <c r="D451" s="345">
        <v>44261</v>
      </c>
      <c r="E451" s="346">
        <v>1</v>
      </c>
      <c r="F451" s="347">
        <v>850000</v>
      </c>
      <c r="G451" s="346">
        <v>1</v>
      </c>
      <c r="H451" s="347">
        <v>850000</v>
      </c>
      <c r="I451" s="347" t="s">
        <v>268</v>
      </c>
      <c r="J451" s="348"/>
      <c r="L451" s="358"/>
    </row>
    <row r="452" spans="1:12" s="390" customFormat="1" ht="18" customHeight="1">
      <c r="A452" s="395"/>
      <c r="B452" s="384"/>
      <c r="C452" s="385" t="s">
        <v>258</v>
      </c>
      <c r="D452" s="345">
        <v>44262</v>
      </c>
      <c r="E452" s="387">
        <v>0</v>
      </c>
      <c r="F452" s="388">
        <v>0</v>
      </c>
      <c r="G452" s="387">
        <v>0</v>
      </c>
      <c r="H452" s="388">
        <v>0</v>
      </c>
      <c r="I452" s="388" t="s">
        <v>273</v>
      </c>
      <c r="J452" s="389"/>
      <c r="L452" s="391"/>
    </row>
    <row r="453" spans="1:12" s="349" customFormat="1" ht="18" customHeight="1">
      <c r="A453" s="394"/>
      <c r="B453" s="343"/>
      <c r="C453" s="344" t="s">
        <v>259</v>
      </c>
      <c r="D453" s="345">
        <v>44263</v>
      </c>
      <c r="E453" s="346">
        <v>1</v>
      </c>
      <c r="F453" s="347">
        <v>850000</v>
      </c>
      <c r="G453" s="346">
        <v>1</v>
      </c>
      <c r="H453" s="347">
        <v>850000</v>
      </c>
      <c r="I453" s="347" t="s">
        <v>268</v>
      </c>
      <c r="J453" s="348"/>
      <c r="L453" s="358"/>
    </row>
    <row r="454" spans="1:12" s="349" customFormat="1" ht="18" customHeight="1">
      <c r="A454" s="394"/>
      <c r="B454" s="343"/>
      <c r="C454" s="344" t="s">
        <v>260</v>
      </c>
      <c r="D454" s="345">
        <v>44264</v>
      </c>
      <c r="E454" s="346">
        <v>1</v>
      </c>
      <c r="F454" s="347">
        <v>850000</v>
      </c>
      <c r="G454" s="346">
        <v>1</v>
      </c>
      <c r="H454" s="347">
        <v>850000</v>
      </c>
      <c r="I454" s="347" t="s">
        <v>268</v>
      </c>
      <c r="J454" s="348"/>
      <c r="L454" s="358"/>
    </row>
    <row r="455" spans="1:12" s="349" customFormat="1" ht="18" customHeight="1">
      <c r="A455" s="394"/>
      <c r="B455" s="343"/>
      <c r="C455" s="344" t="s">
        <v>261</v>
      </c>
      <c r="D455" s="345">
        <v>44265</v>
      </c>
      <c r="E455" s="346">
        <v>1</v>
      </c>
      <c r="F455" s="347">
        <v>850000</v>
      </c>
      <c r="G455" s="346">
        <v>1</v>
      </c>
      <c r="H455" s="347">
        <v>850000</v>
      </c>
      <c r="I455" s="347" t="s">
        <v>268</v>
      </c>
      <c r="J455" s="348"/>
      <c r="L455" s="358"/>
    </row>
    <row r="456" spans="1:12" s="390" customFormat="1" ht="18" customHeight="1">
      <c r="A456" s="395"/>
      <c r="B456" s="384"/>
      <c r="C456" s="385" t="s">
        <v>262</v>
      </c>
      <c r="D456" s="386">
        <v>44266</v>
      </c>
      <c r="E456" s="387">
        <v>0</v>
      </c>
      <c r="F456" s="388">
        <v>0</v>
      </c>
      <c r="G456" s="387">
        <v>0</v>
      </c>
      <c r="H456" s="388">
        <v>0</v>
      </c>
      <c r="I456" s="388" t="s">
        <v>273</v>
      </c>
      <c r="J456" s="389"/>
      <c r="L456" s="391"/>
    </row>
    <row r="457" spans="1:12" s="390" customFormat="1" ht="18" customHeight="1">
      <c r="A457" s="395"/>
      <c r="B457" s="384"/>
      <c r="C457" s="385" t="s">
        <v>263</v>
      </c>
      <c r="D457" s="386">
        <v>44267</v>
      </c>
      <c r="E457" s="387">
        <v>0</v>
      </c>
      <c r="F457" s="388">
        <v>0</v>
      </c>
      <c r="G457" s="387">
        <v>0</v>
      </c>
      <c r="H457" s="388">
        <v>0</v>
      </c>
      <c r="I457" s="388" t="s">
        <v>273</v>
      </c>
      <c r="J457" s="389"/>
      <c r="L457" s="391"/>
    </row>
    <row r="458" spans="1:12" s="390" customFormat="1" ht="18" customHeight="1">
      <c r="A458" s="395"/>
      <c r="B458" s="384"/>
      <c r="C458" s="385" t="s">
        <v>257</v>
      </c>
      <c r="D458" s="386">
        <v>44268</v>
      </c>
      <c r="E458" s="387">
        <v>0</v>
      </c>
      <c r="F458" s="388">
        <v>0</v>
      </c>
      <c r="G458" s="387">
        <v>0</v>
      </c>
      <c r="H458" s="388">
        <v>0</v>
      </c>
      <c r="I458" s="388" t="s">
        <v>273</v>
      </c>
      <c r="J458" s="389"/>
      <c r="L458" s="391"/>
    </row>
    <row r="459" spans="1:12" s="390" customFormat="1" ht="18" customHeight="1">
      <c r="A459" s="395"/>
      <c r="B459" s="384"/>
      <c r="C459" s="385" t="s">
        <v>258</v>
      </c>
      <c r="D459" s="386">
        <v>44269</v>
      </c>
      <c r="E459" s="387">
        <v>0</v>
      </c>
      <c r="F459" s="388">
        <v>0</v>
      </c>
      <c r="G459" s="387">
        <v>0</v>
      </c>
      <c r="H459" s="388">
        <v>0</v>
      </c>
      <c r="I459" s="388" t="s">
        <v>273</v>
      </c>
      <c r="J459" s="389"/>
      <c r="L459" s="391"/>
    </row>
    <row r="460" spans="1:12" s="349" customFormat="1" ht="18" customHeight="1">
      <c r="A460" s="394"/>
      <c r="B460" s="343"/>
      <c r="C460" s="344" t="s">
        <v>259</v>
      </c>
      <c r="D460" s="345">
        <v>44270</v>
      </c>
      <c r="E460" s="346">
        <v>1</v>
      </c>
      <c r="F460" s="347">
        <v>850000</v>
      </c>
      <c r="G460" s="346">
        <v>1</v>
      </c>
      <c r="H460" s="347">
        <v>850000</v>
      </c>
      <c r="I460" s="347" t="s">
        <v>268</v>
      </c>
      <c r="J460" s="348"/>
      <c r="L460" s="358"/>
    </row>
    <row r="461" spans="1:12" s="349" customFormat="1" ht="18" customHeight="1">
      <c r="A461" s="394"/>
      <c r="B461" s="343"/>
      <c r="C461" s="344" t="s">
        <v>260</v>
      </c>
      <c r="D461" s="345">
        <v>44271</v>
      </c>
      <c r="E461" s="346">
        <v>1</v>
      </c>
      <c r="F461" s="347">
        <v>850000</v>
      </c>
      <c r="G461" s="346">
        <v>1</v>
      </c>
      <c r="H461" s="347">
        <v>850000</v>
      </c>
      <c r="I461" s="347" t="s">
        <v>268</v>
      </c>
      <c r="J461" s="348"/>
      <c r="L461" s="358"/>
    </row>
    <row r="462" spans="1:12" s="349" customFormat="1" ht="18" customHeight="1">
      <c r="A462" s="394"/>
      <c r="B462" s="343"/>
      <c r="C462" s="344" t="s">
        <v>261</v>
      </c>
      <c r="D462" s="345">
        <v>44272</v>
      </c>
      <c r="E462" s="346">
        <v>1</v>
      </c>
      <c r="F462" s="347">
        <v>850000</v>
      </c>
      <c r="G462" s="346">
        <v>1</v>
      </c>
      <c r="H462" s="347">
        <v>850000</v>
      </c>
      <c r="I462" s="347" t="s">
        <v>268</v>
      </c>
      <c r="J462" s="348"/>
      <c r="L462" s="358"/>
    </row>
    <row r="463" spans="1:12" s="349" customFormat="1" ht="18" customHeight="1">
      <c r="A463" s="394"/>
      <c r="B463" s="343"/>
      <c r="C463" s="344" t="s">
        <v>262</v>
      </c>
      <c r="D463" s="345">
        <v>44273</v>
      </c>
      <c r="E463" s="346">
        <v>1</v>
      </c>
      <c r="F463" s="347">
        <v>850000</v>
      </c>
      <c r="G463" s="346">
        <v>1</v>
      </c>
      <c r="H463" s="347">
        <v>850000</v>
      </c>
      <c r="I463" s="347" t="s">
        <v>268</v>
      </c>
      <c r="J463" s="348"/>
      <c r="L463" s="358"/>
    </row>
    <row r="464" spans="1:12" s="349" customFormat="1" ht="18" customHeight="1">
      <c r="A464" s="394"/>
      <c r="B464" s="343"/>
      <c r="C464" s="344" t="s">
        <v>263</v>
      </c>
      <c r="D464" s="345">
        <v>44274</v>
      </c>
      <c r="E464" s="346">
        <v>1</v>
      </c>
      <c r="F464" s="347">
        <v>850000</v>
      </c>
      <c r="G464" s="346">
        <v>1</v>
      </c>
      <c r="H464" s="347">
        <v>850000</v>
      </c>
      <c r="I464" s="347" t="s">
        <v>268</v>
      </c>
      <c r="J464" s="348"/>
      <c r="L464" s="358"/>
    </row>
    <row r="465" spans="1:12" s="390" customFormat="1" ht="18" customHeight="1">
      <c r="A465" s="395"/>
      <c r="B465" s="384"/>
      <c r="C465" s="385" t="s">
        <v>257</v>
      </c>
      <c r="D465" s="386">
        <v>44275</v>
      </c>
      <c r="E465" s="387">
        <v>0</v>
      </c>
      <c r="F465" s="388">
        <v>0</v>
      </c>
      <c r="G465" s="387">
        <v>0</v>
      </c>
      <c r="H465" s="388">
        <v>0</v>
      </c>
      <c r="I465" s="388" t="s">
        <v>273</v>
      </c>
      <c r="J465" s="389"/>
      <c r="L465" s="391"/>
    </row>
    <row r="466" spans="1:12" s="390" customFormat="1" ht="18" customHeight="1">
      <c r="A466" s="395"/>
      <c r="B466" s="384"/>
      <c r="C466" s="385" t="s">
        <v>258</v>
      </c>
      <c r="D466" s="386">
        <v>44276</v>
      </c>
      <c r="E466" s="387">
        <v>0</v>
      </c>
      <c r="F466" s="388">
        <v>0</v>
      </c>
      <c r="G466" s="387">
        <v>0</v>
      </c>
      <c r="H466" s="388">
        <v>0</v>
      </c>
      <c r="I466" s="388" t="s">
        <v>273</v>
      </c>
      <c r="J466" s="389"/>
      <c r="L466" s="391"/>
    </row>
    <row r="467" spans="1:12" s="349" customFormat="1" ht="18" customHeight="1">
      <c r="A467" s="394"/>
      <c r="B467" s="343"/>
      <c r="C467" s="344" t="s">
        <v>259</v>
      </c>
      <c r="D467" s="345">
        <v>44277</v>
      </c>
      <c r="E467" s="346">
        <v>1</v>
      </c>
      <c r="F467" s="347">
        <v>850000</v>
      </c>
      <c r="G467" s="346">
        <v>1</v>
      </c>
      <c r="H467" s="347">
        <v>850000</v>
      </c>
      <c r="I467" s="347" t="s">
        <v>268</v>
      </c>
      <c r="J467" s="348"/>
      <c r="L467" s="358"/>
    </row>
    <row r="468" spans="1:12" s="349" customFormat="1" ht="18" customHeight="1">
      <c r="A468" s="394"/>
      <c r="B468" s="343"/>
      <c r="C468" s="344" t="s">
        <v>260</v>
      </c>
      <c r="D468" s="345">
        <v>44278</v>
      </c>
      <c r="E468" s="346">
        <v>1</v>
      </c>
      <c r="F468" s="347">
        <v>850000</v>
      </c>
      <c r="G468" s="346">
        <v>1</v>
      </c>
      <c r="H468" s="347">
        <v>850000</v>
      </c>
      <c r="I468" s="347" t="s">
        <v>268</v>
      </c>
      <c r="J468" s="348"/>
      <c r="L468" s="358"/>
    </row>
    <row r="469" spans="1:12" s="349" customFormat="1" ht="18" customHeight="1">
      <c r="A469" s="394"/>
      <c r="B469" s="343"/>
      <c r="C469" s="344" t="s">
        <v>261</v>
      </c>
      <c r="D469" s="345">
        <v>44279</v>
      </c>
      <c r="E469" s="346">
        <v>1</v>
      </c>
      <c r="F469" s="347">
        <v>850000</v>
      </c>
      <c r="G469" s="346">
        <v>1</v>
      </c>
      <c r="H469" s="347">
        <v>850000</v>
      </c>
      <c r="I469" s="347" t="s">
        <v>268</v>
      </c>
      <c r="J469" s="348"/>
      <c r="L469" s="358"/>
    </row>
    <row r="470" spans="1:12" s="349" customFormat="1" ht="18" customHeight="1">
      <c r="A470" s="394"/>
      <c r="B470" s="343"/>
      <c r="C470" s="344" t="s">
        <v>262</v>
      </c>
      <c r="D470" s="345">
        <v>44280</v>
      </c>
      <c r="E470" s="346">
        <v>1</v>
      </c>
      <c r="F470" s="347">
        <v>850000</v>
      </c>
      <c r="G470" s="346">
        <v>1</v>
      </c>
      <c r="H470" s="347">
        <v>850000</v>
      </c>
      <c r="I470" s="347" t="s">
        <v>268</v>
      </c>
      <c r="J470" s="348"/>
      <c r="L470" s="358"/>
    </row>
    <row r="471" spans="1:12" s="349" customFormat="1" ht="18" customHeight="1">
      <c r="A471" s="394"/>
      <c r="B471" s="343"/>
      <c r="C471" s="344" t="s">
        <v>263</v>
      </c>
      <c r="D471" s="345">
        <v>44281</v>
      </c>
      <c r="E471" s="346">
        <v>1</v>
      </c>
      <c r="F471" s="347">
        <v>850000</v>
      </c>
      <c r="G471" s="346">
        <v>1</v>
      </c>
      <c r="H471" s="347">
        <v>850000</v>
      </c>
      <c r="I471" s="347" t="s">
        <v>268</v>
      </c>
      <c r="J471" s="348"/>
      <c r="L471" s="358"/>
    </row>
    <row r="472" spans="1:12" s="390" customFormat="1" ht="18" customHeight="1">
      <c r="A472" s="395"/>
      <c r="B472" s="384"/>
      <c r="C472" s="385" t="s">
        <v>257</v>
      </c>
      <c r="D472" s="386">
        <v>44282</v>
      </c>
      <c r="E472" s="387">
        <v>0</v>
      </c>
      <c r="F472" s="388">
        <v>0</v>
      </c>
      <c r="G472" s="387">
        <v>0</v>
      </c>
      <c r="H472" s="388">
        <v>0</v>
      </c>
      <c r="I472" s="388" t="s">
        <v>273</v>
      </c>
      <c r="J472" s="389"/>
      <c r="L472" s="391"/>
    </row>
    <row r="473" spans="1:12" s="390" customFormat="1" ht="18" customHeight="1">
      <c r="A473" s="395"/>
      <c r="B473" s="384"/>
      <c r="C473" s="385" t="s">
        <v>258</v>
      </c>
      <c r="D473" s="386">
        <v>44283</v>
      </c>
      <c r="E473" s="387">
        <v>0</v>
      </c>
      <c r="F473" s="388">
        <v>0</v>
      </c>
      <c r="G473" s="387">
        <v>0</v>
      </c>
      <c r="H473" s="388">
        <v>0</v>
      </c>
      <c r="I473" s="388" t="s">
        <v>273</v>
      </c>
      <c r="J473" s="389"/>
      <c r="L473" s="391"/>
    </row>
    <row r="474" spans="1:12" s="390" customFormat="1" ht="18" customHeight="1">
      <c r="A474" s="395"/>
      <c r="B474" s="384"/>
      <c r="C474" s="344" t="s">
        <v>259</v>
      </c>
      <c r="D474" s="345">
        <v>44284</v>
      </c>
      <c r="E474" s="346">
        <v>1</v>
      </c>
      <c r="F474" s="347">
        <v>850000</v>
      </c>
      <c r="G474" s="346">
        <v>1</v>
      </c>
      <c r="H474" s="347">
        <v>850000</v>
      </c>
      <c r="I474" s="347" t="s">
        <v>268</v>
      </c>
      <c r="J474" s="389"/>
      <c r="L474" s="391"/>
    </row>
    <row r="475" spans="1:12" s="390" customFormat="1" ht="18" customHeight="1">
      <c r="A475" s="395"/>
      <c r="B475" s="384"/>
      <c r="C475" s="344" t="s">
        <v>260</v>
      </c>
      <c r="D475" s="345">
        <v>44285</v>
      </c>
      <c r="E475" s="346">
        <v>1</v>
      </c>
      <c r="F475" s="347">
        <v>850000</v>
      </c>
      <c r="G475" s="346">
        <v>1</v>
      </c>
      <c r="H475" s="347">
        <v>850000</v>
      </c>
      <c r="I475" s="347" t="s">
        <v>268</v>
      </c>
      <c r="J475" s="389"/>
      <c r="L475" s="391"/>
    </row>
    <row r="476" spans="1:12" s="390" customFormat="1" ht="18" customHeight="1">
      <c r="A476" s="395"/>
      <c r="B476" s="384"/>
      <c r="C476" s="344" t="s">
        <v>261</v>
      </c>
      <c r="D476" s="345">
        <v>44286</v>
      </c>
      <c r="E476" s="346">
        <v>1</v>
      </c>
      <c r="F476" s="347">
        <v>850000</v>
      </c>
      <c r="G476" s="346">
        <v>1</v>
      </c>
      <c r="H476" s="347">
        <v>850000</v>
      </c>
      <c r="I476" s="347" t="s">
        <v>268</v>
      </c>
      <c r="J476" s="389"/>
      <c r="L476" s="391"/>
    </row>
    <row r="477" spans="1:12" s="349" customFormat="1" ht="18" customHeight="1">
      <c r="A477" s="394"/>
      <c r="B477" s="343"/>
      <c r="C477" s="702" t="s">
        <v>337</v>
      </c>
      <c r="D477" s="703"/>
      <c r="E477" s="704">
        <f>SUM(E446:E476)</f>
        <v>22</v>
      </c>
      <c r="F477" s="705"/>
      <c r="G477" s="704">
        <f>SUM(G446:G476)</f>
        <v>22</v>
      </c>
      <c r="H477" s="705"/>
      <c r="I477" s="400"/>
      <c r="J477" s="348"/>
      <c r="L477" s="358"/>
    </row>
    <row r="478" spans="1:12" s="297" customFormat="1" ht="20.100000000000001" customHeight="1">
      <c r="A478" s="277"/>
      <c r="B478" s="320"/>
      <c r="C478" s="706" t="s">
        <v>264</v>
      </c>
      <c r="D478" s="707"/>
      <c r="E478" s="708">
        <f>SUM(F446:F476)</f>
        <v>18700000</v>
      </c>
      <c r="F478" s="709"/>
      <c r="G478" s="708">
        <f>SUM(H446:H476)</f>
        <v>18700000</v>
      </c>
      <c r="H478" s="709"/>
      <c r="I478" s="330"/>
      <c r="J478" s="321"/>
      <c r="L478" s="356">
        <v>22</v>
      </c>
    </row>
    <row r="479" spans="1:12" s="296" customFormat="1" ht="24.95" customHeight="1">
      <c r="A479" s="277"/>
      <c r="B479" s="322"/>
      <c r="C479" s="692" t="s">
        <v>62</v>
      </c>
      <c r="D479" s="692"/>
      <c r="E479" s="692"/>
      <c r="F479" s="692"/>
      <c r="G479" s="690">
        <f>+G478+E478</f>
        <v>37400000</v>
      </c>
      <c r="H479" s="691"/>
      <c r="I479" s="331"/>
      <c r="J479" s="323"/>
      <c r="L479" s="359">
        <f>+L478*2*850000</f>
        <v>37400000</v>
      </c>
    </row>
    <row r="480" spans="1:12" ht="20.100000000000001" customHeight="1">
      <c r="B480" s="307"/>
      <c r="C480" s="369"/>
      <c r="J480" s="308"/>
    </row>
    <row r="481" spans="1:12" ht="18" customHeight="1">
      <c r="B481" s="307"/>
      <c r="C481" s="416" t="s">
        <v>136</v>
      </c>
      <c r="E481" s="183"/>
      <c r="F481" s="234" t="s">
        <v>131</v>
      </c>
      <c r="G481" s="234" t="s">
        <v>130</v>
      </c>
      <c r="H481" s="234" t="s">
        <v>129</v>
      </c>
      <c r="I481" s="234" t="s">
        <v>128</v>
      </c>
      <c r="J481" s="308"/>
    </row>
    <row r="482" spans="1:12" s="335" customFormat="1" ht="30" customHeight="1">
      <c r="B482" s="332"/>
      <c r="C482" s="710">
        <v>5</v>
      </c>
      <c r="D482" s="711"/>
      <c r="F482" s="415">
        <v>4</v>
      </c>
      <c r="G482" s="415">
        <v>3</v>
      </c>
      <c r="H482" s="415">
        <v>2</v>
      </c>
      <c r="I482" s="415">
        <v>1</v>
      </c>
      <c r="J482" s="337"/>
      <c r="L482" s="357"/>
    </row>
    <row r="483" spans="1:12" ht="15" customHeight="1">
      <c r="B483" s="307"/>
      <c r="C483" s="698" t="s">
        <v>358</v>
      </c>
      <c r="D483" s="699"/>
      <c r="E483" s="183"/>
      <c r="F483" s="236" t="s">
        <v>114</v>
      </c>
      <c r="G483" s="237" t="s">
        <v>357</v>
      </c>
      <c r="H483" s="238" t="s">
        <v>112</v>
      </c>
      <c r="I483" s="234" t="s">
        <v>16</v>
      </c>
      <c r="J483" s="308"/>
    </row>
    <row r="484" spans="1:12" ht="12.95" customHeight="1" thickBot="1">
      <c r="B484" s="374"/>
      <c r="C484" s="700" t="s">
        <v>132</v>
      </c>
      <c r="D484" s="701"/>
      <c r="E484" s="377"/>
      <c r="F484" s="375" t="s">
        <v>132</v>
      </c>
      <c r="G484" s="375" t="s">
        <v>132</v>
      </c>
      <c r="H484" s="375" t="s">
        <v>132</v>
      </c>
      <c r="I484" s="375" t="s">
        <v>132</v>
      </c>
      <c r="J484" s="378"/>
    </row>
    <row r="485" spans="1:12" ht="9.9499999999999993" customHeight="1" thickTop="1">
      <c r="B485" s="364"/>
      <c r="C485" s="364"/>
      <c r="D485" s="365"/>
      <c r="E485" s="366"/>
      <c r="F485" s="367"/>
      <c r="G485" s="366"/>
      <c r="H485" s="367"/>
      <c r="I485" s="367"/>
      <c r="J485" s="364"/>
    </row>
    <row r="487" spans="1:12" ht="9.9499999999999993" customHeight="1" thickBot="1">
      <c r="B487" s="379"/>
      <c r="C487" s="379"/>
      <c r="D487" s="380"/>
      <c r="E487" s="381"/>
      <c r="F487" s="382"/>
      <c r="G487" s="381"/>
      <c r="H487" s="382"/>
      <c r="I487" s="382"/>
      <c r="J487" s="379"/>
    </row>
    <row r="488" spans="1:12" ht="9.9499999999999993" customHeight="1" thickTop="1">
      <c r="A488" s="661">
        <v>44307</v>
      </c>
      <c r="B488" s="301"/>
      <c r="C488" s="302"/>
      <c r="D488" s="303"/>
      <c r="E488" s="304"/>
      <c r="F488" s="305"/>
      <c r="G488" s="304"/>
      <c r="H488" s="305"/>
      <c r="I488" s="305"/>
      <c r="J488" s="306"/>
    </row>
    <row r="489" spans="1:12" ht="17.100000000000001" customHeight="1">
      <c r="A489" s="661"/>
      <c r="B489" s="307"/>
      <c r="C489" s="298" t="s">
        <v>138</v>
      </c>
      <c r="D489" s="299"/>
      <c r="G489" s="662" t="s">
        <v>365</v>
      </c>
      <c r="H489" s="662"/>
      <c r="I489" s="662"/>
      <c r="J489" s="308"/>
    </row>
    <row r="490" spans="1:12" s="275" customFormat="1" ht="30" customHeight="1">
      <c r="A490" s="661"/>
      <c r="B490" s="309"/>
      <c r="C490" s="279" t="s">
        <v>119</v>
      </c>
      <c r="D490" s="292" t="s">
        <v>244</v>
      </c>
      <c r="F490" s="310"/>
      <c r="G490" s="311"/>
      <c r="H490" s="310"/>
      <c r="I490" s="310"/>
      <c r="J490" s="312"/>
      <c r="L490" s="352"/>
    </row>
    <row r="491" spans="1:12" s="276" customFormat="1" ht="23.1" customHeight="1">
      <c r="A491" s="277"/>
      <c r="B491" s="313"/>
      <c r="C491" s="280" t="s">
        <v>120</v>
      </c>
      <c r="D491" s="293" t="s">
        <v>366</v>
      </c>
      <c r="F491" s="663" t="s">
        <v>355</v>
      </c>
      <c r="G491" s="664"/>
      <c r="H491" s="664"/>
      <c r="I491" s="665"/>
      <c r="J491" s="315"/>
      <c r="L491" s="353"/>
    </row>
    <row r="492" spans="1:12" s="276" customFormat="1" ht="45" customHeight="1">
      <c r="A492" s="277"/>
      <c r="B492" s="313"/>
      <c r="C492" s="410" t="s">
        <v>356</v>
      </c>
      <c r="D492" s="712" t="s">
        <v>367</v>
      </c>
      <c r="E492" s="712"/>
      <c r="F492" s="666"/>
      <c r="G492" s="667"/>
      <c r="H492" s="667"/>
      <c r="I492" s="668"/>
      <c r="J492" s="315"/>
      <c r="L492" s="353"/>
    </row>
    <row r="493" spans="1:12" s="276" customFormat="1" ht="9.9499999999999993" customHeight="1">
      <c r="A493" s="277"/>
      <c r="B493" s="313"/>
      <c r="C493" s="410"/>
      <c r="D493" s="413"/>
      <c r="E493" s="411"/>
      <c r="F493" s="412"/>
      <c r="G493" s="412"/>
      <c r="H493" s="412"/>
      <c r="I493" s="414"/>
      <c r="J493" s="315"/>
      <c r="L493" s="353"/>
    </row>
    <row r="494" spans="1:12" s="278" customFormat="1" ht="50.1" customHeight="1">
      <c r="A494" s="392"/>
      <c r="B494" s="316"/>
      <c r="C494" s="669" t="s">
        <v>2</v>
      </c>
      <c r="D494" s="671" t="s">
        <v>283</v>
      </c>
      <c r="E494" s="673" t="s">
        <v>275</v>
      </c>
      <c r="F494" s="674"/>
      <c r="G494" s="673" t="s">
        <v>276</v>
      </c>
      <c r="H494" s="674"/>
      <c r="I494" s="713" t="s">
        <v>85</v>
      </c>
      <c r="J494" s="317"/>
      <c r="L494" s="354"/>
    </row>
    <row r="495" spans="1:12" s="278" customFormat="1" ht="24.95" customHeight="1">
      <c r="A495" s="392"/>
      <c r="B495" s="316"/>
      <c r="C495" s="670"/>
      <c r="D495" s="672"/>
      <c r="E495" s="294" t="s">
        <v>256</v>
      </c>
      <c r="F495" s="295" t="s">
        <v>27</v>
      </c>
      <c r="G495" s="294" t="s">
        <v>256</v>
      </c>
      <c r="H495" s="295" t="s">
        <v>27</v>
      </c>
      <c r="I495" s="675"/>
      <c r="J495" s="317"/>
      <c r="L495" s="354"/>
    </row>
    <row r="496" spans="1:12" s="349" customFormat="1" ht="18" customHeight="1">
      <c r="A496" s="394"/>
      <c r="B496" s="343"/>
      <c r="C496" s="344" t="s">
        <v>262</v>
      </c>
      <c r="D496" s="345">
        <v>44287</v>
      </c>
      <c r="E496" s="346">
        <v>1</v>
      </c>
      <c r="F496" s="347">
        <v>850000</v>
      </c>
      <c r="G496" s="346">
        <v>1</v>
      </c>
      <c r="H496" s="347">
        <v>850000</v>
      </c>
      <c r="I496" s="347" t="s">
        <v>268</v>
      </c>
      <c r="J496" s="348"/>
      <c r="L496" s="358"/>
    </row>
    <row r="497" spans="1:12" s="390" customFormat="1" ht="18" customHeight="1">
      <c r="A497" s="395"/>
      <c r="B497" s="384"/>
      <c r="C497" s="385" t="s">
        <v>263</v>
      </c>
      <c r="D497" s="386">
        <v>44288</v>
      </c>
      <c r="E497" s="387">
        <v>0</v>
      </c>
      <c r="F497" s="388">
        <v>0</v>
      </c>
      <c r="G497" s="387">
        <v>0</v>
      </c>
      <c r="H497" s="388">
        <v>0</v>
      </c>
      <c r="I497" s="388" t="s">
        <v>273</v>
      </c>
      <c r="J497" s="389"/>
      <c r="L497" s="391"/>
    </row>
    <row r="498" spans="1:12" s="390" customFormat="1" ht="18" customHeight="1">
      <c r="A498" s="395"/>
      <c r="B498" s="384"/>
      <c r="C498" s="385" t="s">
        <v>257</v>
      </c>
      <c r="D498" s="386">
        <v>44289</v>
      </c>
      <c r="E498" s="387">
        <v>0</v>
      </c>
      <c r="F498" s="388">
        <v>0</v>
      </c>
      <c r="G498" s="387">
        <v>0</v>
      </c>
      <c r="H498" s="388">
        <v>0</v>
      </c>
      <c r="I498" s="388" t="s">
        <v>273</v>
      </c>
      <c r="J498" s="389"/>
      <c r="L498" s="391"/>
    </row>
    <row r="499" spans="1:12" s="390" customFormat="1" ht="18" customHeight="1">
      <c r="A499" s="395"/>
      <c r="B499" s="384"/>
      <c r="C499" s="385" t="s">
        <v>258</v>
      </c>
      <c r="D499" s="386">
        <v>44290</v>
      </c>
      <c r="E499" s="387">
        <v>0</v>
      </c>
      <c r="F499" s="388">
        <v>0</v>
      </c>
      <c r="G499" s="387">
        <v>0</v>
      </c>
      <c r="H499" s="388">
        <v>0</v>
      </c>
      <c r="I499" s="388" t="s">
        <v>273</v>
      </c>
      <c r="J499" s="389"/>
      <c r="L499" s="391"/>
    </row>
    <row r="500" spans="1:12" s="349" customFormat="1" ht="18" customHeight="1">
      <c r="A500" s="394"/>
      <c r="B500" s="343"/>
      <c r="C500" s="344" t="s">
        <v>259</v>
      </c>
      <c r="D500" s="345">
        <v>44291</v>
      </c>
      <c r="E500" s="346">
        <v>1</v>
      </c>
      <c r="F500" s="347">
        <v>850000</v>
      </c>
      <c r="G500" s="346">
        <v>1</v>
      </c>
      <c r="H500" s="347">
        <v>850000</v>
      </c>
      <c r="I500" s="347" t="s">
        <v>268</v>
      </c>
      <c r="J500" s="348"/>
      <c r="L500" s="358"/>
    </row>
    <row r="501" spans="1:12" s="349" customFormat="1" ht="18" customHeight="1">
      <c r="A501" s="394"/>
      <c r="B501" s="343"/>
      <c r="C501" s="344" t="s">
        <v>260</v>
      </c>
      <c r="D501" s="345">
        <v>44292</v>
      </c>
      <c r="E501" s="346">
        <v>1</v>
      </c>
      <c r="F501" s="347">
        <v>850000</v>
      </c>
      <c r="G501" s="346">
        <v>1</v>
      </c>
      <c r="H501" s="347">
        <v>850000</v>
      </c>
      <c r="I501" s="347" t="s">
        <v>268</v>
      </c>
      <c r="J501" s="348"/>
      <c r="L501" s="358"/>
    </row>
    <row r="502" spans="1:12" s="349" customFormat="1" ht="18" customHeight="1">
      <c r="A502" s="394"/>
      <c r="B502" s="343"/>
      <c r="C502" s="344" t="s">
        <v>261</v>
      </c>
      <c r="D502" s="345">
        <v>44293</v>
      </c>
      <c r="E502" s="346">
        <v>1</v>
      </c>
      <c r="F502" s="347">
        <v>850000</v>
      </c>
      <c r="G502" s="346">
        <v>1</v>
      </c>
      <c r="H502" s="347">
        <v>850000</v>
      </c>
      <c r="I502" s="347" t="s">
        <v>268</v>
      </c>
      <c r="J502" s="348"/>
      <c r="L502" s="358"/>
    </row>
    <row r="503" spans="1:12" s="349" customFormat="1" ht="18" customHeight="1">
      <c r="A503" s="394"/>
      <c r="B503" s="343"/>
      <c r="C503" s="344" t="s">
        <v>262</v>
      </c>
      <c r="D503" s="345">
        <v>44294</v>
      </c>
      <c r="E503" s="346">
        <v>1</v>
      </c>
      <c r="F503" s="347">
        <v>850000</v>
      </c>
      <c r="G503" s="346">
        <v>1</v>
      </c>
      <c r="H503" s="347">
        <v>850000</v>
      </c>
      <c r="I503" s="347" t="s">
        <v>268</v>
      </c>
      <c r="J503" s="348"/>
      <c r="L503" s="358"/>
    </row>
    <row r="504" spans="1:12" s="349" customFormat="1" ht="18" customHeight="1">
      <c r="A504" s="394"/>
      <c r="B504" s="343"/>
      <c r="C504" s="344" t="s">
        <v>263</v>
      </c>
      <c r="D504" s="345">
        <v>44295</v>
      </c>
      <c r="E504" s="346">
        <v>1</v>
      </c>
      <c r="F504" s="347">
        <v>850000</v>
      </c>
      <c r="G504" s="346">
        <v>1</v>
      </c>
      <c r="H504" s="347">
        <v>850000</v>
      </c>
      <c r="I504" s="347" t="s">
        <v>268</v>
      </c>
      <c r="J504" s="348"/>
      <c r="L504" s="358"/>
    </row>
    <row r="505" spans="1:12" s="390" customFormat="1" ht="18" customHeight="1">
      <c r="A505" s="395"/>
      <c r="B505" s="384"/>
      <c r="C505" s="385" t="s">
        <v>257</v>
      </c>
      <c r="D505" s="386">
        <v>44296</v>
      </c>
      <c r="E505" s="387">
        <v>0</v>
      </c>
      <c r="F505" s="388">
        <v>0</v>
      </c>
      <c r="G505" s="387">
        <v>0</v>
      </c>
      <c r="H505" s="388">
        <v>0</v>
      </c>
      <c r="I505" s="388" t="s">
        <v>273</v>
      </c>
      <c r="J505" s="389"/>
      <c r="L505" s="391"/>
    </row>
    <row r="506" spans="1:12" s="390" customFormat="1" ht="18" customHeight="1">
      <c r="A506" s="395"/>
      <c r="B506" s="384"/>
      <c r="C506" s="385" t="s">
        <v>258</v>
      </c>
      <c r="D506" s="386">
        <v>44297</v>
      </c>
      <c r="E506" s="387">
        <v>0</v>
      </c>
      <c r="F506" s="388">
        <v>0</v>
      </c>
      <c r="G506" s="387">
        <v>0</v>
      </c>
      <c r="H506" s="388">
        <v>0</v>
      </c>
      <c r="I506" s="388" t="s">
        <v>273</v>
      </c>
      <c r="J506" s="389"/>
      <c r="L506" s="391"/>
    </row>
    <row r="507" spans="1:12" s="349" customFormat="1" ht="18" customHeight="1">
      <c r="A507" s="394"/>
      <c r="B507" s="343"/>
      <c r="C507" s="344" t="s">
        <v>259</v>
      </c>
      <c r="D507" s="345">
        <v>44298</v>
      </c>
      <c r="E507" s="346">
        <v>1</v>
      </c>
      <c r="F507" s="347">
        <v>850000</v>
      </c>
      <c r="G507" s="346">
        <v>1</v>
      </c>
      <c r="H507" s="347">
        <v>850000</v>
      </c>
      <c r="I507" s="347" t="s">
        <v>268</v>
      </c>
      <c r="J507" s="348"/>
      <c r="L507" s="358"/>
    </row>
    <row r="508" spans="1:12" s="349" customFormat="1" ht="18" customHeight="1">
      <c r="A508" s="394"/>
      <c r="B508" s="343"/>
      <c r="C508" s="344" t="s">
        <v>260</v>
      </c>
      <c r="D508" s="345">
        <v>44299</v>
      </c>
      <c r="E508" s="346">
        <v>1</v>
      </c>
      <c r="F508" s="347">
        <v>850000</v>
      </c>
      <c r="G508" s="346">
        <v>1</v>
      </c>
      <c r="H508" s="347">
        <v>850000</v>
      </c>
      <c r="I508" s="347" t="s">
        <v>268</v>
      </c>
      <c r="J508" s="348"/>
      <c r="L508" s="358"/>
    </row>
    <row r="509" spans="1:12" s="349" customFormat="1" ht="18" customHeight="1">
      <c r="A509" s="394"/>
      <c r="B509" s="343"/>
      <c r="C509" s="344" t="s">
        <v>261</v>
      </c>
      <c r="D509" s="345">
        <v>44300</v>
      </c>
      <c r="E509" s="346">
        <v>1</v>
      </c>
      <c r="F509" s="347">
        <v>850000</v>
      </c>
      <c r="G509" s="346">
        <v>1</v>
      </c>
      <c r="H509" s="347">
        <v>850000</v>
      </c>
      <c r="I509" s="347" t="s">
        <v>268</v>
      </c>
      <c r="J509" s="348"/>
      <c r="L509" s="358"/>
    </row>
    <row r="510" spans="1:12" s="349" customFormat="1" ht="18" customHeight="1">
      <c r="A510" s="394"/>
      <c r="B510" s="343"/>
      <c r="C510" s="344" t="s">
        <v>262</v>
      </c>
      <c r="D510" s="345">
        <v>44301</v>
      </c>
      <c r="E510" s="346">
        <v>1</v>
      </c>
      <c r="F510" s="347">
        <v>850000</v>
      </c>
      <c r="G510" s="346">
        <v>1</v>
      </c>
      <c r="H510" s="347">
        <v>850000</v>
      </c>
      <c r="I510" s="347" t="s">
        <v>268</v>
      </c>
      <c r="J510" s="348"/>
      <c r="L510" s="358"/>
    </row>
    <row r="511" spans="1:12" s="349" customFormat="1" ht="18" customHeight="1">
      <c r="A511" s="394"/>
      <c r="B511" s="343"/>
      <c r="C511" s="344" t="s">
        <v>263</v>
      </c>
      <c r="D511" s="345">
        <v>44302</v>
      </c>
      <c r="E511" s="346">
        <v>1</v>
      </c>
      <c r="F511" s="347">
        <v>850000</v>
      </c>
      <c r="G511" s="346">
        <v>1</v>
      </c>
      <c r="H511" s="347">
        <v>850000</v>
      </c>
      <c r="I511" s="347" t="s">
        <v>268</v>
      </c>
      <c r="J511" s="348"/>
      <c r="L511" s="358"/>
    </row>
    <row r="512" spans="1:12" s="390" customFormat="1" ht="18" customHeight="1">
      <c r="A512" s="395"/>
      <c r="B512" s="384"/>
      <c r="C512" s="385" t="s">
        <v>257</v>
      </c>
      <c r="D512" s="386">
        <v>44303</v>
      </c>
      <c r="E512" s="387">
        <v>0</v>
      </c>
      <c r="F512" s="388">
        <v>0</v>
      </c>
      <c r="G512" s="387">
        <v>0</v>
      </c>
      <c r="H512" s="388">
        <v>0</v>
      </c>
      <c r="I512" s="388" t="s">
        <v>273</v>
      </c>
      <c r="J512" s="389"/>
      <c r="L512" s="391"/>
    </row>
    <row r="513" spans="1:12" s="390" customFormat="1" ht="18" customHeight="1">
      <c r="A513" s="395"/>
      <c r="B513" s="384"/>
      <c r="C513" s="385" t="s">
        <v>258</v>
      </c>
      <c r="D513" s="386">
        <v>44304</v>
      </c>
      <c r="E513" s="387">
        <v>0</v>
      </c>
      <c r="F513" s="388">
        <v>0</v>
      </c>
      <c r="G513" s="387">
        <v>0</v>
      </c>
      <c r="H513" s="388">
        <v>0</v>
      </c>
      <c r="I513" s="388" t="s">
        <v>273</v>
      </c>
      <c r="J513" s="389"/>
      <c r="L513" s="391"/>
    </row>
    <row r="514" spans="1:12" s="349" customFormat="1" ht="18" customHeight="1">
      <c r="A514" s="394"/>
      <c r="B514" s="343"/>
      <c r="C514" s="344" t="s">
        <v>259</v>
      </c>
      <c r="D514" s="345">
        <v>44305</v>
      </c>
      <c r="E514" s="346">
        <v>1</v>
      </c>
      <c r="F514" s="347">
        <v>850000</v>
      </c>
      <c r="G514" s="346">
        <v>1</v>
      </c>
      <c r="H514" s="347">
        <v>850000</v>
      </c>
      <c r="I514" s="347" t="s">
        <v>268</v>
      </c>
      <c r="J514" s="348"/>
      <c r="L514" s="358"/>
    </row>
    <row r="515" spans="1:12" s="349" customFormat="1" ht="18" customHeight="1">
      <c r="A515" s="394"/>
      <c r="B515" s="343"/>
      <c r="C515" s="344" t="s">
        <v>260</v>
      </c>
      <c r="D515" s="345">
        <v>44306</v>
      </c>
      <c r="E515" s="346">
        <v>1</v>
      </c>
      <c r="F515" s="347">
        <v>850000</v>
      </c>
      <c r="G515" s="346">
        <v>1</v>
      </c>
      <c r="H515" s="347">
        <v>850000</v>
      </c>
      <c r="I515" s="347" t="s">
        <v>268</v>
      </c>
      <c r="J515" s="348"/>
      <c r="L515" s="358"/>
    </row>
    <row r="516" spans="1:12" s="349" customFormat="1" ht="18" customHeight="1">
      <c r="A516" s="394"/>
      <c r="B516" s="343"/>
      <c r="C516" s="344" t="s">
        <v>261</v>
      </c>
      <c r="D516" s="345">
        <v>44307</v>
      </c>
      <c r="E516" s="346">
        <v>1</v>
      </c>
      <c r="F516" s="347">
        <v>850000</v>
      </c>
      <c r="G516" s="346">
        <v>1</v>
      </c>
      <c r="H516" s="347">
        <v>850000</v>
      </c>
      <c r="I516" s="347" t="s">
        <v>268</v>
      </c>
      <c r="J516" s="348"/>
      <c r="L516" s="358"/>
    </row>
    <row r="517" spans="1:12" s="349" customFormat="1" ht="18" customHeight="1">
      <c r="A517" s="394"/>
      <c r="B517" s="343"/>
      <c r="C517" s="344" t="s">
        <v>262</v>
      </c>
      <c r="D517" s="345">
        <v>44308</v>
      </c>
      <c r="E517" s="346">
        <v>1</v>
      </c>
      <c r="F517" s="347">
        <v>850000</v>
      </c>
      <c r="G517" s="346">
        <v>1</v>
      </c>
      <c r="H517" s="347">
        <v>850000</v>
      </c>
      <c r="I517" s="347" t="s">
        <v>268</v>
      </c>
      <c r="J517" s="348"/>
      <c r="L517" s="358"/>
    </row>
    <row r="518" spans="1:12" s="349" customFormat="1" ht="18" customHeight="1">
      <c r="A518" s="394"/>
      <c r="B518" s="343"/>
      <c r="C518" s="344" t="s">
        <v>263</v>
      </c>
      <c r="D518" s="345">
        <v>44309</v>
      </c>
      <c r="E518" s="346">
        <v>1</v>
      </c>
      <c r="F518" s="347">
        <v>850000</v>
      </c>
      <c r="G518" s="346">
        <v>1</v>
      </c>
      <c r="H518" s="347">
        <v>850000</v>
      </c>
      <c r="I518" s="347" t="s">
        <v>268</v>
      </c>
      <c r="J518" s="348"/>
      <c r="L518" s="358"/>
    </row>
    <row r="519" spans="1:12" s="390" customFormat="1" ht="18" customHeight="1">
      <c r="A519" s="395"/>
      <c r="B519" s="384"/>
      <c r="C519" s="385" t="s">
        <v>257</v>
      </c>
      <c r="D519" s="386">
        <v>44310</v>
      </c>
      <c r="E519" s="387">
        <v>0</v>
      </c>
      <c r="F519" s="388">
        <v>0</v>
      </c>
      <c r="G519" s="387">
        <v>0</v>
      </c>
      <c r="H519" s="388">
        <v>0</v>
      </c>
      <c r="I519" s="388" t="s">
        <v>273</v>
      </c>
      <c r="J519" s="389"/>
      <c r="L519" s="391"/>
    </row>
    <row r="520" spans="1:12" s="390" customFormat="1" ht="18" customHeight="1">
      <c r="A520" s="395"/>
      <c r="B520" s="384"/>
      <c r="C520" s="385" t="s">
        <v>258</v>
      </c>
      <c r="D520" s="386">
        <v>44311</v>
      </c>
      <c r="E520" s="387">
        <v>0</v>
      </c>
      <c r="F520" s="388">
        <v>0</v>
      </c>
      <c r="G520" s="387">
        <v>0</v>
      </c>
      <c r="H520" s="388">
        <v>0</v>
      </c>
      <c r="I520" s="388" t="s">
        <v>273</v>
      </c>
      <c r="J520" s="389"/>
      <c r="L520" s="391"/>
    </row>
    <row r="521" spans="1:12" s="349" customFormat="1" ht="18" customHeight="1">
      <c r="A521" s="394"/>
      <c r="B521" s="343"/>
      <c r="C521" s="344" t="s">
        <v>259</v>
      </c>
      <c r="D521" s="345">
        <v>44312</v>
      </c>
      <c r="E521" s="346">
        <v>1</v>
      </c>
      <c r="F521" s="347">
        <v>850000</v>
      </c>
      <c r="G521" s="346">
        <v>1</v>
      </c>
      <c r="H521" s="347">
        <v>850000</v>
      </c>
      <c r="I521" s="347" t="s">
        <v>268</v>
      </c>
      <c r="J521" s="348"/>
      <c r="L521" s="358"/>
    </row>
    <row r="522" spans="1:12" s="349" customFormat="1" ht="18" customHeight="1">
      <c r="A522" s="394"/>
      <c r="B522" s="343"/>
      <c r="C522" s="344" t="s">
        <v>260</v>
      </c>
      <c r="D522" s="345">
        <v>44313</v>
      </c>
      <c r="E522" s="346">
        <v>1</v>
      </c>
      <c r="F522" s="347">
        <v>850000</v>
      </c>
      <c r="G522" s="346">
        <v>1</v>
      </c>
      <c r="H522" s="347">
        <v>850000</v>
      </c>
      <c r="I522" s="347" t="s">
        <v>268</v>
      </c>
      <c r="J522" s="348"/>
      <c r="L522" s="358"/>
    </row>
    <row r="523" spans="1:12" s="349" customFormat="1" ht="18" customHeight="1">
      <c r="A523" s="394"/>
      <c r="B523" s="343"/>
      <c r="C523" s="344" t="s">
        <v>261</v>
      </c>
      <c r="D523" s="345">
        <v>44314</v>
      </c>
      <c r="E523" s="346">
        <v>1</v>
      </c>
      <c r="F523" s="347">
        <v>850000</v>
      </c>
      <c r="G523" s="346">
        <v>1</v>
      </c>
      <c r="H523" s="347">
        <v>850000</v>
      </c>
      <c r="I523" s="347" t="s">
        <v>268</v>
      </c>
      <c r="J523" s="348"/>
      <c r="L523" s="358"/>
    </row>
    <row r="524" spans="1:12" s="349" customFormat="1" ht="18" customHeight="1">
      <c r="A524" s="394"/>
      <c r="B524" s="343"/>
      <c r="C524" s="344" t="s">
        <v>262</v>
      </c>
      <c r="D524" s="345">
        <v>44315</v>
      </c>
      <c r="E524" s="346">
        <v>1</v>
      </c>
      <c r="F524" s="347">
        <v>850000</v>
      </c>
      <c r="G524" s="346">
        <v>1</v>
      </c>
      <c r="H524" s="347">
        <v>850000</v>
      </c>
      <c r="I524" s="347" t="s">
        <v>268</v>
      </c>
      <c r="J524" s="348"/>
      <c r="L524" s="358"/>
    </row>
    <row r="525" spans="1:12" s="349" customFormat="1" ht="18" customHeight="1">
      <c r="A525" s="394"/>
      <c r="B525" s="343"/>
      <c r="C525" s="344" t="s">
        <v>263</v>
      </c>
      <c r="D525" s="345">
        <v>44316</v>
      </c>
      <c r="E525" s="346">
        <v>1</v>
      </c>
      <c r="F525" s="347">
        <v>850000</v>
      </c>
      <c r="G525" s="346">
        <v>1</v>
      </c>
      <c r="H525" s="347">
        <v>850000</v>
      </c>
      <c r="I525" s="347" t="s">
        <v>268</v>
      </c>
      <c r="J525" s="348"/>
      <c r="L525" s="358"/>
    </row>
    <row r="526" spans="1:12" s="349" customFormat="1" ht="18" customHeight="1">
      <c r="A526" s="394"/>
      <c r="B526" s="343"/>
      <c r="C526" s="702" t="s">
        <v>337</v>
      </c>
      <c r="D526" s="703"/>
      <c r="E526" s="704">
        <f>SUM(E496:E525)</f>
        <v>21</v>
      </c>
      <c r="F526" s="705"/>
      <c r="G526" s="704">
        <f>SUM(G496:G525)</f>
        <v>21</v>
      </c>
      <c r="H526" s="705"/>
      <c r="I526" s="400"/>
      <c r="J526" s="348"/>
      <c r="L526" s="358"/>
    </row>
    <row r="527" spans="1:12" s="297" customFormat="1" ht="20.100000000000001" customHeight="1">
      <c r="A527" s="277"/>
      <c r="B527" s="320"/>
      <c r="C527" s="706" t="s">
        <v>264</v>
      </c>
      <c r="D527" s="707"/>
      <c r="E527" s="708">
        <f>SUM(F496:F525)</f>
        <v>17850000</v>
      </c>
      <c r="F527" s="709"/>
      <c r="G527" s="708">
        <f>SUM(H496:H525)</f>
        <v>17850000</v>
      </c>
      <c r="H527" s="709"/>
      <c r="I527" s="330"/>
      <c r="J527" s="321"/>
      <c r="L527" s="356">
        <v>21</v>
      </c>
    </row>
    <row r="528" spans="1:12" s="296" customFormat="1" ht="24.95" customHeight="1">
      <c r="A528" s="277"/>
      <c r="B528" s="322"/>
      <c r="C528" s="692" t="s">
        <v>62</v>
      </c>
      <c r="D528" s="692"/>
      <c r="E528" s="692"/>
      <c r="F528" s="692"/>
      <c r="G528" s="690">
        <f>+G527+E527</f>
        <v>35700000</v>
      </c>
      <c r="H528" s="691"/>
      <c r="I528" s="331"/>
      <c r="J528" s="323"/>
      <c r="L528" s="359">
        <f>+L527*2*850000</f>
        <v>35700000</v>
      </c>
    </row>
    <row r="529" spans="1:12" ht="20.100000000000001" customHeight="1">
      <c r="B529" s="307"/>
      <c r="C529" s="369"/>
      <c r="J529" s="308"/>
    </row>
    <row r="530" spans="1:12" ht="18" customHeight="1">
      <c r="B530" s="307"/>
      <c r="C530" s="416" t="s">
        <v>136</v>
      </c>
      <c r="E530" s="183"/>
      <c r="F530" s="234" t="s">
        <v>131</v>
      </c>
      <c r="G530" s="234" t="s">
        <v>130</v>
      </c>
      <c r="H530" s="234" t="s">
        <v>129</v>
      </c>
      <c r="I530" s="234" t="s">
        <v>128</v>
      </c>
      <c r="J530" s="308"/>
    </row>
    <row r="531" spans="1:12" s="335" customFormat="1" ht="30" customHeight="1">
      <c r="B531" s="332"/>
      <c r="C531" s="710">
        <v>5</v>
      </c>
      <c r="D531" s="711"/>
      <c r="F531" s="415">
        <v>4</v>
      </c>
      <c r="G531" s="415">
        <v>3</v>
      </c>
      <c r="H531" s="415">
        <v>2</v>
      </c>
      <c r="I531" s="415">
        <v>1</v>
      </c>
      <c r="J531" s="337"/>
      <c r="L531" s="357"/>
    </row>
    <row r="532" spans="1:12" ht="15" customHeight="1">
      <c r="B532" s="307"/>
      <c r="C532" s="698" t="s">
        <v>358</v>
      </c>
      <c r="D532" s="699"/>
      <c r="E532" s="183"/>
      <c r="F532" s="236" t="s">
        <v>114</v>
      </c>
      <c r="G532" s="237" t="s">
        <v>357</v>
      </c>
      <c r="H532" s="238" t="s">
        <v>112</v>
      </c>
      <c r="I532" s="234" t="s">
        <v>16</v>
      </c>
      <c r="J532" s="308"/>
    </row>
    <row r="533" spans="1:12" ht="12.95" customHeight="1" thickBot="1">
      <c r="B533" s="374"/>
      <c r="C533" s="700" t="s">
        <v>132</v>
      </c>
      <c r="D533" s="701"/>
      <c r="E533" s="377"/>
      <c r="F533" s="375" t="s">
        <v>132</v>
      </c>
      <c r="G533" s="375" t="s">
        <v>132</v>
      </c>
      <c r="H533" s="375" t="s">
        <v>132</v>
      </c>
      <c r="I533" s="375" t="s">
        <v>132</v>
      </c>
      <c r="J533" s="378"/>
    </row>
    <row r="534" spans="1:12" ht="9.9499999999999993" customHeight="1" thickTop="1">
      <c r="B534" s="364"/>
      <c r="C534" s="364"/>
      <c r="D534" s="365"/>
      <c r="E534" s="366"/>
      <c r="F534" s="367"/>
      <c r="G534" s="366"/>
      <c r="H534" s="367"/>
      <c r="I534" s="367"/>
      <c r="J534" s="364"/>
    </row>
    <row r="536" spans="1:12" ht="9.9499999999999993" customHeight="1" thickBot="1">
      <c r="B536" s="379"/>
      <c r="C536" s="379"/>
      <c r="D536" s="380"/>
      <c r="E536" s="381"/>
      <c r="F536" s="382"/>
      <c r="G536" s="381"/>
      <c r="H536" s="382"/>
      <c r="I536" s="382"/>
      <c r="J536" s="379"/>
    </row>
    <row r="537" spans="1:12" ht="9.9499999999999993" customHeight="1" thickTop="1">
      <c r="A537" s="661">
        <v>44337</v>
      </c>
      <c r="B537" s="301"/>
      <c r="C537" s="302"/>
      <c r="D537" s="303"/>
      <c r="E537" s="304"/>
      <c r="F537" s="305"/>
      <c r="G537" s="304"/>
      <c r="H537" s="305"/>
      <c r="I537" s="305"/>
      <c r="J537" s="306"/>
    </row>
    <row r="538" spans="1:12" ht="17.100000000000001" customHeight="1">
      <c r="A538" s="661"/>
      <c r="B538" s="307"/>
      <c r="C538" s="298" t="s">
        <v>138</v>
      </c>
      <c r="D538" s="299"/>
      <c r="G538" s="662" t="s">
        <v>368</v>
      </c>
      <c r="H538" s="662"/>
      <c r="I538" s="662"/>
      <c r="J538" s="308"/>
    </row>
    <row r="539" spans="1:12" s="275" customFormat="1" ht="30" customHeight="1">
      <c r="A539" s="661"/>
      <c r="B539" s="309"/>
      <c r="C539" s="279" t="s">
        <v>119</v>
      </c>
      <c r="D539" s="292" t="s">
        <v>244</v>
      </c>
      <c r="F539" s="310"/>
      <c r="G539" s="311"/>
      <c r="H539" s="310"/>
      <c r="I539" s="310"/>
      <c r="J539" s="312"/>
      <c r="L539" s="352"/>
    </row>
    <row r="540" spans="1:12" s="276" customFormat="1" ht="23.1" customHeight="1">
      <c r="A540" s="277"/>
      <c r="B540" s="313"/>
      <c r="C540" s="280" t="s">
        <v>120</v>
      </c>
      <c r="D540" s="293" t="s">
        <v>369</v>
      </c>
      <c r="F540" s="663" t="s">
        <v>355</v>
      </c>
      <c r="G540" s="664"/>
      <c r="H540" s="664"/>
      <c r="I540" s="665"/>
      <c r="J540" s="315"/>
      <c r="L540" s="353"/>
    </row>
    <row r="541" spans="1:12" s="276" customFormat="1" ht="45" customHeight="1">
      <c r="A541" s="277"/>
      <c r="B541" s="313"/>
      <c r="C541" s="410" t="s">
        <v>356</v>
      </c>
      <c r="D541" s="712" t="s">
        <v>370</v>
      </c>
      <c r="E541" s="712"/>
      <c r="F541" s="666"/>
      <c r="G541" s="667"/>
      <c r="H541" s="667"/>
      <c r="I541" s="668"/>
      <c r="J541" s="315"/>
      <c r="L541" s="353"/>
    </row>
    <row r="542" spans="1:12" s="276" customFormat="1" ht="9.9499999999999993" customHeight="1">
      <c r="A542" s="277"/>
      <c r="B542" s="313"/>
      <c r="C542" s="410"/>
      <c r="D542" s="413"/>
      <c r="E542" s="411"/>
      <c r="F542" s="412"/>
      <c r="G542" s="412"/>
      <c r="H542" s="412"/>
      <c r="I542" s="414"/>
      <c r="J542" s="315"/>
      <c r="L542" s="353"/>
    </row>
    <row r="543" spans="1:12" s="278" customFormat="1" ht="50.1" customHeight="1">
      <c r="A543" s="392"/>
      <c r="B543" s="316"/>
      <c r="C543" s="669" t="s">
        <v>2</v>
      </c>
      <c r="D543" s="671" t="s">
        <v>283</v>
      </c>
      <c r="E543" s="673" t="s">
        <v>275</v>
      </c>
      <c r="F543" s="674"/>
      <c r="G543" s="673" t="s">
        <v>276</v>
      </c>
      <c r="H543" s="674"/>
      <c r="I543" s="713" t="s">
        <v>85</v>
      </c>
      <c r="J543" s="317"/>
      <c r="L543" s="354"/>
    </row>
    <row r="544" spans="1:12" s="278" customFormat="1" ht="24.95" customHeight="1">
      <c r="A544" s="392"/>
      <c r="B544" s="316"/>
      <c r="C544" s="670"/>
      <c r="D544" s="672"/>
      <c r="E544" s="294" t="s">
        <v>256</v>
      </c>
      <c r="F544" s="295" t="s">
        <v>27</v>
      </c>
      <c r="G544" s="294" t="s">
        <v>256</v>
      </c>
      <c r="H544" s="295" t="s">
        <v>27</v>
      </c>
      <c r="I544" s="675"/>
      <c r="J544" s="317"/>
      <c r="L544" s="354"/>
    </row>
    <row r="545" spans="1:12" s="390" customFormat="1" ht="18" customHeight="1">
      <c r="A545" s="395"/>
      <c r="B545" s="384"/>
      <c r="C545" s="385" t="s">
        <v>257</v>
      </c>
      <c r="D545" s="386">
        <v>44317</v>
      </c>
      <c r="E545" s="387">
        <v>0</v>
      </c>
      <c r="F545" s="388">
        <v>0</v>
      </c>
      <c r="G545" s="387">
        <v>0</v>
      </c>
      <c r="H545" s="388">
        <v>0</v>
      </c>
      <c r="I545" s="388" t="s">
        <v>371</v>
      </c>
      <c r="J545" s="389"/>
      <c r="L545" s="391"/>
    </row>
    <row r="546" spans="1:12" s="390" customFormat="1" ht="18" customHeight="1">
      <c r="A546" s="395"/>
      <c r="B546" s="384"/>
      <c r="C546" s="385" t="s">
        <v>258</v>
      </c>
      <c r="D546" s="386">
        <v>44318</v>
      </c>
      <c r="E546" s="387">
        <v>0</v>
      </c>
      <c r="F546" s="388">
        <v>0</v>
      </c>
      <c r="G546" s="387">
        <v>0</v>
      </c>
      <c r="H546" s="388">
        <v>0</v>
      </c>
      <c r="I546" s="388" t="s">
        <v>273</v>
      </c>
      <c r="J546" s="389"/>
      <c r="L546" s="391"/>
    </row>
    <row r="547" spans="1:12" s="390" customFormat="1" ht="18" customHeight="1">
      <c r="A547" s="395"/>
      <c r="B547" s="384"/>
      <c r="C547" s="344" t="s">
        <v>259</v>
      </c>
      <c r="D547" s="345">
        <v>44319</v>
      </c>
      <c r="E547" s="346">
        <v>1</v>
      </c>
      <c r="F547" s="347">
        <v>750000</v>
      </c>
      <c r="G547" s="346">
        <v>1</v>
      </c>
      <c r="H547" s="347">
        <v>750000</v>
      </c>
      <c r="I547" s="347" t="s">
        <v>268</v>
      </c>
      <c r="J547" s="389"/>
      <c r="L547" s="391"/>
    </row>
    <row r="548" spans="1:12" s="390" customFormat="1" ht="18" customHeight="1">
      <c r="A548" s="395"/>
      <c r="B548" s="384"/>
      <c r="C548" s="344" t="s">
        <v>260</v>
      </c>
      <c r="D548" s="345">
        <v>44320</v>
      </c>
      <c r="E548" s="346">
        <v>1</v>
      </c>
      <c r="F548" s="347">
        <v>750000</v>
      </c>
      <c r="G548" s="346">
        <v>1</v>
      </c>
      <c r="H548" s="347">
        <v>750000</v>
      </c>
      <c r="I548" s="347" t="s">
        <v>268</v>
      </c>
      <c r="J548" s="389"/>
      <c r="L548" s="391"/>
    </row>
    <row r="549" spans="1:12" s="349" customFormat="1" ht="18" customHeight="1">
      <c r="A549" s="394"/>
      <c r="B549" s="343"/>
      <c r="C549" s="344" t="s">
        <v>261</v>
      </c>
      <c r="D549" s="345">
        <v>44321</v>
      </c>
      <c r="E549" s="346">
        <v>1</v>
      </c>
      <c r="F549" s="347">
        <v>750000</v>
      </c>
      <c r="G549" s="346">
        <v>1</v>
      </c>
      <c r="H549" s="347">
        <v>750000</v>
      </c>
      <c r="I549" s="347" t="s">
        <v>268</v>
      </c>
      <c r="J549" s="348"/>
      <c r="L549" s="358"/>
    </row>
    <row r="550" spans="1:12" s="349" customFormat="1" ht="18" customHeight="1">
      <c r="A550" s="394"/>
      <c r="B550" s="343"/>
      <c r="C550" s="344" t="s">
        <v>262</v>
      </c>
      <c r="D550" s="345">
        <v>44322</v>
      </c>
      <c r="E550" s="346">
        <v>1</v>
      </c>
      <c r="F550" s="347">
        <v>750000</v>
      </c>
      <c r="G550" s="346">
        <v>1</v>
      </c>
      <c r="H550" s="347">
        <v>750000</v>
      </c>
      <c r="I550" s="347" t="s">
        <v>268</v>
      </c>
      <c r="J550" s="348"/>
      <c r="L550" s="358"/>
    </row>
    <row r="551" spans="1:12" s="349" customFormat="1" ht="18" customHeight="1">
      <c r="A551" s="394"/>
      <c r="B551" s="343"/>
      <c r="C551" s="344" t="s">
        <v>263</v>
      </c>
      <c r="D551" s="345">
        <v>44323</v>
      </c>
      <c r="E551" s="346">
        <v>1</v>
      </c>
      <c r="F551" s="347">
        <v>750000</v>
      </c>
      <c r="G551" s="346">
        <v>1</v>
      </c>
      <c r="H551" s="347">
        <v>750000</v>
      </c>
      <c r="I551" s="347" t="s">
        <v>268</v>
      </c>
      <c r="J551" s="348"/>
      <c r="L551" s="358"/>
    </row>
    <row r="552" spans="1:12" s="390" customFormat="1" ht="18" customHeight="1">
      <c r="A552" s="395"/>
      <c r="B552" s="384"/>
      <c r="C552" s="385" t="s">
        <v>257</v>
      </c>
      <c r="D552" s="386">
        <v>44324</v>
      </c>
      <c r="E552" s="387">
        <v>0</v>
      </c>
      <c r="F552" s="388">
        <v>0</v>
      </c>
      <c r="G552" s="387">
        <v>0</v>
      </c>
      <c r="H552" s="388">
        <v>0</v>
      </c>
      <c r="I552" s="388" t="s">
        <v>273</v>
      </c>
      <c r="J552" s="389"/>
      <c r="L552" s="391"/>
    </row>
    <row r="553" spans="1:12" s="390" customFormat="1" ht="18" customHeight="1">
      <c r="A553" s="395"/>
      <c r="B553" s="384"/>
      <c r="C553" s="385" t="s">
        <v>258</v>
      </c>
      <c r="D553" s="386">
        <v>44325</v>
      </c>
      <c r="E553" s="387">
        <v>0</v>
      </c>
      <c r="F553" s="388">
        <v>0</v>
      </c>
      <c r="G553" s="387">
        <v>0</v>
      </c>
      <c r="H553" s="388">
        <v>0</v>
      </c>
      <c r="I553" s="388" t="s">
        <v>273</v>
      </c>
      <c r="J553" s="389"/>
      <c r="L553" s="391"/>
    </row>
    <row r="554" spans="1:12" s="390" customFormat="1" ht="18" customHeight="1">
      <c r="A554" s="395"/>
      <c r="B554" s="384"/>
      <c r="C554" s="344" t="s">
        <v>259</v>
      </c>
      <c r="D554" s="345">
        <v>44326</v>
      </c>
      <c r="E554" s="346">
        <v>1</v>
      </c>
      <c r="F554" s="347">
        <v>750000</v>
      </c>
      <c r="G554" s="346">
        <v>1</v>
      </c>
      <c r="H554" s="347">
        <v>750000</v>
      </c>
      <c r="I554" s="347" t="s">
        <v>268</v>
      </c>
      <c r="J554" s="389"/>
      <c r="L554" s="391"/>
    </row>
    <row r="555" spans="1:12" s="390" customFormat="1" ht="18" customHeight="1">
      <c r="A555" s="395"/>
      <c r="B555" s="384"/>
      <c r="C555" s="344" t="s">
        <v>260</v>
      </c>
      <c r="D555" s="345">
        <v>44327</v>
      </c>
      <c r="E555" s="346">
        <v>1</v>
      </c>
      <c r="F555" s="347">
        <v>750000</v>
      </c>
      <c r="G555" s="346">
        <v>1</v>
      </c>
      <c r="H555" s="347">
        <v>750000</v>
      </c>
      <c r="I555" s="347" t="s">
        <v>268</v>
      </c>
      <c r="J555" s="389"/>
      <c r="L555" s="391"/>
    </row>
    <row r="556" spans="1:12" s="390" customFormat="1" ht="18" customHeight="1">
      <c r="A556" s="395"/>
      <c r="B556" s="384"/>
      <c r="C556" s="385" t="s">
        <v>261</v>
      </c>
      <c r="D556" s="386">
        <v>44328</v>
      </c>
      <c r="E556" s="387">
        <v>0</v>
      </c>
      <c r="F556" s="388">
        <v>0</v>
      </c>
      <c r="G556" s="387">
        <v>0</v>
      </c>
      <c r="H556" s="388">
        <v>0</v>
      </c>
      <c r="I556" s="388" t="s">
        <v>372</v>
      </c>
      <c r="J556" s="389"/>
      <c r="L556" s="391"/>
    </row>
    <row r="557" spans="1:12" s="390" customFormat="1" ht="18" customHeight="1">
      <c r="A557" s="395"/>
      <c r="B557" s="384"/>
      <c r="C557" s="385" t="s">
        <v>262</v>
      </c>
      <c r="D557" s="386">
        <v>44329</v>
      </c>
      <c r="E557" s="387">
        <v>0</v>
      </c>
      <c r="F557" s="388">
        <v>0</v>
      </c>
      <c r="G557" s="387">
        <v>0</v>
      </c>
      <c r="H557" s="388">
        <v>0</v>
      </c>
      <c r="I557" s="388" t="s">
        <v>371</v>
      </c>
      <c r="J557" s="389"/>
      <c r="L557" s="391"/>
    </row>
    <row r="558" spans="1:12" s="390" customFormat="1" ht="18" customHeight="1">
      <c r="A558" s="395"/>
      <c r="B558" s="384"/>
      <c r="C558" s="385" t="s">
        <v>263</v>
      </c>
      <c r="D558" s="386">
        <v>44330</v>
      </c>
      <c r="E558" s="387">
        <v>0</v>
      </c>
      <c r="F558" s="388">
        <v>0</v>
      </c>
      <c r="G558" s="387">
        <v>0</v>
      </c>
      <c r="H558" s="388">
        <v>0</v>
      </c>
      <c r="I558" s="388" t="s">
        <v>371</v>
      </c>
      <c r="J558" s="389"/>
      <c r="L558" s="391"/>
    </row>
    <row r="559" spans="1:12" s="390" customFormat="1" ht="18" customHeight="1">
      <c r="A559" s="395"/>
      <c r="B559" s="384"/>
      <c r="C559" s="385" t="s">
        <v>257</v>
      </c>
      <c r="D559" s="386">
        <v>44331</v>
      </c>
      <c r="E559" s="387">
        <v>0</v>
      </c>
      <c r="F559" s="388">
        <v>0</v>
      </c>
      <c r="G559" s="387">
        <v>0</v>
      </c>
      <c r="H559" s="388">
        <v>0</v>
      </c>
      <c r="I559" s="388" t="s">
        <v>273</v>
      </c>
      <c r="J559" s="389"/>
      <c r="L559" s="391"/>
    </row>
    <row r="560" spans="1:12" s="390" customFormat="1" ht="18" customHeight="1">
      <c r="A560" s="395"/>
      <c r="B560" s="384"/>
      <c r="C560" s="385" t="s">
        <v>258</v>
      </c>
      <c r="D560" s="386">
        <v>44332</v>
      </c>
      <c r="E560" s="387">
        <v>0</v>
      </c>
      <c r="F560" s="388">
        <v>0</v>
      </c>
      <c r="G560" s="387">
        <v>0</v>
      </c>
      <c r="H560" s="388">
        <v>0</v>
      </c>
      <c r="I560" s="388" t="s">
        <v>273</v>
      </c>
      <c r="J560" s="389"/>
      <c r="L560" s="391"/>
    </row>
    <row r="561" spans="1:12" s="390" customFormat="1" ht="18" customHeight="1">
      <c r="A561" s="395"/>
      <c r="B561" s="384"/>
      <c r="C561" s="385" t="s">
        <v>259</v>
      </c>
      <c r="D561" s="386">
        <v>44333</v>
      </c>
      <c r="E561" s="387">
        <v>0</v>
      </c>
      <c r="F561" s="388">
        <v>0</v>
      </c>
      <c r="G561" s="387">
        <v>0</v>
      </c>
      <c r="H561" s="388">
        <v>0</v>
      </c>
      <c r="I561" s="388" t="s">
        <v>372</v>
      </c>
      <c r="J561" s="389"/>
      <c r="L561" s="391"/>
    </row>
    <row r="562" spans="1:12" s="390" customFormat="1" ht="18" customHeight="1">
      <c r="A562" s="395"/>
      <c r="B562" s="384"/>
      <c r="C562" s="344" t="s">
        <v>260</v>
      </c>
      <c r="D562" s="345">
        <v>44334</v>
      </c>
      <c r="E562" s="346">
        <v>1</v>
      </c>
      <c r="F562" s="347">
        <v>750000</v>
      </c>
      <c r="G562" s="346">
        <v>1</v>
      </c>
      <c r="H562" s="347">
        <v>750000</v>
      </c>
      <c r="I562" s="347" t="s">
        <v>268</v>
      </c>
      <c r="J562" s="389"/>
      <c r="L562" s="391"/>
    </row>
    <row r="563" spans="1:12" s="349" customFormat="1" ht="18" customHeight="1">
      <c r="A563" s="394"/>
      <c r="B563" s="343"/>
      <c r="C563" s="344" t="s">
        <v>261</v>
      </c>
      <c r="D563" s="345">
        <v>44335</v>
      </c>
      <c r="E563" s="346">
        <v>1</v>
      </c>
      <c r="F563" s="347">
        <v>750000</v>
      </c>
      <c r="G563" s="346">
        <v>1</v>
      </c>
      <c r="H563" s="347">
        <v>750000</v>
      </c>
      <c r="I563" s="347" t="s">
        <v>268</v>
      </c>
      <c r="J563" s="348"/>
      <c r="L563" s="358"/>
    </row>
    <row r="564" spans="1:12" s="390" customFormat="1" ht="18" customHeight="1">
      <c r="A564" s="395"/>
      <c r="B564" s="384"/>
      <c r="C564" s="385" t="s">
        <v>262</v>
      </c>
      <c r="D564" s="386">
        <v>44336</v>
      </c>
      <c r="E564" s="387">
        <v>0</v>
      </c>
      <c r="F564" s="388">
        <v>0</v>
      </c>
      <c r="G564" s="387">
        <v>0</v>
      </c>
      <c r="H564" s="388">
        <v>0</v>
      </c>
      <c r="I564" s="388" t="s">
        <v>373</v>
      </c>
      <c r="J564" s="389"/>
      <c r="L564" s="391"/>
    </row>
    <row r="565" spans="1:12" s="349" customFormat="1" ht="18" customHeight="1">
      <c r="A565" s="394"/>
      <c r="B565" s="343"/>
      <c r="C565" s="344" t="s">
        <v>263</v>
      </c>
      <c r="D565" s="345">
        <v>44337</v>
      </c>
      <c r="E565" s="346">
        <v>1</v>
      </c>
      <c r="F565" s="347">
        <v>750000</v>
      </c>
      <c r="G565" s="346">
        <v>1</v>
      </c>
      <c r="H565" s="347">
        <v>750000</v>
      </c>
      <c r="I565" s="347" t="s">
        <v>268</v>
      </c>
      <c r="J565" s="348"/>
      <c r="L565" s="358"/>
    </row>
    <row r="566" spans="1:12" s="349" customFormat="1" ht="18" customHeight="1">
      <c r="A566" s="394"/>
      <c r="B566" s="343"/>
      <c r="C566" s="344" t="s">
        <v>257</v>
      </c>
      <c r="D566" s="345">
        <v>44338</v>
      </c>
      <c r="E566" s="346">
        <v>1</v>
      </c>
      <c r="F566" s="347">
        <v>750000</v>
      </c>
      <c r="G566" s="346">
        <v>1</v>
      </c>
      <c r="H566" s="347">
        <v>750000</v>
      </c>
      <c r="I566" s="347" t="s">
        <v>374</v>
      </c>
      <c r="J566" s="348"/>
      <c r="L566" s="358"/>
    </row>
    <row r="567" spans="1:12" s="349" customFormat="1" ht="18" customHeight="1">
      <c r="A567" s="394"/>
      <c r="B567" s="343"/>
      <c r="C567" s="385" t="s">
        <v>258</v>
      </c>
      <c r="D567" s="386">
        <v>44339</v>
      </c>
      <c r="E567" s="387">
        <v>0</v>
      </c>
      <c r="F567" s="388">
        <v>0</v>
      </c>
      <c r="G567" s="387">
        <v>0</v>
      </c>
      <c r="H567" s="388">
        <v>0</v>
      </c>
      <c r="I567" s="388" t="s">
        <v>273</v>
      </c>
      <c r="J567" s="348"/>
      <c r="L567" s="358"/>
    </row>
    <row r="568" spans="1:12" s="390" customFormat="1" ht="18" customHeight="1">
      <c r="A568" s="395"/>
      <c r="B568" s="384"/>
      <c r="C568" s="344" t="s">
        <v>259</v>
      </c>
      <c r="D568" s="345">
        <v>44340</v>
      </c>
      <c r="E568" s="346">
        <v>1</v>
      </c>
      <c r="F568" s="347">
        <v>750000</v>
      </c>
      <c r="G568" s="346">
        <v>1</v>
      </c>
      <c r="H568" s="347">
        <v>750000</v>
      </c>
      <c r="I568" s="347" t="s">
        <v>268</v>
      </c>
      <c r="J568" s="389"/>
      <c r="L568" s="391"/>
    </row>
    <row r="569" spans="1:12" s="390" customFormat="1" ht="18" customHeight="1">
      <c r="A569" s="395"/>
      <c r="B569" s="384"/>
      <c r="C569" s="344" t="s">
        <v>260</v>
      </c>
      <c r="D569" s="345">
        <v>44341</v>
      </c>
      <c r="E569" s="346">
        <v>1</v>
      </c>
      <c r="F569" s="347">
        <v>750000</v>
      </c>
      <c r="G569" s="346">
        <v>1</v>
      </c>
      <c r="H569" s="347">
        <v>750000</v>
      </c>
      <c r="I569" s="347" t="s">
        <v>268</v>
      </c>
      <c r="J569" s="389"/>
      <c r="L569" s="391"/>
    </row>
    <row r="570" spans="1:12" s="390" customFormat="1" ht="18" customHeight="1">
      <c r="A570" s="395"/>
      <c r="B570" s="384"/>
      <c r="C570" s="385" t="s">
        <v>261</v>
      </c>
      <c r="D570" s="386">
        <v>44342</v>
      </c>
      <c r="E570" s="387">
        <v>0</v>
      </c>
      <c r="F570" s="388">
        <v>0</v>
      </c>
      <c r="G570" s="387">
        <v>0</v>
      </c>
      <c r="H570" s="388">
        <v>0</v>
      </c>
      <c r="I570" s="388" t="s">
        <v>371</v>
      </c>
      <c r="J570" s="389"/>
      <c r="L570" s="391"/>
    </row>
    <row r="571" spans="1:12" s="349" customFormat="1" ht="18" customHeight="1">
      <c r="A571" s="394"/>
      <c r="B571" s="343"/>
      <c r="C571" s="344" t="s">
        <v>262</v>
      </c>
      <c r="D571" s="345">
        <v>44343</v>
      </c>
      <c r="E571" s="346">
        <v>1</v>
      </c>
      <c r="F571" s="347">
        <v>750000</v>
      </c>
      <c r="G571" s="346">
        <v>1</v>
      </c>
      <c r="H571" s="347">
        <v>750000</v>
      </c>
      <c r="I571" s="347" t="s">
        <v>268</v>
      </c>
      <c r="J571" s="348"/>
      <c r="L571" s="358"/>
    </row>
    <row r="572" spans="1:12" s="349" customFormat="1" ht="18" customHeight="1">
      <c r="A572" s="394"/>
      <c r="B572" s="343"/>
      <c r="C572" s="344" t="s">
        <v>263</v>
      </c>
      <c r="D572" s="345">
        <v>44344</v>
      </c>
      <c r="E572" s="346">
        <v>1</v>
      </c>
      <c r="F572" s="347">
        <v>750000</v>
      </c>
      <c r="G572" s="346">
        <v>1</v>
      </c>
      <c r="H572" s="347">
        <v>750000</v>
      </c>
      <c r="I572" s="347" t="s">
        <v>268</v>
      </c>
      <c r="J572" s="348"/>
      <c r="L572" s="358"/>
    </row>
    <row r="573" spans="1:12" s="349" customFormat="1" ht="18" customHeight="1">
      <c r="A573" s="394"/>
      <c r="B573" s="343"/>
      <c r="C573" s="344" t="s">
        <v>257</v>
      </c>
      <c r="D573" s="345">
        <v>44345</v>
      </c>
      <c r="E573" s="346">
        <v>1</v>
      </c>
      <c r="F573" s="347">
        <v>750000</v>
      </c>
      <c r="G573" s="346">
        <v>1</v>
      </c>
      <c r="H573" s="347">
        <v>750000</v>
      </c>
      <c r="I573" s="347" t="s">
        <v>374</v>
      </c>
      <c r="J573" s="348"/>
      <c r="L573" s="358"/>
    </row>
    <row r="574" spans="1:12" s="390" customFormat="1" ht="18" customHeight="1">
      <c r="A574" s="395"/>
      <c r="B574" s="384"/>
      <c r="C574" s="385" t="s">
        <v>258</v>
      </c>
      <c r="D574" s="386">
        <v>44346</v>
      </c>
      <c r="E574" s="387">
        <v>0</v>
      </c>
      <c r="F574" s="388">
        <v>0</v>
      </c>
      <c r="G574" s="387">
        <v>0</v>
      </c>
      <c r="H574" s="388">
        <v>0</v>
      </c>
      <c r="I574" s="388" t="s">
        <v>273</v>
      </c>
      <c r="J574" s="389"/>
      <c r="L574" s="391"/>
    </row>
    <row r="575" spans="1:12" s="390" customFormat="1" ht="18" customHeight="1">
      <c r="A575" s="395"/>
      <c r="B575" s="384"/>
      <c r="C575" s="417" t="s">
        <v>259</v>
      </c>
      <c r="D575" s="386">
        <v>44347</v>
      </c>
      <c r="E575" s="387">
        <v>0</v>
      </c>
      <c r="F575" s="388">
        <v>0</v>
      </c>
      <c r="G575" s="387">
        <v>0</v>
      </c>
      <c r="H575" s="388">
        <v>0</v>
      </c>
      <c r="I575" s="388" t="s">
        <v>373</v>
      </c>
      <c r="J575" s="389"/>
      <c r="L575" s="391"/>
    </row>
    <row r="576" spans="1:12" s="349" customFormat="1" ht="18" customHeight="1">
      <c r="A576" s="394"/>
      <c r="B576" s="343"/>
      <c r="C576" s="702" t="s">
        <v>337</v>
      </c>
      <c r="D576" s="703"/>
      <c r="E576" s="704">
        <f>SUM(E545:E575)</f>
        <v>16</v>
      </c>
      <c r="F576" s="705"/>
      <c r="G576" s="704">
        <f>SUM(G545:G575)</f>
        <v>16</v>
      </c>
      <c r="H576" s="705"/>
      <c r="I576" s="400"/>
      <c r="J576" s="348"/>
      <c r="L576" s="358"/>
    </row>
    <row r="577" spans="1:12" s="297" customFormat="1" ht="20.100000000000001" customHeight="1">
      <c r="A577" s="277"/>
      <c r="B577" s="320"/>
      <c r="C577" s="706" t="s">
        <v>264</v>
      </c>
      <c r="D577" s="707"/>
      <c r="E577" s="708">
        <f>SUM(F545:F574)</f>
        <v>12000000</v>
      </c>
      <c r="F577" s="709"/>
      <c r="G577" s="708">
        <f>SUM(H545:H574)</f>
        <v>12000000</v>
      </c>
      <c r="H577" s="709"/>
      <c r="I577" s="330"/>
      <c r="J577" s="321"/>
      <c r="L577" s="356">
        <f>14+2</f>
        <v>16</v>
      </c>
    </row>
    <row r="578" spans="1:12" s="296" customFormat="1" ht="24.95" customHeight="1">
      <c r="A578" s="277"/>
      <c r="B578" s="322"/>
      <c r="C578" s="692" t="s">
        <v>62</v>
      </c>
      <c r="D578" s="692"/>
      <c r="E578" s="692"/>
      <c r="F578" s="692"/>
      <c r="G578" s="690">
        <f>+G577+E577</f>
        <v>24000000</v>
      </c>
      <c r="H578" s="691"/>
      <c r="I578" s="331"/>
      <c r="J578" s="323"/>
      <c r="L578" s="359">
        <f>+L577*2*750000</f>
        <v>24000000</v>
      </c>
    </row>
    <row r="579" spans="1:12" ht="20.100000000000001" customHeight="1">
      <c r="B579" s="307"/>
      <c r="C579" s="369"/>
      <c r="J579" s="308"/>
    </row>
    <row r="580" spans="1:12" ht="18" customHeight="1">
      <c r="B580" s="307"/>
      <c r="C580" s="416" t="s">
        <v>136</v>
      </c>
      <c r="E580" s="183"/>
      <c r="F580" s="234" t="s">
        <v>131</v>
      </c>
      <c r="G580" s="234" t="s">
        <v>130</v>
      </c>
      <c r="H580" s="234" t="s">
        <v>129</v>
      </c>
      <c r="I580" s="234" t="s">
        <v>128</v>
      </c>
      <c r="J580" s="308"/>
    </row>
    <row r="581" spans="1:12" s="335" customFormat="1" ht="30" customHeight="1">
      <c r="B581" s="332"/>
      <c r="C581" s="710">
        <v>5</v>
      </c>
      <c r="D581" s="711"/>
      <c r="F581" s="415">
        <v>4</v>
      </c>
      <c r="G581" s="415">
        <v>3</v>
      </c>
      <c r="H581" s="415">
        <v>2</v>
      </c>
      <c r="I581" s="415">
        <v>1</v>
      </c>
      <c r="J581" s="337"/>
      <c r="L581" s="357"/>
    </row>
    <row r="582" spans="1:12" ht="15" customHeight="1">
      <c r="B582" s="307"/>
      <c r="C582" s="698" t="s">
        <v>358</v>
      </c>
      <c r="D582" s="699"/>
      <c r="E582" s="183"/>
      <c r="F582" s="236" t="s">
        <v>114</v>
      </c>
      <c r="G582" s="237" t="s">
        <v>357</v>
      </c>
      <c r="H582" s="238" t="s">
        <v>112</v>
      </c>
      <c r="I582" s="234" t="s">
        <v>16</v>
      </c>
      <c r="J582" s="308"/>
    </row>
    <row r="583" spans="1:12" ht="12.95" customHeight="1" thickBot="1">
      <c r="B583" s="374"/>
      <c r="C583" s="700" t="s">
        <v>132</v>
      </c>
      <c r="D583" s="701"/>
      <c r="E583" s="377"/>
      <c r="F583" s="375" t="s">
        <v>132</v>
      </c>
      <c r="G583" s="375" t="s">
        <v>132</v>
      </c>
      <c r="H583" s="375" t="s">
        <v>132</v>
      </c>
      <c r="I583" s="375" t="s">
        <v>132</v>
      </c>
      <c r="J583" s="378"/>
    </row>
    <row r="584" spans="1:12" ht="9.9499999999999993" customHeight="1" thickTop="1">
      <c r="B584" s="364"/>
      <c r="C584" s="364"/>
      <c r="D584" s="365"/>
      <c r="E584" s="366"/>
      <c r="F584" s="367"/>
      <c r="G584" s="366"/>
      <c r="H584" s="367"/>
      <c r="I584" s="367"/>
      <c r="J584" s="364"/>
    </row>
    <row r="586" spans="1:12" ht="9.9499999999999993" customHeight="1" thickBot="1">
      <c r="B586" s="379"/>
      <c r="C586" s="379"/>
      <c r="D586" s="380"/>
      <c r="E586" s="381"/>
      <c r="F586" s="382"/>
      <c r="G586" s="381"/>
      <c r="H586" s="382"/>
      <c r="I586" s="382"/>
      <c r="J586" s="379"/>
    </row>
    <row r="587" spans="1:12" ht="9.9499999999999993" customHeight="1" thickTop="1">
      <c r="A587" s="661">
        <v>44368</v>
      </c>
      <c r="B587" s="301"/>
      <c r="C587" s="302"/>
      <c r="D587" s="303"/>
      <c r="E587" s="304"/>
      <c r="F587" s="305"/>
      <c r="G587" s="304"/>
      <c r="H587" s="305"/>
      <c r="I587" s="305"/>
      <c r="J587" s="306"/>
    </row>
    <row r="588" spans="1:12" ht="17.100000000000001" customHeight="1">
      <c r="A588" s="661"/>
      <c r="B588" s="307"/>
      <c r="C588" s="298" t="s">
        <v>138</v>
      </c>
      <c r="D588" s="299"/>
      <c r="G588" s="662" t="s">
        <v>375</v>
      </c>
      <c r="H588" s="662"/>
      <c r="I588" s="662"/>
      <c r="J588" s="308"/>
    </row>
    <row r="589" spans="1:12" s="275" customFormat="1" ht="30" customHeight="1">
      <c r="A589" s="661"/>
      <c r="B589" s="309"/>
      <c r="C589" s="279" t="s">
        <v>119</v>
      </c>
      <c r="D589" s="292" t="s">
        <v>244</v>
      </c>
      <c r="F589" s="310"/>
      <c r="G589" s="311"/>
      <c r="H589" s="310"/>
      <c r="I589" s="310"/>
      <c r="J589" s="312"/>
      <c r="L589" s="352"/>
    </row>
    <row r="590" spans="1:12" s="276" customFormat="1" ht="23.1" customHeight="1">
      <c r="A590" s="277"/>
      <c r="B590" s="313"/>
      <c r="C590" s="280" t="s">
        <v>120</v>
      </c>
      <c r="D590" s="293" t="s">
        <v>376</v>
      </c>
      <c r="F590" s="663" t="s">
        <v>355</v>
      </c>
      <c r="G590" s="664"/>
      <c r="H590" s="664"/>
      <c r="I590" s="665"/>
      <c r="J590" s="315"/>
      <c r="L590" s="353"/>
    </row>
    <row r="591" spans="1:12" s="276" customFormat="1" ht="45" customHeight="1">
      <c r="A591" s="277"/>
      <c r="B591" s="313"/>
      <c r="C591" s="410" t="s">
        <v>356</v>
      </c>
      <c r="D591" s="712" t="s">
        <v>377</v>
      </c>
      <c r="E591" s="712"/>
      <c r="F591" s="666"/>
      <c r="G591" s="667"/>
      <c r="H591" s="667"/>
      <c r="I591" s="668"/>
      <c r="J591" s="315"/>
      <c r="L591" s="353"/>
    </row>
    <row r="592" spans="1:12" s="276" customFormat="1" ht="9.9499999999999993" customHeight="1">
      <c r="A592" s="277"/>
      <c r="B592" s="313"/>
      <c r="C592" s="410"/>
      <c r="D592" s="413"/>
      <c r="E592" s="411"/>
      <c r="F592" s="412"/>
      <c r="G592" s="412"/>
      <c r="H592" s="412"/>
      <c r="I592" s="414"/>
      <c r="J592" s="315"/>
      <c r="L592" s="353"/>
    </row>
    <row r="593" spans="1:12" s="278" customFormat="1" ht="50.1" customHeight="1">
      <c r="A593" s="392"/>
      <c r="B593" s="316"/>
      <c r="C593" s="669" t="s">
        <v>2</v>
      </c>
      <c r="D593" s="671" t="s">
        <v>283</v>
      </c>
      <c r="E593" s="673" t="s">
        <v>275</v>
      </c>
      <c r="F593" s="674"/>
      <c r="G593" s="673" t="s">
        <v>276</v>
      </c>
      <c r="H593" s="674"/>
      <c r="I593" s="713" t="s">
        <v>85</v>
      </c>
      <c r="J593" s="317"/>
      <c r="L593" s="354"/>
    </row>
    <row r="594" spans="1:12" s="278" customFormat="1" ht="24.95" customHeight="1">
      <c r="A594" s="392"/>
      <c r="B594" s="316"/>
      <c r="C594" s="670"/>
      <c r="D594" s="672"/>
      <c r="E594" s="294" t="s">
        <v>256</v>
      </c>
      <c r="F594" s="295" t="s">
        <v>27</v>
      </c>
      <c r="G594" s="294" t="s">
        <v>256</v>
      </c>
      <c r="H594" s="295" t="s">
        <v>27</v>
      </c>
      <c r="I594" s="675"/>
      <c r="J594" s="317"/>
      <c r="L594" s="354"/>
    </row>
    <row r="595" spans="1:12" s="390" customFormat="1" ht="18" customHeight="1">
      <c r="A595" s="395"/>
      <c r="B595" s="384"/>
      <c r="C595" s="385" t="s">
        <v>260</v>
      </c>
      <c r="D595" s="386">
        <v>44348</v>
      </c>
      <c r="E595" s="387">
        <v>0</v>
      </c>
      <c r="F595" s="388">
        <v>0</v>
      </c>
      <c r="G595" s="387">
        <v>0</v>
      </c>
      <c r="H595" s="388">
        <v>0</v>
      </c>
      <c r="I595" s="388" t="s">
        <v>371</v>
      </c>
      <c r="J595" s="389"/>
      <c r="L595" s="391"/>
    </row>
    <row r="596" spans="1:12" s="349" customFormat="1" ht="18" customHeight="1">
      <c r="A596" s="394"/>
      <c r="B596" s="343"/>
      <c r="C596" s="344" t="s">
        <v>261</v>
      </c>
      <c r="D596" s="345">
        <v>44349</v>
      </c>
      <c r="E596" s="346">
        <v>1</v>
      </c>
      <c r="F596" s="347">
        <v>750000</v>
      </c>
      <c r="G596" s="346">
        <v>1</v>
      </c>
      <c r="H596" s="347">
        <v>750000</v>
      </c>
      <c r="I596" s="347" t="s">
        <v>268</v>
      </c>
      <c r="J596" s="348"/>
      <c r="L596" s="358"/>
    </row>
    <row r="597" spans="1:12" s="349" customFormat="1" ht="18" customHeight="1">
      <c r="A597" s="394"/>
      <c r="B597" s="343"/>
      <c r="C597" s="344" t="s">
        <v>262</v>
      </c>
      <c r="D597" s="345">
        <v>44350</v>
      </c>
      <c r="E597" s="346">
        <v>1</v>
      </c>
      <c r="F597" s="347">
        <v>750000</v>
      </c>
      <c r="G597" s="346">
        <v>1</v>
      </c>
      <c r="H597" s="347">
        <v>750000</v>
      </c>
      <c r="I597" s="347" t="s">
        <v>268</v>
      </c>
      <c r="J597" s="348"/>
      <c r="L597" s="358"/>
    </row>
    <row r="598" spans="1:12" s="349" customFormat="1" ht="18" customHeight="1">
      <c r="A598" s="394"/>
      <c r="B598" s="343"/>
      <c r="C598" s="344" t="s">
        <v>263</v>
      </c>
      <c r="D598" s="345">
        <v>44351</v>
      </c>
      <c r="E598" s="346">
        <v>1</v>
      </c>
      <c r="F598" s="347">
        <v>750000</v>
      </c>
      <c r="G598" s="346">
        <v>1</v>
      </c>
      <c r="H598" s="347">
        <v>750000</v>
      </c>
      <c r="I598" s="347" t="s">
        <v>268</v>
      </c>
      <c r="J598" s="348"/>
      <c r="L598" s="358"/>
    </row>
    <row r="599" spans="1:12" s="390" customFormat="1" ht="18" customHeight="1">
      <c r="A599" s="395"/>
      <c r="B599" s="384"/>
      <c r="C599" s="385" t="s">
        <v>257</v>
      </c>
      <c r="D599" s="386">
        <v>44352</v>
      </c>
      <c r="E599" s="387">
        <v>0</v>
      </c>
      <c r="F599" s="388">
        <v>0</v>
      </c>
      <c r="G599" s="387">
        <v>0</v>
      </c>
      <c r="H599" s="388">
        <v>0</v>
      </c>
      <c r="I599" s="388" t="s">
        <v>273</v>
      </c>
      <c r="J599" s="389"/>
      <c r="L599" s="391"/>
    </row>
    <row r="600" spans="1:12" s="390" customFormat="1" ht="18" customHeight="1">
      <c r="A600" s="395"/>
      <c r="B600" s="384"/>
      <c r="C600" s="385" t="s">
        <v>258</v>
      </c>
      <c r="D600" s="386">
        <v>44353</v>
      </c>
      <c r="E600" s="387">
        <v>0</v>
      </c>
      <c r="F600" s="388">
        <v>0</v>
      </c>
      <c r="G600" s="387">
        <v>0</v>
      </c>
      <c r="H600" s="388">
        <v>0</v>
      </c>
      <c r="I600" s="388" t="s">
        <v>273</v>
      </c>
      <c r="J600" s="389"/>
      <c r="L600" s="391"/>
    </row>
    <row r="601" spans="1:12" s="349" customFormat="1" ht="18" customHeight="1">
      <c r="A601" s="394"/>
      <c r="B601" s="343"/>
      <c r="C601" s="344" t="s">
        <v>259</v>
      </c>
      <c r="D601" s="345">
        <v>44354</v>
      </c>
      <c r="E601" s="346">
        <v>1</v>
      </c>
      <c r="F601" s="347">
        <v>750000</v>
      </c>
      <c r="G601" s="346">
        <v>1</v>
      </c>
      <c r="H601" s="347">
        <v>750000</v>
      </c>
      <c r="I601" s="347" t="s">
        <v>268</v>
      </c>
      <c r="J601" s="348"/>
      <c r="L601" s="358"/>
    </row>
    <row r="602" spans="1:12" s="349" customFormat="1" ht="18" customHeight="1">
      <c r="A602" s="394"/>
      <c r="B602" s="343"/>
      <c r="C602" s="344" t="s">
        <v>260</v>
      </c>
      <c r="D602" s="345">
        <v>44355</v>
      </c>
      <c r="E602" s="346">
        <v>1</v>
      </c>
      <c r="F602" s="347">
        <v>750000</v>
      </c>
      <c r="G602" s="346">
        <v>1</v>
      </c>
      <c r="H602" s="347">
        <v>750000</v>
      </c>
      <c r="I602" s="347" t="s">
        <v>268</v>
      </c>
      <c r="J602" s="348"/>
      <c r="L602" s="358"/>
    </row>
    <row r="603" spans="1:12" s="349" customFormat="1" ht="18" customHeight="1">
      <c r="A603" s="394"/>
      <c r="B603" s="343"/>
      <c r="C603" s="344" t="s">
        <v>261</v>
      </c>
      <c r="D603" s="345">
        <v>44356</v>
      </c>
      <c r="E603" s="346">
        <v>1</v>
      </c>
      <c r="F603" s="347">
        <v>750000</v>
      </c>
      <c r="G603" s="346">
        <v>1</v>
      </c>
      <c r="H603" s="347">
        <v>750000</v>
      </c>
      <c r="I603" s="347" t="s">
        <v>268</v>
      </c>
      <c r="J603" s="348"/>
      <c r="L603" s="358"/>
    </row>
    <row r="604" spans="1:12" s="349" customFormat="1" ht="18" customHeight="1">
      <c r="A604" s="394"/>
      <c r="B604" s="343"/>
      <c r="C604" s="344" t="s">
        <v>262</v>
      </c>
      <c r="D604" s="345">
        <v>44357</v>
      </c>
      <c r="E604" s="346">
        <v>1</v>
      </c>
      <c r="F604" s="347">
        <v>750000</v>
      </c>
      <c r="G604" s="346">
        <v>1</v>
      </c>
      <c r="H604" s="347">
        <v>750000</v>
      </c>
      <c r="I604" s="347" t="s">
        <v>268</v>
      </c>
      <c r="J604" s="348"/>
      <c r="L604" s="358"/>
    </row>
    <row r="605" spans="1:12" s="349" customFormat="1" ht="18" customHeight="1">
      <c r="A605" s="394"/>
      <c r="B605" s="343"/>
      <c r="C605" s="344" t="s">
        <v>263</v>
      </c>
      <c r="D605" s="345">
        <v>44358</v>
      </c>
      <c r="E605" s="346">
        <v>1</v>
      </c>
      <c r="F605" s="347">
        <v>750000</v>
      </c>
      <c r="G605" s="346">
        <v>1</v>
      </c>
      <c r="H605" s="347">
        <v>750000</v>
      </c>
      <c r="I605" s="347" t="s">
        <v>268</v>
      </c>
      <c r="J605" s="348"/>
      <c r="L605" s="358"/>
    </row>
    <row r="606" spans="1:12" s="390" customFormat="1" ht="18" customHeight="1">
      <c r="A606" s="395"/>
      <c r="B606" s="384"/>
      <c r="C606" s="385" t="s">
        <v>257</v>
      </c>
      <c r="D606" s="386">
        <v>44359</v>
      </c>
      <c r="E606" s="387">
        <v>0</v>
      </c>
      <c r="F606" s="388">
        <v>0</v>
      </c>
      <c r="G606" s="387">
        <v>0</v>
      </c>
      <c r="H606" s="388">
        <v>0</v>
      </c>
      <c r="I606" s="388" t="s">
        <v>273</v>
      </c>
      <c r="J606" s="389"/>
      <c r="L606" s="391"/>
    </row>
    <row r="607" spans="1:12" s="390" customFormat="1" ht="18" customHeight="1">
      <c r="A607" s="395"/>
      <c r="B607" s="384"/>
      <c r="C607" s="385" t="s">
        <v>258</v>
      </c>
      <c r="D607" s="386">
        <v>44360</v>
      </c>
      <c r="E607" s="387">
        <v>0</v>
      </c>
      <c r="F607" s="388">
        <v>0</v>
      </c>
      <c r="G607" s="387">
        <v>0</v>
      </c>
      <c r="H607" s="388">
        <v>0</v>
      </c>
      <c r="I607" s="388" t="s">
        <v>273</v>
      </c>
      <c r="J607" s="389"/>
      <c r="L607" s="391"/>
    </row>
    <row r="608" spans="1:12" s="349" customFormat="1" ht="18" customHeight="1">
      <c r="A608" s="394"/>
      <c r="B608" s="343"/>
      <c r="C608" s="344" t="s">
        <v>259</v>
      </c>
      <c r="D608" s="345">
        <v>44361</v>
      </c>
      <c r="E608" s="346">
        <v>1</v>
      </c>
      <c r="F608" s="347">
        <v>750000</v>
      </c>
      <c r="G608" s="346">
        <v>1</v>
      </c>
      <c r="H608" s="347">
        <v>750000</v>
      </c>
      <c r="I608" s="347" t="s">
        <v>268</v>
      </c>
      <c r="J608" s="348"/>
      <c r="L608" s="358"/>
    </row>
    <row r="609" spans="1:12" s="349" customFormat="1" ht="18" customHeight="1">
      <c r="A609" s="394"/>
      <c r="B609" s="343"/>
      <c r="C609" s="344" t="s">
        <v>260</v>
      </c>
      <c r="D609" s="345">
        <v>44362</v>
      </c>
      <c r="E609" s="346">
        <v>1</v>
      </c>
      <c r="F609" s="347">
        <v>750000</v>
      </c>
      <c r="G609" s="346">
        <v>1</v>
      </c>
      <c r="H609" s="347">
        <v>750000</v>
      </c>
      <c r="I609" s="347" t="s">
        <v>268</v>
      </c>
      <c r="J609" s="348"/>
      <c r="L609" s="358"/>
    </row>
    <row r="610" spans="1:12" s="349" customFormat="1" ht="18" customHeight="1">
      <c r="A610" s="394"/>
      <c r="B610" s="343"/>
      <c r="C610" s="344" t="s">
        <v>261</v>
      </c>
      <c r="D610" s="345">
        <v>44363</v>
      </c>
      <c r="E610" s="346">
        <v>1</v>
      </c>
      <c r="F610" s="347">
        <v>750000</v>
      </c>
      <c r="G610" s="346">
        <v>1</v>
      </c>
      <c r="H610" s="347">
        <v>750000</v>
      </c>
      <c r="I610" s="347" t="s">
        <v>268</v>
      </c>
      <c r="J610" s="348"/>
      <c r="L610" s="358"/>
    </row>
    <row r="611" spans="1:12" s="349" customFormat="1" ht="18" customHeight="1">
      <c r="A611" s="394"/>
      <c r="B611" s="343"/>
      <c r="C611" s="344" t="s">
        <v>262</v>
      </c>
      <c r="D611" s="345">
        <v>44364</v>
      </c>
      <c r="E611" s="346">
        <v>1</v>
      </c>
      <c r="F611" s="347">
        <v>750000</v>
      </c>
      <c r="G611" s="346">
        <v>1</v>
      </c>
      <c r="H611" s="347">
        <v>750000</v>
      </c>
      <c r="I611" s="347" t="s">
        <v>268</v>
      </c>
      <c r="J611" s="348"/>
      <c r="L611" s="358"/>
    </row>
    <row r="612" spans="1:12" s="349" customFormat="1" ht="18" customHeight="1">
      <c r="A612" s="394"/>
      <c r="B612" s="343"/>
      <c r="C612" s="344" t="s">
        <v>263</v>
      </c>
      <c r="D612" s="345">
        <v>44365</v>
      </c>
      <c r="E612" s="346">
        <v>1</v>
      </c>
      <c r="F612" s="347">
        <v>750000</v>
      </c>
      <c r="G612" s="346">
        <v>1</v>
      </c>
      <c r="H612" s="347">
        <v>750000</v>
      </c>
      <c r="I612" s="347" t="s">
        <v>268</v>
      </c>
      <c r="J612" s="348"/>
      <c r="L612" s="358"/>
    </row>
    <row r="613" spans="1:12" s="390" customFormat="1" ht="18" customHeight="1">
      <c r="A613" s="395"/>
      <c r="B613" s="384"/>
      <c r="C613" s="385" t="s">
        <v>257</v>
      </c>
      <c r="D613" s="386">
        <v>44366</v>
      </c>
      <c r="E613" s="387">
        <v>0</v>
      </c>
      <c r="F613" s="388">
        <v>0</v>
      </c>
      <c r="G613" s="387">
        <v>0</v>
      </c>
      <c r="H613" s="388">
        <v>0</v>
      </c>
      <c r="I613" s="388" t="s">
        <v>273</v>
      </c>
      <c r="J613" s="389"/>
      <c r="L613" s="391"/>
    </row>
    <row r="614" spans="1:12" s="390" customFormat="1" ht="18" customHeight="1">
      <c r="A614" s="395"/>
      <c r="B614" s="384"/>
      <c r="C614" s="385" t="s">
        <v>258</v>
      </c>
      <c r="D614" s="386">
        <v>44367</v>
      </c>
      <c r="E614" s="387">
        <v>0</v>
      </c>
      <c r="F614" s="388">
        <v>0</v>
      </c>
      <c r="G614" s="387">
        <v>0</v>
      </c>
      <c r="H614" s="388">
        <v>0</v>
      </c>
      <c r="I614" s="388" t="s">
        <v>273</v>
      </c>
      <c r="J614" s="389"/>
      <c r="L614" s="391"/>
    </row>
    <row r="615" spans="1:12" s="349" customFormat="1" ht="18" customHeight="1">
      <c r="A615" s="394"/>
      <c r="B615" s="343"/>
      <c r="C615" s="344" t="s">
        <v>259</v>
      </c>
      <c r="D615" s="345">
        <v>44368</v>
      </c>
      <c r="E615" s="346">
        <v>1</v>
      </c>
      <c r="F615" s="347">
        <v>750000</v>
      </c>
      <c r="G615" s="346">
        <v>1</v>
      </c>
      <c r="H615" s="347">
        <v>750000</v>
      </c>
      <c r="I615" s="347" t="s">
        <v>268</v>
      </c>
      <c r="J615" s="348"/>
      <c r="L615" s="358"/>
    </row>
    <row r="616" spans="1:12" s="349" customFormat="1" ht="18" customHeight="1">
      <c r="A616" s="394"/>
      <c r="B616" s="343"/>
      <c r="C616" s="344" t="s">
        <v>260</v>
      </c>
      <c r="D616" s="345">
        <v>44369</v>
      </c>
      <c r="E616" s="346">
        <v>1</v>
      </c>
      <c r="F616" s="347">
        <v>750000</v>
      </c>
      <c r="G616" s="346">
        <v>1</v>
      </c>
      <c r="H616" s="347">
        <v>750000</v>
      </c>
      <c r="I616" s="347" t="s">
        <v>268</v>
      </c>
      <c r="J616" s="348"/>
      <c r="L616" s="358"/>
    </row>
    <row r="617" spans="1:12" s="349" customFormat="1" ht="18" customHeight="1">
      <c r="A617" s="394"/>
      <c r="B617" s="343"/>
      <c r="C617" s="344" t="s">
        <v>261</v>
      </c>
      <c r="D617" s="345">
        <v>44370</v>
      </c>
      <c r="E617" s="346">
        <v>1</v>
      </c>
      <c r="F617" s="347">
        <v>750000</v>
      </c>
      <c r="G617" s="346">
        <v>1</v>
      </c>
      <c r="H617" s="347">
        <v>750000</v>
      </c>
      <c r="I617" s="347" t="s">
        <v>268</v>
      </c>
      <c r="J617" s="348"/>
      <c r="L617" s="358"/>
    </row>
    <row r="618" spans="1:12" s="349" customFormat="1" ht="18" customHeight="1">
      <c r="A618" s="394"/>
      <c r="B618" s="343"/>
      <c r="C618" s="344" t="s">
        <v>262</v>
      </c>
      <c r="D618" s="345">
        <v>44371</v>
      </c>
      <c r="E618" s="346">
        <v>1</v>
      </c>
      <c r="F618" s="347">
        <v>750000</v>
      </c>
      <c r="G618" s="346">
        <v>1</v>
      </c>
      <c r="H618" s="347">
        <v>750000</v>
      </c>
      <c r="I618" s="347" t="s">
        <v>268</v>
      </c>
      <c r="J618" s="348"/>
      <c r="L618" s="358"/>
    </row>
    <row r="619" spans="1:12" s="349" customFormat="1" ht="18" customHeight="1">
      <c r="A619" s="394"/>
      <c r="B619" s="343"/>
      <c r="C619" s="344" t="s">
        <v>263</v>
      </c>
      <c r="D619" s="345">
        <v>44372</v>
      </c>
      <c r="E619" s="346">
        <v>1</v>
      </c>
      <c r="F619" s="347">
        <v>750000</v>
      </c>
      <c r="G619" s="346">
        <v>1</v>
      </c>
      <c r="H619" s="347">
        <v>750000</v>
      </c>
      <c r="I619" s="347" t="s">
        <v>268</v>
      </c>
      <c r="J619" s="348"/>
      <c r="L619" s="358"/>
    </row>
    <row r="620" spans="1:12" s="390" customFormat="1" ht="18" customHeight="1">
      <c r="A620" s="395"/>
      <c r="B620" s="384"/>
      <c r="C620" s="385" t="s">
        <v>257</v>
      </c>
      <c r="D620" s="386">
        <v>44373</v>
      </c>
      <c r="E620" s="387">
        <v>0</v>
      </c>
      <c r="F620" s="388">
        <v>0</v>
      </c>
      <c r="G620" s="387">
        <v>0</v>
      </c>
      <c r="H620" s="388">
        <v>0</v>
      </c>
      <c r="I620" s="388" t="s">
        <v>273</v>
      </c>
      <c r="J620" s="389"/>
      <c r="L620" s="391"/>
    </row>
    <row r="621" spans="1:12" s="390" customFormat="1" ht="18" customHeight="1">
      <c r="A621" s="395"/>
      <c r="B621" s="384"/>
      <c r="C621" s="385" t="s">
        <v>258</v>
      </c>
      <c r="D621" s="386">
        <v>44374</v>
      </c>
      <c r="E621" s="387">
        <v>0</v>
      </c>
      <c r="F621" s="388">
        <v>0</v>
      </c>
      <c r="G621" s="387">
        <v>0</v>
      </c>
      <c r="H621" s="388">
        <v>0</v>
      </c>
      <c r="I621" s="388" t="s">
        <v>273</v>
      </c>
      <c r="J621" s="389"/>
      <c r="L621" s="391"/>
    </row>
    <row r="622" spans="1:12" s="349" customFormat="1" ht="18" customHeight="1">
      <c r="A622" s="394"/>
      <c r="B622" s="343"/>
      <c r="C622" s="344" t="s">
        <v>259</v>
      </c>
      <c r="D622" s="345">
        <v>44375</v>
      </c>
      <c r="E622" s="346">
        <v>1</v>
      </c>
      <c r="F622" s="347">
        <v>750000</v>
      </c>
      <c r="G622" s="346">
        <v>1</v>
      </c>
      <c r="H622" s="347">
        <v>750000</v>
      </c>
      <c r="I622" s="347" t="s">
        <v>268</v>
      </c>
      <c r="J622" s="348"/>
      <c r="L622" s="358"/>
    </row>
    <row r="623" spans="1:12" s="349" customFormat="1" ht="18" customHeight="1">
      <c r="A623" s="394"/>
      <c r="B623" s="343"/>
      <c r="C623" s="344" t="s">
        <v>260</v>
      </c>
      <c r="D623" s="345">
        <v>44376</v>
      </c>
      <c r="E623" s="346">
        <v>1</v>
      </c>
      <c r="F623" s="347">
        <v>750000</v>
      </c>
      <c r="G623" s="346">
        <v>1</v>
      </c>
      <c r="H623" s="347">
        <v>750000</v>
      </c>
      <c r="I623" s="347" t="s">
        <v>268</v>
      </c>
      <c r="J623" s="348"/>
      <c r="L623" s="358"/>
    </row>
    <row r="624" spans="1:12" s="349" customFormat="1" ht="18" customHeight="1">
      <c r="A624" s="394"/>
      <c r="B624" s="343"/>
      <c r="C624" s="344" t="s">
        <v>261</v>
      </c>
      <c r="D624" s="345">
        <v>44377</v>
      </c>
      <c r="E624" s="346">
        <v>1</v>
      </c>
      <c r="F624" s="347">
        <v>750000</v>
      </c>
      <c r="G624" s="346">
        <v>1</v>
      </c>
      <c r="H624" s="347">
        <v>750000</v>
      </c>
      <c r="I624" s="347" t="s">
        <v>268</v>
      </c>
      <c r="J624" s="348"/>
      <c r="L624" s="358"/>
    </row>
    <row r="625" spans="1:12" s="349" customFormat="1" ht="18" customHeight="1">
      <c r="A625" s="394"/>
      <c r="B625" s="343"/>
      <c r="C625" s="702" t="s">
        <v>337</v>
      </c>
      <c r="D625" s="703"/>
      <c r="E625" s="704">
        <f>SUM(E595:E624)</f>
        <v>21</v>
      </c>
      <c r="F625" s="705"/>
      <c r="G625" s="704">
        <f>SUM(G595:G624)</f>
        <v>21</v>
      </c>
      <c r="H625" s="705"/>
      <c r="I625" s="400"/>
      <c r="J625" s="348"/>
      <c r="L625" s="358"/>
    </row>
    <row r="626" spans="1:12" s="297" customFormat="1" ht="20.100000000000001" customHeight="1">
      <c r="A626" s="277"/>
      <c r="B626" s="320"/>
      <c r="C626" s="706" t="s">
        <v>264</v>
      </c>
      <c r="D626" s="707"/>
      <c r="E626" s="708">
        <f>SUM(F595:F624)</f>
        <v>15750000</v>
      </c>
      <c r="F626" s="709"/>
      <c r="G626" s="708">
        <f>SUM(H595:H624)</f>
        <v>15750000</v>
      </c>
      <c r="H626" s="709"/>
      <c r="I626" s="330"/>
      <c r="J626" s="321"/>
      <c r="L626" s="356">
        <v>21</v>
      </c>
    </row>
    <row r="627" spans="1:12" s="296" customFormat="1" ht="24.95" customHeight="1">
      <c r="A627" s="277"/>
      <c r="B627" s="322"/>
      <c r="C627" s="692" t="s">
        <v>62</v>
      </c>
      <c r="D627" s="692"/>
      <c r="E627" s="692"/>
      <c r="F627" s="692"/>
      <c r="G627" s="690">
        <f>+G626+E626</f>
        <v>31500000</v>
      </c>
      <c r="H627" s="691"/>
      <c r="I627" s="331"/>
      <c r="J627" s="323"/>
      <c r="L627" s="359">
        <f>+L626*2*750000</f>
        <v>31500000</v>
      </c>
    </row>
    <row r="628" spans="1:12" ht="20.100000000000001" customHeight="1">
      <c r="B628" s="307"/>
      <c r="C628" s="369"/>
      <c r="J628" s="308"/>
    </row>
    <row r="629" spans="1:12" ht="18" customHeight="1">
      <c r="B629" s="307"/>
      <c r="C629" s="416" t="s">
        <v>136</v>
      </c>
      <c r="E629" s="183"/>
      <c r="F629" s="234" t="s">
        <v>131</v>
      </c>
      <c r="G629" s="234" t="s">
        <v>130</v>
      </c>
      <c r="H629" s="234" t="s">
        <v>129</v>
      </c>
      <c r="I629" s="234" t="s">
        <v>128</v>
      </c>
      <c r="J629" s="308"/>
    </row>
    <row r="630" spans="1:12" s="335" customFormat="1" ht="30" customHeight="1">
      <c r="B630" s="332"/>
      <c r="C630" s="710">
        <v>5</v>
      </c>
      <c r="D630" s="711"/>
      <c r="F630" s="415">
        <v>4</v>
      </c>
      <c r="G630" s="415">
        <v>3</v>
      </c>
      <c r="H630" s="415">
        <v>2</v>
      </c>
      <c r="I630" s="415">
        <v>1</v>
      </c>
      <c r="J630" s="337"/>
      <c r="L630" s="357"/>
    </row>
    <row r="631" spans="1:12" ht="15" customHeight="1">
      <c r="B631" s="307"/>
      <c r="C631" s="698" t="s">
        <v>358</v>
      </c>
      <c r="D631" s="699"/>
      <c r="E631" s="183"/>
      <c r="F631" s="236" t="s">
        <v>114</v>
      </c>
      <c r="G631" s="237" t="s">
        <v>357</v>
      </c>
      <c r="H631" s="238" t="s">
        <v>112</v>
      </c>
      <c r="I631" s="234" t="s">
        <v>16</v>
      </c>
      <c r="J631" s="308"/>
    </row>
    <row r="632" spans="1:12" ht="12.95" customHeight="1" thickBot="1">
      <c r="B632" s="374"/>
      <c r="C632" s="700" t="s">
        <v>132</v>
      </c>
      <c r="D632" s="701"/>
      <c r="E632" s="377"/>
      <c r="F632" s="375" t="s">
        <v>132</v>
      </c>
      <c r="G632" s="375" t="s">
        <v>132</v>
      </c>
      <c r="H632" s="375" t="s">
        <v>132</v>
      </c>
      <c r="I632" s="375" t="s">
        <v>132</v>
      </c>
      <c r="J632" s="378"/>
    </row>
    <row r="633" spans="1:12" ht="9.9499999999999993" customHeight="1" thickTop="1">
      <c r="B633" s="364"/>
      <c r="C633" s="364"/>
      <c r="D633" s="365"/>
      <c r="E633" s="366"/>
      <c r="F633" s="367"/>
      <c r="G633" s="366"/>
      <c r="H633" s="367"/>
      <c r="I633" s="367"/>
      <c r="J633" s="364"/>
    </row>
    <row r="635" spans="1:12" ht="9.9499999999999993" customHeight="1" thickBot="1">
      <c r="B635" s="379"/>
      <c r="C635" s="379"/>
      <c r="D635" s="380"/>
      <c r="E635" s="381"/>
      <c r="F635" s="382"/>
      <c r="G635" s="381"/>
      <c r="H635" s="382"/>
      <c r="I635" s="382"/>
      <c r="J635" s="379"/>
    </row>
    <row r="636" spans="1:12" ht="9.9499999999999993" customHeight="1" thickTop="1">
      <c r="A636" s="661">
        <v>44398</v>
      </c>
      <c r="B636" s="301"/>
      <c r="C636" s="302"/>
      <c r="D636" s="303"/>
      <c r="E636" s="304"/>
      <c r="F636" s="305"/>
      <c r="G636" s="304"/>
      <c r="H636" s="305"/>
      <c r="I636" s="305"/>
      <c r="J636" s="306"/>
    </row>
    <row r="637" spans="1:12" ht="17.100000000000001" customHeight="1">
      <c r="A637" s="661"/>
      <c r="B637" s="307"/>
      <c r="C637" s="298" t="s">
        <v>138</v>
      </c>
      <c r="D637" s="299"/>
      <c r="G637" s="662" t="s">
        <v>378</v>
      </c>
      <c r="H637" s="662"/>
      <c r="I637" s="662"/>
      <c r="J637" s="308"/>
    </row>
    <row r="638" spans="1:12" s="275" customFormat="1" ht="30" customHeight="1">
      <c r="A638" s="661"/>
      <c r="B638" s="309"/>
      <c r="C638" s="279" t="s">
        <v>119</v>
      </c>
      <c r="D638" s="292" t="s">
        <v>244</v>
      </c>
      <c r="F638" s="310"/>
      <c r="G638" s="311"/>
      <c r="H638" s="310"/>
      <c r="I638" s="310"/>
      <c r="J638" s="312"/>
      <c r="L638" s="352"/>
    </row>
    <row r="639" spans="1:12" s="276" customFormat="1" ht="23.1" customHeight="1">
      <c r="A639" s="277"/>
      <c r="B639" s="313"/>
      <c r="C639" s="280" t="s">
        <v>120</v>
      </c>
      <c r="D639" s="293" t="s">
        <v>379</v>
      </c>
      <c r="F639" s="663" t="s">
        <v>355</v>
      </c>
      <c r="G639" s="664"/>
      <c r="H639" s="664"/>
      <c r="I639" s="665"/>
      <c r="J639" s="315"/>
      <c r="L639" s="353"/>
    </row>
    <row r="640" spans="1:12" s="276" customFormat="1" ht="45" customHeight="1">
      <c r="A640" s="277"/>
      <c r="B640" s="313"/>
      <c r="C640" s="410" t="s">
        <v>356</v>
      </c>
      <c r="D640" s="712" t="s">
        <v>380</v>
      </c>
      <c r="E640" s="712"/>
      <c r="F640" s="666"/>
      <c r="G640" s="667"/>
      <c r="H640" s="667"/>
      <c r="I640" s="668"/>
      <c r="J640" s="315"/>
      <c r="L640" s="353"/>
    </row>
    <row r="641" spans="1:12" s="276" customFormat="1" ht="9.9499999999999993" customHeight="1">
      <c r="A641" s="277"/>
      <c r="B641" s="313"/>
      <c r="C641" s="410"/>
      <c r="D641" s="413"/>
      <c r="E641" s="411"/>
      <c r="F641" s="412"/>
      <c r="G641" s="412"/>
      <c r="H641" s="412"/>
      <c r="I641" s="414"/>
      <c r="J641" s="315"/>
      <c r="L641" s="353"/>
    </row>
    <row r="642" spans="1:12" s="278" customFormat="1" ht="50.1" customHeight="1">
      <c r="A642" s="392"/>
      <c r="B642" s="316"/>
      <c r="C642" s="669" t="s">
        <v>2</v>
      </c>
      <c r="D642" s="671" t="s">
        <v>283</v>
      </c>
      <c r="E642" s="673" t="s">
        <v>275</v>
      </c>
      <c r="F642" s="674"/>
      <c r="G642" s="673" t="s">
        <v>276</v>
      </c>
      <c r="H642" s="674"/>
      <c r="I642" s="713" t="s">
        <v>85</v>
      </c>
      <c r="J642" s="317"/>
      <c r="L642" s="354"/>
    </row>
    <row r="643" spans="1:12" s="278" customFormat="1" ht="24.95" customHeight="1">
      <c r="A643" s="392"/>
      <c r="B643" s="316"/>
      <c r="C643" s="670"/>
      <c r="D643" s="672"/>
      <c r="E643" s="294" t="s">
        <v>256</v>
      </c>
      <c r="F643" s="295" t="s">
        <v>27</v>
      </c>
      <c r="G643" s="294" t="s">
        <v>256</v>
      </c>
      <c r="H643" s="295" t="s">
        <v>27</v>
      </c>
      <c r="I643" s="675"/>
      <c r="J643" s="317"/>
      <c r="L643" s="354"/>
    </row>
    <row r="644" spans="1:12" s="349" customFormat="1" ht="18" customHeight="1">
      <c r="A644" s="394"/>
      <c r="B644" s="343"/>
      <c r="C644" s="344" t="s">
        <v>262</v>
      </c>
      <c r="D644" s="345">
        <v>44378</v>
      </c>
      <c r="E644" s="346">
        <v>0</v>
      </c>
      <c r="F644" s="347">
        <v>0</v>
      </c>
      <c r="G644" s="346">
        <v>0</v>
      </c>
      <c r="H644" s="347">
        <v>0</v>
      </c>
      <c r="I644" s="347" t="s">
        <v>371</v>
      </c>
      <c r="J644" s="348"/>
      <c r="L644" s="358"/>
    </row>
    <row r="645" spans="1:12" s="349" customFormat="1" ht="18" customHeight="1">
      <c r="A645" s="394"/>
      <c r="B645" s="343"/>
      <c r="C645" s="344" t="s">
        <v>263</v>
      </c>
      <c r="D645" s="345">
        <v>44379</v>
      </c>
      <c r="E645" s="346">
        <v>1</v>
      </c>
      <c r="F645" s="347">
        <v>750000</v>
      </c>
      <c r="G645" s="346">
        <v>1</v>
      </c>
      <c r="H645" s="347">
        <v>750000</v>
      </c>
      <c r="I645" s="347" t="s">
        <v>268</v>
      </c>
      <c r="J645" s="348"/>
      <c r="L645" s="358"/>
    </row>
    <row r="646" spans="1:12" s="390" customFormat="1" ht="18" customHeight="1">
      <c r="A646" s="395"/>
      <c r="B646" s="384"/>
      <c r="C646" s="385" t="s">
        <v>257</v>
      </c>
      <c r="D646" s="386">
        <v>44380</v>
      </c>
      <c r="E646" s="387">
        <v>1</v>
      </c>
      <c r="F646" s="388">
        <v>750000</v>
      </c>
      <c r="G646" s="387">
        <v>1</v>
      </c>
      <c r="H646" s="388">
        <v>750000</v>
      </c>
      <c r="I646" s="388" t="s">
        <v>268</v>
      </c>
      <c r="J646" s="389"/>
      <c r="L646" s="391"/>
    </row>
    <row r="647" spans="1:12" s="390" customFormat="1" ht="18" customHeight="1">
      <c r="A647" s="395"/>
      <c r="B647" s="384"/>
      <c r="C647" s="385" t="s">
        <v>258</v>
      </c>
      <c r="D647" s="386">
        <v>44381</v>
      </c>
      <c r="E647" s="387">
        <v>1</v>
      </c>
      <c r="F647" s="388">
        <v>750000</v>
      </c>
      <c r="G647" s="387">
        <v>1</v>
      </c>
      <c r="H647" s="388">
        <v>750000</v>
      </c>
      <c r="I647" s="388" t="s">
        <v>268</v>
      </c>
      <c r="J647" s="389"/>
      <c r="L647" s="391"/>
    </row>
    <row r="648" spans="1:12" s="349" customFormat="1" ht="18" customHeight="1">
      <c r="A648" s="394"/>
      <c r="B648" s="343"/>
      <c r="C648" s="344" t="s">
        <v>259</v>
      </c>
      <c r="D648" s="345">
        <v>44382</v>
      </c>
      <c r="E648" s="346">
        <v>0</v>
      </c>
      <c r="F648" s="347">
        <v>0</v>
      </c>
      <c r="G648" s="346">
        <v>0</v>
      </c>
      <c r="H648" s="347">
        <v>0</v>
      </c>
      <c r="I648" s="347" t="s">
        <v>273</v>
      </c>
      <c r="J648" s="348"/>
      <c r="L648" s="358"/>
    </row>
    <row r="649" spans="1:12" s="349" customFormat="1" ht="18" customHeight="1">
      <c r="A649" s="394"/>
      <c r="B649" s="343"/>
      <c r="C649" s="344" t="s">
        <v>260</v>
      </c>
      <c r="D649" s="345">
        <v>44383</v>
      </c>
      <c r="E649" s="346">
        <v>0</v>
      </c>
      <c r="F649" s="347">
        <v>0</v>
      </c>
      <c r="G649" s="346">
        <v>0</v>
      </c>
      <c r="H649" s="347">
        <v>0</v>
      </c>
      <c r="I649" s="347" t="s">
        <v>273</v>
      </c>
      <c r="J649" s="348"/>
      <c r="L649" s="358"/>
    </row>
    <row r="650" spans="1:12" s="349" customFormat="1" ht="18" customHeight="1">
      <c r="A650" s="394"/>
      <c r="B650" s="343"/>
      <c r="C650" s="344" t="s">
        <v>261</v>
      </c>
      <c r="D650" s="345">
        <v>44384</v>
      </c>
      <c r="E650" s="346">
        <v>1</v>
      </c>
      <c r="F650" s="347">
        <v>750000</v>
      </c>
      <c r="G650" s="346">
        <v>1</v>
      </c>
      <c r="H650" s="347">
        <v>750000</v>
      </c>
      <c r="I650" s="347" t="s">
        <v>268</v>
      </c>
      <c r="J650" s="348"/>
      <c r="L650" s="358"/>
    </row>
    <row r="651" spans="1:12" s="349" customFormat="1" ht="18" customHeight="1">
      <c r="A651" s="394"/>
      <c r="B651" s="343"/>
      <c r="C651" s="344" t="s">
        <v>262</v>
      </c>
      <c r="D651" s="345">
        <v>44385</v>
      </c>
      <c r="E651" s="346">
        <v>1</v>
      </c>
      <c r="F651" s="347">
        <v>750000</v>
      </c>
      <c r="G651" s="346">
        <v>1</v>
      </c>
      <c r="H651" s="347">
        <v>750000</v>
      </c>
      <c r="I651" s="347" t="s">
        <v>268</v>
      </c>
      <c r="J651" s="348"/>
      <c r="L651" s="358"/>
    </row>
    <row r="652" spans="1:12" s="349" customFormat="1" ht="18" customHeight="1">
      <c r="A652" s="394"/>
      <c r="B652" s="343"/>
      <c r="C652" s="344" t="s">
        <v>263</v>
      </c>
      <c r="D652" s="345">
        <v>44386</v>
      </c>
      <c r="E652" s="346">
        <v>1</v>
      </c>
      <c r="F652" s="347">
        <v>750000</v>
      </c>
      <c r="G652" s="346">
        <v>1</v>
      </c>
      <c r="H652" s="347">
        <v>750000</v>
      </c>
      <c r="I652" s="347" t="s">
        <v>268</v>
      </c>
      <c r="J652" s="348"/>
      <c r="L652" s="358"/>
    </row>
    <row r="653" spans="1:12" s="390" customFormat="1" ht="18" customHeight="1">
      <c r="A653" s="395"/>
      <c r="B653" s="384"/>
      <c r="C653" s="385" t="s">
        <v>257</v>
      </c>
      <c r="D653" s="386">
        <v>44387</v>
      </c>
      <c r="E653" s="387">
        <v>1</v>
      </c>
      <c r="F653" s="388">
        <v>750000</v>
      </c>
      <c r="G653" s="387">
        <v>1</v>
      </c>
      <c r="H653" s="388">
        <v>750000</v>
      </c>
      <c r="I653" s="388" t="s">
        <v>268</v>
      </c>
      <c r="J653" s="389"/>
      <c r="L653" s="391"/>
    </row>
    <row r="654" spans="1:12" s="390" customFormat="1" ht="18" customHeight="1">
      <c r="A654" s="395"/>
      <c r="B654" s="384"/>
      <c r="C654" s="385" t="s">
        <v>258</v>
      </c>
      <c r="D654" s="386">
        <v>44388</v>
      </c>
      <c r="E654" s="387">
        <v>1</v>
      </c>
      <c r="F654" s="388">
        <v>750000</v>
      </c>
      <c r="G654" s="387">
        <v>1</v>
      </c>
      <c r="H654" s="388">
        <v>750000</v>
      </c>
      <c r="I654" s="388" t="s">
        <v>268</v>
      </c>
      <c r="J654" s="389"/>
      <c r="L654" s="391"/>
    </row>
    <row r="655" spans="1:12" s="349" customFormat="1" ht="18" customHeight="1">
      <c r="A655" s="394"/>
      <c r="B655" s="343"/>
      <c r="C655" s="344" t="s">
        <v>259</v>
      </c>
      <c r="D655" s="345">
        <v>44389</v>
      </c>
      <c r="E655" s="346">
        <v>0</v>
      </c>
      <c r="F655" s="347">
        <v>0</v>
      </c>
      <c r="G655" s="346">
        <v>0</v>
      </c>
      <c r="H655" s="347">
        <v>0</v>
      </c>
      <c r="I655" s="347" t="s">
        <v>273</v>
      </c>
      <c r="J655" s="348"/>
      <c r="L655" s="358"/>
    </row>
    <row r="656" spans="1:12" s="349" customFormat="1" ht="18" customHeight="1">
      <c r="A656" s="394"/>
      <c r="B656" s="343"/>
      <c r="C656" s="344" t="s">
        <v>260</v>
      </c>
      <c r="D656" s="345">
        <v>44390</v>
      </c>
      <c r="E656" s="346">
        <v>0</v>
      </c>
      <c r="F656" s="347">
        <v>0</v>
      </c>
      <c r="G656" s="346">
        <v>0</v>
      </c>
      <c r="H656" s="347">
        <v>0</v>
      </c>
      <c r="I656" s="347" t="s">
        <v>273</v>
      </c>
      <c r="J656" s="348"/>
      <c r="L656" s="358"/>
    </row>
    <row r="657" spans="1:12" s="349" customFormat="1" ht="18" customHeight="1">
      <c r="A657" s="394"/>
      <c r="B657" s="343"/>
      <c r="C657" s="344" t="s">
        <v>261</v>
      </c>
      <c r="D657" s="345">
        <v>44391</v>
      </c>
      <c r="E657" s="346">
        <v>1</v>
      </c>
      <c r="F657" s="347">
        <v>750000</v>
      </c>
      <c r="G657" s="346">
        <v>1</v>
      </c>
      <c r="H657" s="347">
        <v>750000</v>
      </c>
      <c r="I657" s="347" t="s">
        <v>268</v>
      </c>
      <c r="J657" s="348"/>
      <c r="L657" s="358"/>
    </row>
    <row r="658" spans="1:12" s="349" customFormat="1" ht="18" customHeight="1">
      <c r="A658" s="394"/>
      <c r="B658" s="343"/>
      <c r="C658" s="344" t="s">
        <v>262</v>
      </c>
      <c r="D658" s="345">
        <v>44392</v>
      </c>
      <c r="E658" s="346">
        <v>1</v>
      </c>
      <c r="F658" s="347">
        <v>750000</v>
      </c>
      <c r="G658" s="346">
        <v>1</v>
      </c>
      <c r="H658" s="347">
        <v>750000</v>
      </c>
      <c r="I658" s="347" t="s">
        <v>268</v>
      </c>
      <c r="J658" s="348"/>
      <c r="L658" s="358"/>
    </row>
    <row r="659" spans="1:12" s="349" customFormat="1" ht="18" customHeight="1">
      <c r="A659" s="394"/>
      <c r="B659" s="343"/>
      <c r="C659" s="344" t="s">
        <v>263</v>
      </c>
      <c r="D659" s="345">
        <v>44393</v>
      </c>
      <c r="E659" s="346">
        <v>1</v>
      </c>
      <c r="F659" s="347">
        <v>750000</v>
      </c>
      <c r="G659" s="346">
        <v>1</v>
      </c>
      <c r="H659" s="347">
        <v>750000</v>
      </c>
      <c r="I659" s="347" t="s">
        <v>268</v>
      </c>
      <c r="J659" s="348"/>
      <c r="L659" s="358"/>
    </row>
    <row r="660" spans="1:12" s="390" customFormat="1" ht="18" customHeight="1">
      <c r="A660" s="395"/>
      <c r="B660" s="384"/>
      <c r="C660" s="385" t="s">
        <v>257</v>
      </c>
      <c r="D660" s="386">
        <v>44394</v>
      </c>
      <c r="E660" s="387">
        <v>1</v>
      </c>
      <c r="F660" s="388">
        <v>750000</v>
      </c>
      <c r="G660" s="387">
        <v>1</v>
      </c>
      <c r="H660" s="388">
        <v>750000</v>
      </c>
      <c r="I660" s="388" t="s">
        <v>268</v>
      </c>
      <c r="J660" s="389"/>
      <c r="L660" s="391"/>
    </row>
    <row r="661" spans="1:12" s="390" customFormat="1" ht="18" customHeight="1">
      <c r="A661" s="395"/>
      <c r="B661" s="384"/>
      <c r="C661" s="385" t="s">
        <v>258</v>
      </c>
      <c r="D661" s="386">
        <v>44395</v>
      </c>
      <c r="E661" s="387">
        <v>1</v>
      </c>
      <c r="F661" s="388">
        <v>750000</v>
      </c>
      <c r="G661" s="387">
        <v>1</v>
      </c>
      <c r="H661" s="388">
        <v>750000</v>
      </c>
      <c r="I661" s="388" t="s">
        <v>268</v>
      </c>
      <c r="J661" s="389"/>
      <c r="L661" s="391"/>
    </row>
    <row r="662" spans="1:12" s="390" customFormat="1" ht="18" customHeight="1">
      <c r="A662" s="395"/>
      <c r="B662" s="384"/>
      <c r="C662" s="385" t="s">
        <v>259</v>
      </c>
      <c r="D662" s="386">
        <v>44396</v>
      </c>
      <c r="E662" s="387">
        <v>0</v>
      </c>
      <c r="F662" s="388">
        <v>0</v>
      </c>
      <c r="G662" s="387">
        <v>0</v>
      </c>
      <c r="H662" s="388">
        <v>0</v>
      </c>
      <c r="I662" s="388" t="s">
        <v>273</v>
      </c>
      <c r="J662" s="389"/>
      <c r="L662" s="391"/>
    </row>
    <row r="663" spans="1:12" s="390" customFormat="1" ht="18" customHeight="1">
      <c r="A663" s="395"/>
      <c r="B663" s="384"/>
      <c r="C663" s="385" t="s">
        <v>260</v>
      </c>
      <c r="D663" s="386">
        <v>44397</v>
      </c>
      <c r="E663" s="387">
        <v>0</v>
      </c>
      <c r="F663" s="388">
        <v>0</v>
      </c>
      <c r="G663" s="387">
        <v>0</v>
      </c>
      <c r="H663" s="388">
        <v>0</v>
      </c>
      <c r="I663" s="388" t="s">
        <v>273</v>
      </c>
      <c r="J663" s="389"/>
      <c r="L663" s="391"/>
    </row>
    <row r="664" spans="1:12" s="349" customFormat="1" ht="18" customHeight="1">
      <c r="A664" s="394"/>
      <c r="B664" s="343"/>
      <c r="C664" s="344" t="s">
        <v>261</v>
      </c>
      <c r="D664" s="345">
        <v>44398</v>
      </c>
      <c r="E664" s="346">
        <v>1</v>
      </c>
      <c r="F664" s="347">
        <v>750000</v>
      </c>
      <c r="G664" s="346">
        <v>1</v>
      </c>
      <c r="H664" s="347">
        <v>750000</v>
      </c>
      <c r="I664" s="347" t="s">
        <v>268</v>
      </c>
      <c r="J664" s="348"/>
      <c r="L664" s="358"/>
    </row>
    <row r="665" spans="1:12" s="349" customFormat="1" ht="18" customHeight="1">
      <c r="A665" s="394"/>
      <c r="B665" s="343"/>
      <c r="C665" s="344" t="s">
        <v>262</v>
      </c>
      <c r="D665" s="345">
        <v>44399</v>
      </c>
      <c r="E665" s="346">
        <v>1</v>
      </c>
      <c r="F665" s="347">
        <v>750000</v>
      </c>
      <c r="G665" s="346">
        <v>1</v>
      </c>
      <c r="H665" s="347">
        <v>750000</v>
      </c>
      <c r="I665" s="347" t="s">
        <v>268</v>
      </c>
      <c r="J665" s="348"/>
      <c r="L665" s="358"/>
    </row>
    <row r="666" spans="1:12" s="349" customFormat="1" ht="18" customHeight="1">
      <c r="A666" s="394"/>
      <c r="B666" s="343"/>
      <c r="C666" s="344" t="s">
        <v>263</v>
      </c>
      <c r="D666" s="345">
        <v>44400</v>
      </c>
      <c r="E666" s="346">
        <v>1</v>
      </c>
      <c r="F666" s="347">
        <v>750000</v>
      </c>
      <c r="G666" s="346">
        <v>1</v>
      </c>
      <c r="H666" s="347">
        <v>750000</v>
      </c>
      <c r="I666" s="347" t="s">
        <v>268</v>
      </c>
      <c r="J666" s="348"/>
      <c r="L666" s="358"/>
    </row>
    <row r="667" spans="1:12" s="349" customFormat="1" ht="18" customHeight="1">
      <c r="A667" s="394"/>
      <c r="B667" s="343"/>
      <c r="C667" s="344" t="s">
        <v>257</v>
      </c>
      <c r="D667" s="345">
        <v>44401</v>
      </c>
      <c r="E667" s="346">
        <v>1</v>
      </c>
      <c r="F667" s="347">
        <v>750000</v>
      </c>
      <c r="G667" s="346">
        <v>1</v>
      </c>
      <c r="H667" s="347">
        <v>750000</v>
      </c>
      <c r="I667" s="347" t="s">
        <v>268</v>
      </c>
      <c r="J667" s="348"/>
      <c r="L667" s="358"/>
    </row>
    <row r="668" spans="1:12" s="390" customFormat="1" ht="18" customHeight="1">
      <c r="A668" s="395"/>
      <c r="B668" s="384"/>
      <c r="C668" s="385" t="s">
        <v>258</v>
      </c>
      <c r="D668" s="386">
        <v>44402</v>
      </c>
      <c r="E668" s="387">
        <v>1</v>
      </c>
      <c r="F668" s="388">
        <v>750000</v>
      </c>
      <c r="G668" s="387">
        <v>1</v>
      </c>
      <c r="H668" s="388">
        <v>750000</v>
      </c>
      <c r="I668" s="388" t="s">
        <v>268</v>
      </c>
      <c r="J668" s="389"/>
      <c r="L668" s="391"/>
    </row>
    <row r="669" spans="1:12" s="349" customFormat="1" ht="18" customHeight="1">
      <c r="A669" s="394"/>
      <c r="B669" s="343"/>
      <c r="C669" s="344" t="s">
        <v>259</v>
      </c>
      <c r="D669" s="345">
        <v>44403</v>
      </c>
      <c r="E669" s="346">
        <v>0</v>
      </c>
      <c r="F669" s="347">
        <v>0</v>
      </c>
      <c r="G669" s="346">
        <v>0</v>
      </c>
      <c r="H669" s="347">
        <v>0</v>
      </c>
      <c r="I669" s="347" t="s">
        <v>273</v>
      </c>
      <c r="J669" s="348"/>
      <c r="L669" s="358"/>
    </row>
    <row r="670" spans="1:12" s="349" customFormat="1" ht="18" customHeight="1">
      <c r="A670" s="394"/>
      <c r="B670" s="343"/>
      <c r="C670" s="344" t="s">
        <v>260</v>
      </c>
      <c r="D670" s="345">
        <v>44404</v>
      </c>
      <c r="E670" s="346">
        <v>0</v>
      </c>
      <c r="F670" s="347">
        <v>0</v>
      </c>
      <c r="G670" s="346">
        <v>0</v>
      </c>
      <c r="H670" s="347">
        <v>0</v>
      </c>
      <c r="I670" s="347" t="s">
        <v>273</v>
      </c>
      <c r="J670" s="348"/>
      <c r="L670" s="358"/>
    </row>
    <row r="671" spans="1:12" s="349" customFormat="1" ht="18" customHeight="1">
      <c r="A671" s="394"/>
      <c r="B671" s="343"/>
      <c r="C671" s="344" t="s">
        <v>261</v>
      </c>
      <c r="D671" s="345">
        <v>44405</v>
      </c>
      <c r="E671" s="346">
        <v>1</v>
      </c>
      <c r="F671" s="347">
        <v>750000</v>
      </c>
      <c r="G671" s="346">
        <v>1</v>
      </c>
      <c r="H671" s="347">
        <v>750000</v>
      </c>
      <c r="I671" s="347" t="s">
        <v>268</v>
      </c>
      <c r="J671" s="348"/>
      <c r="L671" s="358"/>
    </row>
    <row r="672" spans="1:12" s="349" customFormat="1" ht="18" customHeight="1">
      <c r="A672" s="394"/>
      <c r="B672" s="343"/>
      <c r="C672" s="344" t="s">
        <v>262</v>
      </c>
      <c r="D672" s="345">
        <v>44406</v>
      </c>
      <c r="E672" s="346">
        <v>1</v>
      </c>
      <c r="F672" s="347">
        <v>750000</v>
      </c>
      <c r="G672" s="346">
        <v>1</v>
      </c>
      <c r="H672" s="347">
        <v>750000</v>
      </c>
      <c r="I672" s="347" t="s">
        <v>268</v>
      </c>
      <c r="J672" s="348"/>
      <c r="L672" s="358"/>
    </row>
    <row r="673" spans="1:12" s="349" customFormat="1" ht="18" customHeight="1">
      <c r="A673" s="394"/>
      <c r="B673" s="343"/>
      <c r="C673" s="344" t="s">
        <v>263</v>
      </c>
      <c r="D673" s="345">
        <v>44407</v>
      </c>
      <c r="E673" s="346">
        <v>1</v>
      </c>
      <c r="F673" s="347">
        <v>750000</v>
      </c>
      <c r="G673" s="346">
        <v>1</v>
      </c>
      <c r="H673" s="347">
        <v>750000</v>
      </c>
      <c r="I673" s="347" t="s">
        <v>268</v>
      </c>
      <c r="J673" s="348"/>
      <c r="L673" s="358"/>
    </row>
    <row r="674" spans="1:12" s="390" customFormat="1" ht="18" customHeight="1">
      <c r="A674" s="395"/>
      <c r="B674" s="384"/>
      <c r="C674" s="385" t="s">
        <v>257</v>
      </c>
      <c r="D674" s="386">
        <v>44408</v>
      </c>
      <c r="E674" s="387">
        <v>1</v>
      </c>
      <c r="F674" s="388">
        <v>750000</v>
      </c>
      <c r="G674" s="387">
        <v>1</v>
      </c>
      <c r="H674" s="388">
        <v>750000</v>
      </c>
      <c r="I674" s="388" t="s">
        <v>268</v>
      </c>
      <c r="J674" s="389"/>
      <c r="L674" s="391"/>
    </row>
    <row r="675" spans="1:12" s="349" customFormat="1" ht="18" customHeight="1">
      <c r="A675" s="394"/>
      <c r="B675" s="343"/>
      <c r="C675" s="702" t="s">
        <v>337</v>
      </c>
      <c r="D675" s="703"/>
      <c r="E675" s="704">
        <f>SUM(E644:E673)</f>
        <v>21</v>
      </c>
      <c r="F675" s="705"/>
      <c r="G675" s="704">
        <f>SUM(G644:G673)</f>
        <v>21</v>
      </c>
      <c r="H675" s="705"/>
      <c r="I675" s="400"/>
      <c r="J675" s="348"/>
      <c r="L675" s="358"/>
    </row>
    <row r="676" spans="1:12" s="297" customFormat="1" ht="20.100000000000001" customHeight="1">
      <c r="A676" s="277"/>
      <c r="B676" s="320"/>
      <c r="C676" s="706" t="s">
        <v>264</v>
      </c>
      <c r="D676" s="707"/>
      <c r="E676" s="708">
        <f>SUM(F644:F673)</f>
        <v>15750000</v>
      </c>
      <c r="F676" s="709"/>
      <c r="G676" s="708">
        <f>SUM(H644:H673)</f>
        <v>15750000</v>
      </c>
      <c r="H676" s="709"/>
      <c r="I676" s="330"/>
      <c r="J676" s="321"/>
      <c r="L676" s="356">
        <v>21</v>
      </c>
    </row>
    <row r="677" spans="1:12" s="296" customFormat="1" ht="24.95" customHeight="1">
      <c r="A677" s="277"/>
      <c r="B677" s="322"/>
      <c r="C677" s="692" t="s">
        <v>62</v>
      </c>
      <c r="D677" s="692"/>
      <c r="E677" s="692"/>
      <c r="F677" s="692"/>
      <c r="G677" s="690">
        <f>+G676+E676</f>
        <v>31500000</v>
      </c>
      <c r="H677" s="691"/>
      <c r="I677" s="331"/>
      <c r="J677" s="323"/>
      <c r="L677" s="359">
        <f>+L676*2*750000</f>
        <v>31500000</v>
      </c>
    </row>
    <row r="678" spans="1:12" ht="20.100000000000001" customHeight="1">
      <c r="B678" s="307"/>
      <c r="C678" s="369"/>
      <c r="J678" s="308"/>
    </row>
    <row r="679" spans="1:12" ht="18" customHeight="1">
      <c r="B679" s="307"/>
      <c r="C679" s="416" t="s">
        <v>136</v>
      </c>
      <c r="E679" s="183"/>
      <c r="F679" s="234" t="s">
        <v>131</v>
      </c>
      <c r="G679" s="234" t="s">
        <v>130</v>
      </c>
      <c r="H679" s="234" t="s">
        <v>129</v>
      </c>
      <c r="I679" s="234" t="s">
        <v>128</v>
      </c>
      <c r="J679" s="308"/>
    </row>
    <row r="680" spans="1:12" s="335" customFormat="1" ht="30" customHeight="1">
      <c r="B680" s="332"/>
      <c r="C680" s="710">
        <v>5</v>
      </c>
      <c r="D680" s="711"/>
      <c r="F680" s="415">
        <v>4</v>
      </c>
      <c r="G680" s="415">
        <v>3</v>
      </c>
      <c r="H680" s="415">
        <v>2</v>
      </c>
      <c r="I680" s="415">
        <v>1</v>
      </c>
      <c r="J680" s="337"/>
      <c r="L680" s="357"/>
    </row>
    <row r="681" spans="1:12" ht="15" customHeight="1">
      <c r="B681" s="307"/>
      <c r="C681" s="698" t="s">
        <v>358</v>
      </c>
      <c r="D681" s="699"/>
      <c r="E681" s="183"/>
      <c r="F681" s="236" t="s">
        <v>114</v>
      </c>
      <c r="G681" s="237" t="s">
        <v>357</v>
      </c>
      <c r="H681" s="238" t="s">
        <v>112</v>
      </c>
      <c r="I681" s="234" t="s">
        <v>16</v>
      </c>
      <c r="J681" s="308"/>
    </row>
    <row r="682" spans="1:12" ht="12.95" customHeight="1" thickBot="1">
      <c r="B682" s="374"/>
      <c r="C682" s="700" t="s">
        <v>132</v>
      </c>
      <c r="D682" s="701"/>
      <c r="E682" s="377"/>
      <c r="F682" s="375" t="s">
        <v>132</v>
      </c>
      <c r="G682" s="375" t="s">
        <v>132</v>
      </c>
      <c r="H682" s="375" t="s">
        <v>132</v>
      </c>
      <c r="I682" s="375" t="s">
        <v>132</v>
      </c>
      <c r="J682" s="378"/>
    </row>
    <row r="683" spans="1:12" ht="9.9499999999999993" customHeight="1" thickTop="1">
      <c r="B683" s="364"/>
      <c r="C683" s="364"/>
      <c r="D683" s="365"/>
      <c r="E683" s="366"/>
      <c r="F683" s="367"/>
      <c r="G683" s="366"/>
      <c r="H683" s="367"/>
      <c r="I683" s="367"/>
      <c r="J683" s="364"/>
    </row>
  </sheetData>
  <mergeCells count="250">
    <mergeCell ref="C681:D681"/>
    <mergeCell ref="C682:D682"/>
    <mergeCell ref="C675:D675"/>
    <mergeCell ref="E675:F675"/>
    <mergeCell ref="G675:H675"/>
    <mergeCell ref="C676:D676"/>
    <mergeCell ref="E676:F676"/>
    <mergeCell ref="G676:H676"/>
    <mergeCell ref="C677:F677"/>
    <mergeCell ref="G677:H677"/>
    <mergeCell ref="C680:D680"/>
    <mergeCell ref="A636:A638"/>
    <mergeCell ref="G637:I637"/>
    <mergeCell ref="F639:I640"/>
    <mergeCell ref="D640:E640"/>
    <mergeCell ref="C642:C643"/>
    <mergeCell ref="D642:D643"/>
    <mergeCell ref="E642:F642"/>
    <mergeCell ref="G642:H642"/>
    <mergeCell ref="I642:I643"/>
    <mergeCell ref="C532:D532"/>
    <mergeCell ref="C533:D533"/>
    <mergeCell ref="C526:D526"/>
    <mergeCell ref="E526:F526"/>
    <mergeCell ref="G526:H526"/>
    <mergeCell ref="C527:D527"/>
    <mergeCell ref="E527:F527"/>
    <mergeCell ref="G527:H527"/>
    <mergeCell ref="C528:F528"/>
    <mergeCell ref="G528:H528"/>
    <mergeCell ref="C531:D531"/>
    <mergeCell ref="A488:A490"/>
    <mergeCell ref="G489:I489"/>
    <mergeCell ref="F491:I492"/>
    <mergeCell ref="D492:E492"/>
    <mergeCell ref="C494:C495"/>
    <mergeCell ref="D494:D495"/>
    <mergeCell ref="E494:F494"/>
    <mergeCell ref="G494:H494"/>
    <mergeCell ref="I494:I495"/>
    <mergeCell ref="C381:D381"/>
    <mergeCell ref="E381:F381"/>
    <mergeCell ref="G381:H381"/>
    <mergeCell ref="C382:D382"/>
    <mergeCell ref="E382:F382"/>
    <mergeCell ref="G382:H382"/>
    <mergeCell ref="C383:F383"/>
    <mergeCell ref="G383:H383"/>
    <mergeCell ref="C388:D388"/>
    <mergeCell ref="C387:D387"/>
    <mergeCell ref="C386:D386"/>
    <mergeCell ref="A294:A296"/>
    <mergeCell ref="G295:I295"/>
    <mergeCell ref="F297:I298"/>
    <mergeCell ref="C299:C300"/>
    <mergeCell ref="D299:D300"/>
    <mergeCell ref="E299:F299"/>
    <mergeCell ref="G299:H299"/>
    <mergeCell ref="I299:I300"/>
    <mergeCell ref="C285:F285"/>
    <mergeCell ref="G285:H285"/>
    <mergeCell ref="A342:A344"/>
    <mergeCell ref="G343:I343"/>
    <mergeCell ref="F345:I346"/>
    <mergeCell ref="D346:E346"/>
    <mergeCell ref="C348:C349"/>
    <mergeCell ref="D348:D349"/>
    <mergeCell ref="E348:F348"/>
    <mergeCell ref="G348:H348"/>
    <mergeCell ref="I348:I349"/>
    <mergeCell ref="A148:A150"/>
    <mergeCell ref="G149:I149"/>
    <mergeCell ref="F151:I152"/>
    <mergeCell ref="C153:C154"/>
    <mergeCell ref="D153:D154"/>
    <mergeCell ref="E153:F153"/>
    <mergeCell ref="G153:H153"/>
    <mergeCell ref="I153:I154"/>
    <mergeCell ref="C188:F188"/>
    <mergeCell ref="G188:H188"/>
    <mergeCell ref="C186:D186"/>
    <mergeCell ref="E186:F186"/>
    <mergeCell ref="G186:H186"/>
    <mergeCell ref="C187:D187"/>
    <mergeCell ref="E187:F187"/>
    <mergeCell ref="G187:H187"/>
    <mergeCell ref="C91:F91"/>
    <mergeCell ref="G91:H91"/>
    <mergeCell ref="A51:A53"/>
    <mergeCell ref="G52:I52"/>
    <mergeCell ref="F54:I55"/>
    <mergeCell ref="C56:C57"/>
    <mergeCell ref="D56:D57"/>
    <mergeCell ref="E56:F56"/>
    <mergeCell ref="G56:H56"/>
    <mergeCell ref="I56:I57"/>
    <mergeCell ref="C89:D89"/>
    <mergeCell ref="E89:F89"/>
    <mergeCell ref="G89:H89"/>
    <mergeCell ref="C90:D90"/>
    <mergeCell ref="E90:F90"/>
    <mergeCell ref="G90:H90"/>
    <mergeCell ref="C41:D41"/>
    <mergeCell ref="E41:F41"/>
    <mergeCell ref="G41:H41"/>
    <mergeCell ref="C42:F42"/>
    <mergeCell ref="G42:H42"/>
    <mergeCell ref="A3:A5"/>
    <mergeCell ref="G4:I4"/>
    <mergeCell ref="F6:I7"/>
    <mergeCell ref="C8:C9"/>
    <mergeCell ref="D8:D9"/>
    <mergeCell ref="E8:F8"/>
    <mergeCell ref="G8:H8"/>
    <mergeCell ref="I8:I9"/>
    <mergeCell ref="C139:F139"/>
    <mergeCell ref="G139:H139"/>
    <mergeCell ref="C137:D137"/>
    <mergeCell ref="E137:F137"/>
    <mergeCell ref="G137:H137"/>
    <mergeCell ref="C138:D138"/>
    <mergeCell ref="E138:F138"/>
    <mergeCell ref="G138:H138"/>
    <mergeCell ref="A100:A102"/>
    <mergeCell ref="G101:I101"/>
    <mergeCell ref="F103:I104"/>
    <mergeCell ref="C105:C106"/>
    <mergeCell ref="D105:D106"/>
    <mergeCell ref="E105:F105"/>
    <mergeCell ref="G105:H105"/>
    <mergeCell ref="I105:I106"/>
    <mergeCell ref="C234:D234"/>
    <mergeCell ref="E234:F234"/>
    <mergeCell ref="G234:H234"/>
    <mergeCell ref="C235:D235"/>
    <mergeCell ref="E235:F235"/>
    <mergeCell ref="G235:H235"/>
    <mergeCell ref="A197:A199"/>
    <mergeCell ref="G198:I198"/>
    <mergeCell ref="F200:I201"/>
    <mergeCell ref="C202:C203"/>
    <mergeCell ref="D202:D203"/>
    <mergeCell ref="E202:F202"/>
    <mergeCell ref="G202:H202"/>
    <mergeCell ref="I202:I203"/>
    <mergeCell ref="C236:F236"/>
    <mergeCell ref="G236:H236"/>
    <mergeCell ref="A245:A247"/>
    <mergeCell ref="G246:I246"/>
    <mergeCell ref="F248:I249"/>
    <mergeCell ref="C250:C251"/>
    <mergeCell ref="D250:D251"/>
    <mergeCell ref="E250:F250"/>
    <mergeCell ref="G250:H250"/>
    <mergeCell ref="I250:I251"/>
    <mergeCell ref="C283:D283"/>
    <mergeCell ref="E283:F283"/>
    <mergeCell ref="G283:H283"/>
    <mergeCell ref="C284:D284"/>
    <mergeCell ref="C334:F334"/>
    <mergeCell ref="G334:H334"/>
    <mergeCell ref="D298:E298"/>
    <mergeCell ref="C332:D332"/>
    <mergeCell ref="E332:F332"/>
    <mergeCell ref="G332:H332"/>
    <mergeCell ref="C333:D333"/>
    <mergeCell ref="E333:F333"/>
    <mergeCell ref="G333:H333"/>
    <mergeCell ref="E284:F284"/>
    <mergeCell ref="G284:H284"/>
    <mergeCell ref="A391:A393"/>
    <mergeCell ref="G392:I392"/>
    <mergeCell ref="F394:I395"/>
    <mergeCell ref="D395:E395"/>
    <mergeCell ref="C397:C398"/>
    <mergeCell ref="D397:D398"/>
    <mergeCell ref="E397:F397"/>
    <mergeCell ref="G397:H397"/>
    <mergeCell ref="I397:I398"/>
    <mergeCell ref="C433:D433"/>
    <mergeCell ref="C434:D434"/>
    <mergeCell ref="C427:D427"/>
    <mergeCell ref="E427:F427"/>
    <mergeCell ref="G427:H427"/>
    <mergeCell ref="C428:D428"/>
    <mergeCell ref="E428:F428"/>
    <mergeCell ref="G428:H428"/>
    <mergeCell ref="C429:F429"/>
    <mergeCell ref="G429:H429"/>
    <mergeCell ref="C432:D432"/>
    <mergeCell ref="A438:A440"/>
    <mergeCell ref="G439:I439"/>
    <mergeCell ref="F441:I442"/>
    <mergeCell ref="D442:E442"/>
    <mergeCell ref="C444:C445"/>
    <mergeCell ref="D444:D445"/>
    <mergeCell ref="E444:F444"/>
    <mergeCell ref="G444:H444"/>
    <mergeCell ref="I444:I445"/>
    <mergeCell ref="C483:D483"/>
    <mergeCell ref="C484:D484"/>
    <mergeCell ref="C477:D477"/>
    <mergeCell ref="E477:F477"/>
    <mergeCell ref="G477:H477"/>
    <mergeCell ref="C478:D478"/>
    <mergeCell ref="E478:F478"/>
    <mergeCell ref="G478:H478"/>
    <mergeCell ref="C479:F479"/>
    <mergeCell ref="G479:H479"/>
    <mergeCell ref="C482:D482"/>
    <mergeCell ref="A537:A539"/>
    <mergeCell ref="G538:I538"/>
    <mergeCell ref="F540:I541"/>
    <mergeCell ref="D541:E541"/>
    <mergeCell ref="C543:C544"/>
    <mergeCell ref="D543:D544"/>
    <mergeCell ref="E543:F543"/>
    <mergeCell ref="G543:H543"/>
    <mergeCell ref="I543:I544"/>
    <mergeCell ref="C582:D582"/>
    <mergeCell ref="C583:D583"/>
    <mergeCell ref="C576:D576"/>
    <mergeCell ref="E576:F576"/>
    <mergeCell ref="G576:H576"/>
    <mergeCell ref="C577:D577"/>
    <mergeCell ref="E577:F577"/>
    <mergeCell ref="G577:H577"/>
    <mergeCell ref="C578:F578"/>
    <mergeCell ref="G578:H578"/>
    <mergeCell ref="C581:D581"/>
    <mergeCell ref="A587:A589"/>
    <mergeCell ref="G588:I588"/>
    <mergeCell ref="F590:I591"/>
    <mergeCell ref="D591:E591"/>
    <mergeCell ref="C593:C594"/>
    <mergeCell ref="D593:D594"/>
    <mergeCell ref="E593:F593"/>
    <mergeCell ref="G593:H593"/>
    <mergeCell ref="I593:I594"/>
    <mergeCell ref="C631:D631"/>
    <mergeCell ref="C632:D632"/>
    <mergeCell ref="C625:D625"/>
    <mergeCell ref="E625:F625"/>
    <mergeCell ref="G625:H625"/>
    <mergeCell ref="C626:D626"/>
    <mergeCell ref="E626:F626"/>
    <mergeCell ref="G626:H626"/>
    <mergeCell ref="C627:F627"/>
    <mergeCell ref="G627:H627"/>
    <mergeCell ref="C630:D630"/>
  </mergeCells>
  <printOptions horizontalCentered="1" verticalCentered="1"/>
  <pageMargins left="0" right="0" top="0.19685039370078741" bottom="0.19685039370078741" header="0.19685039370078741" footer="0.19685039370078741"/>
  <pageSetup paperSize="9" scale="9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5"/>
  <sheetViews>
    <sheetView showGridLines="0" topLeftCell="A246" zoomScaleNormal="100" workbookViewId="0">
      <selection activeCell="K276" sqref="K276:L276"/>
    </sheetView>
  </sheetViews>
  <sheetFormatPr defaultRowHeight="12.75"/>
  <cols>
    <col min="1" max="1" width="6.85546875" style="277" bestFit="1" customWidth="1"/>
    <col min="2" max="2" width="1.7109375" style="183" customWidth="1"/>
    <col min="3" max="3" width="10.7109375" style="183" customWidth="1"/>
    <col min="4" max="4" width="15.7109375" style="281" customWidth="1"/>
    <col min="5" max="5" width="15.7109375" style="277" customWidth="1"/>
    <col min="6" max="6" width="15.7109375" style="287" customWidth="1"/>
    <col min="7" max="7" width="15.7109375" style="277" customWidth="1"/>
    <col min="8" max="9" width="15.7109375" style="287" customWidth="1"/>
    <col min="10" max="10" width="1.7109375" style="183" customWidth="1"/>
    <col min="11" max="11" width="9.140625" style="183"/>
    <col min="12" max="12" width="18.7109375" style="351" customWidth="1"/>
    <col min="13" max="13" width="10.7109375" style="183" bestFit="1" customWidth="1"/>
    <col min="14" max="16384" width="9.140625" style="183"/>
  </cols>
  <sheetData>
    <row r="1" spans="1:12" ht="9.9499999999999993" customHeight="1" thickBot="1">
      <c r="B1" s="379"/>
      <c r="C1" s="379"/>
      <c r="D1" s="380"/>
      <c r="E1" s="381"/>
      <c r="F1" s="382"/>
      <c r="G1" s="381"/>
      <c r="H1" s="382"/>
      <c r="I1" s="382"/>
      <c r="J1" s="379"/>
    </row>
    <row r="2" spans="1:12" ht="9.9499999999999993" customHeight="1" thickTop="1">
      <c r="A2" s="661">
        <v>44501</v>
      </c>
      <c r="B2" s="301"/>
      <c r="C2" s="302"/>
      <c r="D2" s="303"/>
      <c r="E2" s="304"/>
      <c r="F2" s="305"/>
      <c r="G2" s="304"/>
      <c r="H2" s="305"/>
      <c r="I2" s="305"/>
      <c r="J2" s="306"/>
    </row>
    <row r="3" spans="1:12" ht="17.100000000000001" customHeight="1">
      <c r="A3" s="661"/>
      <c r="B3" s="307"/>
      <c r="C3" s="298" t="s">
        <v>138</v>
      </c>
      <c r="D3" s="299"/>
      <c r="G3" s="662" t="s">
        <v>381</v>
      </c>
      <c r="H3" s="662"/>
      <c r="I3" s="662"/>
      <c r="J3" s="308"/>
    </row>
    <row r="4" spans="1:12" s="275" customFormat="1" ht="30" customHeight="1">
      <c r="A4" s="661"/>
      <c r="B4" s="309"/>
      <c r="C4" s="279" t="s">
        <v>119</v>
      </c>
      <c r="D4" s="292" t="s">
        <v>244</v>
      </c>
      <c r="F4" s="310"/>
      <c r="G4" s="311"/>
      <c r="H4" s="310"/>
      <c r="I4" s="310"/>
      <c r="J4" s="312"/>
      <c r="L4" s="352"/>
    </row>
    <row r="5" spans="1:12" s="276" customFormat="1" ht="23.1" customHeight="1">
      <c r="A5" s="277"/>
      <c r="B5" s="313"/>
      <c r="C5" s="418" t="s">
        <v>120</v>
      </c>
      <c r="D5" s="419" t="s">
        <v>383</v>
      </c>
      <c r="E5" s="420"/>
      <c r="F5" s="679" t="s">
        <v>355</v>
      </c>
      <c r="G5" s="680"/>
      <c r="H5" s="680"/>
      <c r="I5" s="681"/>
      <c r="J5" s="315"/>
      <c r="L5" s="353"/>
    </row>
    <row r="6" spans="1:12" s="276" customFormat="1" ht="45" customHeight="1">
      <c r="A6" s="277"/>
      <c r="B6" s="313"/>
      <c r="C6" s="421" t="s">
        <v>356</v>
      </c>
      <c r="D6" s="718" t="s">
        <v>382</v>
      </c>
      <c r="E6" s="718"/>
      <c r="F6" s="682"/>
      <c r="G6" s="683"/>
      <c r="H6" s="683"/>
      <c r="I6" s="684"/>
      <c r="J6" s="315"/>
      <c r="L6" s="353"/>
    </row>
    <row r="7" spans="1:12" s="276" customFormat="1" ht="9.9499999999999993" customHeight="1">
      <c r="A7" s="277"/>
      <c r="B7" s="313"/>
      <c r="C7" s="410"/>
      <c r="D7" s="413"/>
      <c r="E7" s="411"/>
      <c r="F7" s="412"/>
      <c r="G7" s="412"/>
      <c r="H7" s="412"/>
      <c r="I7" s="414"/>
      <c r="J7" s="315"/>
      <c r="L7" s="353"/>
    </row>
    <row r="8" spans="1:12" s="278" customFormat="1" ht="50.1" customHeight="1">
      <c r="A8" s="392"/>
      <c r="B8" s="316"/>
      <c r="C8" s="669" t="s">
        <v>2</v>
      </c>
      <c r="D8" s="671" t="s">
        <v>283</v>
      </c>
      <c r="E8" s="673" t="s">
        <v>275</v>
      </c>
      <c r="F8" s="674"/>
      <c r="G8" s="673" t="s">
        <v>276</v>
      </c>
      <c r="H8" s="674"/>
      <c r="I8" s="713" t="s">
        <v>85</v>
      </c>
      <c r="J8" s="317"/>
      <c r="L8" s="354"/>
    </row>
    <row r="9" spans="1:12" s="278" customFormat="1" ht="24.95" customHeight="1">
      <c r="A9" s="392"/>
      <c r="B9" s="316"/>
      <c r="C9" s="670"/>
      <c r="D9" s="672"/>
      <c r="E9" s="294" t="s">
        <v>256</v>
      </c>
      <c r="F9" s="295" t="s">
        <v>27</v>
      </c>
      <c r="G9" s="294" t="s">
        <v>256</v>
      </c>
      <c r="H9" s="295" t="s">
        <v>27</v>
      </c>
      <c r="I9" s="675"/>
      <c r="J9" s="317"/>
      <c r="L9" s="354"/>
    </row>
    <row r="10" spans="1:12" s="349" customFormat="1" ht="18" customHeight="1">
      <c r="A10" s="394"/>
      <c r="B10" s="343"/>
      <c r="C10" s="344" t="s">
        <v>259</v>
      </c>
      <c r="D10" s="345">
        <v>44501</v>
      </c>
      <c r="E10" s="346">
        <v>1</v>
      </c>
      <c r="F10" s="347">
        <v>750000</v>
      </c>
      <c r="G10" s="346">
        <v>1</v>
      </c>
      <c r="H10" s="347">
        <v>750000</v>
      </c>
      <c r="I10" s="347" t="s">
        <v>268</v>
      </c>
      <c r="J10" s="348"/>
      <c r="L10" s="358"/>
    </row>
    <row r="11" spans="1:12" s="349" customFormat="1" ht="18" customHeight="1">
      <c r="A11" s="394"/>
      <c r="B11" s="343"/>
      <c r="C11" s="344" t="s">
        <v>260</v>
      </c>
      <c r="D11" s="345">
        <v>44502</v>
      </c>
      <c r="E11" s="346">
        <v>1</v>
      </c>
      <c r="F11" s="347">
        <v>750000</v>
      </c>
      <c r="G11" s="346">
        <v>1</v>
      </c>
      <c r="H11" s="347">
        <v>750000</v>
      </c>
      <c r="I11" s="347" t="s">
        <v>268</v>
      </c>
      <c r="J11" s="348"/>
      <c r="L11" s="358"/>
    </row>
    <row r="12" spans="1:12" s="349" customFormat="1" ht="18" customHeight="1">
      <c r="A12" s="394"/>
      <c r="B12" s="343"/>
      <c r="C12" s="344" t="s">
        <v>261</v>
      </c>
      <c r="D12" s="345">
        <v>44503</v>
      </c>
      <c r="E12" s="346">
        <v>1</v>
      </c>
      <c r="F12" s="347">
        <v>750000</v>
      </c>
      <c r="G12" s="346">
        <v>1</v>
      </c>
      <c r="H12" s="347">
        <v>750000</v>
      </c>
      <c r="I12" s="347" t="s">
        <v>268</v>
      </c>
      <c r="J12" s="348"/>
      <c r="L12" s="358"/>
    </row>
    <row r="13" spans="1:12" s="349" customFormat="1" ht="18" customHeight="1">
      <c r="A13" s="394"/>
      <c r="B13" s="343"/>
      <c r="C13" s="344" t="s">
        <v>262</v>
      </c>
      <c r="D13" s="345">
        <v>44504</v>
      </c>
      <c r="E13" s="346">
        <v>1</v>
      </c>
      <c r="F13" s="347">
        <v>750000</v>
      </c>
      <c r="G13" s="346">
        <v>1</v>
      </c>
      <c r="H13" s="347">
        <v>750000</v>
      </c>
      <c r="I13" s="347" t="s">
        <v>268</v>
      </c>
      <c r="J13" s="348"/>
      <c r="L13" s="358"/>
    </row>
    <row r="14" spans="1:12" s="349" customFormat="1" ht="18" customHeight="1">
      <c r="A14" s="394"/>
      <c r="B14" s="343"/>
      <c r="C14" s="344" t="s">
        <v>263</v>
      </c>
      <c r="D14" s="345">
        <v>44505</v>
      </c>
      <c r="E14" s="346">
        <v>1</v>
      </c>
      <c r="F14" s="347">
        <v>750000</v>
      </c>
      <c r="G14" s="346">
        <v>1</v>
      </c>
      <c r="H14" s="347">
        <v>750000</v>
      </c>
      <c r="I14" s="347" t="s">
        <v>268</v>
      </c>
      <c r="J14" s="348"/>
      <c r="L14" s="358"/>
    </row>
    <row r="15" spans="1:12" s="408" customFormat="1" ht="18" customHeight="1">
      <c r="A15" s="403"/>
      <c r="B15" s="404"/>
      <c r="C15" s="405" t="s">
        <v>257</v>
      </c>
      <c r="D15" s="406">
        <v>44506</v>
      </c>
      <c r="E15" s="401">
        <v>0</v>
      </c>
      <c r="F15" s="402">
        <v>0</v>
      </c>
      <c r="G15" s="401">
        <v>0</v>
      </c>
      <c r="H15" s="402">
        <v>0</v>
      </c>
      <c r="I15" s="402" t="s">
        <v>269</v>
      </c>
      <c r="J15" s="407"/>
      <c r="L15" s="409"/>
    </row>
    <row r="16" spans="1:12" s="408" customFormat="1" ht="18" customHeight="1">
      <c r="A16" s="403"/>
      <c r="B16" s="404"/>
      <c r="C16" s="405" t="s">
        <v>258</v>
      </c>
      <c r="D16" s="406">
        <v>44507</v>
      </c>
      <c r="E16" s="401">
        <v>0</v>
      </c>
      <c r="F16" s="402">
        <v>0</v>
      </c>
      <c r="G16" s="401">
        <v>0</v>
      </c>
      <c r="H16" s="402">
        <v>0</v>
      </c>
      <c r="I16" s="402" t="s">
        <v>269</v>
      </c>
      <c r="J16" s="407"/>
      <c r="L16" s="409"/>
    </row>
    <row r="17" spans="1:12" s="349" customFormat="1" ht="18" customHeight="1">
      <c r="A17" s="394"/>
      <c r="B17" s="343"/>
      <c r="C17" s="344" t="s">
        <v>259</v>
      </c>
      <c r="D17" s="345">
        <v>44508</v>
      </c>
      <c r="E17" s="346">
        <v>1</v>
      </c>
      <c r="F17" s="347">
        <v>750000</v>
      </c>
      <c r="G17" s="346">
        <v>1</v>
      </c>
      <c r="H17" s="347">
        <v>750000</v>
      </c>
      <c r="I17" s="347" t="s">
        <v>268</v>
      </c>
      <c r="J17" s="348"/>
      <c r="L17" s="358"/>
    </row>
    <row r="18" spans="1:12" s="349" customFormat="1" ht="18" customHeight="1">
      <c r="A18" s="394"/>
      <c r="B18" s="343"/>
      <c r="C18" s="344" t="s">
        <v>260</v>
      </c>
      <c r="D18" s="345">
        <v>44509</v>
      </c>
      <c r="E18" s="346">
        <v>1</v>
      </c>
      <c r="F18" s="347">
        <v>750000</v>
      </c>
      <c r="G18" s="346">
        <v>1</v>
      </c>
      <c r="H18" s="347">
        <v>750000</v>
      </c>
      <c r="I18" s="347" t="s">
        <v>268</v>
      </c>
      <c r="J18" s="348"/>
      <c r="L18" s="358"/>
    </row>
    <row r="19" spans="1:12" s="349" customFormat="1" ht="18" customHeight="1">
      <c r="A19" s="394"/>
      <c r="B19" s="343"/>
      <c r="C19" s="344" t="s">
        <v>261</v>
      </c>
      <c r="D19" s="345">
        <v>44510</v>
      </c>
      <c r="E19" s="346">
        <v>1</v>
      </c>
      <c r="F19" s="347">
        <v>750000</v>
      </c>
      <c r="G19" s="346">
        <v>1</v>
      </c>
      <c r="H19" s="347">
        <v>750000</v>
      </c>
      <c r="I19" s="347" t="s">
        <v>268</v>
      </c>
      <c r="J19" s="348"/>
      <c r="L19" s="358"/>
    </row>
    <row r="20" spans="1:12" s="349" customFormat="1" ht="18" customHeight="1">
      <c r="A20" s="394"/>
      <c r="B20" s="343"/>
      <c r="C20" s="344" t="s">
        <v>262</v>
      </c>
      <c r="D20" s="345">
        <v>44511</v>
      </c>
      <c r="E20" s="346">
        <v>1</v>
      </c>
      <c r="F20" s="347">
        <v>750000</v>
      </c>
      <c r="G20" s="346">
        <v>1</v>
      </c>
      <c r="H20" s="347">
        <v>750000</v>
      </c>
      <c r="I20" s="347" t="s">
        <v>268</v>
      </c>
      <c r="J20" s="348"/>
      <c r="L20" s="358"/>
    </row>
    <row r="21" spans="1:12" s="349" customFormat="1" ht="18" customHeight="1">
      <c r="A21" s="394"/>
      <c r="B21" s="343"/>
      <c r="C21" s="344" t="s">
        <v>263</v>
      </c>
      <c r="D21" s="345">
        <v>44512</v>
      </c>
      <c r="E21" s="346">
        <v>1</v>
      </c>
      <c r="F21" s="347">
        <v>750000</v>
      </c>
      <c r="G21" s="346">
        <v>1</v>
      </c>
      <c r="H21" s="347">
        <v>750000</v>
      </c>
      <c r="I21" s="347" t="s">
        <v>268</v>
      </c>
      <c r="J21" s="348"/>
      <c r="L21" s="358"/>
    </row>
    <row r="22" spans="1:12" s="408" customFormat="1" ht="18" customHeight="1">
      <c r="A22" s="403"/>
      <c r="B22" s="404"/>
      <c r="C22" s="405" t="s">
        <v>257</v>
      </c>
      <c r="D22" s="406">
        <v>44513</v>
      </c>
      <c r="E22" s="401">
        <v>0</v>
      </c>
      <c r="F22" s="402">
        <v>0</v>
      </c>
      <c r="G22" s="401">
        <v>0</v>
      </c>
      <c r="H22" s="402">
        <v>0</v>
      </c>
      <c r="I22" s="402" t="s">
        <v>269</v>
      </c>
      <c r="J22" s="407"/>
      <c r="L22" s="409"/>
    </row>
    <row r="23" spans="1:12" s="408" customFormat="1" ht="18" customHeight="1">
      <c r="A23" s="403"/>
      <c r="B23" s="404"/>
      <c r="C23" s="405" t="s">
        <v>258</v>
      </c>
      <c r="D23" s="406">
        <v>44514</v>
      </c>
      <c r="E23" s="401">
        <v>0</v>
      </c>
      <c r="F23" s="402">
        <v>0</v>
      </c>
      <c r="G23" s="401">
        <v>0</v>
      </c>
      <c r="H23" s="402">
        <v>0</v>
      </c>
      <c r="I23" s="402" t="s">
        <v>269</v>
      </c>
      <c r="J23" s="407"/>
      <c r="L23" s="409"/>
    </row>
    <row r="24" spans="1:12" s="349" customFormat="1" ht="18" customHeight="1">
      <c r="A24" s="394"/>
      <c r="B24" s="343"/>
      <c r="C24" s="344" t="s">
        <v>259</v>
      </c>
      <c r="D24" s="345">
        <v>44515</v>
      </c>
      <c r="E24" s="346">
        <v>1</v>
      </c>
      <c r="F24" s="347">
        <v>750000</v>
      </c>
      <c r="G24" s="346">
        <v>1</v>
      </c>
      <c r="H24" s="347">
        <v>750000</v>
      </c>
      <c r="I24" s="347" t="s">
        <v>268</v>
      </c>
      <c r="J24" s="348"/>
      <c r="L24" s="358"/>
    </row>
    <row r="25" spans="1:12" s="349" customFormat="1" ht="18" customHeight="1">
      <c r="A25" s="394"/>
      <c r="B25" s="343"/>
      <c r="C25" s="344" t="s">
        <v>260</v>
      </c>
      <c r="D25" s="345">
        <v>44516</v>
      </c>
      <c r="E25" s="346">
        <v>1</v>
      </c>
      <c r="F25" s="347">
        <v>750000</v>
      </c>
      <c r="G25" s="346">
        <v>1</v>
      </c>
      <c r="H25" s="347">
        <v>750000</v>
      </c>
      <c r="I25" s="347" t="s">
        <v>268</v>
      </c>
      <c r="J25" s="348"/>
      <c r="L25" s="358"/>
    </row>
    <row r="26" spans="1:12" s="349" customFormat="1" ht="18" customHeight="1">
      <c r="A26" s="394"/>
      <c r="B26" s="343"/>
      <c r="C26" s="344" t="s">
        <v>261</v>
      </c>
      <c r="D26" s="345">
        <v>44517</v>
      </c>
      <c r="E26" s="346">
        <v>1</v>
      </c>
      <c r="F26" s="347">
        <v>750000</v>
      </c>
      <c r="G26" s="346">
        <v>1</v>
      </c>
      <c r="H26" s="347">
        <v>750000</v>
      </c>
      <c r="I26" s="347" t="s">
        <v>268</v>
      </c>
      <c r="J26" s="348"/>
      <c r="L26" s="358"/>
    </row>
    <row r="27" spans="1:12" s="349" customFormat="1" ht="18" customHeight="1">
      <c r="A27" s="394"/>
      <c r="B27" s="343"/>
      <c r="C27" s="344" t="s">
        <v>262</v>
      </c>
      <c r="D27" s="345">
        <v>44518</v>
      </c>
      <c r="E27" s="346">
        <v>1</v>
      </c>
      <c r="F27" s="347">
        <v>750000</v>
      </c>
      <c r="G27" s="346">
        <v>1</v>
      </c>
      <c r="H27" s="347">
        <v>750000</v>
      </c>
      <c r="I27" s="347" t="s">
        <v>268</v>
      </c>
      <c r="J27" s="348"/>
      <c r="L27" s="358"/>
    </row>
    <row r="28" spans="1:12" s="349" customFormat="1" ht="18" customHeight="1">
      <c r="A28" s="394"/>
      <c r="B28" s="343"/>
      <c r="C28" s="344" t="s">
        <v>263</v>
      </c>
      <c r="D28" s="345">
        <v>44519</v>
      </c>
      <c r="E28" s="346">
        <v>1</v>
      </c>
      <c r="F28" s="347">
        <v>750000</v>
      </c>
      <c r="G28" s="346">
        <v>1</v>
      </c>
      <c r="H28" s="347">
        <v>750000</v>
      </c>
      <c r="I28" s="347" t="s">
        <v>268</v>
      </c>
      <c r="J28" s="348"/>
      <c r="L28" s="358"/>
    </row>
    <row r="29" spans="1:12" s="408" customFormat="1" ht="18" customHeight="1">
      <c r="A29" s="403"/>
      <c r="B29" s="404"/>
      <c r="C29" s="405" t="s">
        <v>257</v>
      </c>
      <c r="D29" s="406">
        <v>44520</v>
      </c>
      <c r="E29" s="401">
        <v>0</v>
      </c>
      <c r="F29" s="402">
        <v>0</v>
      </c>
      <c r="G29" s="401">
        <v>0</v>
      </c>
      <c r="H29" s="402">
        <v>0</v>
      </c>
      <c r="I29" s="402" t="s">
        <v>269</v>
      </c>
      <c r="J29" s="407"/>
      <c r="L29" s="409"/>
    </row>
    <row r="30" spans="1:12" s="408" customFormat="1" ht="18" customHeight="1">
      <c r="A30" s="403"/>
      <c r="B30" s="404"/>
      <c r="C30" s="405" t="s">
        <v>258</v>
      </c>
      <c r="D30" s="406">
        <v>44521</v>
      </c>
      <c r="E30" s="401">
        <v>0</v>
      </c>
      <c r="F30" s="402">
        <v>0</v>
      </c>
      <c r="G30" s="401">
        <v>0</v>
      </c>
      <c r="H30" s="402">
        <v>0</v>
      </c>
      <c r="I30" s="402" t="s">
        <v>269</v>
      </c>
      <c r="J30" s="407"/>
      <c r="L30" s="409"/>
    </row>
    <row r="31" spans="1:12" s="349" customFormat="1" ht="18" customHeight="1">
      <c r="A31" s="394"/>
      <c r="B31" s="343"/>
      <c r="C31" s="344" t="s">
        <v>259</v>
      </c>
      <c r="D31" s="345">
        <v>44522</v>
      </c>
      <c r="E31" s="346">
        <v>1</v>
      </c>
      <c r="F31" s="347">
        <v>750000</v>
      </c>
      <c r="G31" s="346">
        <v>1</v>
      </c>
      <c r="H31" s="347">
        <v>750000</v>
      </c>
      <c r="I31" s="347" t="s">
        <v>268</v>
      </c>
      <c r="J31" s="348"/>
      <c r="L31" s="358"/>
    </row>
    <row r="32" spans="1:12" s="349" customFormat="1" ht="18" customHeight="1">
      <c r="A32" s="394"/>
      <c r="B32" s="343"/>
      <c r="C32" s="344" t="s">
        <v>260</v>
      </c>
      <c r="D32" s="345">
        <v>44523</v>
      </c>
      <c r="E32" s="346">
        <v>1</v>
      </c>
      <c r="F32" s="347">
        <v>750000</v>
      </c>
      <c r="G32" s="346">
        <v>1</v>
      </c>
      <c r="H32" s="347">
        <v>750000</v>
      </c>
      <c r="I32" s="347" t="s">
        <v>268</v>
      </c>
      <c r="J32" s="348"/>
      <c r="L32" s="358"/>
    </row>
    <row r="33" spans="1:12" s="349" customFormat="1" ht="18" customHeight="1">
      <c r="A33" s="394"/>
      <c r="B33" s="343"/>
      <c r="C33" s="344" t="s">
        <v>261</v>
      </c>
      <c r="D33" s="345">
        <v>44524</v>
      </c>
      <c r="E33" s="346">
        <v>1</v>
      </c>
      <c r="F33" s="347">
        <v>750000</v>
      </c>
      <c r="G33" s="346">
        <v>1</v>
      </c>
      <c r="H33" s="347">
        <v>750000</v>
      </c>
      <c r="I33" s="347" t="s">
        <v>268</v>
      </c>
      <c r="J33" s="348"/>
      <c r="L33" s="358"/>
    </row>
    <row r="34" spans="1:12" s="349" customFormat="1" ht="18" customHeight="1">
      <c r="A34" s="394"/>
      <c r="B34" s="343"/>
      <c r="C34" s="344" t="s">
        <v>262</v>
      </c>
      <c r="D34" s="345">
        <v>44525</v>
      </c>
      <c r="E34" s="346">
        <v>1</v>
      </c>
      <c r="F34" s="347">
        <v>750000</v>
      </c>
      <c r="G34" s="346">
        <v>1</v>
      </c>
      <c r="H34" s="347">
        <v>750000</v>
      </c>
      <c r="I34" s="347" t="s">
        <v>268</v>
      </c>
      <c r="J34" s="348"/>
      <c r="L34" s="358"/>
    </row>
    <row r="35" spans="1:12" s="349" customFormat="1" ht="18" customHeight="1">
      <c r="A35" s="394"/>
      <c r="B35" s="343"/>
      <c r="C35" s="344" t="s">
        <v>263</v>
      </c>
      <c r="D35" s="345">
        <v>44526</v>
      </c>
      <c r="E35" s="346">
        <v>1</v>
      </c>
      <c r="F35" s="347">
        <v>750000</v>
      </c>
      <c r="G35" s="346">
        <v>1</v>
      </c>
      <c r="H35" s="347">
        <v>750000</v>
      </c>
      <c r="I35" s="347" t="s">
        <v>268</v>
      </c>
      <c r="J35" s="348"/>
      <c r="L35" s="358"/>
    </row>
    <row r="36" spans="1:12" s="408" customFormat="1" ht="18" customHeight="1">
      <c r="A36" s="403"/>
      <c r="B36" s="404"/>
      <c r="C36" s="405" t="s">
        <v>257</v>
      </c>
      <c r="D36" s="406">
        <v>44527</v>
      </c>
      <c r="E36" s="401">
        <v>0</v>
      </c>
      <c r="F36" s="402">
        <v>0</v>
      </c>
      <c r="G36" s="401">
        <v>0</v>
      </c>
      <c r="H36" s="402">
        <v>0</v>
      </c>
      <c r="I36" s="402" t="s">
        <v>269</v>
      </c>
      <c r="J36" s="407"/>
      <c r="L36" s="409"/>
    </row>
    <row r="37" spans="1:12" s="408" customFormat="1" ht="18" customHeight="1">
      <c r="A37" s="403"/>
      <c r="B37" s="404"/>
      <c r="C37" s="405" t="s">
        <v>258</v>
      </c>
      <c r="D37" s="406">
        <v>44528</v>
      </c>
      <c r="E37" s="401">
        <v>0</v>
      </c>
      <c r="F37" s="402">
        <v>0</v>
      </c>
      <c r="G37" s="401">
        <v>0</v>
      </c>
      <c r="H37" s="402">
        <v>0</v>
      </c>
      <c r="I37" s="402" t="s">
        <v>269</v>
      </c>
      <c r="J37" s="407"/>
      <c r="L37" s="409"/>
    </row>
    <row r="38" spans="1:12" s="349" customFormat="1" ht="18" customHeight="1">
      <c r="A38" s="394"/>
      <c r="B38" s="343"/>
      <c r="C38" s="344" t="s">
        <v>259</v>
      </c>
      <c r="D38" s="345">
        <v>44529</v>
      </c>
      <c r="E38" s="346">
        <v>1</v>
      </c>
      <c r="F38" s="347">
        <v>750000</v>
      </c>
      <c r="G38" s="346">
        <v>1</v>
      </c>
      <c r="H38" s="347">
        <v>750000</v>
      </c>
      <c r="I38" s="347" t="s">
        <v>268</v>
      </c>
      <c r="J38" s="348"/>
      <c r="L38" s="358"/>
    </row>
    <row r="39" spans="1:12" s="349" customFormat="1" ht="18" customHeight="1">
      <c r="A39" s="394"/>
      <c r="B39" s="343"/>
      <c r="C39" s="344" t="s">
        <v>260</v>
      </c>
      <c r="D39" s="345">
        <v>44530</v>
      </c>
      <c r="E39" s="346">
        <v>1</v>
      </c>
      <c r="F39" s="347">
        <v>750000</v>
      </c>
      <c r="G39" s="346">
        <v>1</v>
      </c>
      <c r="H39" s="347">
        <v>750000</v>
      </c>
      <c r="I39" s="347" t="s">
        <v>268</v>
      </c>
      <c r="J39" s="348"/>
      <c r="L39" s="358"/>
    </row>
    <row r="40" spans="1:12" s="349" customFormat="1" ht="18" customHeight="1">
      <c r="A40" s="394"/>
      <c r="B40" s="343"/>
      <c r="C40" s="702" t="s">
        <v>337</v>
      </c>
      <c r="D40" s="703"/>
      <c r="E40" s="704">
        <f>SUM(E10:E39)</f>
        <v>22</v>
      </c>
      <c r="F40" s="705"/>
      <c r="G40" s="704">
        <f>SUM(G10:G39)</f>
        <v>22</v>
      </c>
      <c r="H40" s="705"/>
      <c r="I40" s="400"/>
      <c r="J40" s="348"/>
      <c r="L40" s="358"/>
    </row>
    <row r="41" spans="1:12" s="297" customFormat="1" ht="20.100000000000001" customHeight="1">
      <c r="A41" s="277"/>
      <c r="B41" s="320"/>
      <c r="C41" s="706" t="s">
        <v>264</v>
      </c>
      <c r="D41" s="707"/>
      <c r="E41" s="708">
        <f>SUM(F10:F39)</f>
        <v>16500000</v>
      </c>
      <c r="F41" s="709"/>
      <c r="G41" s="708">
        <f>SUM(H10:H39)</f>
        <v>16500000</v>
      </c>
      <c r="H41" s="709"/>
      <c r="I41" s="330"/>
      <c r="J41" s="321"/>
      <c r="L41" s="356">
        <v>22</v>
      </c>
    </row>
    <row r="42" spans="1:12" s="296" customFormat="1" ht="24.95" customHeight="1">
      <c r="A42" s="277"/>
      <c r="B42" s="322"/>
      <c r="C42" s="692" t="s">
        <v>62</v>
      </c>
      <c r="D42" s="692"/>
      <c r="E42" s="692"/>
      <c r="F42" s="692"/>
      <c r="G42" s="690">
        <f>+G41+E41</f>
        <v>33000000</v>
      </c>
      <c r="H42" s="691"/>
      <c r="I42" s="331"/>
      <c r="J42" s="323"/>
      <c r="L42" s="359">
        <f>+L41*2*750000</f>
        <v>33000000</v>
      </c>
    </row>
    <row r="43" spans="1:12" ht="20.100000000000001" customHeight="1">
      <c r="B43" s="307"/>
      <c r="C43" s="369"/>
      <c r="J43" s="308"/>
    </row>
    <row r="44" spans="1:12" ht="18" customHeight="1">
      <c r="B44" s="307"/>
      <c r="C44" s="416" t="s">
        <v>136</v>
      </c>
      <c r="E44" s="183"/>
      <c r="F44" s="234" t="s">
        <v>131</v>
      </c>
      <c r="G44" s="234" t="s">
        <v>130</v>
      </c>
      <c r="H44" s="234" t="s">
        <v>129</v>
      </c>
      <c r="I44" s="234" t="s">
        <v>128</v>
      </c>
      <c r="J44" s="308"/>
    </row>
    <row r="45" spans="1:12" s="335" customFormat="1" ht="30" customHeight="1">
      <c r="B45" s="332"/>
      <c r="C45" s="710">
        <v>5</v>
      </c>
      <c r="D45" s="711"/>
      <c r="F45" s="415">
        <v>4</v>
      </c>
      <c r="G45" s="415">
        <v>3</v>
      </c>
      <c r="H45" s="415">
        <v>2</v>
      </c>
      <c r="I45" s="415">
        <v>1</v>
      </c>
      <c r="J45" s="337"/>
      <c r="L45" s="357"/>
    </row>
    <row r="46" spans="1:12" ht="15" customHeight="1">
      <c r="B46" s="307"/>
      <c r="C46" s="698" t="s">
        <v>358</v>
      </c>
      <c r="D46" s="699"/>
      <c r="E46" s="183"/>
      <c r="F46" s="236" t="s">
        <v>114</v>
      </c>
      <c r="G46" s="237" t="s">
        <v>357</v>
      </c>
      <c r="H46" s="238" t="s">
        <v>112</v>
      </c>
      <c r="I46" s="234" t="s">
        <v>16</v>
      </c>
      <c r="J46" s="308"/>
    </row>
    <row r="47" spans="1:12" ht="12.95" customHeight="1" thickBot="1">
      <c r="B47" s="374"/>
      <c r="C47" s="700" t="s">
        <v>132</v>
      </c>
      <c r="D47" s="701"/>
      <c r="E47" s="377"/>
      <c r="F47" s="375" t="s">
        <v>132</v>
      </c>
      <c r="G47" s="375" t="s">
        <v>132</v>
      </c>
      <c r="H47" s="375" t="s">
        <v>132</v>
      </c>
      <c r="I47" s="375" t="s">
        <v>132</v>
      </c>
      <c r="J47" s="378"/>
    </row>
    <row r="48" spans="1:12" ht="9.9499999999999993" customHeight="1" thickTop="1">
      <c r="B48" s="364"/>
      <c r="C48" s="364"/>
      <c r="D48" s="365"/>
      <c r="E48" s="366"/>
      <c r="F48" s="367"/>
      <c r="G48" s="366"/>
      <c r="H48" s="367"/>
      <c r="I48" s="367"/>
      <c r="J48" s="364"/>
    </row>
    <row r="49" spans="1:12" ht="9.9499999999999993" customHeight="1" thickBot="1">
      <c r="B49" s="379"/>
      <c r="C49" s="379"/>
      <c r="D49" s="380"/>
      <c r="E49" s="381"/>
      <c r="F49" s="382"/>
      <c r="G49" s="381"/>
      <c r="H49" s="382"/>
      <c r="I49" s="382"/>
      <c r="J49" s="379"/>
    </row>
    <row r="50" spans="1:12" ht="9.9499999999999993" customHeight="1" thickTop="1">
      <c r="A50" s="661">
        <v>44208</v>
      </c>
      <c r="B50" s="301"/>
      <c r="C50" s="302"/>
      <c r="D50" s="303"/>
      <c r="E50" s="304"/>
      <c r="F50" s="305"/>
      <c r="G50" s="304"/>
      <c r="H50" s="305"/>
      <c r="I50" s="305"/>
      <c r="J50" s="306"/>
    </row>
    <row r="51" spans="1:12" ht="17.100000000000001" customHeight="1">
      <c r="A51" s="661"/>
      <c r="B51" s="307"/>
      <c r="C51" s="298" t="s">
        <v>138</v>
      </c>
      <c r="D51" s="299"/>
      <c r="G51" s="662" t="s">
        <v>384</v>
      </c>
      <c r="H51" s="662"/>
      <c r="I51" s="662"/>
      <c r="J51" s="308"/>
    </row>
    <row r="52" spans="1:12" s="275" customFormat="1" ht="30" customHeight="1">
      <c r="A52" s="661"/>
      <c r="B52" s="309"/>
      <c r="C52" s="279" t="s">
        <v>119</v>
      </c>
      <c r="D52" s="292" t="s">
        <v>244</v>
      </c>
      <c r="F52" s="310"/>
      <c r="G52" s="311"/>
      <c r="H52" s="310"/>
      <c r="I52" s="310"/>
      <c r="J52" s="312"/>
      <c r="L52" s="352"/>
    </row>
    <row r="53" spans="1:12" s="276" customFormat="1" ht="23.1" customHeight="1">
      <c r="A53" s="277"/>
      <c r="B53" s="313"/>
      <c r="C53" s="280" t="s">
        <v>120</v>
      </c>
      <c r="D53" s="293" t="s">
        <v>385</v>
      </c>
      <c r="F53" s="679" t="s">
        <v>355</v>
      </c>
      <c r="G53" s="680"/>
      <c r="H53" s="680"/>
      <c r="I53" s="681"/>
      <c r="J53" s="315"/>
      <c r="L53" s="353"/>
    </row>
    <row r="54" spans="1:12" s="276" customFormat="1" ht="45" customHeight="1">
      <c r="A54" s="277"/>
      <c r="B54" s="313"/>
      <c r="C54" s="410" t="s">
        <v>356</v>
      </c>
      <c r="D54" s="712" t="s">
        <v>386</v>
      </c>
      <c r="E54" s="712"/>
      <c r="F54" s="682"/>
      <c r="G54" s="683"/>
      <c r="H54" s="683"/>
      <c r="I54" s="684"/>
      <c r="J54" s="315"/>
      <c r="L54" s="353"/>
    </row>
    <row r="55" spans="1:12" s="276" customFormat="1" ht="9.9499999999999993" customHeight="1">
      <c r="A55" s="277"/>
      <c r="B55" s="313"/>
      <c r="C55" s="410"/>
      <c r="D55" s="413"/>
      <c r="E55" s="411"/>
      <c r="F55" s="412"/>
      <c r="G55" s="412"/>
      <c r="H55" s="412"/>
      <c r="I55" s="414"/>
      <c r="J55" s="315"/>
      <c r="L55" s="353"/>
    </row>
    <row r="56" spans="1:12" s="278" customFormat="1" ht="50.1" customHeight="1">
      <c r="A56" s="392"/>
      <c r="B56" s="316"/>
      <c r="C56" s="669" t="s">
        <v>2</v>
      </c>
      <c r="D56" s="671" t="s">
        <v>283</v>
      </c>
      <c r="E56" s="673" t="s">
        <v>275</v>
      </c>
      <c r="F56" s="674"/>
      <c r="G56" s="673" t="s">
        <v>276</v>
      </c>
      <c r="H56" s="674"/>
      <c r="I56" s="713" t="s">
        <v>85</v>
      </c>
      <c r="J56" s="317"/>
      <c r="L56" s="354"/>
    </row>
    <row r="57" spans="1:12" s="278" customFormat="1" ht="24.95" customHeight="1">
      <c r="A57" s="392"/>
      <c r="B57" s="316"/>
      <c r="C57" s="670"/>
      <c r="D57" s="672"/>
      <c r="E57" s="294" t="s">
        <v>256</v>
      </c>
      <c r="F57" s="295" t="s">
        <v>27</v>
      </c>
      <c r="G57" s="294" t="s">
        <v>256</v>
      </c>
      <c r="H57" s="295" t="s">
        <v>27</v>
      </c>
      <c r="I57" s="675"/>
      <c r="J57" s="317"/>
      <c r="L57" s="354"/>
    </row>
    <row r="58" spans="1:12" s="349" customFormat="1" ht="18" customHeight="1">
      <c r="A58" s="394"/>
      <c r="B58" s="343"/>
      <c r="C58" s="344" t="s">
        <v>261</v>
      </c>
      <c r="D58" s="345">
        <v>44531</v>
      </c>
      <c r="E58" s="346">
        <v>1</v>
      </c>
      <c r="F58" s="347">
        <v>750000</v>
      </c>
      <c r="G58" s="346">
        <v>1</v>
      </c>
      <c r="H58" s="347">
        <v>750000</v>
      </c>
      <c r="I58" s="347" t="s">
        <v>268</v>
      </c>
      <c r="J58" s="348"/>
      <c r="L58" s="358"/>
    </row>
    <row r="59" spans="1:12" s="349" customFormat="1" ht="18" customHeight="1">
      <c r="A59" s="394"/>
      <c r="B59" s="343"/>
      <c r="C59" s="344" t="s">
        <v>262</v>
      </c>
      <c r="D59" s="345">
        <v>44532</v>
      </c>
      <c r="E59" s="346">
        <v>1</v>
      </c>
      <c r="F59" s="347">
        <v>750000</v>
      </c>
      <c r="G59" s="346">
        <v>1</v>
      </c>
      <c r="H59" s="347">
        <v>750000</v>
      </c>
      <c r="I59" s="347" t="s">
        <v>268</v>
      </c>
      <c r="J59" s="348"/>
      <c r="L59" s="358"/>
    </row>
    <row r="60" spans="1:12" s="349" customFormat="1" ht="18" customHeight="1">
      <c r="A60" s="394"/>
      <c r="B60" s="343"/>
      <c r="C60" s="344" t="s">
        <v>263</v>
      </c>
      <c r="D60" s="345">
        <v>44533</v>
      </c>
      <c r="E60" s="346">
        <v>1</v>
      </c>
      <c r="F60" s="347">
        <v>750000</v>
      </c>
      <c r="G60" s="346">
        <v>1</v>
      </c>
      <c r="H60" s="347">
        <v>750000</v>
      </c>
      <c r="I60" s="347" t="s">
        <v>268</v>
      </c>
      <c r="J60" s="348"/>
      <c r="L60" s="358"/>
    </row>
    <row r="61" spans="1:12" s="349" customFormat="1" ht="18" customHeight="1">
      <c r="A61" s="394"/>
      <c r="B61" s="343"/>
      <c r="C61" s="405" t="s">
        <v>257</v>
      </c>
      <c r="D61" s="406">
        <v>44534</v>
      </c>
      <c r="E61" s="401">
        <v>0</v>
      </c>
      <c r="F61" s="402">
        <v>0</v>
      </c>
      <c r="G61" s="401">
        <v>0</v>
      </c>
      <c r="H61" s="402">
        <v>0</v>
      </c>
      <c r="I61" s="402" t="s">
        <v>269</v>
      </c>
      <c r="J61" s="348"/>
      <c r="L61" s="358"/>
    </row>
    <row r="62" spans="1:12" s="349" customFormat="1" ht="18" customHeight="1">
      <c r="A62" s="394"/>
      <c r="B62" s="343"/>
      <c r="C62" s="405" t="s">
        <v>258</v>
      </c>
      <c r="D62" s="406">
        <v>44535</v>
      </c>
      <c r="E62" s="401">
        <v>0</v>
      </c>
      <c r="F62" s="402">
        <v>0</v>
      </c>
      <c r="G62" s="401">
        <v>0</v>
      </c>
      <c r="H62" s="402">
        <v>0</v>
      </c>
      <c r="I62" s="402" t="s">
        <v>269</v>
      </c>
      <c r="J62" s="348"/>
      <c r="L62" s="358"/>
    </row>
    <row r="63" spans="1:12" s="408" customFormat="1" ht="18" customHeight="1">
      <c r="A63" s="403"/>
      <c r="B63" s="404"/>
      <c r="C63" s="344" t="s">
        <v>259</v>
      </c>
      <c r="D63" s="345">
        <v>44536</v>
      </c>
      <c r="E63" s="346">
        <v>1</v>
      </c>
      <c r="F63" s="347">
        <v>750000</v>
      </c>
      <c r="G63" s="346">
        <v>1</v>
      </c>
      <c r="H63" s="347">
        <v>750000</v>
      </c>
      <c r="I63" s="347" t="s">
        <v>268</v>
      </c>
      <c r="J63" s="407"/>
      <c r="L63" s="409"/>
    </row>
    <row r="64" spans="1:12" s="408" customFormat="1" ht="18" customHeight="1">
      <c r="A64" s="403"/>
      <c r="B64" s="404"/>
      <c r="C64" s="344" t="s">
        <v>260</v>
      </c>
      <c r="D64" s="345">
        <v>44537</v>
      </c>
      <c r="E64" s="346">
        <v>1</v>
      </c>
      <c r="F64" s="347">
        <v>750000</v>
      </c>
      <c r="G64" s="346">
        <v>1</v>
      </c>
      <c r="H64" s="347">
        <v>750000</v>
      </c>
      <c r="I64" s="347" t="s">
        <v>268</v>
      </c>
      <c r="J64" s="407"/>
      <c r="L64" s="409"/>
    </row>
    <row r="65" spans="1:12" s="349" customFormat="1" ht="18" customHeight="1">
      <c r="A65" s="394"/>
      <c r="B65" s="343"/>
      <c r="C65" s="344" t="s">
        <v>261</v>
      </c>
      <c r="D65" s="345">
        <v>44538</v>
      </c>
      <c r="E65" s="346">
        <v>1</v>
      </c>
      <c r="F65" s="347">
        <v>750000</v>
      </c>
      <c r="G65" s="346">
        <v>1</v>
      </c>
      <c r="H65" s="347">
        <v>750000</v>
      </c>
      <c r="I65" s="347" t="s">
        <v>268</v>
      </c>
      <c r="J65" s="348"/>
      <c r="L65" s="358"/>
    </row>
    <row r="66" spans="1:12" s="349" customFormat="1" ht="18" customHeight="1">
      <c r="A66" s="394"/>
      <c r="B66" s="343"/>
      <c r="C66" s="344" t="s">
        <v>262</v>
      </c>
      <c r="D66" s="345">
        <v>44539</v>
      </c>
      <c r="E66" s="346">
        <v>1</v>
      </c>
      <c r="F66" s="347">
        <v>750000</v>
      </c>
      <c r="G66" s="346">
        <v>1</v>
      </c>
      <c r="H66" s="347">
        <v>750000</v>
      </c>
      <c r="I66" s="347" t="s">
        <v>268</v>
      </c>
      <c r="J66" s="348"/>
      <c r="L66" s="358"/>
    </row>
    <row r="67" spans="1:12" s="349" customFormat="1" ht="18" customHeight="1">
      <c r="A67" s="394"/>
      <c r="B67" s="343"/>
      <c r="C67" s="344" t="s">
        <v>263</v>
      </c>
      <c r="D67" s="345">
        <v>44540</v>
      </c>
      <c r="E67" s="346">
        <v>1</v>
      </c>
      <c r="F67" s="347">
        <v>750000</v>
      </c>
      <c r="G67" s="346">
        <v>1</v>
      </c>
      <c r="H67" s="347">
        <v>750000</v>
      </c>
      <c r="I67" s="347" t="s">
        <v>268</v>
      </c>
      <c r="J67" s="348"/>
      <c r="L67" s="358"/>
    </row>
    <row r="68" spans="1:12" s="349" customFormat="1" ht="18" customHeight="1">
      <c r="A68" s="394"/>
      <c r="B68" s="343"/>
      <c r="C68" s="405" t="s">
        <v>257</v>
      </c>
      <c r="D68" s="406">
        <v>44541</v>
      </c>
      <c r="E68" s="401">
        <v>0</v>
      </c>
      <c r="F68" s="402">
        <v>0</v>
      </c>
      <c r="G68" s="401">
        <v>0</v>
      </c>
      <c r="H68" s="402">
        <v>0</v>
      </c>
      <c r="I68" s="402" t="s">
        <v>269</v>
      </c>
      <c r="J68" s="348"/>
      <c r="L68" s="358"/>
    </row>
    <row r="69" spans="1:12" s="349" customFormat="1" ht="18" customHeight="1">
      <c r="A69" s="394"/>
      <c r="B69" s="343"/>
      <c r="C69" s="405" t="s">
        <v>258</v>
      </c>
      <c r="D69" s="406">
        <v>44542</v>
      </c>
      <c r="E69" s="401">
        <v>0</v>
      </c>
      <c r="F69" s="402">
        <v>0</v>
      </c>
      <c r="G69" s="401">
        <v>0</v>
      </c>
      <c r="H69" s="402">
        <v>0</v>
      </c>
      <c r="I69" s="402" t="s">
        <v>269</v>
      </c>
      <c r="J69" s="348"/>
      <c r="L69" s="358"/>
    </row>
    <row r="70" spans="1:12" s="408" customFormat="1" ht="18" customHeight="1">
      <c r="A70" s="403"/>
      <c r="B70" s="404"/>
      <c r="C70" s="344" t="s">
        <v>259</v>
      </c>
      <c r="D70" s="345">
        <v>44543</v>
      </c>
      <c r="E70" s="346">
        <v>1</v>
      </c>
      <c r="F70" s="347">
        <v>750000</v>
      </c>
      <c r="G70" s="346">
        <v>1</v>
      </c>
      <c r="H70" s="347">
        <v>750000</v>
      </c>
      <c r="I70" s="347" t="s">
        <v>268</v>
      </c>
      <c r="J70" s="407"/>
      <c r="L70" s="409"/>
    </row>
    <row r="71" spans="1:12" s="408" customFormat="1" ht="18" customHeight="1">
      <c r="A71" s="403"/>
      <c r="B71" s="404"/>
      <c r="C71" s="344" t="s">
        <v>260</v>
      </c>
      <c r="D71" s="345">
        <v>44544</v>
      </c>
      <c r="E71" s="346">
        <v>1</v>
      </c>
      <c r="F71" s="347">
        <v>750000</v>
      </c>
      <c r="G71" s="346">
        <v>1</v>
      </c>
      <c r="H71" s="347">
        <v>750000</v>
      </c>
      <c r="I71" s="347" t="s">
        <v>268</v>
      </c>
      <c r="J71" s="407"/>
      <c r="L71" s="409"/>
    </row>
    <row r="72" spans="1:12" s="349" customFormat="1" ht="18" customHeight="1">
      <c r="A72" s="394"/>
      <c r="B72" s="343"/>
      <c r="C72" s="344" t="s">
        <v>261</v>
      </c>
      <c r="D72" s="345">
        <v>44545</v>
      </c>
      <c r="E72" s="346">
        <v>1</v>
      </c>
      <c r="F72" s="347">
        <v>750000</v>
      </c>
      <c r="G72" s="346">
        <v>1</v>
      </c>
      <c r="H72" s="347">
        <v>750000</v>
      </c>
      <c r="I72" s="347" t="s">
        <v>268</v>
      </c>
      <c r="J72" s="348"/>
      <c r="L72" s="358"/>
    </row>
    <row r="73" spans="1:12" s="349" customFormat="1" ht="18" customHeight="1">
      <c r="A73" s="394"/>
      <c r="B73" s="343"/>
      <c r="C73" s="344" t="s">
        <v>262</v>
      </c>
      <c r="D73" s="345">
        <v>44546</v>
      </c>
      <c r="E73" s="346">
        <v>1</v>
      </c>
      <c r="F73" s="347">
        <v>750000</v>
      </c>
      <c r="G73" s="346">
        <v>1</v>
      </c>
      <c r="H73" s="347">
        <v>750000</v>
      </c>
      <c r="I73" s="347" t="s">
        <v>268</v>
      </c>
      <c r="J73" s="348"/>
      <c r="L73" s="358"/>
    </row>
    <row r="74" spans="1:12" s="349" customFormat="1" ht="18" customHeight="1">
      <c r="A74" s="394"/>
      <c r="B74" s="343"/>
      <c r="C74" s="344" t="s">
        <v>263</v>
      </c>
      <c r="D74" s="345">
        <v>44547</v>
      </c>
      <c r="E74" s="346">
        <v>1</v>
      </c>
      <c r="F74" s="347">
        <v>750000</v>
      </c>
      <c r="G74" s="346">
        <v>1</v>
      </c>
      <c r="H74" s="347">
        <v>750000</v>
      </c>
      <c r="I74" s="347" t="s">
        <v>268</v>
      </c>
      <c r="J74" s="348"/>
      <c r="L74" s="358"/>
    </row>
    <row r="75" spans="1:12" s="349" customFormat="1" ht="18" customHeight="1">
      <c r="A75" s="394"/>
      <c r="B75" s="343"/>
      <c r="C75" s="344" t="s">
        <v>257</v>
      </c>
      <c r="D75" s="345">
        <v>44548</v>
      </c>
      <c r="E75" s="346">
        <v>1</v>
      </c>
      <c r="F75" s="347">
        <v>750000</v>
      </c>
      <c r="G75" s="346">
        <v>1</v>
      </c>
      <c r="H75" s="347">
        <v>750000</v>
      </c>
      <c r="I75" s="347" t="s">
        <v>387</v>
      </c>
      <c r="J75" s="348"/>
      <c r="L75" s="358"/>
    </row>
    <row r="76" spans="1:12" s="349" customFormat="1" ht="18" customHeight="1">
      <c r="A76" s="394"/>
      <c r="B76" s="343"/>
      <c r="C76" s="405" t="s">
        <v>258</v>
      </c>
      <c r="D76" s="406">
        <v>44549</v>
      </c>
      <c r="E76" s="401">
        <v>0</v>
      </c>
      <c r="F76" s="402">
        <v>0</v>
      </c>
      <c r="G76" s="401">
        <v>0</v>
      </c>
      <c r="H76" s="402">
        <v>0</v>
      </c>
      <c r="I76" s="402" t="s">
        <v>269</v>
      </c>
      <c r="J76" s="348"/>
      <c r="L76" s="358"/>
    </row>
    <row r="77" spans="1:12" s="408" customFormat="1" ht="18" customHeight="1">
      <c r="A77" s="403"/>
      <c r="B77" s="404"/>
      <c r="C77" s="344" t="s">
        <v>259</v>
      </c>
      <c r="D77" s="345">
        <v>44550</v>
      </c>
      <c r="E77" s="346">
        <v>1</v>
      </c>
      <c r="F77" s="347">
        <v>750000</v>
      </c>
      <c r="G77" s="346">
        <v>1</v>
      </c>
      <c r="H77" s="347">
        <v>750000</v>
      </c>
      <c r="I77" s="347" t="s">
        <v>268</v>
      </c>
      <c r="J77" s="407"/>
      <c r="L77" s="409"/>
    </row>
    <row r="78" spans="1:12" s="408" customFormat="1" ht="18" customHeight="1">
      <c r="A78" s="403"/>
      <c r="B78" s="404"/>
      <c r="C78" s="344" t="s">
        <v>260</v>
      </c>
      <c r="D78" s="345">
        <v>44551</v>
      </c>
      <c r="E78" s="346">
        <v>1</v>
      </c>
      <c r="F78" s="347">
        <v>750000</v>
      </c>
      <c r="G78" s="346">
        <v>1</v>
      </c>
      <c r="H78" s="347">
        <v>750000</v>
      </c>
      <c r="I78" s="347" t="s">
        <v>268</v>
      </c>
      <c r="J78" s="407"/>
      <c r="L78" s="409"/>
    </row>
    <row r="79" spans="1:12" s="349" customFormat="1" ht="18" customHeight="1">
      <c r="A79" s="394"/>
      <c r="B79" s="343"/>
      <c r="C79" s="344" t="s">
        <v>261</v>
      </c>
      <c r="D79" s="345">
        <v>44552</v>
      </c>
      <c r="E79" s="346">
        <v>1</v>
      </c>
      <c r="F79" s="347">
        <v>750000</v>
      </c>
      <c r="G79" s="346">
        <v>1</v>
      </c>
      <c r="H79" s="347">
        <v>750000</v>
      </c>
      <c r="I79" s="347" t="s">
        <v>268</v>
      </c>
      <c r="J79" s="348"/>
      <c r="L79" s="358"/>
    </row>
    <row r="80" spans="1:12" s="349" customFormat="1" ht="18" customHeight="1">
      <c r="A80" s="394"/>
      <c r="B80" s="343"/>
      <c r="C80" s="344" t="s">
        <v>262</v>
      </c>
      <c r="D80" s="345">
        <v>44553</v>
      </c>
      <c r="E80" s="346">
        <v>1</v>
      </c>
      <c r="F80" s="347">
        <v>750000</v>
      </c>
      <c r="G80" s="346">
        <v>1</v>
      </c>
      <c r="H80" s="347">
        <v>750000</v>
      </c>
      <c r="I80" s="347" t="s">
        <v>268</v>
      </c>
      <c r="J80" s="348"/>
      <c r="L80" s="358"/>
    </row>
    <row r="81" spans="1:12" s="408" customFormat="1" ht="18" customHeight="1">
      <c r="A81" s="403"/>
      <c r="B81" s="404"/>
      <c r="C81" s="405" t="s">
        <v>263</v>
      </c>
      <c r="D81" s="406">
        <v>44554</v>
      </c>
      <c r="E81" s="401">
        <v>0</v>
      </c>
      <c r="F81" s="402">
        <v>0</v>
      </c>
      <c r="G81" s="401">
        <v>0</v>
      </c>
      <c r="H81" s="402">
        <v>0</v>
      </c>
      <c r="I81" s="402" t="s">
        <v>269</v>
      </c>
      <c r="J81" s="407"/>
      <c r="L81" s="409"/>
    </row>
    <row r="82" spans="1:12" s="408" customFormat="1" ht="18" customHeight="1">
      <c r="A82" s="403"/>
      <c r="B82" s="404"/>
      <c r="C82" s="405" t="s">
        <v>257</v>
      </c>
      <c r="D82" s="406">
        <v>44555</v>
      </c>
      <c r="E82" s="401">
        <v>0</v>
      </c>
      <c r="F82" s="402">
        <v>0</v>
      </c>
      <c r="G82" s="401">
        <v>0</v>
      </c>
      <c r="H82" s="402">
        <v>0</v>
      </c>
      <c r="I82" s="402" t="s">
        <v>269</v>
      </c>
      <c r="J82" s="407"/>
      <c r="L82" s="409"/>
    </row>
    <row r="83" spans="1:12" s="408" customFormat="1" ht="18" customHeight="1">
      <c r="A83" s="403"/>
      <c r="B83" s="404"/>
      <c r="C83" s="405" t="s">
        <v>258</v>
      </c>
      <c r="D83" s="406">
        <v>44556</v>
      </c>
      <c r="E83" s="401">
        <v>0</v>
      </c>
      <c r="F83" s="402">
        <v>0</v>
      </c>
      <c r="G83" s="401">
        <v>0</v>
      </c>
      <c r="H83" s="402">
        <v>0</v>
      </c>
      <c r="I83" s="402" t="s">
        <v>269</v>
      </c>
      <c r="J83" s="407"/>
      <c r="L83" s="409"/>
    </row>
    <row r="84" spans="1:12" s="349" customFormat="1" ht="18" customHeight="1">
      <c r="A84" s="394"/>
      <c r="B84" s="343"/>
      <c r="C84" s="344" t="s">
        <v>259</v>
      </c>
      <c r="D84" s="345">
        <v>44557</v>
      </c>
      <c r="E84" s="346">
        <v>1</v>
      </c>
      <c r="F84" s="347">
        <v>750000</v>
      </c>
      <c r="G84" s="346">
        <v>1</v>
      </c>
      <c r="H84" s="347">
        <v>750000</v>
      </c>
      <c r="I84" s="347" t="s">
        <v>268</v>
      </c>
      <c r="J84" s="348"/>
      <c r="L84" s="358"/>
    </row>
    <row r="85" spans="1:12" s="408" customFormat="1" ht="18" customHeight="1">
      <c r="A85" s="403"/>
      <c r="B85" s="404"/>
      <c r="C85" s="344" t="s">
        <v>260</v>
      </c>
      <c r="D85" s="345">
        <v>44558</v>
      </c>
      <c r="E85" s="346">
        <v>1</v>
      </c>
      <c r="F85" s="347">
        <v>750000</v>
      </c>
      <c r="G85" s="346">
        <v>1</v>
      </c>
      <c r="H85" s="347">
        <v>750000</v>
      </c>
      <c r="I85" s="347" t="s">
        <v>268</v>
      </c>
      <c r="J85" s="407"/>
      <c r="L85" s="409"/>
    </row>
    <row r="86" spans="1:12" s="349" customFormat="1" ht="18" customHeight="1">
      <c r="A86" s="394"/>
      <c r="B86" s="343"/>
      <c r="C86" s="344" t="s">
        <v>260</v>
      </c>
      <c r="D86" s="345">
        <v>44559</v>
      </c>
      <c r="E86" s="346">
        <v>1</v>
      </c>
      <c r="F86" s="347">
        <v>750000</v>
      </c>
      <c r="G86" s="346">
        <v>1</v>
      </c>
      <c r="H86" s="347">
        <v>750000</v>
      </c>
      <c r="I86" s="347" t="s">
        <v>268</v>
      </c>
      <c r="J86" s="348"/>
      <c r="L86" s="358"/>
    </row>
    <row r="87" spans="1:12" s="349" customFormat="1" ht="18" customHeight="1">
      <c r="A87" s="394"/>
      <c r="B87" s="343"/>
      <c r="C87" s="344" t="s">
        <v>261</v>
      </c>
      <c r="D87" s="345">
        <v>44560</v>
      </c>
      <c r="E87" s="346">
        <v>1</v>
      </c>
      <c r="F87" s="347">
        <v>750000</v>
      </c>
      <c r="G87" s="346">
        <v>1</v>
      </c>
      <c r="H87" s="347">
        <v>750000</v>
      </c>
      <c r="I87" s="347" t="s">
        <v>268</v>
      </c>
      <c r="J87" s="348"/>
      <c r="L87" s="358"/>
    </row>
    <row r="88" spans="1:12" s="408" customFormat="1" ht="18" customHeight="1">
      <c r="A88" s="403"/>
      <c r="B88" s="404"/>
      <c r="C88" s="405" t="s">
        <v>262</v>
      </c>
      <c r="D88" s="406">
        <v>44561</v>
      </c>
      <c r="E88" s="401">
        <v>0</v>
      </c>
      <c r="F88" s="402">
        <v>0</v>
      </c>
      <c r="G88" s="401">
        <v>0</v>
      </c>
      <c r="H88" s="402">
        <v>0</v>
      </c>
      <c r="I88" s="402" t="s">
        <v>269</v>
      </c>
      <c r="J88" s="407"/>
      <c r="L88" s="409"/>
    </row>
    <row r="89" spans="1:12" s="349" customFormat="1" ht="18" customHeight="1">
      <c r="A89" s="394"/>
      <c r="B89" s="343"/>
      <c r="C89" s="702" t="s">
        <v>337</v>
      </c>
      <c r="D89" s="703"/>
      <c r="E89" s="704">
        <f>SUM(E58:E87)</f>
        <v>22</v>
      </c>
      <c r="F89" s="705"/>
      <c r="G89" s="704">
        <f>SUM(G58:G87)</f>
        <v>22</v>
      </c>
      <c r="H89" s="705"/>
      <c r="I89" s="400"/>
      <c r="J89" s="348"/>
      <c r="L89" s="358"/>
    </row>
    <row r="90" spans="1:12" s="297" customFormat="1" ht="20.100000000000001" customHeight="1">
      <c r="A90" s="277"/>
      <c r="B90" s="320"/>
      <c r="C90" s="706" t="s">
        <v>264</v>
      </c>
      <c r="D90" s="707"/>
      <c r="E90" s="708">
        <f>SUM(F58:F87)</f>
        <v>16500000</v>
      </c>
      <c r="F90" s="709"/>
      <c r="G90" s="708">
        <f>SUM(H58:H87)</f>
        <v>16500000</v>
      </c>
      <c r="H90" s="709"/>
      <c r="I90" s="330"/>
      <c r="J90" s="321"/>
      <c r="L90" s="356">
        <v>22</v>
      </c>
    </row>
    <row r="91" spans="1:12" s="296" customFormat="1" ht="24.95" customHeight="1">
      <c r="A91" s="277"/>
      <c r="B91" s="322"/>
      <c r="C91" s="692" t="s">
        <v>62</v>
      </c>
      <c r="D91" s="692"/>
      <c r="E91" s="692"/>
      <c r="F91" s="692"/>
      <c r="G91" s="690">
        <f>+G90+E90</f>
        <v>33000000</v>
      </c>
      <c r="H91" s="691"/>
      <c r="I91" s="331"/>
      <c r="J91" s="323"/>
      <c r="L91" s="359">
        <f>+L90*2*750000</f>
        <v>33000000</v>
      </c>
    </row>
    <row r="92" spans="1:12" ht="20.100000000000001" customHeight="1">
      <c r="B92" s="307"/>
      <c r="C92" s="369"/>
      <c r="J92" s="308"/>
    </row>
    <row r="93" spans="1:12" ht="18" customHeight="1">
      <c r="B93" s="307"/>
      <c r="C93" s="416" t="s">
        <v>136</v>
      </c>
      <c r="E93" s="183"/>
      <c r="F93" s="234" t="s">
        <v>131</v>
      </c>
      <c r="G93" s="234" t="s">
        <v>130</v>
      </c>
      <c r="H93" s="234" t="s">
        <v>129</v>
      </c>
      <c r="I93" s="234" t="s">
        <v>128</v>
      </c>
      <c r="J93" s="308"/>
    </row>
    <row r="94" spans="1:12" s="335" customFormat="1" ht="30" customHeight="1">
      <c r="B94" s="332"/>
      <c r="C94" s="710">
        <v>5</v>
      </c>
      <c r="D94" s="711"/>
      <c r="F94" s="415">
        <v>4</v>
      </c>
      <c r="G94" s="415">
        <v>3</v>
      </c>
      <c r="H94" s="415">
        <v>2</v>
      </c>
      <c r="I94" s="415">
        <v>1</v>
      </c>
      <c r="J94" s="337"/>
      <c r="L94" s="357"/>
    </row>
    <row r="95" spans="1:12" ht="15" customHeight="1">
      <c r="B95" s="307"/>
      <c r="C95" s="698" t="s">
        <v>358</v>
      </c>
      <c r="D95" s="699"/>
      <c r="E95" s="183"/>
      <c r="F95" s="236" t="s">
        <v>114</v>
      </c>
      <c r="G95" s="237" t="s">
        <v>357</v>
      </c>
      <c r="H95" s="238" t="s">
        <v>112</v>
      </c>
      <c r="I95" s="234" t="s">
        <v>16</v>
      </c>
      <c r="J95" s="308"/>
    </row>
    <row r="96" spans="1:12" ht="12.95" customHeight="1" thickBot="1">
      <c r="B96" s="374"/>
      <c r="C96" s="700" t="s">
        <v>132</v>
      </c>
      <c r="D96" s="701"/>
      <c r="E96" s="377"/>
      <c r="F96" s="375" t="s">
        <v>132</v>
      </c>
      <c r="G96" s="375" t="s">
        <v>132</v>
      </c>
      <c r="H96" s="375" t="s">
        <v>132</v>
      </c>
      <c r="I96" s="375" t="s">
        <v>132</v>
      </c>
      <c r="J96" s="378"/>
    </row>
    <row r="97" spans="1:10" ht="9.9499999999999993" customHeight="1" thickTop="1">
      <c r="B97" s="364"/>
      <c r="C97" s="364"/>
      <c r="D97" s="365"/>
      <c r="E97" s="366"/>
      <c r="F97" s="367"/>
      <c r="G97" s="366"/>
      <c r="H97" s="367"/>
      <c r="I97" s="367"/>
      <c r="J97" s="364"/>
    </row>
    <row r="110" spans="1:10" ht="9.9499999999999993" customHeight="1" thickBot="1">
      <c r="B110" s="379"/>
      <c r="C110" s="379"/>
      <c r="D110" s="380"/>
      <c r="E110" s="381"/>
      <c r="F110" s="382"/>
      <c r="G110" s="381"/>
      <c r="H110" s="382"/>
      <c r="I110" s="382"/>
      <c r="J110" s="379"/>
    </row>
    <row r="111" spans="1:10" ht="9.9499999999999993" customHeight="1" thickTop="1">
      <c r="A111" s="661">
        <v>44593</v>
      </c>
      <c r="B111" s="301"/>
      <c r="C111" s="302"/>
      <c r="D111" s="303"/>
      <c r="E111" s="304"/>
      <c r="F111" s="305"/>
      <c r="G111" s="304"/>
      <c r="H111" s="305"/>
      <c r="I111" s="305"/>
      <c r="J111" s="306"/>
    </row>
    <row r="112" spans="1:10" ht="17.100000000000001" customHeight="1">
      <c r="A112" s="661"/>
      <c r="B112" s="307"/>
      <c r="C112" s="298" t="s">
        <v>138</v>
      </c>
      <c r="D112" s="299"/>
      <c r="G112" s="662" t="s">
        <v>388</v>
      </c>
      <c r="H112" s="662"/>
      <c r="I112" s="662"/>
      <c r="J112" s="308"/>
    </row>
    <row r="113" spans="1:12" s="275" customFormat="1" ht="30" customHeight="1">
      <c r="A113" s="661"/>
      <c r="B113" s="309"/>
      <c r="C113" s="279" t="s">
        <v>119</v>
      </c>
      <c r="D113" s="292" t="s">
        <v>244</v>
      </c>
      <c r="F113" s="310"/>
      <c r="G113" s="311"/>
      <c r="H113" s="310"/>
      <c r="I113" s="310"/>
      <c r="J113" s="312"/>
      <c r="L113" s="352"/>
    </row>
    <row r="114" spans="1:12" s="276" customFormat="1" ht="23.1" customHeight="1">
      <c r="A114" s="277"/>
      <c r="B114" s="313"/>
      <c r="C114" s="280" t="s">
        <v>120</v>
      </c>
      <c r="D114" s="293" t="s">
        <v>385</v>
      </c>
      <c r="F114" s="679" t="s">
        <v>355</v>
      </c>
      <c r="G114" s="680"/>
      <c r="H114" s="680"/>
      <c r="I114" s="681"/>
      <c r="J114" s="315"/>
      <c r="L114" s="353"/>
    </row>
    <row r="115" spans="1:12" s="276" customFormat="1" ht="45" customHeight="1">
      <c r="A115" s="277"/>
      <c r="B115" s="313"/>
      <c r="C115" s="410" t="s">
        <v>356</v>
      </c>
      <c r="D115" s="712" t="s">
        <v>389</v>
      </c>
      <c r="E115" s="712"/>
      <c r="F115" s="682"/>
      <c r="G115" s="683"/>
      <c r="H115" s="683"/>
      <c r="I115" s="684"/>
      <c r="J115" s="315"/>
      <c r="L115" s="353"/>
    </row>
    <row r="116" spans="1:12" s="276" customFormat="1" ht="9.9499999999999993" customHeight="1">
      <c r="A116" s="277"/>
      <c r="B116" s="313"/>
      <c r="C116" s="410"/>
      <c r="D116" s="413"/>
      <c r="E116" s="411"/>
      <c r="F116" s="412"/>
      <c r="G116" s="412"/>
      <c r="H116" s="412"/>
      <c r="I116" s="414"/>
      <c r="J116" s="315"/>
      <c r="L116" s="353"/>
    </row>
    <row r="117" spans="1:12" s="278" customFormat="1" ht="50.1" customHeight="1">
      <c r="A117" s="392"/>
      <c r="B117" s="316"/>
      <c r="C117" s="669" t="s">
        <v>2</v>
      </c>
      <c r="D117" s="671" t="s">
        <v>283</v>
      </c>
      <c r="E117" s="673" t="s">
        <v>275</v>
      </c>
      <c r="F117" s="674"/>
      <c r="G117" s="673" t="s">
        <v>276</v>
      </c>
      <c r="H117" s="674"/>
      <c r="I117" s="713" t="s">
        <v>85</v>
      </c>
      <c r="J117" s="317"/>
      <c r="L117" s="354"/>
    </row>
    <row r="118" spans="1:12" s="278" customFormat="1" ht="24.95" customHeight="1">
      <c r="A118" s="392"/>
      <c r="B118" s="316"/>
      <c r="C118" s="670"/>
      <c r="D118" s="672"/>
      <c r="E118" s="294" t="s">
        <v>256</v>
      </c>
      <c r="F118" s="295" t="s">
        <v>27</v>
      </c>
      <c r="G118" s="294" t="s">
        <v>256</v>
      </c>
      <c r="H118" s="295" t="s">
        <v>27</v>
      </c>
      <c r="I118" s="675"/>
      <c r="J118" s="317"/>
      <c r="L118" s="354"/>
    </row>
    <row r="119" spans="1:12" s="408" customFormat="1" ht="18" customHeight="1">
      <c r="A119" s="403"/>
      <c r="B119" s="404"/>
      <c r="C119" s="405" t="s">
        <v>260</v>
      </c>
      <c r="D119" s="406">
        <v>44593</v>
      </c>
      <c r="E119" s="401">
        <v>0</v>
      </c>
      <c r="F119" s="402">
        <v>0</v>
      </c>
      <c r="G119" s="401">
        <v>0</v>
      </c>
      <c r="H119" s="402">
        <v>0</v>
      </c>
      <c r="I119" s="402" t="s">
        <v>269</v>
      </c>
      <c r="J119" s="407"/>
      <c r="L119" s="409"/>
    </row>
    <row r="120" spans="1:12" s="349" customFormat="1" ht="18" customHeight="1">
      <c r="A120" s="394"/>
      <c r="B120" s="343"/>
      <c r="C120" s="344" t="s">
        <v>261</v>
      </c>
      <c r="D120" s="345">
        <v>44594</v>
      </c>
      <c r="E120" s="346">
        <v>1</v>
      </c>
      <c r="F120" s="347">
        <v>750000</v>
      </c>
      <c r="G120" s="346">
        <v>1</v>
      </c>
      <c r="H120" s="347">
        <v>750000</v>
      </c>
      <c r="I120" s="347" t="s">
        <v>268</v>
      </c>
      <c r="J120" s="348"/>
      <c r="L120" s="358"/>
    </row>
    <row r="121" spans="1:12" s="349" customFormat="1" ht="18" customHeight="1">
      <c r="A121" s="394"/>
      <c r="B121" s="343"/>
      <c r="C121" s="344" t="s">
        <v>262</v>
      </c>
      <c r="D121" s="345">
        <v>44595</v>
      </c>
      <c r="E121" s="346">
        <v>1</v>
      </c>
      <c r="F121" s="347">
        <v>750000</v>
      </c>
      <c r="G121" s="346">
        <v>1</v>
      </c>
      <c r="H121" s="347">
        <v>750000</v>
      </c>
      <c r="I121" s="347" t="s">
        <v>268</v>
      </c>
      <c r="J121" s="348"/>
      <c r="L121" s="358"/>
    </row>
    <row r="122" spans="1:12" s="349" customFormat="1" ht="18" customHeight="1">
      <c r="A122" s="394"/>
      <c r="B122" s="343"/>
      <c r="C122" s="344" t="s">
        <v>263</v>
      </c>
      <c r="D122" s="345">
        <v>44596</v>
      </c>
      <c r="E122" s="346">
        <v>1</v>
      </c>
      <c r="F122" s="347">
        <v>750000</v>
      </c>
      <c r="G122" s="346">
        <v>1</v>
      </c>
      <c r="H122" s="347">
        <v>750000</v>
      </c>
      <c r="I122" s="347" t="s">
        <v>268</v>
      </c>
      <c r="J122" s="348"/>
      <c r="L122" s="358"/>
    </row>
    <row r="123" spans="1:12" s="349" customFormat="1" ht="18" customHeight="1">
      <c r="A123" s="394"/>
      <c r="B123" s="343"/>
      <c r="C123" s="344" t="s">
        <v>257</v>
      </c>
      <c r="D123" s="345">
        <v>44597</v>
      </c>
      <c r="E123" s="346">
        <v>1</v>
      </c>
      <c r="F123" s="347">
        <v>750000</v>
      </c>
      <c r="G123" s="346">
        <v>1</v>
      </c>
      <c r="H123" s="347">
        <v>750000</v>
      </c>
      <c r="I123" s="347" t="s">
        <v>268</v>
      </c>
      <c r="J123" s="348"/>
      <c r="L123" s="358"/>
    </row>
    <row r="124" spans="1:12" s="408" customFormat="1" ht="18" customHeight="1">
      <c r="A124" s="403"/>
      <c r="B124" s="404"/>
      <c r="C124" s="405" t="s">
        <v>258</v>
      </c>
      <c r="D124" s="406">
        <v>44598</v>
      </c>
      <c r="E124" s="401">
        <v>0</v>
      </c>
      <c r="F124" s="402">
        <v>0</v>
      </c>
      <c r="G124" s="401">
        <v>0</v>
      </c>
      <c r="H124" s="402">
        <v>0</v>
      </c>
      <c r="I124" s="402" t="s">
        <v>269</v>
      </c>
      <c r="J124" s="407"/>
      <c r="L124" s="409"/>
    </row>
    <row r="125" spans="1:12" s="349" customFormat="1" ht="18" customHeight="1">
      <c r="A125" s="394"/>
      <c r="B125" s="343"/>
      <c r="C125" s="344" t="s">
        <v>259</v>
      </c>
      <c r="D125" s="345">
        <v>44599</v>
      </c>
      <c r="E125" s="346">
        <v>1</v>
      </c>
      <c r="F125" s="347">
        <v>750000</v>
      </c>
      <c r="G125" s="346">
        <v>1</v>
      </c>
      <c r="H125" s="347">
        <v>750000</v>
      </c>
      <c r="I125" s="347" t="s">
        <v>268</v>
      </c>
      <c r="J125" s="348"/>
      <c r="L125" s="358"/>
    </row>
    <row r="126" spans="1:12" s="349" customFormat="1" ht="18" customHeight="1">
      <c r="A126" s="394"/>
      <c r="B126" s="343"/>
      <c r="C126" s="344" t="s">
        <v>260</v>
      </c>
      <c r="D126" s="345">
        <v>44600</v>
      </c>
      <c r="E126" s="346">
        <v>1</v>
      </c>
      <c r="F126" s="347">
        <v>750000</v>
      </c>
      <c r="G126" s="346">
        <v>1</v>
      </c>
      <c r="H126" s="347">
        <v>750000</v>
      </c>
      <c r="I126" s="347" t="s">
        <v>268</v>
      </c>
      <c r="J126" s="348"/>
      <c r="L126" s="358"/>
    </row>
    <row r="127" spans="1:12" s="349" customFormat="1" ht="18" customHeight="1">
      <c r="A127" s="394"/>
      <c r="B127" s="343"/>
      <c r="C127" s="344" t="s">
        <v>261</v>
      </c>
      <c r="D127" s="345">
        <v>44601</v>
      </c>
      <c r="E127" s="346">
        <v>1</v>
      </c>
      <c r="F127" s="347">
        <v>750000</v>
      </c>
      <c r="G127" s="346">
        <v>1</v>
      </c>
      <c r="H127" s="347">
        <v>750000</v>
      </c>
      <c r="I127" s="347" t="s">
        <v>268</v>
      </c>
      <c r="J127" s="348"/>
      <c r="L127" s="358"/>
    </row>
    <row r="128" spans="1:12" s="349" customFormat="1" ht="18" customHeight="1">
      <c r="A128" s="394"/>
      <c r="B128" s="343"/>
      <c r="C128" s="344" t="s">
        <v>262</v>
      </c>
      <c r="D128" s="345">
        <v>44602</v>
      </c>
      <c r="E128" s="346">
        <v>1</v>
      </c>
      <c r="F128" s="347">
        <v>750000</v>
      </c>
      <c r="G128" s="346">
        <v>1</v>
      </c>
      <c r="H128" s="347">
        <v>750000</v>
      </c>
      <c r="I128" s="347" t="s">
        <v>268</v>
      </c>
      <c r="J128" s="348"/>
      <c r="L128" s="358"/>
    </row>
    <row r="129" spans="1:12" s="349" customFormat="1" ht="18" customHeight="1">
      <c r="A129" s="394"/>
      <c r="B129" s="343"/>
      <c r="C129" s="344" t="s">
        <v>263</v>
      </c>
      <c r="D129" s="345">
        <v>44603</v>
      </c>
      <c r="E129" s="346">
        <v>1</v>
      </c>
      <c r="F129" s="347">
        <v>750000</v>
      </c>
      <c r="G129" s="346">
        <v>1</v>
      </c>
      <c r="H129" s="347">
        <v>750000</v>
      </c>
      <c r="I129" s="347" t="s">
        <v>268</v>
      </c>
      <c r="J129" s="348"/>
      <c r="L129" s="358"/>
    </row>
    <row r="130" spans="1:12" s="408" customFormat="1" ht="18" customHeight="1">
      <c r="A130" s="403"/>
      <c r="B130" s="404"/>
      <c r="C130" s="405" t="s">
        <v>257</v>
      </c>
      <c r="D130" s="406">
        <v>44604</v>
      </c>
      <c r="E130" s="401">
        <v>0</v>
      </c>
      <c r="F130" s="402">
        <v>0</v>
      </c>
      <c r="G130" s="401">
        <v>0</v>
      </c>
      <c r="H130" s="402">
        <v>0</v>
      </c>
      <c r="I130" s="402" t="s">
        <v>269</v>
      </c>
      <c r="J130" s="407"/>
      <c r="L130" s="409"/>
    </row>
    <row r="131" spans="1:12" s="408" customFormat="1" ht="18" customHeight="1">
      <c r="A131" s="403"/>
      <c r="B131" s="404"/>
      <c r="C131" s="405" t="s">
        <v>258</v>
      </c>
      <c r="D131" s="406">
        <v>44605</v>
      </c>
      <c r="E131" s="401">
        <v>0</v>
      </c>
      <c r="F131" s="402">
        <v>0</v>
      </c>
      <c r="G131" s="401">
        <v>0</v>
      </c>
      <c r="H131" s="402">
        <v>0</v>
      </c>
      <c r="I131" s="402" t="s">
        <v>269</v>
      </c>
      <c r="J131" s="407"/>
      <c r="L131" s="409"/>
    </row>
    <row r="132" spans="1:12" s="349" customFormat="1" ht="18" customHeight="1">
      <c r="A132" s="394"/>
      <c r="B132" s="343"/>
      <c r="C132" s="344" t="s">
        <v>259</v>
      </c>
      <c r="D132" s="345">
        <v>44606</v>
      </c>
      <c r="E132" s="346">
        <v>1</v>
      </c>
      <c r="F132" s="347">
        <v>750000</v>
      </c>
      <c r="G132" s="346">
        <v>1</v>
      </c>
      <c r="H132" s="347">
        <v>750000</v>
      </c>
      <c r="I132" s="347" t="s">
        <v>268</v>
      </c>
      <c r="J132" s="348"/>
      <c r="L132" s="358"/>
    </row>
    <row r="133" spans="1:12" s="349" customFormat="1" ht="18" customHeight="1">
      <c r="A133" s="394"/>
      <c r="B133" s="343"/>
      <c r="C133" s="344" t="s">
        <v>260</v>
      </c>
      <c r="D133" s="345">
        <v>44607</v>
      </c>
      <c r="E133" s="346">
        <v>1</v>
      </c>
      <c r="F133" s="347">
        <v>750000</v>
      </c>
      <c r="G133" s="346">
        <v>1</v>
      </c>
      <c r="H133" s="347">
        <v>750000</v>
      </c>
      <c r="I133" s="347" t="s">
        <v>268</v>
      </c>
      <c r="J133" s="348"/>
      <c r="L133" s="358"/>
    </row>
    <row r="134" spans="1:12" s="349" customFormat="1" ht="18" customHeight="1">
      <c r="A134" s="394"/>
      <c r="B134" s="343"/>
      <c r="C134" s="344" t="s">
        <v>261</v>
      </c>
      <c r="D134" s="345">
        <v>44608</v>
      </c>
      <c r="E134" s="346">
        <v>1</v>
      </c>
      <c r="F134" s="347">
        <v>750000</v>
      </c>
      <c r="G134" s="346">
        <v>1</v>
      </c>
      <c r="H134" s="347">
        <v>750000</v>
      </c>
      <c r="I134" s="347" t="s">
        <v>268</v>
      </c>
      <c r="J134" s="348"/>
      <c r="L134" s="358"/>
    </row>
    <row r="135" spans="1:12" s="349" customFormat="1" ht="18" customHeight="1">
      <c r="A135" s="394"/>
      <c r="B135" s="343"/>
      <c r="C135" s="344" t="s">
        <v>262</v>
      </c>
      <c r="D135" s="345">
        <v>44609</v>
      </c>
      <c r="E135" s="346">
        <v>1</v>
      </c>
      <c r="F135" s="347">
        <v>750000</v>
      </c>
      <c r="G135" s="346">
        <v>1</v>
      </c>
      <c r="H135" s="347">
        <v>750000</v>
      </c>
      <c r="I135" s="347" t="s">
        <v>268</v>
      </c>
      <c r="J135" s="348"/>
      <c r="L135" s="358"/>
    </row>
    <row r="136" spans="1:12" s="349" customFormat="1" ht="18" customHeight="1">
      <c r="A136" s="394"/>
      <c r="B136" s="343"/>
      <c r="C136" s="344" t="s">
        <v>263</v>
      </c>
      <c r="D136" s="345">
        <v>44610</v>
      </c>
      <c r="E136" s="346">
        <v>1</v>
      </c>
      <c r="F136" s="347">
        <v>750000</v>
      </c>
      <c r="G136" s="346">
        <v>1</v>
      </c>
      <c r="H136" s="347">
        <v>750000</v>
      </c>
      <c r="I136" s="347" t="s">
        <v>387</v>
      </c>
      <c r="J136" s="348"/>
      <c r="L136" s="358"/>
    </row>
    <row r="137" spans="1:12" s="408" customFormat="1" ht="18" customHeight="1">
      <c r="A137" s="403"/>
      <c r="B137" s="404"/>
      <c r="C137" s="405" t="s">
        <v>257</v>
      </c>
      <c r="D137" s="406">
        <v>44611</v>
      </c>
      <c r="E137" s="401">
        <v>0</v>
      </c>
      <c r="F137" s="402">
        <v>0</v>
      </c>
      <c r="G137" s="401">
        <v>0</v>
      </c>
      <c r="H137" s="402">
        <v>0</v>
      </c>
      <c r="I137" s="402" t="s">
        <v>269</v>
      </c>
      <c r="J137" s="407"/>
      <c r="L137" s="409"/>
    </row>
    <row r="138" spans="1:12" s="408" customFormat="1" ht="18" customHeight="1">
      <c r="A138" s="403"/>
      <c r="B138" s="404"/>
      <c r="C138" s="405" t="s">
        <v>258</v>
      </c>
      <c r="D138" s="406">
        <v>44612</v>
      </c>
      <c r="E138" s="401">
        <v>0</v>
      </c>
      <c r="F138" s="402">
        <v>0</v>
      </c>
      <c r="G138" s="401">
        <v>0</v>
      </c>
      <c r="H138" s="402">
        <v>0</v>
      </c>
      <c r="I138" s="402" t="s">
        <v>269</v>
      </c>
      <c r="J138" s="407"/>
      <c r="L138" s="409"/>
    </row>
    <row r="139" spans="1:12" s="349" customFormat="1" ht="18" customHeight="1">
      <c r="A139" s="394"/>
      <c r="B139" s="343"/>
      <c r="C139" s="344" t="s">
        <v>259</v>
      </c>
      <c r="D139" s="345">
        <v>44613</v>
      </c>
      <c r="E139" s="346">
        <v>1</v>
      </c>
      <c r="F139" s="347">
        <v>750000</v>
      </c>
      <c r="G139" s="346">
        <v>1</v>
      </c>
      <c r="H139" s="347">
        <v>750000</v>
      </c>
      <c r="I139" s="347" t="s">
        <v>268</v>
      </c>
      <c r="J139" s="348"/>
      <c r="L139" s="358"/>
    </row>
    <row r="140" spans="1:12" s="349" customFormat="1" ht="18" customHeight="1">
      <c r="A140" s="394"/>
      <c r="B140" s="343"/>
      <c r="C140" s="344" t="s">
        <v>260</v>
      </c>
      <c r="D140" s="345">
        <v>44614</v>
      </c>
      <c r="E140" s="346">
        <v>1</v>
      </c>
      <c r="F140" s="347">
        <v>750000</v>
      </c>
      <c r="G140" s="346">
        <v>1</v>
      </c>
      <c r="H140" s="347">
        <v>750000</v>
      </c>
      <c r="I140" s="347" t="s">
        <v>268</v>
      </c>
      <c r="J140" s="348"/>
      <c r="L140" s="358"/>
    </row>
    <row r="141" spans="1:12" s="349" customFormat="1" ht="18" customHeight="1">
      <c r="A141" s="394"/>
      <c r="B141" s="343"/>
      <c r="C141" s="344" t="s">
        <v>261</v>
      </c>
      <c r="D141" s="345">
        <v>44615</v>
      </c>
      <c r="E141" s="346">
        <v>1</v>
      </c>
      <c r="F141" s="347">
        <v>750000</v>
      </c>
      <c r="G141" s="346">
        <v>1</v>
      </c>
      <c r="H141" s="347">
        <v>750000</v>
      </c>
      <c r="I141" s="347" t="s">
        <v>268</v>
      </c>
      <c r="J141" s="348"/>
      <c r="L141" s="358"/>
    </row>
    <row r="142" spans="1:12" s="349" customFormat="1" ht="18" customHeight="1">
      <c r="A142" s="394"/>
      <c r="B142" s="343"/>
      <c r="C142" s="344" t="s">
        <v>262</v>
      </c>
      <c r="D142" s="345">
        <v>44616</v>
      </c>
      <c r="E142" s="346">
        <v>1</v>
      </c>
      <c r="F142" s="347">
        <v>750000</v>
      </c>
      <c r="G142" s="346">
        <v>1</v>
      </c>
      <c r="H142" s="347">
        <v>750000</v>
      </c>
      <c r="I142" s="347" t="s">
        <v>268</v>
      </c>
      <c r="J142" s="348"/>
      <c r="L142" s="358"/>
    </row>
    <row r="143" spans="1:12" s="349" customFormat="1" ht="18" customHeight="1">
      <c r="A143" s="394"/>
      <c r="B143" s="343"/>
      <c r="C143" s="344" t="s">
        <v>263</v>
      </c>
      <c r="D143" s="345">
        <v>44617</v>
      </c>
      <c r="E143" s="346">
        <v>1</v>
      </c>
      <c r="F143" s="347">
        <v>750000</v>
      </c>
      <c r="G143" s="346">
        <v>1</v>
      </c>
      <c r="H143" s="347">
        <v>750000</v>
      </c>
      <c r="I143" s="347" t="s">
        <v>268</v>
      </c>
      <c r="J143" s="348"/>
      <c r="L143" s="358"/>
    </row>
    <row r="144" spans="1:12" s="408" customFormat="1" ht="18" customHeight="1">
      <c r="A144" s="403"/>
      <c r="B144" s="404"/>
      <c r="C144" s="405" t="s">
        <v>257</v>
      </c>
      <c r="D144" s="406">
        <v>44618</v>
      </c>
      <c r="E144" s="401">
        <v>0</v>
      </c>
      <c r="F144" s="402">
        <v>0</v>
      </c>
      <c r="G144" s="401">
        <v>0</v>
      </c>
      <c r="H144" s="402">
        <v>0</v>
      </c>
      <c r="I144" s="402" t="s">
        <v>269</v>
      </c>
      <c r="J144" s="407"/>
      <c r="L144" s="409"/>
    </row>
    <row r="145" spans="1:12" s="408" customFormat="1" ht="18" customHeight="1">
      <c r="A145" s="403"/>
      <c r="B145" s="404"/>
      <c r="C145" s="405" t="s">
        <v>258</v>
      </c>
      <c r="D145" s="406">
        <v>44619</v>
      </c>
      <c r="E145" s="401">
        <v>0</v>
      </c>
      <c r="F145" s="402">
        <v>0</v>
      </c>
      <c r="G145" s="401">
        <v>0</v>
      </c>
      <c r="H145" s="402">
        <v>0</v>
      </c>
      <c r="I145" s="402" t="s">
        <v>269</v>
      </c>
      <c r="J145" s="407"/>
      <c r="L145" s="409"/>
    </row>
    <row r="146" spans="1:12" s="408" customFormat="1" ht="18" customHeight="1">
      <c r="A146" s="403"/>
      <c r="B146" s="404"/>
      <c r="C146" s="405" t="s">
        <v>259</v>
      </c>
      <c r="D146" s="406">
        <v>44620</v>
      </c>
      <c r="E146" s="401">
        <v>0</v>
      </c>
      <c r="F146" s="402">
        <v>0</v>
      </c>
      <c r="G146" s="401">
        <v>0</v>
      </c>
      <c r="H146" s="402">
        <v>0</v>
      </c>
      <c r="I146" s="402" t="s">
        <v>269</v>
      </c>
      <c r="J146" s="407"/>
      <c r="L146" s="409"/>
    </row>
    <row r="147" spans="1:12" s="349" customFormat="1" ht="18" customHeight="1">
      <c r="A147" s="394"/>
      <c r="B147" s="343"/>
      <c r="C147" s="702" t="s">
        <v>337</v>
      </c>
      <c r="D147" s="703"/>
      <c r="E147" s="704">
        <f>SUM(E119:E146)</f>
        <v>19</v>
      </c>
      <c r="F147" s="705"/>
      <c r="G147" s="704">
        <f>SUM(G119:G146)</f>
        <v>19</v>
      </c>
      <c r="H147" s="705"/>
      <c r="I147" s="400"/>
      <c r="J147" s="348"/>
      <c r="L147" s="358"/>
    </row>
    <row r="148" spans="1:12" s="297" customFormat="1" ht="20.100000000000001" customHeight="1">
      <c r="A148" s="277"/>
      <c r="B148" s="320"/>
      <c r="C148" s="706" t="s">
        <v>264</v>
      </c>
      <c r="D148" s="707"/>
      <c r="E148" s="708">
        <f>SUM(F119:F146)</f>
        <v>14250000</v>
      </c>
      <c r="F148" s="709"/>
      <c r="G148" s="708">
        <f>SUM(H119:H146)</f>
        <v>14250000</v>
      </c>
      <c r="H148" s="709"/>
      <c r="I148" s="330"/>
      <c r="J148" s="321"/>
      <c r="L148" s="356">
        <v>19</v>
      </c>
    </row>
    <row r="149" spans="1:12" s="296" customFormat="1" ht="24.95" customHeight="1">
      <c r="A149" s="277"/>
      <c r="B149" s="322"/>
      <c r="C149" s="692" t="s">
        <v>62</v>
      </c>
      <c r="D149" s="692"/>
      <c r="E149" s="692"/>
      <c r="F149" s="692"/>
      <c r="G149" s="690">
        <f>+G148+E148</f>
        <v>28500000</v>
      </c>
      <c r="H149" s="691"/>
      <c r="I149" s="331"/>
      <c r="J149" s="323"/>
      <c r="L149" s="359">
        <f>+L148*2*750000</f>
        <v>28500000</v>
      </c>
    </row>
    <row r="150" spans="1:12" ht="20.100000000000001" customHeight="1">
      <c r="B150" s="307"/>
      <c r="C150" s="369"/>
      <c r="J150" s="308"/>
    </row>
    <row r="151" spans="1:12" ht="18" customHeight="1">
      <c r="B151" s="307"/>
      <c r="C151" s="290" t="s">
        <v>136</v>
      </c>
      <c r="E151" s="183"/>
      <c r="F151" s="234" t="s">
        <v>131</v>
      </c>
      <c r="G151" s="234" t="s">
        <v>130</v>
      </c>
      <c r="H151" s="234" t="s">
        <v>129</v>
      </c>
      <c r="I151" s="234" t="s">
        <v>128</v>
      </c>
      <c r="J151" s="308"/>
    </row>
    <row r="152" spans="1:12" s="335" customFormat="1" ht="30" customHeight="1">
      <c r="B152" s="332"/>
      <c r="C152" s="710">
        <v>5</v>
      </c>
      <c r="D152" s="711"/>
      <c r="F152" s="415">
        <v>4</v>
      </c>
      <c r="G152" s="415">
        <v>3</v>
      </c>
      <c r="H152" s="415">
        <v>2</v>
      </c>
      <c r="I152" s="415">
        <v>1</v>
      </c>
      <c r="J152" s="337"/>
      <c r="L152" s="357"/>
    </row>
    <row r="153" spans="1:12" ht="15" customHeight="1">
      <c r="B153" s="307"/>
      <c r="C153" s="698" t="s">
        <v>358</v>
      </c>
      <c r="D153" s="699"/>
      <c r="E153" s="183"/>
      <c r="F153" s="236" t="s">
        <v>114</v>
      </c>
      <c r="G153" s="237" t="s">
        <v>357</v>
      </c>
      <c r="H153" s="238" t="s">
        <v>112</v>
      </c>
      <c r="I153" s="234" t="s">
        <v>16</v>
      </c>
      <c r="J153" s="308"/>
    </row>
    <row r="154" spans="1:12" ht="12.95" customHeight="1" thickBot="1">
      <c r="B154" s="374"/>
      <c r="C154" s="700" t="s">
        <v>132</v>
      </c>
      <c r="D154" s="701"/>
      <c r="E154" s="377"/>
      <c r="F154" s="375" t="s">
        <v>132</v>
      </c>
      <c r="G154" s="375" t="s">
        <v>132</v>
      </c>
      <c r="H154" s="375" t="s">
        <v>132</v>
      </c>
      <c r="I154" s="375" t="s">
        <v>132</v>
      </c>
      <c r="J154" s="378"/>
    </row>
    <row r="155" spans="1:12" ht="9.9499999999999993" customHeight="1" thickTop="1">
      <c r="B155" s="364"/>
      <c r="C155" s="364"/>
      <c r="D155" s="365"/>
      <c r="E155" s="366"/>
      <c r="F155" s="367"/>
      <c r="G155" s="366"/>
      <c r="H155" s="367"/>
      <c r="I155" s="367"/>
      <c r="J155" s="364"/>
    </row>
    <row r="157" spans="1:12" ht="9.9499999999999993" customHeight="1" thickBot="1">
      <c r="A157" s="422"/>
      <c r="B157" s="379"/>
      <c r="C157" s="379"/>
      <c r="D157" s="380"/>
      <c r="E157" s="381"/>
      <c r="F157" s="382"/>
      <c r="G157" s="381"/>
      <c r="H157" s="382"/>
      <c r="I157" s="382"/>
      <c r="J157" s="379"/>
    </row>
    <row r="158" spans="1:12" ht="9.9499999999999993" customHeight="1" thickTop="1">
      <c r="A158" s="661">
        <v>44621</v>
      </c>
      <c r="B158" s="301"/>
      <c r="C158" s="302"/>
      <c r="D158" s="303"/>
      <c r="E158" s="304"/>
      <c r="F158" s="305"/>
      <c r="G158" s="304"/>
      <c r="H158" s="305"/>
      <c r="I158" s="305"/>
      <c r="J158" s="306"/>
    </row>
    <row r="159" spans="1:12" ht="17.100000000000001" customHeight="1">
      <c r="A159" s="661"/>
      <c r="B159" s="307"/>
      <c r="C159" s="298" t="s">
        <v>138</v>
      </c>
      <c r="D159" s="299"/>
      <c r="G159" s="662" t="s">
        <v>390</v>
      </c>
      <c r="H159" s="662"/>
      <c r="I159" s="662"/>
      <c r="J159" s="308"/>
    </row>
    <row r="160" spans="1:12" s="275" customFormat="1" ht="30" customHeight="1">
      <c r="A160" s="661"/>
      <c r="B160" s="309"/>
      <c r="C160" s="279" t="s">
        <v>119</v>
      </c>
      <c r="D160" s="292" t="s">
        <v>244</v>
      </c>
      <c r="F160" s="310"/>
      <c r="G160" s="311"/>
      <c r="H160" s="310"/>
      <c r="I160" s="310"/>
      <c r="J160" s="312"/>
      <c r="L160" s="352"/>
    </row>
    <row r="161" spans="1:12" s="276" customFormat="1" ht="23.1" customHeight="1">
      <c r="A161" s="277"/>
      <c r="B161" s="313"/>
      <c r="C161" s="280" t="s">
        <v>120</v>
      </c>
      <c r="D161" s="293" t="s">
        <v>391</v>
      </c>
      <c r="F161" s="679" t="s">
        <v>355</v>
      </c>
      <c r="G161" s="680"/>
      <c r="H161" s="680"/>
      <c r="I161" s="681"/>
      <c r="J161" s="315"/>
      <c r="L161" s="353"/>
    </row>
    <row r="162" spans="1:12" s="276" customFormat="1" ht="45" customHeight="1">
      <c r="A162" s="277"/>
      <c r="B162" s="313"/>
      <c r="C162" s="410" t="s">
        <v>356</v>
      </c>
      <c r="D162" s="712" t="s">
        <v>392</v>
      </c>
      <c r="E162" s="712"/>
      <c r="F162" s="682"/>
      <c r="G162" s="683"/>
      <c r="H162" s="683"/>
      <c r="I162" s="684"/>
      <c r="J162" s="315"/>
      <c r="L162" s="353"/>
    </row>
    <row r="163" spans="1:12" s="276" customFormat="1" ht="9.9499999999999993" customHeight="1">
      <c r="A163" s="277"/>
      <c r="B163" s="313"/>
      <c r="C163" s="410"/>
      <c r="D163" s="413"/>
      <c r="E163" s="411"/>
      <c r="F163" s="412"/>
      <c r="G163" s="412"/>
      <c r="H163" s="412"/>
      <c r="I163" s="414"/>
      <c r="J163" s="315"/>
      <c r="L163" s="353"/>
    </row>
    <row r="164" spans="1:12" s="278" customFormat="1" ht="50.1" customHeight="1">
      <c r="A164" s="392"/>
      <c r="B164" s="316"/>
      <c r="C164" s="669" t="s">
        <v>2</v>
      </c>
      <c r="D164" s="671" t="s">
        <v>283</v>
      </c>
      <c r="E164" s="673" t="s">
        <v>275</v>
      </c>
      <c r="F164" s="674"/>
      <c r="G164" s="673" t="s">
        <v>276</v>
      </c>
      <c r="H164" s="674"/>
      <c r="I164" s="713" t="s">
        <v>85</v>
      </c>
      <c r="J164" s="317"/>
      <c r="L164" s="354"/>
    </row>
    <row r="165" spans="1:12" s="278" customFormat="1" ht="24.95" customHeight="1">
      <c r="A165" s="392"/>
      <c r="B165" s="316"/>
      <c r="C165" s="670"/>
      <c r="D165" s="672"/>
      <c r="E165" s="294" t="s">
        <v>256</v>
      </c>
      <c r="F165" s="295" t="s">
        <v>27</v>
      </c>
      <c r="G165" s="294" t="s">
        <v>256</v>
      </c>
      <c r="H165" s="295" t="s">
        <v>27</v>
      </c>
      <c r="I165" s="675"/>
      <c r="J165" s="317"/>
      <c r="L165" s="354"/>
    </row>
    <row r="166" spans="1:12" s="408" customFormat="1" ht="18" customHeight="1">
      <c r="A166" s="403"/>
      <c r="B166" s="404"/>
      <c r="C166" s="344" t="s">
        <v>260</v>
      </c>
      <c r="D166" s="345">
        <v>44621</v>
      </c>
      <c r="E166" s="346">
        <v>1</v>
      </c>
      <c r="F166" s="347">
        <v>750000</v>
      </c>
      <c r="G166" s="346">
        <v>1</v>
      </c>
      <c r="H166" s="347">
        <v>750000</v>
      </c>
      <c r="I166" s="347" t="s">
        <v>268</v>
      </c>
      <c r="J166" s="407"/>
      <c r="L166" s="409"/>
    </row>
    <row r="167" spans="1:12" s="349" customFormat="1" ht="18" customHeight="1">
      <c r="A167" s="394"/>
      <c r="B167" s="343"/>
      <c r="C167" s="344" t="s">
        <v>261</v>
      </c>
      <c r="D167" s="345">
        <v>44622</v>
      </c>
      <c r="E167" s="346">
        <v>1</v>
      </c>
      <c r="F167" s="347">
        <v>750000</v>
      </c>
      <c r="G167" s="346">
        <v>1</v>
      </c>
      <c r="H167" s="347">
        <v>750000</v>
      </c>
      <c r="I167" s="347" t="s">
        <v>268</v>
      </c>
      <c r="J167" s="348"/>
      <c r="L167" s="358"/>
    </row>
    <row r="168" spans="1:12" s="408" customFormat="1" ht="18" customHeight="1">
      <c r="A168" s="403"/>
      <c r="B168" s="404"/>
      <c r="C168" s="405" t="s">
        <v>262</v>
      </c>
      <c r="D168" s="406">
        <v>44623</v>
      </c>
      <c r="E168" s="401">
        <v>0</v>
      </c>
      <c r="F168" s="402">
        <v>0</v>
      </c>
      <c r="G168" s="401">
        <v>0</v>
      </c>
      <c r="H168" s="402">
        <v>0</v>
      </c>
      <c r="I168" s="402" t="s">
        <v>269</v>
      </c>
      <c r="J168" s="407"/>
      <c r="L168" s="409"/>
    </row>
    <row r="169" spans="1:12" s="349" customFormat="1" ht="18" customHeight="1">
      <c r="A169" s="394"/>
      <c r="B169" s="343"/>
      <c r="C169" s="344" t="s">
        <v>263</v>
      </c>
      <c r="D169" s="345">
        <v>44624</v>
      </c>
      <c r="E169" s="346">
        <v>1</v>
      </c>
      <c r="F169" s="347">
        <v>750000</v>
      </c>
      <c r="G169" s="346">
        <v>1</v>
      </c>
      <c r="H169" s="347">
        <v>750000</v>
      </c>
      <c r="I169" s="347" t="s">
        <v>268</v>
      </c>
      <c r="J169" s="348"/>
      <c r="L169" s="358"/>
    </row>
    <row r="170" spans="1:12" s="408" customFormat="1" ht="18" customHeight="1">
      <c r="A170" s="403"/>
      <c r="B170" s="404"/>
      <c r="C170" s="405" t="s">
        <v>257</v>
      </c>
      <c r="D170" s="406">
        <v>44625</v>
      </c>
      <c r="E170" s="401">
        <v>0</v>
      </c>
      <c r="F170" s="402">
        <v>0</v>
      </c>
      <c r="G170" s="401">
        <v>0</v>
      </c>
      <c r="H170" s="402">
        <v>0</v>
      </c>
      <c r="I170" s="402" t="s">
        <v>269</v>
      </c>
      <c r="J170" s="407"/>
      <c r="L170" s="409"/>
    </row>
    <row r="171" spans="1:12" s="408" customFormat="1" ht="18" customHeight="1">
      <c r="A171" s="403"/>
      <c r="B171" s="404"/>
      <c r="C171" s="405" t="s">
        <v>258</v>
      </c>
      <c r="D171" s="406">
        <v>44626</v>
      </c>
      <c r="E171" s="401">
        <v>0</v>
      </c>
      <c r="F171" s="402">
        <v>0</v>
      </c>
      <c r="G171" s="401">
        <v>0</v>
      </c>
      <c r="H171" s="402">
        <v>0</v>
      </c>
      <c r="I171" s="402" t="s">
        <v>269</v>
      </c>
      <c r="J171" s="407"/>
      <c r="L171" s="409"/>
    </row>
    <row r="172" spans="1:12" s="349" customFormat="1" ht="18" customHeight="1">
      <c r="A172" s="394"/>
      <c r="B172" s="343"/>
      <c r="C172" s="344" t="s">
        <v>259</v>
      </c>
      <c r="D172" s="345">
        <v>44627</v>
      </c>
      <c r="E172" s="346">
        <v>1</v>
      </c>
      <c r="F172" s="347">
        <v>750000</v>
      </c>
      <c r="G172" s="346">
        <v>1</v>
      </c>
      <c r="H172" s="347">
        <v>750000</v>
      </c>
      <c r="I172" s="347" t="s">
        <v>268</v>
      </c>
      <c r="J172" s="348"/>
      <c r="L172" s="358"/>
    </row>
    <row r="173" spans="1:12" s="349" customFormat="1" ht="18" customHeight="1">
      <c r="A173" s="394"/>
      <c r="B173" s="343"/>
      <c r="C173" s="344" t="s">
        <v>260</v>
      </c>
      <c r="D173" s="345">
        <v>44628</v>
      </c>
      <c r="E173" s="346">
        <v>1</v>
      </c>
      <c r="F173" s="347">
        <v>750000</v>
      </c>
      <c r="G173" s="346">
        <v>1</v>
      </c>
      <c r="H173" s="347">
        <v>750000</v>
      </c>
      <c r="I173" s="347" t="s">
        <v>268</v>
      </c>
      <c r="J173" s="348"/>
      <c r="L173" s="358"/>
    </row>
    <row r="174" spans="1:12" s="349" customFormat="1" ht="18" customHeight="1">
      <c r="A174" s="394"/>
      <c r="B174" s="343"/>
      <c r="C174" s="344" t="s">
        <v>261</v>
      </c>
      <c r="D174" s="345">
        <v>44629</v>
      </c>
      <c r="E174" s="346">
        <v>1</v>
      </c>
      <c r="F174" s="347">
        <v>750000</v>
      </c>
      <c r="G174" s="346">
        <v>1</v>
      </c>
      <c r="H174" s="347">
        <v>750000</v>
      </c>
      <c r="I174" s="347" t="s">
        <v>268</v>
      </c>
      <c r="J174" s="348"/>
      <c r="L174" s="358"/>
    </row>
    <row r="175" spans="1:12" s="349" customFormat="1" ht="18" customHeight="1">
      <c r="A175" s="394"/>
      <c r="B175" s="343"/>
      <c r="C175" s="344" t="s">
        <v>262</v>
      </c>
      <c r="D175" s="345">
        <v>44630</v>
      </c>
      <c r="E175" s="346">
        <v>1</v>
      </c>
      <c r="F175" s="347">
        <v>750000</v>
      </c>
      <c r="G175" s="346">
        <v>1</v>
      </c>
      <c r="H175" s="347">
        <v>750000</v>
      </c>
      <c r="I175" s="347" t="s">
        <v>268</v>
      </c>
      <c r="J175" s="348"/>
      <c r="L175" s="358"/>
    </row>
    <row r="176" spans="1:12" s="349" customFormat="1" ht="18" customHeight="1">
      <c r="A176" s="394"/>
      <c r="B176" s="343"/>
      <c r="C176" s="344" t="s">
        <v>263</v>
      </c>
      <c r="D176" s="345">
        <v>44631</v>
      </c>
      <c r="E176" s="346">
        <v>1</v>
      </c>
      <c r="F176" s="347">
        <v>750000</v>
      </c>
      <c r="G176" s="346">
        <v>1</v>
      </c>
      <c r="H176" s="347">
        <v>750000</v>
      </c>
      <c r="I176" s="347" t="s">
        <v>268</v>
      </c>
      <c r="J176" s="348"/>
      <c r="L176" s="358"/>
    </row>
    <row r="177" spans="1:12" s="408" customFormat="1" ht="18" customHeight="1">
      <c r="A177" s="403"/>
      <c r="B177" s="404"/>
      <c r="C177" s="405" t="s">
        <v>257</v>
      </c>
      <c r="D177" s="406">
        <v>44632</v>
      </c>
      <c r="E177" s="401">
        <v>0</v>
      </c>
      <c r="F177" s="402">
        <v>0</v>
      </c>
      <c r="G177" s="401">
        <v>0</v>
      </c>
      <c r="H177" s="402">
        <v>0</v>
      </c>
      <c r="I177" s="402" t="s">
        <v>269</v>
      </c>
      <c r="J177" s="407"/>
      <c r="L177" s="409"/>
    </row>
    <row r="178" spans="1:12" s="408" customFormat="1" ht="18" customHeight="1">
      <c r="A178" s="403"/>
      <c r="B178" s="404"/>
      <c r="C178" s="405" t="s">
        <v>258</v>
      </c>
      <c r="D178" s="406">
        <v>44633</v>
      </c>
      <c r="E178" s="401">
        <v>0</v>
      </c>
      <c r="F178" s="402">
        <v>0</v>
      </c>
      <c r="G178" s="401">
        <v>0</v>
      </c>
      <c r="H178" s="402">
        <v>0</v>
      </c>
      <c r="I178" s="402" t="s">
        <v>269</v>
      </c>
      <c r="J178" s="407"/>
      <c r="L178" s="409"/>
    </row>
    <row r="179" spans="1:12" s="349" customFormat="1" ht="18" customHeight="1">
      <c r="A179" s="394"/>
      <c r="B179" s="343"/>
      <c r="C179" s="344" t="s">
        <v>259</v>
      </c>
      <c r="D179" s="345">
        <v>44634</v>
      </c>
      <c r="E179" s="346">
        <v>1</v>
      </c>
      <c r="F179" s="347">
        <v>750000</v>
      </c>
      <c r="G179" s="346">
        <v>1</v>
      </c>
      <c r="H179" s="347">
        <v>750000</v>
      </c>
      <c r="I179" s="347" t="s">
        <v>268</v>
      </c>
      <c r="J179" s="348"/>
      <c r="L179" s="358"/>
    </row>
    <row r="180" spans="1:12" s="349" customFormat="1" ht="18" customHeight="1">
      <c r="A180" s="394"/>
      <c r="B180" s="343"/>
      <c r="C180" s="344" t="s">
        <v>260</v>
      </c>
      <c r="D180" s="345">
        <v>44635</v>
      </c>
      <c r="E180" s="346">
        <v>1</v>
      </c>
      <c r="F180" s="347">
        <v>750000</v>
      </c>
      <c r="G180" s="346">
        <v>1</v>
      </c>
      <c r="H180" s="347">
        <v>750000</v>
      </c>
      <c r="I180" s="347" t="s">
        <v>268</v>
      </c>
      <c r="J180" s="348"/>
      <c r="L180" s="358"/>
    </row>
    <row r="181" spans="1:12" s="349" customFormat="1" ht="18" customHeight="1">
      <c r="A181" s="394"/>
      <c r="B181" s="343"/>
      <c r="C181" s="344" t="s">
        <v>261</v>
      </c>
      <c r="D181" s="345">
        <v>44636</v>
      </c>
      <c r="E181" s="346">
        <v>1</v>
      </c>
      <c r="F181" s="347">
        <v>750000</v>
      </c>
      <c r="G181" s="346">
        <v>1</v>
      </c>
      <c r="H181" s="347">
        <v>750000</v>
      </c>
      <c r="I181" s="347" t="s">
        <v>268</v>
      </c>
      <c r="J181" s="348"/>
      <c r="L181" s="358"/>
    </row>
    <row r="182" spans="1:12" s="349" customFormat="1" ht="18" customHeight="1">
      <c r="A182" s="394"/>
      <c r="B182" s="343"/>
      <c r="C182" s="344" t="s">
        <v>262</v>
      </c>
      <c r="D182" s="345">
        <v>44637</v>
      </c>
      <c r="E182" s="346">
        <v>1</v>
      </c>
      <c r="F182" s="347">
        <v>750000</v>
      </c>
      <c r="G182" s="346">
        <v>1</v>
      </c>
      <c r="H182" s="347">
        <v>750000</v>
      </c>
      <c r="I182" s="347" t="s">
        <v>268</v>
      </c>
      <c r="J182" s="348"/>
      <c r="L182" s="358"/>
    </row>
    <row r="183" spans="1:12" s="349" customFormat="1" ht="18" customHeight="1">
      <c r="A183" s="394"/>
      <c r="B183" s="343"/>
      <c r="C183" s="344" t="s">
        <v>263</v>
      </c>
      <c r="D183" s="345">
        <v>44638</v>
      </c>
      <c r="E183" s="346">
        <v>1</v>
      </c>
      <c r="F183" s="347">
        <v>750000</v>
      </c>
      <c r="G183" s="346">
        <v>1</v>
      </c>
      <c r="H183" s="347">
        <v>750000</v>
      </c>
      <c r="I183" s="347" t="s">
        <v>387</v>
      </c>
      <c r="J183" s="348"/>
      <c r="L183" s="358"/>
    </row>
    <row r="184" spans="1:12" s="408" customFormat="1" ht="18" customHeight="1">
      <c r="A184" s="403"/>
      <c r="B184" s="404"/>
      <c r="C184" s="405" t="s">
        <v>257</v>
      </c>
      <c r="D184" s="406">
        <v>44639</v>
      </c>
      <c r="E184" s="401">
        <v>0</v>
      </c>
      <c r="F184" s="402">
        <v>0</v>
      </c>
      <c r="G184" s="401">
        <v>0</v>
      </c>
      <c r="H184" s="402">
        <v>0</v>
      </c>
      <c r="I184" s="402" t="s">
        <v>269</v>
      </c>
      <c r="J184" s="407"/>
      <c r="L184" s="409"/>
    </row>
    <row r="185" spans="1:12" s="408" customFormat="1" ht="18" customHeight="1">
      <c r="A185" s="403"/>
      <c r="B185" s="404"/>
      <c r="C185" s="405" t="s">
        <v>258</v>
      </c>
      <c r="D185" s="406">
        <v>44640</v>
      </c>
      <c r="E185" s="401">
        <v>0</v>
      </c>
      <c r="F185" s="402">
        <v>0</v>
      </c>
      <c r="G185" s="401">
        <v>0</v>
      </c>
      <c r="H185" s="402">
        <v>0</v>
      </c>
      <c r="I185" s="402" t="s">
        <v>269</v>
      </c>
      <c r="J185" s="407"/>
      <c r="L185" s="409"/>
    </row>
    <row r="186" spans="1:12" s="349" customFormat="1" ht="18" customHeight="1">
      <c r="A186" s="394"/>
      <c r="B186" s="343"/>
      <c r="C186" s="344" t="s">
        <v>259</v>
      </c>
      <c r="D186" s="345">
        <v>44641</v>
      </c>
      <c r="E186" s="346">
        <v>1</v>
      </c>
      <c r="F186" s="347">
        <v>750000</v>
      </c>
      <c r="G186" s="346">
        <v>1</v>
      </c>
      <c r="H186" s="347">
        <v>750000</v>
      </c>
      <c r="I186" s="347" t="s">
        <v>268</v>
      </c>
      <c r="J186" s="348"/>
      <c r="L186" s="358"/>
    </row>
    <row r="187" spans="1:12" s="349" customFormat="1" ht="18" customHeight="1">
      <c r="A187" s="394"/>
      <c r="B187" s="343"/>
      <c r="C187" s="344" t="s">
        <v>260</v>
      </c>
      <c r="D187" s="345">
        <v>44642</v>
      </c>
      <c r="E187" s="346">
        <v>1</v>
      </c>
      <c r="F187" s="347">
        <v>750000</v>
      </c>
      <c r="G187" s="346">
        <v>1</v>
      </c>
      <c r="H187" s="347">
        <v>750000</v>
      </c>
      <c r="I187" s="347" t="s">
        <v>268</v>
      </c>
      <c r="J187" s="348"/>
      <c r="L187" s="358"/>
    </row>
    <row r="188" spans="1:12" s="349" customFormat="1" ht="18" customHeight="1">
      <c r="A188" s="394"/>
      <c r="B188" s="343"/>
      <c r="C188" s="344" t="s">
        <v>261</v>
      </c>
      <c r="D188" s="345">
        <v>44643</v>
      </c>
      <c r="E188" s="346">
        <v>1</v>
      </c>
      <c r="F188" s="347">
        <v>750000</v>
      </c>
      <c r="G188" s="346">
        <v>1</v>
      </c>
      <c r="H188" s="347">
        <v>750000</v>
      </c>
      <c r="I188" s="347" t="s">
        <v>268</v>
      </c>
      <c r="J188" s="348"/>
      <c r="L188" s="358"/>
    </row>
    <row r="189" spans="1:12" s="349" customFormat="1" ht="18" customHeight="1">
      <c r="A189" s="394"/>
      <c r="B189" s="343"/>
      <c r="C189" s="344" t="s">
        <v>262</v>
      </c>
      <c r="D189" s="345">
        <v>44644</v>
      </c>
      <c r="E189" s="346">
        <v>1</v>
      </c>
      <c r="F189" s="347">
        <v>750000</v>
      </c>
      <c r="G189" s="346">
        <v>1</v>
      </c>
      <c r="H189" s="347">
        <v>750000</v>
      </c>
      <c r="I189" s="347" t="s">
        <v>268</v>
      </c>
      <c r="J189" s="348"/>
      <c r="L189" s="358"/>
    </row>
    <row r="190" spans="1:12" s="349" customFormat="1" ht="18" customHeight="1">
      <c r="A190" s="394"/>
      <c r="B190" s="343"/>
      <c r="C190" s="344" t="s">
        <v>263</v>
      </c>
      <c r="D190" s="345">
        <v>44645</v>
      </c>
      <c r="E190" s="346">
        <v>1</v>
      </c>
      <c r="F190" s="347">
        <v>750000</v>
      </c>
      <c r="G190" s="346">
        <v>1</v>
      </c>
      <c r="H190" s="347">
        <v>750000</v>
      </c>
      <c r="I190" s="347" t="s">
        <v>268</v>
      </c>
      <c r="J190" s="348"/>
      <c r="L190" s="358"/>
    </row>
    <row r="191" spans="1:12" s="408" customFormat="1" ht="18" customHeight="1">
      <c r="A191" s="403"/>
      <c r="B191" s="404"/>
      <c r="C191" s="405" t="s">
        <v>257</v>
      </c>
      <c r="D191" s="406">
        <v>44646</v>
      </c>
      <c r="E191" s="401">
        <v>0</v>
      </c>
      <c r="F191" s="402">
        <v>0</v>
      </c>
      <c r="G191" s="401">
        <v>0</v>
      </c>
      <c r="H191" s="402">
        <v>0</v>
      </c>
      <c r="I191" s="402" t="s">
        <v>269</v>
      </c>
      <c r="J191" s="407"/>
      <c r="L191" s="409"/>
    </row>
    <row r="192" spans="1:12" s="408" customFormat="1" ht="18" customHeight="1">
      <c r="A192" s="403"/>
      <c r="B192" s="404"/>
      <c r="C192" s="405" t="s">
        <v>258</v>
      </c>
      <c r="D192" s="406">
        <v>44647</v>
      </c>
      <c r="E192" s="401">
        <v>0</v>
      </c>
      <c r="F192" s="402">
        <v>0</v>
      </c>
      <c r="G192" s="401">
        <v>0</v>
      </c>
      <c r="H192" s="402">
        <v>0</v>
      </c>
      <c r="I192" s="402" t="s">
        <v>269</v>
      </c>
      <c r="J192" s="407"/>
      <c r="L192" s="409"/>
    </row>
    <row r="193" spans="1:12" s="408" customFormat="1" ht="18" customHeight="1">
      <c r="A193" s="403"/>
      <c r="B193" s="404"/>
      <c r="C193" s="344" t="s">
        <v>259</v>
      </c>
      <c r="D193" s="345">
        <v>44648</v>
      </c>
      <c r="E193" s="346">
        <v>1</v>
      </c>
      <c r="F193" s="347">
        <v>750000</v>
      </c>
      <c r="G193" s="346">
        <v>1</v>
      </c>
      <c r="H193" s="347">
        <v>750000</v>
      </c>
      <c r="I193" s="347" t="s">
        <v>268</v>
      </c>
      <c r="J193" s="407"/>
      <c r="L193" s="409"/>
    </row>
    <row r="194" spans="1:12" s="408" customFormat="1" ht="18" customHeight="1">
      <c r="A194" s="403"/>
      <c r="B194" s="404"/>
      <c r="C194" s="344" t="s">
        <v>260</v>
      </c>
      <c r="D194" s="345">
        <v>44649</v>
      </c>
      <c r="E194" s="346">
        <v>1</v>
      </c>
      <c r="F194" s="347">
        <v>750000</v>
      </c>
      <c r="G194" s="346">
        <v>1</v>
      </c>
      <c r="H194" s="347">
        <v>750000</v>
      </c>
      <c r="I194" s="347" t="s">
        <v>268</v>
      </c>
      <c r="J194" s="407"/>
      <c r="L194" s="409"/>
    </row>
    <row r="195" spans="1:12" s="408" customFormat="1" ht="18" customHeight="1">
      <c r="A195" s="403"/>
      <c r="B195" s="404"/>
      <c r="C195" s="344" t="s">
        <v>261</v>
      </c>
      <c r="D195" s="345">
        <v>44650</v>
      </c>
      <c r="E195" s="346">
        <v>1</v>
      </c>
      <c r="F195" s="347">
        <v>750000</v>
      </c>
      <c r="G195" s="346">
        <v>1</v>
      </c>
      <c r="H195" s="347">
        <v>750000</v>
      </c>
      <c r="I195" s="347" t="s">
        <v>268</v>
      </c>
      <c r="J195" s="407"/>
      <c r="L195" s="409"/>
    </row>
    <row r="196" spans="1:12" s="408" customFormat="1" ht="18" customHeight="1">
      <c r="A196" s="403"/>
      <c r="B196" s="404"/>
      <c r="C196" s="344" t="s">
        <v>262</v>
      </c>
      <c r="D196" s="345">
        <v>44651</v>
      </c>
      <c r="E196" s="346">
        <v>1</v>
      </c>
      <c r="F196" s="347">
        <v>750000</v>
      </c>
      <c r="G196" s="346">
        <v>1</v>
      </c>
      <c r="H196" s="347">
        <v>750000</v>
      </c>
      <c r="I196" s="347" t="s">
        <v>268</v>
      </c>
      <c r="J196" s="407"/>
      <c r="L196" s="409"/>
    </row>
    <row r="197" spans="1:12" s="349" customFormat="1" ht="18" customHeight="1">
      <c r="A197" s="394"/>
      <c r="B197" s="343"/>
      <c r="C197" s="702" t="s">
        <v>337</v>
      </c>
      <c r="D197" s="703"/>
      <c r="E197" s="704">
        <f>SUM(E166:E196)</f>
        <v>22</v>
      </c>
      <c r="F197" s="705"/>
      <c r="G197" s="704">
        <f>SUM(G166:G196)</f>
        <v>22</v>
      </c>
      <c r="H197" s="705"/>
      <c r="I197" s="400"/>
      <c r="J197" s="348"/>
      <c r="L197" s="358"/>
    </row>
    <row r="198" spans="1:12" s="297" customFormat="1" ht="20.100000000000001" customHeight="1">
      <c r="A198" s="277"/>
      <c r="B198" s="320"/>
      <c r="C198" s="706" t="s">
        <v>264</v>
      </c>
      <c r="D198" s="707"/>
      <c r="E198" s="708">
        <f>SUM(F166:F196)</f>
        <v>16500000</v>
      </c>
      <c r="F198" s="709"/>
      <c r="G198" s="708">
        <f>SUM(H166:H196)</f>
        <v>16500000</v>
      </c>
      <c r="H198" s="709"/>
      <c r="I198" s="330"/>
      <c r="J198" s="321"/>
      <c r="L198" s="356">
        <v>22</v>
      </c>
    </row>
    <row r="199" spans="1:12" s="296" customFormat="1" ht="24.95" customHeight="1">
      <c r="A199" s="277"/>
      <c r="B199" s="322"/>
      <c r="C199" s="692" t="s">
        <v>62</v>
      </c>
      <c r="D199" s="692"/>
      <c r="E199" s="692"/>
      <c r="F199" s="692"/>
      <c r="G199" s="690">
        <f>+G198+E198</f>
        <v>33000000</v>
      </c>
      <c r="H199" s="691"/>
      <c r="I199" s="331"/>
      <c r="J199" s="323"/>
      <c r="L199" s="359">
        <f>+L198*2*750000</f>
        <v>33000000</v>
      </c>
    </row>
    <row r="200" spans="1:12" ht="20.100000000000001" customHeight="1">
      <c r="B200" s="307"/>
      <c r="C200" s="369"/>
      <c r="J200" s="308"/>
    </row>
    <row r="201" spans="1:12" ht="18" customHeight="1">
      <c r="B201" s="307"/>
      <c r="C201" s="290" t="s">
        <v>136</v>
      </c>
      <c r="E201" s="183"/>
      <c r="F201" s="234" t="s">
        <v>131</v>
      </c>
      <c r="G201" s="234" t="s">
        <v>130</v>
      </c>
      <c r="H201" s="234" t="s">
        <v>129</v>
      </c>
      <c r="I201" s="234" t="s">
        <v>128</v>
      </c>
      <c r="J201" s="308"/>
    </row>
    <row r="202" spans="1:12" s="335" customFormat="1" ht="30" customHeight="1">
      <c r="B202" s="332"/>
      <c r="C202" s="710">
        <v>5</v>
      </c>
      <c r="D202" s="711"/>
      <c r="F202" s="415">
        <v>4</v>
      </c>
      <c r="G202" s="415">
        <v>3</v>
      </c>
      <c r="H202" s="415">
        <v>2</v>
      </c>
      <c r="I202" s="415">
        <v>1</v>
      </c>
      <c r="J202" s="337"/>
      <c r="L202" s="357"/>
    </row>
    <row r="203" spans="1:12" ht="15" customHeight="1">
      <c r="B203" s="307"/>
      <c r="C203" s="698" t="s">
        <v>358</v>
      </c>
      <c r="D203" s="699"/>
      <c r="E203" s="183"/>
      <c r="F203" s="236" t="s">
        <v>114</v>
      </c>
      <c r="G203" s="237" t="s">
        <v>357</v>
      </c>
      <c r="H203" s="238" t="s">
        <v>112</v>
      </c>
      <c r="I203" s="234" t="s">
        <v>16</v>
      </c>
      <c r="J203" s="308"/>
    </row>
    <row r="204" spans="1:12" ht="12.95" customHeight="1" thickBot="1">
      <c r="B204" s="374"/>
      <c r="C204" s="700" t="s">
        <v>132</v>
      </c>
      <c r="D204" s="701"/>
      <c r="E204" s="377"/>
      <c r="F204" s="375" t="s">
        <v>132</v>
      </c>
      <c r="G204" s="375" t="s">
        <v>132</v>
      </c>
      <c r="H204" s="375" t="s">
        <v>132</v>
      </c>
      <c r="I204" s="375" t="s">
        <v>132</v>
      </c>
      <c r="J204" s="378"/>
    </row>
    <row r="205" spans="1:12" ht="9.9499999999999993" customHeight="1" thickTop="1">
      <c r="B205" s="364"/>
      <c r="C205" s="364"/>
      <c r="D205" s="365"/>
      <c r="E205" s="366"/>
      <c r="F205" s="367"/>
      <c r="G205" s="366"/>
      <c r="H205" s="367"/>
      <c r="I205" s="367"/>
      <c r="J205" s="364"/>
    </row>
    <row r="207" spans="1:12" ht="9.9499999999999993" customHeight="1" thickBot="1">
      <c r="A207" s="422"/>
      <c r="B207" s="379"/>
      <c r="C207" s="379"/>
      <c r="D207" s="380"/>
      <c r="E207" s="381"/>
      <c r="F207" s="382"/>
      <c r="G207" s="381"/>
      <c r="H207" s="382"/>
      <c r="I207" s="382"/>
      <c r="J207" s="379"/>
    </row>
    <row r="208" spans="1:12" ht="9.9499999999999993" customHeight="1" thickTop="1">
      <c r="A208" s="661">
        <v>44652</v>
      </c>
      <c r="B208" s="301"/>
      <c r="C208" s="302"/>
      <c r="D208" s="303"/>
      <c r="E208" s="304"/>
      <c r="F208" s="305"/>
      <c r="G208" s="304"/>
      <c r="H208" s="305"/>
      <c r="I208" s="305"/>
      <c r="J208" s="306"/>
    </row>
    <row r="209" spans="1:12" ht="17.100000000000001" customHeight="1">
      <c r="A209" s="661"/>
      <c r="B209" s="307"/>
      <c r="C209" s="298" t="s">
        <v>138</v>
      </c>
      <c r="D209" s="299"/>
      <c r="G209" s="662" t="s">
        <v>395</v>
      </c>
      <c r="H209" s="662"/>
      <c r="I209" s="662"/>
      <c r="J209" s="308"/>
    </row>
    <row r="210" spans="1:12" s="275" customFormat="1" ht="30" customHeight="1">
      <c r="A210" s="661"/>
      <c r="B210" s="309"/>
      <c r="C210" s="279" t="s">
        <v>119</v>
      </c>
      <c r="D210" s="292" t="s">
        <v>244</v>
      </c>
      <c r="F210" s="310"/>
      <c r="G210" s="311"/>
      <c r="H210" s="310"/>
      <c r="I210" s="310"/>
      <c r="J210" s="312"/>
      <c r="L210" s="352"/>
    </row>
    <row r="211" spans="1:12" s="276" customFormat="1" ht="23.1" customHeight="1">
      <c r="A211" s="277"/>
      <c r="B211" s="313"/>
      <c r="C211" s="280" t="s">
        <v>120</v>
      </c>
      <c r="D211" s="293" t="s">
        <v>394</v>
      </c>
      <c r="F211" s="679" t="s">
        <v>355</v>
      </c>
      <c r="G211" s="680"/>
      <c r="H211" s="680"/>
      <c r="I211" s="681"/>
      <c r="J211" s="315"/>
      <c r="L211" s="353"/>
    </row>
    <row r="212" spans="1:12" s="276" customFormat="1" ht="45" customHeight="1">
      <c r="A212" s="277"/>
      <c r="B212" s="313"/>
      <c r="C212" s="410" t="s">
        <v>356</v>
      </c>
      <c r="D212" s="712" t="s">
        <v>393</v>
      </c>
      <c r="E212" s="712"/>
      <c r="F212" s="682"/>
      <c r="G212" s="683"/>
      <c r="H212" s="683"/>
      <c r="I212" s="684"/>
      <c r="J212" s="315"/>
      <c r="L212" s="353"/>
    </row>
    <row r="213" spans="1:12" s="276" customFormat="1" ht="9.9499999999999993" customHeight="1">
      <c r="A213" s="277"/>
      <c r="B213" s="313"/>
      <c r="C213" s="410"/>
      <c r="D213" s="413"/>
      <c r="E213" s="411"/>
      <c r="F213" s="412"/>
      <c r="G213" s="412"/>
      <c r="H213" s="412"/>
      <c r="I213" s="414"/>
      <c r="J213" s="315"/>
      <c r="L213" s="353"/>
    </row>
    <row r="214" spans="1:12" s="278" customFormat="1" ht="50.1" customHeight="1">
      <c r="A214" s="392"/>
      <c r="B214" s="316"/>
      <c r="C214" s="669" t="s">
        <v>2</v>
      </c>
      <c r="D214" s="671" t="s">
        <v>283</v>
      </c>
      <c r="E214" s="673" t="s">
        <v>275</v>
      </c>
      <c r="F214" s="674"/>
      <c r="G214" s="673" t="s">
        <v>276</v>
      </c>
      <c r="H214" s="674"/>
      <c r="I214" s="713" t="s">
        <v>85</v>
      </c>
      <c r="J214" s="317"/>
      <c r="L214" s="354"/>
    </row>
    <row r="215" spans="1:12" s="278" customFormat="1" ht="24.95" customHeight="1">
      <c r="A215" s="392"/>
      <c r="B215" s="316"/>
      <c r="C215" s="670"/>
      <c r="D215" s="672"/>
      <c r="E215" s="294" t="s">
        <v>256</v>
      </c>
      <c r="F215" s="295" t="s">
        <v>27</v>
      </c>
      <c r="G215" s="294" t="s">
        <v>256</v>
      </c>
      <c r="H215" s="295" t="s">
        <v>27</v>
      </c>
      <c r="I215" s="675"/>
      <c r="J215" s="317"/>
      <c r="L215" s="354"/>
    </row>
    <row r="216" spans="1:12" s="408" customFormat="1" ht="18" customHeight="1">
      <c r="A216" s="403"/>
      <c r="B216" s="404"/>
      <c r="C216" s="344" t="s">
        <v>263</v>
      </c>
      <c r="D216" s="345">
        <v>44652</v>
      </c>
      <c r="E216" s="346">
        <v>1</v>
      </c>
      <c r="F216" s="347">
        <v>750000</v>
      </c>
      <c r="G216" s="346">
        <v>1</v>
      </c>
      <c r="H216" s="347">
        <v>750000</v>
      </c>
      <c r="I216" s="347" t="s">
        <v>268</v>
      </c>
      <c r="J216" s="407"/>
      <c r="L216" s="409"/>
    </row>
    <row r="217" spans="1:12" s="408" customFormat="1" ht="18" customHeight="1">
      <c r="A217" s="403"/>
      <c r="B217" s="404"/>
      <c r="C217" s="405" t="s">
        <v>257</v>
      </c>
      <c r="D217" s="406">
        <v>44653</v>
      </c>
      <c r="E217" s="401">
        <v>0</v>
      </c>
      <c r="F217" s="402">
        <v>0</v>
      </c>
      <c r="G217" s="401">
        <v>0</v>
      </c>
      <c r="H217" s="402">
        <v>0</v>
      </c>
      <c r="I217" s="402" t="s">
        <v>269</v>
      </c>
      <c r="J217" s="407"/>
      <c r="L217" s="409"/>
    </row>
    <row r="218" spans="1:12" s="408" customFormat="1" ht="18" customHeight="1">
      <c r="A218" s="403"/>
      <c r="B218" s="404"/>
      <c r="C218" s="405" t="s">
        <v>258</v>
      </c>
      <c r="D218" s="406">
        <v>44654</v>
      </c>
      <c r="E218" s="401">
        <v>0</v>
      </c>
      <c r="F218" s="402">
        <v>0</v>
      </c>
      <c r="G218" s="401">
        <v>0</v>
      </c>
      <c r="H218" s="402">
        <v>0</v>
      </c>
      <c r="I218" s="402" t="s">
        <v>269</v>
      </c>
      <c r="J218" s="407"/>
      <c r="L218" s="409"/>
    </row>
    <row r="219" spans="1:12" s="349" customFormat="1" ht="18" customHeight="1">
      <c r="A219" s="394"/>
      <c r="B219" s="343"/>
      <c r="C219" s="344" t="s">
        <v>259</v>
      </c>
      <c r="D219" s="345">
        <v>44655</v>
      </c>
      <c r="E219" s="346">
        <v>1</v>
      </c>
      <c r="F219" s="347">
        <v>750000</v>
      </c>
      <c r="G219" s="346">
        <v>1</v>
      </c>
      <c r="H219" s="347">
        <v>750000</v>
      </c>
      <c r="I219" s="347" t="s">
        <v>268</v>
      </c>
      <c r="J219" s="348"/>
      <c r="L219" s="358"/>
    </row>
    <row r="220" spans="1:12" s="408" customFormat="1" ht="18" customHeight="1">
      <c r="A220" s="403"/>
      <c r="B220" s="404"/>
      <c r="C220" s="344" t="s">
        <v>260</v>
      </c>
      <c r="D220" s="345">
        <v>44656</v>
      </c>
      <c r="E220" s="346">
        <v>1</v>
      </c>
      <c r="F220" s="347">
        <v>750000</v>
      </c>
      <c r="G220" s="346">
        <v>1</v>
      </c>
      <c r="H220" s="347">
        <v>750000</v>
      </c>
      <c r="I220" s="347" t="s">
        <v>268</v>
      </c>
      <c r="J220" s="407"/>
      <c r="L220" s="409"/>
    </row>
    <row r="221" spans="1:12" s="408" customFormat="1" ht="18" customHeight="1">
      <c r="A221" s="403"/>
      <c r="B221" s="404"/>
      <c r="C221" s="344" t="s">
        <v>261</v>
      </c>
      <c r="D221" s="345">
        <v>44657</v>
      </c>
      <c r="E221" s="346">
        <v>1</v>
      </c>
      <c r="F221" s="347">
        <v>750000</v>
      </c>
      <c r="G221" s="346">
        <v>1</v>
      </c>
      <c r="H221" s="347">
        <v>750000</v>
      </c>
      <c r="I221" s="347" t="s">
        <v>268</v>
      </c>
      <c r="J221" s="407"/>
      <c r="L221" s="409"/>
    </row>
    <row r="222" spans="1:12" s="349" customFormat="1" ht="18" customHeight="1">
      <c r="A222" s="394"/>
      <c r="B222" s="343"/>
      <c r="C222" s="344" t="s">
        <v>262</v>
      </c>
      <c r="D222" s="345">
        <v>44658</v>
      </c>
      <c r="E222" s="346">
        <v>1</v>
      </c>
      <c r="F222" s="347">
        <v>750000</v>
      </c>
      <c r="G222" s="346">
        <v>1</v>
      </c>
      <c r="H222" s="347">
        <v>750000</v>
      </c>
      <c r="I222" s="347" t="s">
        <v>268</v>
      </c>
      <c r="J222" s="348"/>
      <c r="L222" s="358"/>
    </row>
    <row r="223" spans="1:12" s="349" customFormat="1" ht="18" customHeight="1">
      <c r="A223" s="394"/>
      <c r="B223" s="343"/>
      <c r="C223" s="344" t="s">
        <v>263</v>
      </c>
      <c r="D223" s="345">
        <v>44659</v>
      </c>
      <c r="E223" s="346">
        <v>1</v>
      </c>
      <c r="F223" s="347">
        <v>750000</v>
      </c>
      <c r="G223" s="346">
        <v>1</v>
      </c>
      <c r="H223" s="347">
        <v>750000</v>
      </c>
      <c r="I223" s="347" t="s">
        <v>268</v>
      </c>
      <c r="J223" s="348"/>
      <c r="L223" s="358"/>
    </row>
    <row r="224" spans="1:12" s="408" customFormat="1" ht="18" customHeight="1">
      <c r="A224" s="403"/>
      <c r="B224" s="404"/>
      <c r="C224" s="405" t="s">
        <v>257</v>
      </c>
      <c r="D224" s="406">
        <v>44660</v>
      </c>
      <c r="E224" s="401">
        <v>0</v>
      </c>
      <c r="F224" s="402">
        <v>0</v>
      </c>
      <c r="G224" s="401">
        <v>0</v>
      </c>
      <c r="H224" s="402">
        <v>0</v>
      </c>
      <c r="I224" s="402" t="s">
        <v>269</v>
      </c>
      <c r="J224" s="407"/>
      <c r="L224" s="409"/>
    </row>
    <row r="225" spans="1:12" s="408" customFormat="1" ht="18" customHeight="1">
      <c r="A225" s="403"/>
      <c r="B225" s="404"/>
      <c r="C225" s="405" t="s">
        <v>258</v>
      </c>
      <c r="D225" s="406">
        <v>44661</v>
      </c>
      <c r="E225" s="401">
        <v>0</v>
      </c>
      <c r="F225" s="402">
        <v>0</v>
      </c>
      <c r="G225" s="401">
        <v>0</v>
      </c>
      <c r="H225" s="402">
        <v>0</v>
      </c>
      <c r="I225" s="402" t="s">
        <v>269</v>
      </c>
      <c r="J225" s="407"/>
      <c r="L225" s="409"/>
    </row>
    <row r="226" spans="1:12" s="349" customFormat="1" ht="18" customHeight="1">
      <c r="A226" s="394"/>
      <c r="B226" s="343"/>
      <c r="C226" s="344" t="s">
        <v>259</v>
      </c>
      <c r="D226" s="345">
        <v>44662</v>
      </c>
      <c r="E226" s="346">
        <v>1</v>
      </c>
      <c r="F226" s="347">
        <v>750000</v>
      </c>
      <c r="G226" s="346">
        <v>1</v>
      </c>
      <c r="H226" s="347">
        <v>750000</v>
      </c>
      <c r="I226" s="347" t="s">
        <v>268</v>
      </c>
      <c r="J226" s="348"/>
      <c r="L226" s="358"/>
    </row>
    <row r="227" spans="1:12" s="408" customFormat="1" ht="18" customHeight="1">
      <c r="A227" s="403"/>
      <c r="B227" s="404"/>
      <c r="C227" s="344" t="s">
        <v>260</v>
      </c>
      <c r="D227" s="345">
        <v>44663</v>
      </c>
      <c r="E227" s="346">
        <v>1</v>
      </c>
      <c r="F227" s="347">
        <v>750000</v>
      </c>
      <c r="G227" s="346">
        <v>1</v>
      </c>
      <c r="H227" s="347">
        <v>750000</v>
      </c>
      <c r="I227" s="347" t="s">
        <v>268</v>
      </c>
      <c r="J227" s="407"/>
      <c r="L227" s="409"/>
    </row>
    <row r="228" spans="1:12" s="408" customFormat="1" ht="18" customHeight="1">
      <c r="A228" s="403"/>
      <c r="B228" s="404"/>
      <c r="C228" s="344" t="s">
        <v>261</v>
      </c>
      <c r="D228" s="345">
        <v>44664</v>
      </c>
      <c r="E228" s="346">
        <v>1</v>
      </c>
      <c r="F228" s="347">
        <v>750000</v>
      </c>
      <c r="G228" s="346">
        <v>1</v>
      </c>
      <c r="H228" s="347">
        <v>750000</v>
      </c>
      <c r="I228" s="347" t="s">
        <v>268</v>
      </c>
      <c r="J228" s="407"/>
      <c r="L228" s="409"/>
    </row>
    <row r="229" spans="1:12" s="349" customFormat="1" ht="18" customHeight="1">
      <c r="A229" s="394"/>
      <c r="B229" s="343"/>
      <c r="C229" s="344" t="s">
        <v>262</v>
      </c>
      <c r="D229" s="345">
        <v>44665</v>
      </c>
      <c r="E229" s="346">
        <v>1</v>
      </c>
      <c r="F229" s="347">
        <v>750000</v>
      </c>
      <c r="G229" s="346">
        <v>1</v>
      </c>
      <c r="H229" s="347">
        <v>750000</v>
      </c>
      <c r="I229" s="347" t="s">
        <v>268</v>
      </c>
      <c r="J229" s="348"/>
      <c r="L229" s="358"/>
    </row>
    <row r="230" spans="1:12" s="408" customFormat="1" ht="18" customHeight="1">
      <c r="A230" s="403"/>
      <c r="B230" s="404"/>
      <c r="C230" s="405" t="s">
        <v>263</v>
      </c>
      <c r="D230" s="406">
        <v>44666</v>
      </c>
      <c r="E230" s="401">
        <v>0</v>
      </c>
      <c r="F230" s="402">
        <v>0</v>
      </c>
      <c r="G230" s="401">
        <v>0</v>
      </c>
      <c r="H230" s="402">
        <v>0</v>
      </c>
      <c r="I230" s="402" t="s">
        <v>269</v>
      </c>
      <c r="J230" s="407"/>
      <c r="L230" s="409"/>
    </row>
    <row r="231" spans="1:12" s="408" customFormat="1" ht="18" customHeight="1">
      <c r="A231" s="403"/>
      <c r="B231" s="404"/>
      <c r="C231" s="405" t="s">
        <v>257</v>
      </c>
      <c r="D231" s="406">
        <v>44667</v>
      </c>
      <c r="E231" s="401">
        <v>0</v>
      </c>
      <c r="F231" s="402">
        <v>0</v>
      </c>
      <c r="G231" s="401">
        <v>0</v>
      </c>
      <c r="H231" s="402">
        <v>0</v>
      </c>
      <c r="I231" s="402" t="s">
        <v>269</v>
      </c>
      <c r="J231" s="407"/>
      <c r="L231" s="409"/>
    </row>
    <row r="232" spans="1:12" s="408" customFormat="1" ht="18" customHeight="1">
      <c r="A232" s="403"/>
      <c r="B232" s="404"/>
      <c r="C232" s="405" t="s">
        <v>258</v>
      </c>
      <c r="D232" s="406">
        <v>44668</v>
      </c>
      <c r="E232" s="401">
        <v>0</v>
      </c>
      <c r="F232" s="402">
        <v>0</v>
      </c>
      <c r="G232" s="401">
        <v>0</v>
      </c>
      <c r="H232" s="402">
        <v>0</v>
      </c>
      <c r="I232" s="402" t="s">
        <v>269</v>
      </c>
      <c r="J232" s="407"/>
      <c r="L232" s="409"/>
    </row>
    <row r="233" spans="1:12" s="349" customFormat="1" ht="18" customHeight="1">
      <c r="A233" s="394"/>
      <c r="B233" s="343"/>
      <c r="C233" s="344" t="s">
        <v>259</v>
      </c>
      <c r="D233" s="345">
        <v>44669</v>
      </c>
      <c r="E233" s="346">
        <v>1</v>
      </c>
      <c r="F233" s="347">
        <v>750000</v>
      </c>
      <c r="G233" s="346">
        <v>1</v>
      </c>
      <c r="H233" s="347">
        <v>750000</v>
      </c>
      <c r="I233" s="347" t="s">
        <v>268</v>
      </c>
      <c r="J233" s="348"/>
      <c r="L233" s="358"/>
    </row>
    <row r="234" spans="1:12" s="408" customFormat="1" ht="18" customHeight="1">
      <c r="A234" s="403"/>
      <c r="B234" s="404"/>
      <c r="C234" s="344" t="s">
        <v>260</v>
      </c>
      <c r="D234" s="345">
        <v>44670</v>
      </c>
      <c r="E234" s="346">
        <v>1</v>
      </c>
      <c r="F234" s="347">
        <v>750000</v>
      </c>
      <c r="G234" s="346">
        <v>1</v>
      </c>
      <c r="H234" s="347">
        <v>750000</v>
      </c>
      <c r="I234" s="347" t="s">
        <v>268</v>
      </c>
      <c r="J234" s="407"/>
      <c r="L234" s="409"/>
    </row>
    <row r="235" spans="1:12" s="408" customFormat="1" ht="18" customHeight="1">
      <c r="A235" s="403"/>
      <c r="B235" s="404"/>
      <c r="C235" s="344" t="s">
        <v>261</v>
      </c>
      <c r="D235" s="345">
        <v>44671</v>
      </c>
      <c r="E235" s="346">
        <v>1</v>
      </c>
      <c r="F235" s="347">
        <v>750000</v>
      </c>
      <c r="G235" s="346">
        <v>1</v>
      </c>
      <c r="H235" s="347">
        <v>750000</v>
      </c>
      <c r="I235" s="347" t="s">
        <v>268</v>
      </c>
      <c r="J235" s="407"/>
      <c r="L235" s="409"/>
    </row>
    <row r="236" spans="1:12" s="349" customFormat="1" ht="18" customHeight="1">
      <c r="A236" s="394"/>
      <c r="B236" s="343"/>
      <c r="C236" s="344" t="s">
        <v>262</v>
      </c>
      <c r="D236" s="345">
        <v>44672</v>
      </c>
      <c r="E236" s="346">
        <v>1</v>
      </c>
      <c r="F236" s="347">
        <v>750000</v>
      </c>
      <c r="G236" s="346">
        <v>1</v>
      </c>
      <c r="H236" s="347">
        <v>750000</v>
      </c>
      <c r="I236" s="347" t="s">
        <v>268</v>
      </c>
      <c r="J236" s="348"/>
      <c r="L236" s="358"/>
    </row>
    <row r="237" spans="1:12" s="349" customFormat="1" ht="18" customHeight="1">
      <c r="A237" s="394"/>
      <c r="B237" s="343"/>
      <c r="C237" s="344" t="s">
        <v>263</v>
      </c>
      <c r="D237" s="345">
        <v>44673</v>
      </c>
      <c r="E237" s="346">
        <v>1</v>
      </c>
      <c r="F237" s="347">
        <v>750000</v>
      </c>
      <c r="G237" s="346">
        <v>1</v>
      </c>
      <c r="H237" s="347">
        <v>750000</v>
      </c>
      <c r="I237" s="347" t="s">
        <v>268</v>
      </c>
      <c r="J237" s="348"/>
      <c r="L237" s="358"/>
    </row>
    <row r="238" spans="1:12" s="408" customFormat="1" ht="18" customHeight="1">
      <c r="A238" s="403"/>
      <c r="B238" s="404"/>
      <c r="C238" s="405" t="s">
        <v>257</v>
      </c>
      <c r="D238" s="406">
        <v>44674</v>
      </c>
      <c r="E238" s="401">
        <v>0</v>
      </c>
      <c r="F238" s="402">
        <v>0</v>
      </c>
      <c r="G238" s="401">
        <v>0</v>
      </c>
      <c r="H238" s="402">
        <v>0</v>
      </c>
      <c r="I238" s="402" t="s">
        <v>269</v>
      </c>
      <c r="J238" s="407"/>
      <c r="L238" s="409"/>
    </row>
    <row r="239" spans="1:12" s="408" customFormat="1" ht="18" customHeight="1">
      <c r="A239" s="403"/>
      <c r="B239" s="404"/>
      <c r="C239" s="405" t="s">
        <v>258</v>
      </c>
      <c r="D239" s="406">
        <v>44675</v>
      </c>
      <c r="E239" s="401">
        <v>0</v>
      </c>
      <c r="F239" s="402">
        <v>0</v>
      </c>
      <c r="G239" s="401">
        <v>0</v>
      </c>
      <c r="H239" s="402">
        <v>0</v>
      </c>
      <c r="I239" s="402" t="s">
        <v>269</v>
      </c>
      <c r="J239" s="407"/>
      <c r="L239" s="409"/>
    </row>
    <row r="240" spans="1:12" s="349" customFormat="1" ht="18" customHeight="1">
      <c r="A240" s="394"/>
      <c r="B240" s="343"/>
      <c r="C240" s="344" t="s">
        <v>259</v>
      </c>
      <c r="D240" s="345">
        <v>44676</v>
      </c>
      <c r="E240" s="346">
        <v>1</v>
      </c>
      <c r="F240" s="347">
        <v>750000</v>
      </c>
      <c r="G240" s="346">
        <v>1</v>
      </c>
      <c r="H240" s="347">
        <v>750000</v>
      </c>
      <c r="I240" s="347" t="s">
        <v>268</v>
      </c>
      <c r="J240" s="348"/>
      <c r="L240" s="358"/>
    </row>
    <row r="241" spans="1:12" s="408" customFormat="1" ht="18" customHeight="1">
      <c r="A241" s="403"/>
      <c r="B241" s="404"/>
      <c r="C241" s="344" t="s">
        <v>260</v>
      </c>
      <c r="D241" s="345">
        <v>44677</v>
      </c>
      <c r="E241" s="346">
        <v>1</v>
      </c>
      <c r="F241" s="347">
        <v>750000</v>
      </c>
      <c r="G241" s="346">
        <v>1</v>
      </c>
      <c r="H241" s="347">
        <v>750000</v>
      </c>
      <c r="I241" s="347" t="s">
        <v>268</v>
      </c>
      <c r="J241" s="407"/>
      <c r="L241" s="409"/>
    </row>
    <row r="242" spans="1:12" s="408" customFormat="1" ht="18" customHeight="1">
      <c r="A242" s="403"/>
      <c r="B242" s="404"/>
      <c r="C242" s="344" t="s">
        <v>261</v>
      </c>
      <c r="D242" s="345">
        <v>44678</v>
      </c>
      <c r="E242" s="346">
        <v>1</v>
      </c>
      <c r="F242" s="347">
        <v>750000</v>
      </c>
      <c r="G242" s="346">
        <v>1</v>
      </c>
      <c r="H242" s="347">
        <v>750000</v>
      </c>
      <c r="I242" s="347" t="s">
        <v>268</v>
      </c>
      <c r="J242" s="407"/>
      <c r="L242" s="409"/>
    </row>
    <row r="243" spans="1:12" s="408" customFormat="1" ht="18" customHeight="1">
      <c r="A243" s="403"/>
      <c r="B243" s="404"/>
      <c r="C243" s="344" t="s">
        <v>262</v>
      </c>
      <c r="D243" s="345">
        <v>44679</v>
      </c>
      <c r="E243" s="346">
        <v>1</v>
      </c>
      <c r="F243" s="347">
        <v>750000</v>
      </c>
      <c r="G243" s="346">
        <v>1</v>
      </c>
      <c r="H243" s="347">
        <v>750000</v>
      </c>
      <c r="I243" s="347" t="s">
        <v>268</v>
      </c>
      <c r="J243" s="407"/>
      <c r="L243" s="409"/>
    </row>
    <row r="244" spans="1:12" s="408" customFormat="1" ht="18" customHeight="1">
      <c r="A244" s="403"/>
      <c r="B244" s="404"/>
      <c r="C244" s="405" t="s">
        <v>263</v>
      </c>
      <c r="D244" s="406">
        <v>44680</v>
      </c>
      <c r="E244" s="401">
        <v>0</v>
      </c>
      <c r="F244" s="402">
        <v>0</v>
      </c>
      <c r="G244" s="401">
        <v>0</v>
      </c>
      <c r="H244" s="402">
        <v>0</v>
      </c>
      <c r="I244" s="402" t="s">
        <v>269</v>
      </c>
      <c r="J244" s="407"/>
      <c r="L244" s="409"/>
    </row>
    <row r="245" spans="1:12" s="408" customFormat="1" ht="18" customHeight="1">
      <c r="A245" s="403"/>
      <c r="B245" s="404"/>
      <c r="C245" s="405" t="s">
        <v>257</v>
      </c>
      <c r="D245" s="406">
        <v>44681</v>
      </c>
      <c r="E245" s="401">
        <v>0</v>
      </c>
      <c r="F245" s="402">
        <v>0</v>
      </c>
      <c r="G245" s="401">
        <v>0</v>
      </c>
      <c r="H245" s="402">
        <v>0</v>
      </c>
      <c r="I245" s="402" t="s">
        <v>269</v>
      </c>
      <c r="J245" s="407"/>
      <c r="L245" s="409"/>
    </row>
    <row r="246" spans="1:12" s="408" customFormat="1" ht="18" customHeight="1">
      <c r="A246" s="403"/>
      <c r="B246" s="404"/>
      <c r="C246" s="405" t="s">
        <v>258</v>
      </c>
      <c r="D246" s="406">
        <v>44682</v>
      </c>
      <c r="E246" s="401">
        <v>0</v>
      </c>
      <c r="F246" s="402">
        <v>0</v>
      </c>
      <c r="G246" s="401">
        <v>0</v>
      </c>
      <c r="H246" s="402">
        <v>0</v>
      </c>
      <c r="I246" s="402" t="s">
        <v>269</v>
      </c>
      <c r="J246" s="407"/>
      <c r="L246" s="409"/>
    </row>
    <row r="247" spans="1:12" s="349" customFormat="1" ht="18" customHeight="1">
      <c r="A247" s="394"/>
      <c r="B247" s="343"/>
      <c r="C247" s="702" t="s">
        <v>337</v>
      </c>
      <c r="D247" s="703"/>
      <c r="E247" s="704">
        <f>SUM(E216:E246)</f>
        <v>19</v>
      </c>
      <c r="F247" s="705"/>
      <c r="G247" s="704">
        <f>SUM(G216:G246)</f>
        <v>19</v>
      </c>
      <c r="H247" s="705"/>
      <c r="I247" s="400"/>
      <c r="J247" s="348"/>
      <c r="L247" s="358"/>
    </row>
    <row r="248" spans="1:12" s="297" customFormat="1" ht="20.100000000000001" customHeight="1">
      <c r="A248" s="277"/>
      <c r="B248" s="320"/>
      <c r="C248" s="706" t="s">
        <v>264</v>
      </c>
      <c r="D248" s="707"/>
      <c r="E248" s="708">
        <f>SUM(F216:F246)</f>
        <v>14250000</v>
      </c>
      <c r="F248" s="709"/>
      <c r="G248" s="708">
        <f>SUM(H216:H246)</f>
        <v>14250000</v>
      </c>
      <c r="H248" s="709"/>
      <c r="I248" s="330"/>
      <c r="J248" s="321"/>
      <c r="L248" s="356">
        <v>19</v>
      </c>
    </row>
    <row r="249" spans="1:12" s="296" customFormat="1" ht="24.95" customHeight="1">
      <c r="A249" s="277"/>
      <c r="B249" s="322"/>
      <c r="C249" s="692" t="s">
        <v>62</v>
      </c>
      <c r="D249" s="692"/>
      <c r="E249" s="692"/>
      <c r="F249" s="692"/>
      <c r="G249" s="690">
        <f>+G248+E248</f>
        <v>28500000</v>
      </c>
      <c r="H249" s="691"/>
      <c r="I249" s="331"/>
      <c r="J249" s="323"/>
      <c r="L249" s="359">
        <f>+L248*2*750000</f>
        <v>28500000</v>
      </c>
    </row>
    <row r="250" spans="1:12" ht="20.100000000000001" customHeight="1">
      <c r="B250" s="307"/>
      <c r="C250" s="369"/>
      <c r="J250" s="308"/>
    </row>
    <row r="251" spans="1:12" ht="18" customHeight="1">
      <c r="B251" s="307"/>
      <c r="C251" s="290" t="s">
        <v>136</v>
      </c>
      <c r="E251" s="183"/>
      <c r="F251" s="234" t="s">
        <v>131</v>
      </c>
      <c r="G251" s="234" t="s">
        <v>130</v>
      </c>
      <c r="H251" s="234" t="s">
        <v>129</v>
      </c>
      <c r="I251" s="234" t="s">
        <v>128</v>
      </c>
      <c r="J251" s="308"/>
    </row>
    <row r="252" spans="1:12" s="335" customFormat="1" ht="30" customHeight="1">
      <c r="B252" s="332"/>
      <c r="C252" s="710">
        <v>5</v>
      </c>
      <c r="D252" s="711"/>
      <c r="F252" s="415">
        <v>4</v>
      </c>
      <c r="G252" s="415">
        <v>3</v>
      </c>
      <c r="H252" s="415">
        <v>2</v>
      </c>
      <c r="I252" s="415">
        <v>1</v>
      </c>
      <c r="J252" s="337"/>
      <c r="L252" s="357"/>
    </row>
    <row r="253" spans="1:12" ht="15" customHeight="1">
      <c r="B253" s="307"/>
      <c r="C253" s="698" t="s">
        <v>358</v>
      </c>
      <c r="D253" s="699"/>
      <c r="E253" s="183"/>
      <c r="F253" s="236" t="s">
        <v>114</v>
      </c>
      <c r="G253" s="237" t="s">
        <v>357</v>
      </c>
      <c r="H253" s="238" t="s">
        <v>112</v>
      </c>
      <c r="I253" s="234" t="s">
        <v>16</v>
      </c>
      <c r="J253" s="308"/>
    </row>
    <row r="254" spans="1:12" ht="12.95" customHeight="1" thickBot="1">
      <c r="B254" s="374"/>
      <c r="C254" s="700" t="s">
        <v>132</v>
      </c>
      <c r="D254" s="701"/>
      <c r="E254" s="377"/>
      <c r="F254" s="375" t="s">
        <v>132</v>
      </c>
      <c r="G254" s="375" t="s">
        <v>132</v>
      </c>
      <c r="H254" s="375" t="s">
        <v>132</v>
      </c>
      <c r="I254" s="375" t="s">
        <v>132</v>
      </c>
      <c r="J254" s="378"/>
    </row>
    <row r="255" spans="1:12" ht="9.9499999999999993" customHeight="1" thickTop="1">
      <c r="B255" s="364"/>
      <c r="C255" s="364"/>
      <c r="D255" s="365"/>
      <c r="E255" s="366"/>
      <c r="F255" s="367"/>
      <c r="G255" s="366"/>
      <c r="H255" s="367"/>
      <c r="I255" s="367"/>
      <c r="J255" s="364"/>
    </row>
    <row r="257" spans="1:12" ht="9.9499999999999993" customHeight="1" thickBot="1">
      <c r="A257" s="422"/>
      <c r="B257" s="379"/>
      <c r="C257" s="379"/>
      <c r="D257" s="380"/>
      <c r="E257" s="381"/>
      <c r="F257" s="382"/>
      <c r="G257" s="381"/>
      <c r="H257" s="382"/>
      <c r="I257" s="382"/>
      <c r="J257" s="379"/>
    </row>
    <row r="258" spans="1:12" ht="9.9499999999999993" customHeight="1" thickTop="1">
      <c r="A258" s="661">
        <v>44682</v>
      </c>
      <c r="B258" s="301"/>
      <c r="C258" s="302"/>
      <c r="D258" s="303"/>
      <c r="E258" s="304"/>
      <c r="F258" s="305"/>
      <c r="G258" s="304"/>
      <c r="H258" s="305"/>
      <c r="I258" s="305"/>
      <c r="J258" s="306"/>
    </row>
    <row r="259" spans="1:12" ht="17.100000000000001" customHeight="1">
      <c r="A259" s="661"/>
      <c r="B259" s="307"/>
      <c r="C259" s="298" t="s">
        <v>138</v>
      </c>
      <c r="D259" s="299"/>
      <c r="G259" s="662" t="s">
        <v>396</v>
      </c>
      <c r="H259" s="662"/>
      <c r="I259" s="662"/>
      <c r="J259" s="308"/>
    </row>
    <row r="260" spans="1:12" s="275" customFormat="1" ht="30" customHeight="1">
      <c r="A260" s="661"/>
      <c r="B260" s="309"/>
      <c r="C260" s="279" t="s">
        <v>119</v>
      </c>
      <c r="D260" s="292" t="s">
        <v>244</v>
      </c>
      <c r="F260" s="310"/>
      <c r="G260" s="311"/>
      <c r="H260" s="310"/>
      <c r="I260" s="310"/>
      <c r="J260" s="312"/>
      <c r="L260" s="352"/>
    </row>
    <row r="261" spans="1:12" s="276" customFormat="1" ht="23.1" customHeight="1">
      <c r="A261" s="277"/>
      <c r="B261" s="313"/>
      <c r="C261" s="280" t="s">
        <v>120</v>
      </c>
      <c r="D261" s="293" t="s">
        <v>398</v>
      </c>
      <c r="F261" s="679" t="s">
        <v>355</v>
      </c>
      <c r="G261" s="680"/>
      <c r="H261" s="680"/>
      <c r="I261" s="681"/>
      <c r="J261" s="315"/>
      <c r="L261" s="353"/>
    </row>
    <row r="262" spans="1:12" s="276" customFormat="1" ht="45" customHeight="1">
      <c r="A262" s="277"/>
      <c r="B262" s="313"/>
      <c r="C262" s="410" t="s">
        <v>356</v>
      </c>
      <c r="D262" s="712" t="s">
        <v>397</v>
      </c>
      <c r="E262" s="712"/>
      <c r="F262" s="682"/>
      <c r="G262" s="683"/>
      <c r="H262" s="683"/>
      <c r="I262" s="684"/>
      <c r="J262" s="315"/>
      <c r="L262" s="353"/>
    </row>
    <row r="263" spans="1:12" s="276" customFormat="1" ht="9.9499999999999993" customHeight="1">
      <c r="A263" s="277"/>
      <c r="B263" s="313"/>
      <c r="C263" s="410"/>
      <c r="D263" s="413"/>
      <c r="E263" s="411"/>
      <c r="F263" s="412"/>
      <c r="G263" s="412"/>
      <c r="H263" s="412"/>
      <c r="I263" s="414"/>
      <c r="J263" s="315"/>
      <c r="L263" s="353"/>
    </row>
    <row r="264" spans="1:12" s="278" customFormat="1" ht="50.1" customHeight="1">
      <c r="A264" s="392"/>
      <c r="B264" s="316"/>
      <c r="C264" s="669" t="s">
        <v>2</v>
      </c>
      <c r="D264" s="671" t="s">
        <v>283</v>
      </c>
      <c r="E264" s="673" t="s">
        <v>275</v>
      </c>
      <c r="F264" s="674"/>
      <c r="G264" s="673" t="s">
        <v>276</v>
      </c>
      <c r="H264" s="674"/>
      <c r="I264" s="713" t="s">
        <v>85</v>
      </c>
      <c r="J264" s="317"/>
      <c r="L264" s="354"/>
    </row>
    <row r="265" spans="1:12" s="278" customFormat="1" ht="24.95" customHeight="1">
      <c r="A265" s="392"/>
      <c r="B265" s="316"/>
      <c r="C265" s="670"/>
      <c r="D265" s="672"/>
      <c r="E265" s="294" t="s">
        <v>256</v>
      </c>
      <c r="F265" s="295" t="s">
        <v>27</v>
      </c>
      <c r="G265" s="294" t="s">
        <v>256</v>
      </c>
      <c r="H265" s="295" t="s">
        <v>27</v>
      </c>
      <c r="I265" s="675"/>
      <c r="J265" s="317"/>
      <c r="L265" s="354"/>
    </row>
    <row r="266" spans="1:12" s="408" customFormat="1" ht="18" customHeight="1">
      <c r="A266" s="403"/>
      <c r="B266" s="404"/>
      <c r="C266" s="405" t="s">
        <v>258</v>
      </c>
      <c r="D266" s="406">
        <v>44682</v>
      </c>
      <c r="E266" s="401">
        <v>0</v>
      </c>
      <c r="F266" s="402">
        <v>0</v>
      </c>
      <c r="G266" s="401">
        <v>0</v>
      </c>
      <c r="H266" s="402">
        <v>0</v>
      </c>
      <c r="I266" s="402" t="s">
        <v>269</v>
      </c>
      <c r="J266" s="407"/>
      <c r="L266" s="409"/>
    </row>
    <row r="267" spans="1:12" s="408" customFormat="1" ht="18" customHeight="1">
      <c r="A267" s="403"/>
      <c r="B267" s="404"/>
      <c r="C267" s="405" t="s">
        <v>259</v>
      </c>
      <c r="D267" s="406">
        <v>44683</v>
      </c>
      <c r="E267" s="401">
        <v>0</v>
      </c>
      <c r="F267" s="402">
        <v>0</v>
      </c>
      <c r="G267" s="401">
        <v>0</v>
      </c>
      <c r="H267" s="402">
        <v>0</v>
      </c>
      <c r="I267" s="402" t="s">
        <v>269</v>
      </c>
      <c r="J267" s="407"/>
      <c r="L267" s="409"/>
    </row>
    <row r="268" spans="1:12" s="408" customFormat="1" ht="18" customHeight="1">
      <c r="A268" s="403"/>
      <c r="B268" s="404"/>
      <c r="C268" s="405" t="s">
        <v>260</v>
      </c>
      <c r="D268" s="406">
        <v>44684</v>
      </c>
      <c r="E268" s="401">
        <v>0</v>
      </c>
      <c r="F268" s="402">
        <v>0</v>
      </c>
      <c r="G268" s="401">
        <v>0</v>
      </c>
      <c r="H268" s="402">
        <v>0</v>
      </c>
      <c r="I268" s="402" t="s">
        <v>269</v>
      </c>
      <c r="J268" s="407"/>
      <c r="L268" s="409"/>
    </row>
    <row r="269" spans="1:12" s="408" customFormat="1" ht="18" customHeight="1">
      <c r="A269" s="403"/>
      <c r="B269" s="404"/>
      <c r="C269" s="405" t="s">
        <v>261</v>
      </c>
      <c r="D269" s="406">
        <v>44685</v>
      </c>
      <c r="E269" s="401">
        <v>0</v>
      </c>
      <c r="F269" s="402">
        <v>0</v>
      </c>
      <c r="G269" s="401">
        <v>0</v>
      </c>
      <c r="H269" s="402">
        <v>0</v>
      </c>
      <c r="I269" s="402" t="s">
        <v>269</v>
      </c>
      <c r="J269" s="407"/>
      <c r="L269" s="409"/>
    </row>
    <row r="270" spans="1:12" s="408" customFormat="1" ht="18" customHeight="1">
      <c r="A270" s="403"/>
      <c r="B270" s="404"/>
      <c r="C270" s="405" t="s">
        <v>262</v>
      </c>
      <c r="D270" s="406">
        <v>44686</v>
      </c>
      <c r="E270" s="401">
        <v>0</v>
      </c>
      <c r="F270" s="402">
        <v>0</v>
      </c>
      <c r="G270" s="401">
        <v>0</v>
      </c>
      <c r="H270" s="402">
        <v>0</v>
      </c>
      <c r="I270" s="402" t="s">
        <v>269</v>
      </c>
      <c r="J270" s="407"/>
      <c r="L270" s="409"/>
    </row>
    <row r="271" spans="1:12" s="408" customFormat="1" ht="18" customHeight="1">
      <c r="A271" s="403"/>
      <c r="B271" s="404"/>
      <c r="C271" s="405" t="s">
        <v>263</v>
      </c>
      <c r="D271" s="406">
        <v>44687</v>
      </c>
      <c r="E271" s="401">
        <v>0</v>
      </c>
      <c r="F271" s="402">
        <v>0</v>
      </c>
      <c r="G271" s="401">
        <v>0</v>
      </c>
      <c r="H271" s="402">
        <v>0</v>
      </c>
      <c r="I271" s="402" t="s">
        <v>269</v>
      </c>
      <c r="J271" s="407"/>
      <c r="L271" s="409"/>
    </row>
    <row r="272" spans="1:12" s="408" customFormat="1" ht="18" customHeight="1">
      <c r="A272" s="403"/>
      <c r="B272" s="404"/>
      <c r="C272" s="405" t="s">
        <v>257</v>
      </c>
      <c r="D272" s="406">
        <v>44688</v>
      </c>
      <c r="E272" s="401">
        <v>0</v>
      </c>
      <c r="F272" s="402">
        <v>0</v>
      </c>
      <c r="G272" s="401">
        <v>0</v>
      </c>
      <c r="H272" s="402">
        <v>0</v>
      </c>
      <c r="I272" s="402" t="s">
        <v>269</v>
      </c>
      <c r="J272" s="407"/>
      <c r="L272" s="409"/>
    </row>
    <row r="273" spans="1:12" s="408" customFormat="1" ht="18" customHeight="1">
      <c r="A273" s="403"/>
      <c r="B273" s="404"/>
      <c r="C273" s="405" t="s">
        <v>258</v>
      </c>
      <c r="D273" s="406">
        <v>44689</v>
      </c>
      <c r="E273" s="401">
        <v>0</v>
      </c>
      <c r="F273" s="402">
        <v>0</v>
      </c>
      <c r="G273" s="401">
        <v>0</v>
      </c>
      <c r="H273" s="402">
        <v>0</v>
      </c>
      <c r="I273" s="402" t="s">
        <v>269</v>
      </c>
      <c r="J273" s="407"/>
      <c r="L273" s="409"/>
    </row>
    <row r="274" spans="1:12" s="349" customFormat="1" ht="18" customHeight="1">
      <c r="A274" s="394"/>
      <c r="B274" s="343"/>
      <c r="C274" s="344" t="s">
        <v>259</v>
      </c>
      <c r="D274" s="345">
        <v>44690</v>
      </c>
      <c r="E274" s="346">
        <v>1</v>
      </c>
      <c r="F274" s="347">
        <v>750000</v>
      </c>
      <c r="G274" s="346">
        <v>1</v>
      </c>
      <c r="H274" s="347">
        <v>750000</v>
      </c>
      <c r="I274" s="347" t="s">
        <v>268</v>
      </c>
      <c r="J274" s="348"/>
      <c r="L274" s="358"/>
    </row>
    <row r="275" spans="1:12" s="349" customFormat="1" ht="18" customHeight="1">
      <c r="A275" s="394"/>
      <c r="B275" s="343"/>
      <c r="C275" s="344" t="s">
        <v>260</v>
      </c>
      <c r="D275" s="345">
        <v>44691</v>
      </c>
      <c r="E275" s="346">
        <v>1</v>
      </c>
      <c r="F275" s="347">
        <v>750000</v>
      </c>
      <c r="G275" s="346">
        <v>1</v>
      </c>
      <c r="H275" s="347">
        <v>750000</v>
      </c>
      <c r="I275" s="347" t="s">
        <v>268</v>
      </c>
      <c r="J275" s="348"/>
      <c r="L275" s="358"/>
    </row>
    <row r="276" spans="1:12" s="349" customFormat="1" ht="18" customHeight="1">
      <c r="A276" s="394"/>
      <c r="B276" s="343"/>
      <c r="C276" s="344" t="s">
        <v>261</v>
      </c>
      <c r="D276" s="345">
        <v>44692</v>
      </c>
      <c r="E276" s="346">
        <v>1</v>
      </c>
      <c r="F276" s="347">
        <v>750000</v>
      </c>
      <c r="G276" s="346">
        <v>1</v>
      </c>
      <c r="H276" s="347">
        <v>750000</v>
      </c>
      <c r="I276" s="347" t="s">
        <v>268</v>
      </c>
      <c r="J276" s="348"/>
      <c r="L276" s="358"/>
    </row>
    <row r="277" spans="1:12" s="349" customFormat="1" ht="18" customHeight="1">
      <c r="A277" s="394"/>
      <c r="B277" s="343"/>
      <c r="C277" s="344" t="s">
        <v>262</v>
      </c>
      <c r="D277" s="345">
        <v>44693</v>
      </c>
      <c r="E277" s="346">
        <v>1</v>
      </c>
      <c r="F277" s="347">
        <v>750000</v>
      </c>
      <c r="G277" s="346">
        <v>1</v>
      </c>
      <c r="H277" s="347">
        <v>750000</v>
      </c>
      <c r="I277" s="347" t="s">
        <v>268</v>
      </c>
      <c r="J277" s="348"/>
      <c r="L277" s="358"/>
    </row>
    <row r="278" spans="1:12" s="349" customFormat="1" ht="18" customHeight="1">
      <c r="A278" s="394"/>
      <c r="B278" s="343"/>
      <c r="C278" s="344" t="s">
        <v>263</v>
      </c>
      <c r="D278" s="345">
        <v>44694</v>
      </c>
      <c r="E278" s="346">
        <v>1</v>
      </c>
      <c r="F278" s="347">
        <v>750000</v>
      </c>
      <c r="G278" s="346">
        <v>1</v>
      </c>
      <c r="H278" s="347">
        <v>750000</v>
      </c>
      <c r="I278" s="347" t="s">
        <v>268</v>
      </c>
      <c r="J278" s="348"/>
      <c r="L278" s="358"/>
    </row>
    <row r="279" spans="1:12" s="408" customFormat="1" ht="18" customHeight="1">
      <c r="A279" s="403"/>
      <c r="B279" s="404"/>
      <c r="C279" s="405" t="s">
        <v>257</v>
      </c>
      <c r="D279" s="406">
        <v>44695</v>
      </c>
      <c r="E279" s="401">
        <v>0</v>
      </c>
      <c r="F279" s="402">
        <v>0</v>
      </c>
      <c r="G279" s="401">
        <v>0</v>
      </c>
      <c r="H279" s="402">
        <v>0</v>
      </c>
      <c r="I279" s="402" t="s">
        <v>269</v>
      </c>
      <c r="J279" s="407"/>
      <c r="L279" s="409"/>
    </row>
    <row r="280" spans="1:12" s="408" customFormat="1" ht="18" customHeight="1">
      <c r="A280" s="403"/>
      <c r="B280" s="404"/>
      <c r="C280" s="405" t="s">
        <v>258</v>
      </c>
      <c r="D280" s="406">
        <v>44696</v>
      </c>
      <c r="E280" s="401">
        <v>0</v>
      </c>
      <c r="F280" s="402">
        <v>0</v>
      </c>
      <c r="G280" s="401">
        <v>0</v>
      </c>
      <c r="H280" s="402">
        <v>0</v>
      </c>
      <c r="I280" s="402" t="s">
        <v>269</v>
      </c>
      <c r="J280" s="407"/>
      <c r="L280" s="409"/>
    </row>
    <row r="281" spans="1:12" s="408" customFormat="1" ht="18" customHeight="1">
      <c r="A281" s="403"/>
      <c r="B281" s="404"/>
      <c r="C281" s="405" t="s">
        <v>259</v>
      </c>
      <c r="D281" s="406">
        <v>44697</v>
      </c>
      <c r="E281" s="401">
        <v>0</v>
      </c>
      <c r="F281" s="402">
        <v>0</v>
      </c>
      <c r="G281" s="401">
        <v>0</v>
      </c>
      <c r="H281" s="402">
        <v>0</v>
      </c>
      <c r="I281" s="402" t="s">
        <v>269</v>
      </c>
      <c r="J281" s="407"/>
      <c r="L281" s="409"/>
    </row>
    <row r="282" spans="1:12" s="408" customFormat="1" ht="18" customHeight="1">
      <c r="A282" s="403"/>
      <c r="B282" s="404"/>
      <c r="C282" s="344" t="s">
        <v>260</v>
      </c>
      <c r="D282" s="345">
        <v>44698</v>
      </c>
      <c r="E282" s="346">
        <v>1</v>
      </c>
      <c r="F282" s="347">
        <v>750000</v>
      </c>
      <c r="G282" s="346">
        <v>1</v>
      </c>
      <c r="H282" s="347">
        <v>750000</v>
      </c>
      <c r="I282" s="347" t="s">
        <v>268</v>
      </c>
      <c r="J282" s="407"/>
      <c r="L282" s="409"/>
    </row>
    <row r="283" spans="1:12" s="349" customFormat="1" ht="18" customHeight="1">
      <c r="A283" s="394"/>
      <c r="B283" s="343"/>
      <c r="C283" s="344" t="s">
        <v>261</v>
      </c>
      <c r="D283" s="345">
        <v>44699</v>
      </c>
      <c r="E283" s="346">
        <v>1</v>
      </c>
      <c r="F283" s="347">
        <v>750000</v>
      </c>
      <c r="G283" s="346">
        <v>1</v>
      </c>
      <c r="H283" s="347">
        <v>750000</v>
      </c>
      <c r="I283" s="347" t="s">
        <v>268</v>
      </c>
      <c r="J283" s="348"/>
      <c r="L283" s="358"/>
    </row>
    <row r="284" spans="1:12" s="408" customFormat="1" ht="18" customHeight="1">
      <c r="A284" s="403"/>
      <c r="B284" s="404"/>
      <c r="C284" s="344" t="s">
        <v>262</v>
      </c>
      <c r="D284" s="345">
        <v>44700</v>
      </c>
      <c r="E284" s="346">
        <v>1</v>
      </c>
      <c r="F284" s="347">
        <v>750000</v>
      </c>
      <c r="G284" s="346">
        <v>1</v>
      </c>
      <c r="H284" s="347">
        <v>750000</v>
      </c>
      <c r="I284" s="347" t="s">
        <v>268</v>
      </c>
      <c r="J284" s="407"/>
      <c r="L284" s="409"/>
    </row>
    <row r="285" spans="1:12" s="408" customFormat="1" ht="18" customHeight="1">
      <c r="A285" s="403"/>
      <c r="B285" s="404"/>
      <c r="C285" s="344" t="s">
        <v>263</v>
      </c>
      <c r="D285" s="345">
        <v>44701</v>
      </c>
      <c r="E285" s="346">
        <v>1</v>
      </c>
      <c r="F285" s="347">
        <v>750000</v>
      </c>
      <c r="G285" s="346">
        <v>1</v>
      </c>
      <c r="H285" s="347">
        <v>750000</v>
      </c>
      <c r="I285" s="347" t="s">
        <v>268</v>
      </c>
      <c r="J285" s="407"/>
      <c r="L285" s="409"/>
    </row>
    <row r="286" spans="1:12" s="349" customFormat="1" ht="18" customHeight="1">
      <c r="A286" s="394"/>
      <c r="B286" s="343"/>
      <c r="C286" s="344" t="s">
        <v>257</v>
      </c>
      <c r="D286" s="345">
        <v>44702</v>
      </c>
      <c r="E286" s="346">
        <v>1</v>
      </c>
      <c r="F286" s="347">
        <v>750000</v>
      </c>
      <c r="G286" s="346">
        <v>1</v>
      </c>
      <c r="H286" s="347">
        <v>750000</v>
      </c>
      <c r="I286" s="347" t="s">
        <v>268</v>
      </c>
      <c r="J286" s="348"/>
      <c r="L286" s="358"/>
    </row>
    <row r="287" spans="1:12" s="408" customFormat="1" ht="18" customHeight="1">
      <c r="A287" s="403"/>
      <c r="B287" s="404"/>
      <c r="C287" s="405" t="s">
        <v>258</v>
      </c>
      <c r="D287" s="406">
        <v>44703</v>
      </c>
      <c r="E287" s="401">
        <v>0</v>
      </c>
      <c r="F287" s="402">
        <v>0</v>
      </c>
      <c r="G287" s="401">
        <v>0</v>
      </c>
      <c r="H287" s="402">
        <v>0</v>
      </c>
      <c r="I287" s="402" t="s">
        <v>269</v>
      </c>
      <c r="J287" s="407"/>
      <c r="L287" s="409"/>
    </row>
    <row r="288" spans="1:12" s="408" customFormat="1" ht="18" customHeight="1">
      <c r="A288" s="403"/>
      <c r="B288" s="404"/>
      <c r="C288" s="344" t="s">
        <v>259</v>
      </c>
      <c r="D288" s="345">
        <v>44704</v>
      </c>
      <c r="E288" s="346">
        <v>1</v>
      </c>
      <c r="F288" s="347">
        <v>750000</v>
      </c>
      <c r="G288" s="346">
        <v>1</v>
      </c>
      <c r="H288" s="347">
        <v>750000</v>
      </c>
      <c r="I288" s="347" t="s">
        <v>268</v>
      </c>
      <c r="J288" s="407"/>
      <c r="L288" s="409"/>
    </row>
    <row r="289" spans="1:12" s="408" customFormat="1" ht="18" customHeight="1">
      <c r="A289" s="403"/>
      <c r="B289" s="404"/>
      <c r="C289" s="344" t="s">
        <v>260</v>
      </c>
      <c r="D289" s="345">
        <v>44705</v>
      </c>
      <c r="E289" s="346">
        <v>1</v>
      </c>
      <c r="F289" s="347">
        <v>750000</v>
      </c>
      <c r="G289" s="346">
        <v>1</v>
      </c>
      <c r="H289" s="347">
        <v>750000</v>
      </c>
      <c r="I289" s="347" t="s">
        <v>268</v>
      </c>
      <c r="J289" s="407"/>
      <c r="L289" s="409"/>
    </row>
    <row r="290" spans="1:12" s="349" customFormat="1" ht="18" customHeight="1">
      <c r="A290" s="394"/>
      <c r="B290" s="343"/>
      <c r="C290" s="344" t="s">
        <v>261</v>
      </c>
      <c r="D290" s="345">
        <v>44706</v>
      </c>
      <c r="E290" s="346">
        <v>1</v>
      </c>
      <c r="F290" s="347">
        <v>750000</v>
      </c>
      <c r="G290" s="346">
        <v>1</v>
      </c>
      <c r="H290" s="347">
        <v>750000</v>
      </c>
      <c r="I290" s="347" t="s">
        <v>268</v>
      </c>
      <c r="J290" s="348"/>
      <c r="L290" s="358"/>
    </row>
    <row r="291" spans="1:12" s="408" customFormat="1" ht="18" customHeight="1">
      <c r="A291" s="403"/>
      <c r="B291" s="404"/>
      <c r="C291" s="405" t="s">
        <v>262</v>
      </c>
      <c r="D291" s="406">
        <v>44707</v>
      </c>
      <c r="E291" s="401">
        <v>0</v>
      </c>
      <c r="F291" s="402">
        <v>0</v>
      </c>
      <c r="G291" s="401">
        <v>0</v>
      </c>
      <c r="H291" s="402">
        <v>0</v>
      </c>
      <c r="I291" s="402" t="s">
        <v>269</v>
      </c>
      <c r="J291" s="407"/>
      <c r="L291" s="409"/>
    </row>
    <row r="292" spans="1:12" s="408" customFormat="1" ht="18" customHeight="1">
      <c r="A292" s="403"/>
      <c r="B292" s="404"/>
      <c r="C292" s="405" t="s">
        <v>263</v>
      </c>
      <c r="D292" s="406">
        <v>44708</v>
      </c>
      <c r="E292" s="401">
        <v>0</v>
      </c>
      <c r="F292" s="402">
        <v>0</v>
      </c>
      <c r="G292" s="401">
        <v>0</v>
      </c>
      <c r="H292" s="402">
        <v>0</v>
      </c>
      <c r="I292" s="402" t="s">
        <v>269</v>
      </c>
      <c r="J292" s="407"/>
      <c r="L292" s="409"/>
    </row>
    <row r="293" spans="1:12" s="408" customFormat="1" ht="18" customHeight="1">
      <c r="A293" s="403"/>
      <c r="B293" s="404"/>
      <c r="C293" s="405" t="s">
        <v>257</v>
      </c>
      <c r="D293" s="406">
        <v>44709</v>
      </c>
      <c r="E293" s="401">
        <v>0</v>
      </c>
      <c r="F293" s="402">
        <v>0</v>
      </c>
      <c r="G293" s="401">
        <v>0</v>
      </c>
      <c r="H293" s="402">
        <v>0</v>
      </c>
      <c r="I293" s="402" t="s">
        <v>269</v>
      </c>
      <c r="J293" s="407"/>
      <c r="L293" s="409"/>
    </row>
    <row r="294" spans="1:12" s="408" customFormat="1" ht="18" customHeight="1">
      <c r="A294" s="403"/>
      <c r="B294" s="404"/>
      <c r="C294" s="405" t="s">
        <v>258</v>
      </c>
      <c r="D294" s="406">
        <v>44710</v>
      </c>
      <c r="E294" s="401">
        <v>0</v>
      </c>
      <c r="F294" s="402">
        <v>0</v>
      </c>
      <c r="G294" s="401">
        <v>0</v>
      </c>
      <c r="H294" s="402">
        <v>0</v>
      </c>
      <c r="I294" s="402" t="s">
        <v>269</v>
      </c>
      <c r="J294" s="407"/>
      <c r="L294" s="409"/>
    </row>
    <row r="295" spans="1:12" s="349" customFormat="1" ht="18" customHeight="1">
      <c r="A295" s="394"/>
      <c r="B295" s="343"/>
      <c r="C295" s="344" t="s">
        <v>259</v>
      </c>
      <c r="D295" s="345">
        <v>44711</v>
      </c>
      <c r="E295" s="346">
        <v>1</v>
      </c>
      <c r="F295" s="347">
        <v>750000</v>
      </c>
      <c r="G295" s="346">
        <v>1</v>
      </c>
      <c r="H295" s="347">
        <v>750000</v>
      </c>
      <c r="I295" s="347" t="s">
        <v>268</v>
      </c>
      <c r="J295" s="348"/>
      <c r="L295" s="358"/>
    </row>
    <row r="296" spans="1:12" s="349" customFormat="1" ht="18" customHeight="1">
      <c r="A296" s="394"/>
      <c r="B296" s="343"/>
      <c r="C296" s="344" t="s">
        <v>260</v>
      </c>
      <c r="D296" s="345">
        <v>44712</v>
      </c>
      <c r="E296" s="346">
        <v>1</v>
      </c>
      <c r="F296" s="347">
        <v>750000</v>
      </c>
      <c r="G296" s="346">
        <v>1</v>
      </c>
      <c r="H296" s="347">
        <v>750000</v>
      </c>
      <c r="I296" s="347" t="s">
        <v>268</v>
      </c>
      <c r="J296" s="348"/>
      <c r="L296" s="358"/>
    </row>
    <row r="297" spans="1:12" s="349" customFormat="1" ht="18" customHeight="1">
      <c r="A297" s="394"/>
      <c r="B297" s="343"/>
      <c r="C297" s="702" t="s">
        <v>337</v>
      </c>
      <c r="D297" s="703"/>
      <c r="E297" s="704">
        <f>SUM(E266:E296)</f>
        <v>15</v>
      </c>
      <c r="F297" s="705"/>
      <c r="G297" s="704">
        <f>SUM(G266:G296)</f>
        <v>15</v>
      </c>
      <c r="H297" s="705"/>
      <c r="I297" s="400"/>
      <c r="J297" s="348"/>
      <c r="L297" s="358"/>
    </row>
    <row r="298" spans="1:12" s="297" customFormat="1" ht="20.100000000000001" customHeight="1">
      <c r="A298" s="277"/>
      <c r="B298" s="320"/>
      <c r="C298" s="706" t="s">
        <v>264</v>
      </c>
      <c r="D298" s="707"/>
      <c r="E298" s="708">
        <f>SUM(F266:F296)</f>
        <v>11250000</v>
      </c>
      <c r="F298" s="709"/>
      <c r="G298" s="708">
        <f>SUM(H266:H296)</f>
        <v>11250000</v>
      </c>
      <c r="H298" s="709"/>
      <c r="I298" s="330"/>
      <c r="J298" s="321"/>
      <c r="L298" s="356">
        <v>15</v>
      </c>
    </row>
    <row r="299" spans="1:12" s="296" customFormat="1" ht="24.95" customHeight="1">
      <c r="A299" s="277"/>
      <c r="B299" s="322"/>
      <c r="C299" s="692" t="s">
        <v>62</v>
      </c>
      <c r="D299" s="692"/>
      <c r="E299" s="692"/>
      <c r="F299" s="692"/>
      <c r="G299" s="690">
        <f>+G298+E298</f>
        <v>22500000</v>
      </c>
      <c r="H299" s="691"/>
      <c r="I299" s="331"/>
      <c r="J299" s="323"/>
      <c r="L299" s="359">
        <f>+L298*2*750000</f>
        <v>22500000</v>
      </c>
    </row>
    <row r="300" spans="1:12" ht="20.100000000000001" customHeight="1">
      <c r="B300" s="307"/>
      <c r="C300" s="369"/>
      <c r="J300" s="308"/>
    </row>
    <row r="301" spans="1:12" ht="18" customHeight="1">
      <c r="B301" s="307"/>
      <c r="C301" s="290" t="s">
        <v>136</v>
      </c>
      <c r="E301" s="183"/>
      <c r="F301" s="234" t="s">
        <v>131</v>
      </c>
      <c r="G301" s="234" t="s">
        <v>130</v>
      </c>
      <c r="H301" s="234" t="s">
        <v>129</v>
      </c>
      <c r="I301" s="234" t="s">
        <v>128</v>
      </c>
      <c r="J301" s="308"/>
    </row>
    <row r="302" spans="1:12" s="335" customFormat="1" ht="30" customHeight="1">
      <c r="B302" s="332"/>
      <c r="C302" s="710">
        <v>5</v>
      </c>
      <c r="D302" s="711"/>
      <c r="F302" s="415">
        <v>4</v>
      </c>
      <c r="G302" s="415">
        <v>3</v>
      </c>
      <c r="H302" s="415">
        <v>2</v>
      </c>
      <c r="I302" s="415">
        <v>1</v>
      </c>
      <c r="J302" s="337"/>
      <c r="L302" s="357"/>
    </row>
    <row r="303" spans="1:12" ht="15" customHeight="1">
      <c r="B303" s="307"/>
      <c r="C303" s="698" t="s">
        <v>358</v>
      </c>
      <c r="D303" s="699"/>
      <c r="E303" s="183"/>
      <c r="F303" s="236" t="s">
        <v>114</v>
      </c>
      <c r="G303" s="237" t="s">
        <v>357</v>
      </c>
      <c r="H303" s="238" t="s">
        <v>112</v>
      </c>
      <c r="I303" s="234" t="s">
        <v>16</v>
      </c>
      <c r="J303" s="308"/>
    </row>
    <row r="304" spans="1:12" ht="12.95" customHeight="1" thickBot="1">
      <c r="B304" s="374"/>
      <c r="C304" s="700" t="s">
        <v>132</v>
      </c>
      <c r="D304" s="701"/>
      <c r="E304" s="377"/>
      <c r="F304" s="375" t="s">
        <v>132</v>
      </c>
      <c r="G304" s="375" t="s">
        <v>132</v>
      </c>
      <c r="H304" s="375" t="s">
        <v>132</v>
      </c>
      <c r="I304" s="375" t="s">
        <v>132</v>
      </c>
      <c r="J304" s="378"/>
    </row>
    <row r="305" spans="2:10" ht="9.9499999999999993" customHeight="1" thickTop="1">
      <c r="B305" s="364"/>
      <c r="C305" s="364"/>
      <c r="D305" s="365"/>
      <c r="E305" s="366"/>
      <c r="F305" s="367"/>
      <c r="G305" s="366"/>
      <c r="H305" s="367"/>
      <c r="I305" s="367"/>
      <c r="J305" s="364"/>
    </row>
  </sheetData>
  <mergeCells count="120">
    <mergeCell ref="C299:F299"/>
    <mergeCell ref="G299:H299"/>
    <mergeCell ref="C302:D302"/>
    <mergeCell ref="C303:D303"/>
    <mergeCell ref="C304:D304"/>
    <mergeCell ref="C297:D297"/>
    <mergeCell ref="E297:F297"/>
    <mergeCell ref="G297:H297"/>
    <mergeCell ref="C298:D298"/>
    <mergeCell ref="E298:F298"/>
    <mergeCell ref="G298:H298"/>
    <mergeCell ref="A258:A260"/>
    <mergeCell ref="G259:I259"/>
    <mergeCell ref="F261:I262"/>
    <mergeCell ref="D262:E262"/>
    <mergeCell ref="C264:C265"/>
    <mergeCell ref="D264:D265"/>
    <mergeCell ref="E264:F264"/>
    <mergeCell ref="G264:H264"/>
    <mergeCell ref="I264:I265"/>
    <mergeCell ref="C249:F249"/>
    <mergeCell ref="G249:H249"/>
    <mergeCell ref="C252:D252"/>
    <mergeCell ref="C253:D253"/>
    <mergeCell ref="C254:D254"/>
    <mergeCell ref="C247:D247"/>
    <mergeCell ref="E247:F247"/>
    <mergeCell ref="G247:H247"/>
    <mergeCell ref="C248:D248"/>
    <mergeCell ref="E248:F248"/>
    <mergeCell ref="G248:H248"/>
    <mergeCell ref="A208:A210"/>
    <mergeCell ref="G209:I209"/>
    <mergeCell ref="F211:I212"/>
    <mergeCell ref="D212:E212"/>
    <mergeCell ref="C214:C215"/>
    <mergeCell ref="D214:D215"/>
    <mergeCell ref="E214:F214"/>
    <mergeCell ref="G214:H214"/>
    <mergeCell ref="I214:I215"/>
    <mergeCell ref="C152:D152"/>
    <mergeCell ref="C153:D153"/>
    <mergeCell ref="C154:D154"/>
    <mergeCell ref="C147:D147"/>
    <mergeCell ref="E147:F147"/>
    <mergeCell ref="G147:H147"/>
    <mergeCell ref="C148:D148"/>
    <mergeCell ref="E148:F148"/>
    <mergeCell ref="G148:H148"/>
    <mergeCell ref="G112:I112"/>
    <mergeCell ref="F114:I115"/>
    <mergeCell ref="D115:E115"/>
    <mergeCell ref="C117:C118"/>
    <mergeCell ref="D117:D118"/>
    <mergeCell ref="E117:F117"/>
    <mergeCell ref="G117:H117"/>
    <mergeCell ref="I117:I118"/>
    <mergeCell ref="C149:F149"/>
    <mergeCell ref="G149:H149"/>
    <mergeCell ref="A2:A4"/>
    <mergeCell ref="G3:I3"/>
    <mergeCell ref="C45:D45"/>
    <mergeCell ref="C46:D46"/>
    <mergeCell ref="A50:A52"/>
    <mergeCell ref="G51:I51"/>
    <mergeCell ref="F5:I6"/>
    <mergeCell ref="D6:E6"/>
    <mergeCell ref="C8:C9"/>
    <mergeCell ref="D8:D9"/>
    <mergeCell ref="E8:F8"/>
    <mergeCell ref="G8:H8"/>
    <mergeCell ref="I8:I9"/>
    <mergeCell ref="C40:D40"/>
    <mergeCell ref="E40:F40"/>
    <mergeCell ref="G40:H40"/>
    <mergeCell ref="C47:D47"/>
    <mergeCell ref="C41:D41"/>
    <mergeCell ref="E41:F41"/>
    <mergeCell ref="A158:A160"/>
    <mergeCell ref="G159:I159"/>
    <mergeCell ref="G42:H42"/>
    <mergeCell ref="F53:I54"/>
    <mergeCell ref="D54:E54"/>
    <mergeCell ref="G41:H41"/>
    <mergeCell ref="C42:F42"/>
    <mergeCell ref="C56:C57"/>
    <mergeCell ref="D56:D57"/>
    <mergeCell ref="E56:F56"/>
    <mergeCell ref="G56:H56"/>
    <mergeCell ref="I56:I57"/>
    <mergeCell ref="C89:D89"/>
    <mergeCell ref="C91:F91"/>
    <mergeCell ref="G91:H91"/>
    <mergeCell ref="C94:D94"/>
    <mergeCell ref="C95:D95"/>
    <mergeCell ref="C96:D96"/>
    <mergeCell ref="E89:F89"/>
    <mergeCell ref="G89:H89"/>
    <mergeCell ref="C90:D90"/>
    <mergeCell ref="E90:F90"/>
    <mergeCell ref="G90:H90"/>
    <mergeCell ref="A111:A113"/>
    <mergeCell ref="C198:D198"/>
    <mergeCell ref="E198:F198"/>
    <mergeCell ref="G198:H198"/>
    <mergeCell ref="C199:F199"/>
    <mergeCell ref="G199:H199"/>
    <mergeCell ref="C202:D202"/>
    <mergeCell ref="C203:D203"/>
    <mergeCell ref="C204:D204"/>
    <mergeCell ref="F161:I162"/>
    <mergeCell ref="D162:E162"/>
    <mergeCell ref="C164:C165"/>
    <mergeCell ref="D164:D165"/>
    <mergeCell ref="E164:F164"/>
    <mergeCell ref="G164:H164"/>
    <mergeCell ref="I164:I165"/>
    <mergeCell ref="C197:D197"/>
    <mergeCell ref="E197:F197"/>
    <mergeCell ref="G197:H197"/>
  </mergeCells>
  <printOptions horizontalCentered="1" verticalCentered="1"/>
  <pageMargins left="0" right="0" top="0.19685039370078741" bottom="0.19685039370078741" header="0.19685039370078741" footer="0.19685039370078741"/>
  <pageSetup paperSize="9" scale="8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B2:M58"/>
  <sheetViews>
    <sheetView showGridLines="0" topLeftCell="A19" workbookViewId="0">
      <selection activeCell="P39" sqref="N38:P39"/>
    </sheetView>
  </sheetViews>
  <sheetFormatPr defaultRowHeight="12.75"/>
  <cols>
    <col min="1" max="1" width="1.7109375" style="349" customWidth="1"/>
    <col min="2" max="2" width="12.7109375" style="349" customWidth="1"/>
    <col min="3" max="3" width="5.7109375" style="349" customWidth="1"/>
    <col min="4" max="4" width="16.7109375" style="424" customWidth="1"/>
    <col min="5" max="5" width="7.7109375" style="394" customWidth="1"/>
    <col min="6" max="6" width="14.7109375" style="349" customWidth="1"/>
    <col min="7" max="7" width="7.7109375" style="349" customWidth="1"/>
    <col min="8" max="8" width="14.7109375" style="349" customWidth="1"/>
    <col min="9" max="9" width="21.7109375" style="349" customWidth="1"/>
    <col min="10" max="10" width="1.7109375" style="349" customWidth="1"/>
    <col min="11" max="16384" width="9.140625" style="349"/>
  </cols>
  <sheetData>
    <row r="2" spans="2:9">
      <c r="B2" s="719" t="s">
        <v>421</v>
      </c>
      <c r="C2" s="720"/>
      <c r="D2" s="720"/>
      <c r="E2" s="720"/>
      <c r="F2" s="720"/>
      <c r="G2" s="720"/>
      <c r="H2" s="720"/>
      <c r="I2" s="721"/>
    </row>
    <row r="3" spans="2:9" ht="20.100000000000001" customHeight="1">
      <c r="B3" s="734" t="s">
        <v>405</v>
      </c>
      <c r="C3" s="735"/>
      <c r="D3" s="735"/>
      <c r="E3" s="735"/>
      <c r="F3" s="735"/>
      <c r="G3" s="735"/>
      <c r="H3" s="735"/>
      <c r="I3" s="736"/>
    </row>
    <row r="4" spans="2:9" ht="15" customHeight="1">
      <c r="B4" s="737" t="s">
        <v>419</v>
      </c>
      <c r="C4" s="738"/>
      <c r="D4" s="738"/>
      <c r="E4" s="738"/>
      <c r="F4" s="738"/>
      <c r="G4" s="738"/>
      <c r="H4" s="738"/>
      <c r="I4" s="739"/>
    </row>
    <row r="5" spans="2:9" ht="9.9499999999999993" customHeight="1">
      <c r="B5" s="439"/>
      <c r="I5" s="440"/>
    </row>
    <row r="6" spans="2:9" ht="15.75">
      <c r="B6" s="445" t="s">
        <v>399</v>
      </c>
      <c r="C6" s="453" t="s">
        <v>175</v>
      </c>
      <c r="D6" s="452">
        <v>2023</v>
      </c>
      <c r="I6" s="440"/>
    </row>
    <row r="7" spans="2:9" ht="15.75">
      <c r="B7" s="445" t="s">
        <v>84</v>
      </c>
      <c r="C7" s="453" t="s">
        <v>175</v>
      </c>
      <c r="D7" s="452">
        <v>8</v>
      </c>
      <c r="I7" s="440"/>
    </row>
    <row r="8" spans="2:9" ht="9.9499999999999993" customHeight="1">
      <c r="B8" s="441"/>
      <c r="C8" s="442"/>
      <c r="D8" s="442"/>
      <c r="I8" s="440"/>
    </row>
    <row r="9" spans="2:9" ht="15" customHeight="1">
      <c r="B9" s="722" t="s">
        <v>2</v>
      </c>
      <c r="C9" s="723"/>
      <c r="D9" s="728" t="s">
        <v>3</v>
      </c>
      <c r="E9" s="729" t="s">
        <v>401</v>
      </c>
      <c r="F9" s="729"/>
      <c r="G9" s="729" t="s">
        <v>402</v>
      </c>
      <c r="H9" s="729"/>
      <c r="I9" s="729" t="s">
        <v>85</v>
      </c>
    </row>
    <row r="10" spans="2:9" s="423" customFormat="1" ht="20.100000000000001" customHeight="1">
      <c r="B10" s="724"/>
      <c r="C10" s="725"/>
      <c r="D10" s="728"/>
      <c r="E10" s="427" t="s">
        <v>400</v>
      </c>
      <c r="F10" s="427" t="s">
        <v>55</v>
      </c>
      <c r="G10" s="427" t="s">
        <v>400</v>
      </c>
      <c r="H10" s="427" t="s">
        <v>55</v>
      </c>
      <c r="I10" s="729"/>
    </row>
    <row r="11" spans="2:9">
      <c r="B11" s="447" t="str">
        <f>TEXT(D11,"aaaaaaa")</f>
        <v>Tuesday</v>
      </c>
      <c r="C11" s="449"/>
      <c r="D11" s="425">
        <f>+DATE(D6,D7,1)</f>
        <v>45139</v>
      </c>
      <c r="E11" s="346">
        <f>IF($B11="Saturday",0,IF($B11="Sunday",0,1))</f>
        <v>1</v>
      </c>
      <c r="F11" s="428">
        <f>IF(E11=1,825000,0)</f>
        <v>825000</v>
      </c>
      <c r="G11" s="346">
        <f>IF($B11="Saturday",0,IF($B11="Sunday",0,1))</f>
        <v>1</v>
      </c>
      <c r="H11" s="428">
        <f>IF(G11=1,825000,0)</f>
        <v>825000</v>
      </c>
      <c r="I11" s="346" t="str">
        <f>IF($G11=1,"Hari Kerja","Hari Libur")</f>
        <v>Hari Kerja</v>
      </c>
    </row>
    <row r="12" spans="2:9">
      <c r="B12" s="447" t="str">
        <f t="shared" ref="B12:B41" si="0">TEXT(D12,"aaaaaaa")</f>
        <v>Wednesday</v>
      </c>
      <c r="C12" s="449"/>
      <c r="D12" s="425">
        <f>D11+1</f>
        <v>45140</v>
      </c>
      <c r="E12" s="346">
        <f>IF($B12="Saturday",0,IF($B12="Sunday",0,1))</f>
        <v>1</v>
      </c>
      <c r="F12" s="428">
        <f t="shared" ref="F12:F41" si="1">IF(E12=1,825000,0)</f>
        <v>825000</v>
      </c>
      <c r="G12" s="346">
        <f>IF($B12="Saturday",0,IF($B12="Sunday",0,1))</f>
        <v>1</v>
      </c>
      <c r="H12" s="428">
        <f t="shared" ref="H12:H41" si="2">IF(G12=1,825000,0)</f>
        <v>825000</v>
      </c>
      <c r="I12" s="346" t="str">
        <f>IF($G12=1,"Hari Kerja","Hari Libur")</f>
        <v>Hari Kerja</v>
      </c>
    </row>
    <row r="13" spans="2:9">
      <c r="B13" s="447" t="str">
        <f t="shared" si="0"/>
        <v>Thursday</v>
      </c>
      <c r="C13" s="449"/>
      <c r="D13" s="425">
        <f t="shared" ref="D13:D41" si="3">D12+1</f>
        <v>45141</v>
      </c>
      <c r="E13" s="346">
        <f t="shared" ref="E13:G41" si="4">IF($B13="Saturday",0,IF($B13="Sunday",0,1))</f>
        <v>1</v>
      </c>
      <c r="F13" s="428">
        <f t="shared" si="1"/>
        <v>825000</v>
      </c>
      <c r="G13" s="346">
        <f t="shared" si="4"/>
        <v>1</v>
      </c>
      <c r="H13" s="428">
        <f t="shared" si="2"/>
        <v>825000</v>
      </c>
      <c r="I13" s="346" t="str">
        <f t="shared" ref="I13:I41" si="5">IF($G13=1,"Hari Kerja","Hari Libur")</f>
        <v>Hari Kerja</v>
      </c>
    </row>
    <row r="14" spans="2:9">
      <c r="B14" s="447" t="str">
        <f t="shared" si="0"/>
        <v>Friday</v>
      </c>
      <c r="C14" s="449"/>
      <c r="D14" s="425">
        <f t="shared" si="3"/>
        <v>45142</v>
      </c>
      <c r="E14" s="346">
        <f t="shared" si="4"/>
        <v>1</v>
      </c>
      <c r="F14" s="428">
        <f t="shared" si="1"/>
        <v>825000</v>
      </c>
      <c r="G14" s="346">
        <f t="shared" si="4"/>
        <v>1</v>
      </c>
      <c r="H14" s="428">
        <f t="shared" si="2"/>
        <v>825000</v>
      </c>
      <c r="I14" s="346" t="str">
        <f t="shared" si="5"/>
        <v>Hari Kerja</v>
      </c>
    </row>
    <row r="15" spans="2:9">
      <c r="B15" s="447" t="str">
        <f t="shared" si="0"/>
        <v>Saturday</v>
      </c>
      <c r="C15" s="449"/>
      <c r="D15" s="425">
        <f t="shared" si="3"/>
        <v>45143</v>
      </c>
      <c r="E15" s="346">
        <f t="shared" si="4"/>
        <v>0</v>
      </c>
      <c r="F15" s="428">
        <f t="shared" si="1"/>
        <v>0</v>
      </c>
      <c r="G15" s="346">
        <f t="shared" si="4"/>
        <v>0</v>
      </c>
      <c r="H15" s="428">
        <f t="shared" si="2"/>
        <v>0</v>
      </c>
      <c r="I15" s="346" t="str">
        <f t="shared" si="5"/>
        <v>Hari Libur</v>
      </c>
    </row>
    <row r="16" spans="2:9">
      <c r="B16" s="447" t="str">
        <f t="shared" si="0"/>
        <v>Sunday</v>
      </c>
      <c r="C16" s="449"/>
      <c r="D16" s="425">
        <f t="shared" si="3"/>
        <v>45144</v>
      </c>
      <c r="E16" s="346">
        <f t="shared" si="4"/>
        <v>0</v>
      </c>
      <c r="F16" s="428">
        <f t="shared" si="1"/>
        <v>0</v>
      </c>
      <c r="G16" s="346">
        <f t="shared" si="4"/>
        <v>0</v>
      </c>
      <c r="H16" s="428">
        <f t="shared" si="2"/>
        <v>0</v>
      </c>
      <c r="I16" s="346" t="str">
        <f t="shared" si="5"/>
        <v>Hari Libur</v>
      </c>
    </row>
    <row r="17" spans="2:9">
      <c r="B17" s="447" t="str">
        <f t="shared" si="0"/>
        <v>Monday</v>
      </c>
      <c r="C17" s="449"/>
      <c r="D17" s="425">
        <f t="shared" si="3"/>
        <v>45145</v>
      </c>
      <c r="E17" s="346">
        <f t="shared" si="4"/>
        <v>1</v>
      </c>
      <c r="F17" s="428">
        <f t="shared" si="1"/>
        <v>825000</v>
      </c>
      <c r="G17" s="346">
        <f t="shared" si="4"/>
        <v>1</v>
      </c>
      <c r="H17" s="428">
        <f t="shared" si="2"/>
        <v>825000</v>
      </c>
      <c r="I17" s="346" t="str">
        <f t="shared" si="5"/>
        <v>Hari Kerja</v>
      </c>
    </row>
    <row r="18" spans="2:9">
      <c r="B18" s="447" t="str">
        <f t="shared" si="0"/>
        <v>Tuesday</v>
      </c>
      <c r="C18" s="449"/>
      <c r="D18" s="425">
        <f t="shared" si="3"/>
        <v>45146</v>
      </c>
      <c r="E18" s="346">
        <f t="shared" si="4"/>
        <v>1</v>
      </c>
      <c r="F18" s="428">
        <f t="shared" si="1"/>
        <v>825000</v>
      </c>
      <c r="G18" s="346">
        <f t="shared" si="4"/>
        <v>1</v>
      </c>
      <c r="H18" s="428">
        <f t="shared" si="2"/>
        <v>825000</v>
      </c>
      <c r="I18" s="346" t="str">
        <f t="shared" si="5"/>
        <v>Hari Kerja</v>
      </c>
    </row>
    <row r="19" spans="2:9">
      <c r="B19" s="447" t="str">
        <f t="shared" si="0"/>
        <v>Wednesday</v>
      </c>
      <c r="C19" s="449"/>
      <c r="D19" s="425">
        <f t="shared" si="3"/>
        <v>45147</v>
      </c>
      <c r="E19" s="346">
        <f t="shared" si="4"/>
        <v>1</v>
      </c>
      <c r="F19" s="428">
        <f t="shared" si="1"/>
        <v>825000</v>
      </c>
      <c r="G19" s="346">
        <f t="shared" si="4"/>
        <v>1</v>
      </c>
      <c r="H19" s="428">
        <f t="shared" si="2"/>
        <v>825000</v>
      </c>
      <c r="I19" s="346" t="str">
        <f t="shared" si="5"/>
        <v>Hari Kerja</v>
      </c>
    </row>
    <row r="20" spans="2:9">
      <c r="B20" s="447" t="str">
        <f t="shared" si="0"/>
        <v>Thursday</v>
      </c>
      <c r="C20" s="449"/>
      <c r="D20" s="425">
        <f t="shared" si="3"/>
        <v>45148</v>
      </c>
      <c r="E20" s="346">
        <f t="shared" si="4"/>
        <v>1</v>
      </c>
      <c r="F20" s="428">
        <f t="shared" si="1"/>
        <v>825000</v>
      </c>
      <c r="G20" s="346">
        <f t="shared" si="4"/>
        <v>1</v>
      </c>
      <c r="H20" s="428">
        <f t="shared" si="2"/>
        <v>825000</v>
      </c>
      <c r="I20" s="346" t="str">
        <f t="shared" si="5"/>
        <v>Hari Kerja</v>
      </c>
    </row>
    <row r="21" spans="2:9">
      <c r="B21" s="447" t="str">
        <f t="shared" si="0"/>
        <v>Friday</v>
      </c>
      <c r="C21" s="449"/>
      <c r="D21" s="425">
        <f t="shared" si="3"/>
        <v>45149</v>
      </c>
      <c r="E21" s="346">
        <f t="shared" si="4"/>
        <v>1</v>
      </c>
      <c r="F21" s="428">
        <f t="shared" si="1"/>
        <v>825000</v>
      </c>
      <c r="G21" s="346">
        <f t="shared" si="4"/>
        <v>1</v>
      </c>
      <c r="H21" s="428">
        <f t="shared" si="2"/>
        <v>825000</v>
      </c>
      <c r="I21" s="346" t="str">
        <f t="shared" si="5"/>
        <v>Hari Kerja</v>
      </c>
    </row>
    <row r="22" spans="2:9">
      <c r="B22" s="447" t="str">
        <f t="shared" si="0"/>
        <v>Saturday</v>
      </c>
      <c r="C22" s="449"/>
      <c r="D22" s="425">
        <f t="shared" si="3"/>
        <v>45150</v>
      </c>
      <c r="E22" s="346">
        <f t="shared" si="4"/>
        <v>0</v>
      </c>
      <c r="F22" s="428">
        <f t="shared" si="1"/>
        <v>0</v>
      </c>
      <c r="G22" s="346">
        <f t="shared" si="4"/>
        <v>0</v>
      </c>
      <c r="H22" s="428">
        <f t="shared" si="2"/>
        <v>0</v>
      </c>
      <c r="I22" s="346" t="str">
        <f t="shared" si="5"/>
        <v>Hari Libur</v>
      </c>
    </row>
    <row r="23" spans="2:9">
      <c r="B23" s="447" t="str">
        <f t="shared" si="0"/>
        <v>Sunday</v>
      </c>
      <c r="C23" s="449"/>
      <c r="D23" s="425">
        <f t="shared" si="3"/>
        <v>45151</v>
      </c>
      <c r="E23" s="346">
        <f t="shared" si="4"/>
        <v>0</v>
      </c>
      <c r="F23" s="428">
        <f t="shared" si="1"/>
        <v>0</v>
      </c>
      <c r="G23" s="346">
        <f t="shared" si="4"/>
        <v>0</v>
      </c>
      <c r="H23" s="428">
        <f t="shared" si="2"/>
        <v>0</v>
      </c>
      <c r="I23" s="346" t="str">
        <f t="shared" si="5"/>
        <v>Hari Libur</v>
      </c>
    </row>
    <row r="24" spans="2:9">
      <c r="B24" s="447" t="str">
        <f t="shared" si="0"/>
        <v>Monday</v>
      </c>
      <c r="C24" s="449"/>
      <c r="D24" s="425">
        <f t="shared" si="3"/>
        <v>45152</v>
      </c>
      <c r="E24" s="346">
        <f t="shared" si="4"/>
        <v>1</v>
      </c>
      <c r="F24" s="428">
        <f t="shared" si="1"/>
        <v>825000</v>
      </c>
      <c r="G24" s="346">
        <f t="shared" si="4"/>
        <v>1</v>
      </c>
      <c r="H24" s="428">
        <f t="shared" si="2"/>
        <v>825000</v>
      </c>
      <c r="I24" s="346" t="str">
        <f t="shared" si="5"/>
        <v>Hari Kerja</v>
      </c>
    </row>
    <row r="25" spans="2:9">
      <c r="B25" s="447" t="str">
        <f t="shared" si="0"/>
        <v>Tuesday</v>
      </c>
      <c r="C25" s="449"/>
      <c r="D25" s="425">
        <f t="shared" si="3"/>
        <v>45153</v>
      </c>
      <c r="E25" s="346">
        <f t="shared" si="4"/>
        <v>1</v>
      </c>
      <c r="F25" s="428">
        <f t="shared" si="1"/>
        <v>825000</v>
      </c>
      <c r="G25" s="346">
        <f t="shared" si="4"/>
        <v>1</v>
      </c>
      <c r="H25" s="428">
        <f t="shared" si="2"/>
        <v>825000</v>
      </c>
      <c r="I25" s="346" t="str">
        <f t="shared" si="5"/>
        <v>Hari Kerja</v>
      </c>
    </row>
    <row r="26" spans="2:9">
      <c r="B26" s="458" t="str">
        <f t="shared" si="0"/>
        <v>Wednesday</v>
      </c>
      <c r="C26" s="459"/>
      <c r="D26" s="460">
        <f t="shared" si="3"/>
        <v>45154</v>
      </c>
      <c r="E26" s="461">
        <v>0</v>
      </c>
      <c r="F26" s="462">
        <f t="shared" si="1"/>
        <v>0</v>
      </c>
      <c r="G26" s="461">
        <v>0</v>
      </c>
      <c r="H26" s="462">
        <f t="shared" si="2"/>
        <v>0</v>
      </c>
      <c r="I26" s="463" t="str">
        <f t="shared" si="5"/>
        <v>Hari Libur</v>
      </c>
    </row>
    <row r="27" spans="2:9">
      <c r="B27" s="458" t="str">
        <f t="shared" si="0"/>
        <v>Thursday</v>
      </c>
      <c r="C27" s="459"/>
      <c r="D27" s="460">
        <f t="shared" si="3"/>
        <v>45155</v>
      </c>
      <c r="E27" s="461">
        <v>0</v>
      </c>
      <c r="F27" s="462">
        <f t="shared" si="1"/>
        <v>0</v>
      </c>
      <c r="G27" s="461">
        <v>0</v>
      </c>
      <c r="H27" s="462">
        <f t="shared" si="2"/>
        <v>0</v>
      </c>
      <c r="I27" s="463" t="str">
        <f>IF($G27=1,"Hari Kerja","Hari Libur")</f>
        <v>Hari Libur</v>
      </c>
    </row>
    <row r="28" spans="2:9">
      <c r="B28" s="447" t="str">
        <f t="shared" si="0"/>
        <v>Friday</v>
      </c>
      <c r="C28" s="449"/>
      <c r="D28" s="425">
        <f t="shared" si="3"/>
        <v>45156</v>
      </c>
      <c r="E28" s="346">
        <f t="shared" si="4"/>
        <v>1</v>
      </c>
      <c r="F28" s="428">
        <f t="shared" si="1"/>
        <v>825000</v>
      </c>
      <c r="G28" s="346">
        <f t="shared" si="4"/>
        <v>1</v>
      </c>
      <c r="H28" s="428">
        <f t="shared" si="2"/>
        <v>825000</v>
      </c>
      <c r="I28" s="346" t="str">
        <f t="shared" si="5"/>
        <v>Hari Kerja</v>
      </c>
    </row>
    <row r="29" spans="2:9">
      <c r="B29" s="458" t="str">
        <f t="shared" si="0"/>
        <v>Saturday</v>
      </c>
      <c r="C29" s="459"/>
      <c r="D29" s="460">
        <f t="shared" si="3"/>
        <v>45157</v>
      </c>
      <c r="E29" s="461">
        <v>1</v>
      </c>
      <c r="F29" s="462">
        <f t="shared" si="1"/>
        <v>825000</v>
      </c>
      <c r="G29" s="461">
        <v>1</v>
      </c>
      <c r="H29" s="462">
        <f t="shared" si="2"/>
        <v>825000</v>
      </c>
      <c r="I29" s="463" t="str">
        <f>IF($G29=1,"Hari Kerja","Hari Libur")</f>
        <v>Hari Kerja</v>
      </c>
    </row>
    <row r="30" spans="2:9">
      <c r="B30" s="447" t="str">
        <f t="shared" si="0"/>
        <v>Sunday</v>
      </c>
      <c r="C30" s="449"/>
      <c r="D30" s="425">
        <f t="shared" si="3"/>
        <v>45158</v>
      </c>
      <c r="E30" s="346">
        <f t="shared" si="4"/>
        <v>0</v>
      </c>
      <c r="F30" s="428">
        <f t="shared" si="1"/>
        <v>0</v>
      </c>
      <c r="G30" s="346">
        <f t="shared" si="4"/>
        <v>0</v>
      </c>
      <c r="H30" s="428">
        <f t="shared" si="2"/>
        <v>0</v>
      </c>
      <c r="I30" s="346" t="str">
        <f t="shared" si="5"/>
        <v>Hari Libur</v>
      </c>
    </row>
    <row r="31" spans="2:9">
      <c r="B31" s="447" t="str">
        <f t="shared" si="0"/>
        <v>Monday</v>
      </c>
      <c r="C31" s="449"/>
      <c r="D31" s="425">
        <f t="shared" si="3"/>
        <v>45159</v>
      </c>
      <c r="E31" s="346">
        <f t="shared" si="4"/>
        <v>1</v>
      </c>
      <c r="F31" s="428">
        <f t="shared" si="1"/>
        <v>825000</v>
      </c>
      <c r="G31" s="346">
        <f t="shared" si="4"/>
        <v>1</v>
      </c>
      <c r="H31" s="428">
        <f t="shared" si="2"/>
        <v>825000</v>
      </c>
      <c r="I31" s="346" t="str">
        <f t="shared" si="5"/>
        <v>Hari Kerja</v>
      </c>
    </row>
    <row r="32" spans="2:9">
      <c r="B32" s="447" t="str">
        <f t="shared" si="0"/>
        <v>Tuesday</v>
      </c>
      <c r="C32" s="449"/>
      <c r="D32" s="425">
        <f t="shared" si="3"/>
        <v>45160</v>
      </c>
      <c r="E32" s="346">
        <f t="shared" si="4"/>
        <v>1</v>
      </c>
      <c r="F32" s="428">
        <f t="shared" si="1"/>
        <v>825000</v>
      </c>
      <c r="G32" s="346">
        <f t="shared" si="4"/>
        <v>1</v>
      </c>
      <c r="H32" s="428">
        <f t="shared" si="2"/>
        <v>825000</v>
      </c>
      <c r="I32" s="346" t="str">
        <f t="shared" si="5"/>
        <v>Hari Kerja</v>
      </c>
    </row>
    <row r="33" spans="2:13">
      <c r="B33" s="447" t="str">
        <f t="shared" si="0"/>
        <v>Wednesday</v>
      </c>
      <c r="C33" s="449"/>
      <c r="D33" s="425">
        <f t="shared" si="3"/>
        <v>45161</v>
      </c>
      <c r="E33" s="346">
        <f t="shared" si="4"/>
        <v>1</v>
      </c>
      <c r="F33" s="428">
        <f t="shared" si="1"/>
        <v>825000</v>
      </c>
      <c r="G33" s="346">
        <f t="shared" si="4"/>
        <v>1</v>
      </c>
      <c r="H33" s="428">
        <f t="shared" si="2"/>
        <v>825000</v>
      </c>
      <c r="I33" s="346" t="str">
        <f t="shared" si="5"/>
        <v>Hari Kerja</v>
      </c>
    </row>
    <row r="34" spans="2:13">
      <c r="B34" s="447" t="str">
        <f t="shared" si="0"/>
        <v>Thursday</v>
      </c>
      <c r="C34" s="449"/>
      <c r="D34" s="425">
        <f t="shared" si="3"/>
        <v>45162</v>
      </c>
      <c r="E34" s="346">
        <f t="shared" si="4"/>
        <v>1</v>
      </c>
      <c r="F34" s="428">
        <f t="shared" si="1"/>
        <v>825000</v>
      </c>
      <c r="G34" s="346">
        <f t="shared" si="4"/>
        <v>1</v>
      </c>
      <c r="H34" s="428">
        <f t="shared" si="2"/>
        <v>825000</v>
      </c>
      <c r="I34" s="346" t="str">
        <f t="shared" si="5"/>
        <v>Hari Kerja</v>
      </c>
    </row>
    <row r="35" spans="2:13">
      <c r="B35" s="447" t="str">
        <f t="shared" si="0"/>
        <v>Friday</v>
      </c>
      <c r="C35" s="449"/>
      <c r="D35" s="425">
        <f t="shared" si="3"/>
        <v>45163</v>
      </c>
      <c r="E35" s="346">
        <f t="shared" si="4"/>
        <v>1</v>
      </c>
      <c r="F35" s="428">
        <f t="shared" si="1"/>
        <v>825000</v>
      </c>
      <c r="G35" s="346">
        <f t="shared" si="4"/>
        <v>1</v>
      </c>
      <c r="H35" s="428">
        <f t="shared" si="2"/>
        <v>825000</v>
      </c>
      <c r="I35" s="346" t="str">
        <f t="shared" si="5"/>
        <v>Hari Kerja</v>
      </c>
    </row>
    <row r="36" spans="2:13">
      <c r="B36" s="447" t="str">
        <f t="shared" si="0"/>
        <v>Saturday</v>
      </c>
      <c r="C36" s="449"/>
      <c r="D36" s="425">
        <f t="shared" si="3"/>
        <v>45164</v>
      </c>
      <c r="E36" s="346">
        <f t="shared" si="4"/>
        <v>0</v>
      </c>
      <c r="F36" s="428">
        <f t="shared" si="1"/>
        <v>0</v>
      </c>
      <c r="G36" s="346">
        <f t="shared" si="4"/>
        <v>0</v>
      </c>
      <c r="H36" s="428">
        <f t="shared" si="2"/>
        <v>0</v>
      </c>
      <c r="I36" s="346" t="str">
        <f t="shared" si="5"/>
        <v>Hari Libur</v>
      </c>
    </row>
    <row r="37" spans="2:13">
      <c r="B37" s="447" t="str">
        <f t="shared" si="0"/>
        <v>Sunday</v>
      </c>
      <c r="C37" s="449"/>
      <c r="D37" s="425">
        <f t="shared" si="3"/>
        <v>45165</v>
      </c>
      <c r="E37" s="346">
        <f t="shared" si="4"/>
        <v>0</v>
      </c>
      <c r="F37" s="428">
        <f t="shared" si="1"/>
        <v>0</v>
      </c>
      <c r="G37" s="346">
        <f t="shared" si="4"/>
        <v>0</v>
      </c>
      <c r="H37" s="428">
        <f t="shared" si="2"/>
        <v>0</v>
      </c>
      <c r="I37" s="346" t="str">
        <f t="shared" si="5"/>
        <v>Hari Libur</v>
      </c>
    </row>
    <row r="38" spans="2:13">
      <c r="B38" s="447" t="str">
        <f t="shared" si="0"/>
        <v>Monday</v>
      </c>
      <c r="C38" s="449"/>
      <c r="D38" s="425">
        <f t="shared" si="3"/>
        <v>45166</v>
      </c>
      <c r="E38" s="346">
        <f t="shared" si="4"/>
        <v>1</v>
      </c>
      <c r="F38" s="428">
        <f t="shared" si="1"/>
        <v>825000</v>
      </c>
      <c r="G38" s="346">
        <f t="shared" si="4"/>
        <v>1</v>
      </c>
      <c r="H38" s="428">
        <f t="shared" si="2"/>
        <v>825000</v>
      </c>
      <c r="I38" s="346" t="str">
        <f t="shared" si="5"/>
        <v>Hari Kerja</v>
      </c>
      <c r="M38" s="424"/>
    </row>
    <row r="39" spans="2:13">
      <c r="B39" s="447" t="str">
        <f t="shared" si="0"/>
        <v>Tuesday</v>
      </c>
      <c r="C39" s="449"/>
      <c r="D39" s="425">
        <f t="shared" si="3"/>
        <v>45167</v>
      </c>
      <c r="E39" s="346">
        <f t="shared" si="4"/>
        <v>1</v>
      </c>
      <c r="F39" s="428">
        <f t="shared" si="1"/>
        <v>825000</v>
      </c>
      <c r="G39" s="346">
        <f t="shared" si="4"/>
        <v>1</v>
      </c>
      <c r="H39" s="428">
        <f t="shared" si="2"/>
        <v>825000</v>
      </c>
      <c r="I39" s="346" t="str">
        <f t="shared" si="5"/>
        <v>Hari Kerja</v>
      </c>
    </row>
    <row r="40" spans="2:13">
      <c r="B40" s="447" t="str">
        <f t="shared" si="0"/>
        <v>Wednesday</v>
      </c>
      <c r="C40" s="449"/>
      <c r="D40" s="425">
        <f t="shared" si="3"/>
        <v>45168</v>
      </c>
      <c r="E40" s="346">
        <f t="shared" si="4"/>
        <v>1</v>
      </c>
      <c r="F40" s="428">
        <f t="shared" si="1"/>
        <v>825000</v>
      </c>
      <c r="G40" s="346">
        <f t="shared" si="4"/>
        <v>1</v>
      </c>
      <c r="H40" s="428">
        <f t="shared" si="2"/>
        <v>825000</v>
      </c>
      <c r="I40" s="346" t="str">
        <f t="shared" si="5"/>
        <v>Hari Kerja</v>
      </c>
    </row>
    <row r="41" spans="2:13" ht="13.5" thickBot="1">
      <c r="B41" s="448" t="str">
        <f t="shared" si="0"/>
        <v>Thursday</v>
      </c>
      <c r="C41" s="450"/>
      <c r="D41" s="432">
        <f t="shared" si="3"/>
        <v>45169</v>
      </c>
      <c r="E41" s="433">
        <f t="shared" si="4"/>
        <v>1</v>
      </c>
      <c r="F41" s="434">
        <f t="shared" si="1"/>
        <v>825000</v>
      </c>
      <c r="G41" s="433">
        <f t="shared" si="4"/>
        <v>1</v>
      </c>
      <c r="H41" s="434">
        <f t="shared" si="2"/>
        <v>825000</v>
      </c>
      <c r="I41" s="433" t="str">
        <f t="shared" si="5"/>
        <v>Hari Kerja</v>
      </c>
    </row>
    <row r="42" spans="2:13" ht="13.5" thickTop="1">
      <c r="B42" s="742" t="s">
        <v>403</v>
      </c>
      <c r="C42" s="742"/>
      <c r="D42" s="742"/>
      <c r="E42" s="429">
        <f>SUM(E11:E41)</f>
        <v>22</v>
      </c>
      <c r="F42" s="430">
        <f>SUM(F11:F41)</f>
        <v>18150000</v>
      </c>
      <c r="G42" s="429">
        <f>SUM(G11:G41)</f>
        <v>22</v>
      </c>
      <c r="H42" s="430">
        <f>SUM(H11:H41)</f>
        <v>18150000</v>
      </c>
      <c r="I42" s="435"/>
    </row>
    <row r="43" spans="2:13" ht="15.75">
      <c r="B43" s="743" t="s">
        <v>404</v>
      </c>
      <c r="C43" s="744"/>
      <c r="D43" s="745"/>
      <c r="E43" s="746">
        <f>+F42+H42</f>
        <v>36300000</v>
      </c>
      <c r="F43" s="744"/>
      <c r="G43" s="744"/>
      <c r="H43" s="745"/>
      <c r="I43" s="436"/>
    </row>
    <row r="44" spans="2:13" ht="20.100000000000001" customHeight="1">
      <c r="B44" s="456" t="s">
        <v>412</v>
      </c>
      <c r="I44" s="440"/>
    </row>
    <row r="45" spans="2:13" ht="15">
      <c r="B45" s="457" t="s">
        <v>413</v>
      </c>
      <c r="C45" s="730" t="s">
        <v>415</v>
      </c>
      <c r="D45" s="731"/>
      <c r="E45" s="730" t="s">
        <v>414</v>
      </c>
      <c r="F45" s="731"/>
      <c r="G45" s="730" t="s">
        <v>416</v>
      </c>
      <c r="H45" s="757"/>
      <c r="I45" s="731"/>
    </row>
    <row r="46" spans="2:13" ht="45" customHeight="1">
      <c r="B46" s="426" t="s">
        <v>417</v>
      </c>
      <c r="C46" s="732">
        <v>0.25</v>
      </c>
      <c r="D46" s="733"/>
      <c r="E46" s="732">
        <v>0.77083333333333337</v>
      </c>
      <c r="F46" s="733"/>
      <c r="G46" s="751" t="s">
        <v>420</v>
      </c>
      <c r="H46" s="752"/>
      <c r="I46" s="753"/>
    </row>
    <row r="47" spans="2:13" ht="45" customHeight="1">
      <c r="B47" s="426" t="s">
        <v>418</v>
      </c>
      <c r="C47" s="732">
        <v>0.6875</v>
      </c>
      <c r="D47" s="733"/>
      <c r="E47" s="732">
        <v>0.20833333333333334</v>
      </c>
      <c r="F47" s="733"/>
      <c r="G47" s="754"/>
      <c r="H47" s="755"/>
      <c r="I47" s="756"/>
    </row>
    <row r="48" spans="2:13">
      <c r="B48" s="439"/>
      <c r="I48" s="440"/>
    </row>
    <row r="49" spans="2:9">
      <c r="B49" s="446"/>
      <c r="C49" s="704" t="s">
        <v>409</v>
      </c>
      <c r="D49" s="705"/>
      <c r="E49" s="704" t="s">
        <v>408</v>
      </c>
      <c r="F49" s="705"/>
      <c r="G49" s="704" t="s">
        <v>407</v>
      </c>
      <c r="H49" s="705"/>
      <c r="I49" s="346" t="s">
        <v>406</v>
      </c>
    </row>
    <row r="50" spans="2:9" ht="15" customHeight="1">
      <c r="B50" s="446"/>
      <c r="C50" s="437"/>
      <c r="D50" s="438"/>
      <c r="E50" s="747"/>
      <c r="F50" s="748"/>
      <c r="G50" s="747"/>
      <c r="H50" s="748"/>
      <c r="I50" s="726"/>
    </row>
    <row r="51" spans="2:9" ht="15" customHeight="1">
      <c r="B51" s="446"/>
      <c r="C51" s="443"/>
      <c r="D51" s="444"/>
      <c r="E51" s="749"/>
      <c r="F51" s="750"/>
      <c r="G51" s="749"/>
      <c r="H51" s="750"/>
      <c r="I51" s="727"/>
    </row>
    <row r="52" spans="2:9">
      <c r="B52" s="446"/>
      <c r="C52" s="704" t="s">
        <v>114</v>
      </c>
      <c r="D52" s="705"/>
      <c r="E52" s="704" t="s">
        <v>113</v>
      </c>
      <c r="F52" s="705"/>
      <c r="G52" s="704" t="s">
        <v>112</v>
      </c>
      <c r="H52" s="705"/>
      <c r="I52" s="346" t="s">
        <v>410</v>
      </c>
    </row>
    <row r="53" spans="2:9">
      <c r="B53" s="446"/>
      <c r="C53" s="740" t="s">
        <v>411</v>
      </c>
      <c r="D53" s="741"/>
      <c r="E53" s="740" t="s">
        <v>132</v>
      </c>
      <c r="F53" s="741"/>
      <c r="G53" s="740" t="s">
        <v>132</v>
      </c>
      <c r="H53" s="741"/>
      <c r="I53" s="451" t="s">
        <v>132</v>
      </c>
    </row>
    <row r="54" spans="2:9">
      <c r="B54" s="439"/>
      <c r="C54" s="758"/>
      <c r="D54" s="758"/>
      <c r="E54" s="758"/>
      <c r="F54" s="758"/>
      <c r="G54" s="758"/>
      <c r="H54" s="758"/>
      <c r="I54" s="346" t="s">
        <v>422</v>
      </c>
    </row>
    <row r="55" spans="2:9" ht="15" customHeight="1">
      <c r="B55" s="439"/>
      <c r="D55" s="349"/>
      <c r="E55" s="758"/>
      <c r="F55" s="758"/>
      <c r="G55" s="758"/>
      <c r="H55" s="758"/>
      <c r="I55" s="726"/>
    </row>
    <row r="56" spans="2:9" ht="15" customHeight="1">
      <c r="B56" s="439"/>
      <c r="D56" s="349"/>
      <c r="E56" s="758"/>
      <c r="F56" s="758"/>
      <c r="G56" s="758"/>
      <c r="H56" s="758"/>
      <c r="I56" s="727"/>
    </row>
    <row r="57" spans="2:9">
      <c r="B57" s="439"/>
      <c r="C57" s="758"/>
      <c r="D57" s="758"/>
      <c r="E57" s="758"/>
      <c r="F57" s="758"/>
      <c r="G57" s="758"/>
      <c r="H57" s="758"/>
      <c r="I57" s="346" t="s">
        <v>423</v>
      </c>
    </row>
    <row r="58" spans="2:9">
      <c r="B58" s="443"/>
      <c r="C58" s="759"/>
      <c r="D58" s="759"/>
      <c r="E58" s="759"/>
      <c r="F58" s="759"/>
      <c r="G58" s="759"/>
      <c r="H58" s="759"/>
      <c r="I58" s="451" t="s">
        <v>132</v>
      </c>
    </row>
  </sheetData>
  <mergeCells count="43">
    <mergeCell ref="I55:I56"/>
    <mergeCell ref="C57:D57"/>
    <mergeCell ref="E57:F57"/>
    <mergeCell ref="G57:H57"/>
    <mergeCell ref="C58:D58"/>
    <mergeCell ref="E58:F58"/>
    <mergeCell ref="G58:H58"/>
    <mergeCell ref="C54:D54"/>
    <mergeCell ref="E54:F54"/>
    <mergeCell ref="G54:H54"/>
    <mergeCell ref="E55:F56"/>
    <mergeCell ref="G55:H56"/>
    <mergeCell ref="G53:H53"/>
    <mergeCell ref="E53:F53"/>
    <mergeCell ref="E52:F52"/>
    <mergeCell ref="E49:F49"/>
    <mergeCell ref="B42:D42"/>
    <mergeCell ref="B43:D43"/>
    <mergeCell ref="E43:H43"/>
    <mergeCell ref="E50:F51"/>
    <mergeCell ref="G50:H51"/>
    <mergeCell ref="E45:F45"/>
    <mergeCell ref="E46:F46"/>
    <mergeCell ref="E47:F47"/>
    <mergeCell ref="G46:I47"/>
    <mergeCell ref="G45:I45"/>
    <mergeCell ref="C53:D53"/>
    <mergeCell ref="C49:D49"/>
    <mergeCell ref="B2:I2"/>
    <mergeCell ref="B9:C10"/>
    <mergeCell ref="C52:D52"/>
    <mergeCell ref="I50:I51"/>
    <mergeCell ref="G49:H49"/>
    <mergeCell ref="G52:H52"/>
    <mergeCell ref="D9:D10"/>
    <mergeCell ref="G9:H9"/>
    <mergeCell ref="E9:F9"/>
    <mergeCell ref="I9:I10"/>
    <mergeCell ref="C45:D45"/>
    <mergeCell ref="C46:D46"/>
    <mergeCell ref="C47:D47"/>
    <mergeCell ref="B3:I3"/>
    <mergeCell ref="B4:I4"/>
  </mergeCells>
  <conditionalFormatting sqref="B11:C41">
    <cfRule type="containsText" dxfId="81" priority="8" operator="containsText" text="Saturday">
      <formula>NOT(ISERROR(SEARCH("Saturday",B11)))</formula>
    </cfRule>
    <cfRule type="containsText" dxfId="80" priority="9" operator="containsText" text="Sunday">
      <formula>NOT(ISERROR(SEARCH("Sunday",B11)))</formula>
    </cfRule>
  </conditionalFormatting>
  <conditionalFormatting sqref="E11:E41">
    <cfRule type="containsText" dxfId="79" priority="6" operator="containsText" text="0">
      <formula>NOT(ISERROR(SEARCH("0",E11)))</formula>
    </cfRule>
    <cfRule type="containsText" priority="7" operator="containsText" text="0">
      <formula>NOT(ISERROR(SEARCH("0",E11)))</formula>
    </cfRule>
  </conditionalFormatting>
  <conditionalFormatting sqref="G11:G41">
    <cfRule type="containsText" dxfId="78" priority="4" operator="containsText" text="0">
      <formula>NOT(ISERROR(SEARCH("0",G11)))</formula>
    </cfRule>
    <cfRule type="containsText" priority="5" operator="containsText" text="0">
      <formula>NOT(ISERROR(SEARCH("0",G11)))</formula>
    </cfRule>
  </conditionalFormatting>
  <conditionalFormatting sqref="I11:I41">
    <cfRule type="containsText" dxfId="77" priority="1" operator="containsText" text="Hari Libur">
      <formula>NOT(ISERROR(SEARCH("Hari Libur",I11)))</formula>
    </cfRule>
    <cfRule type="containsText" dxfId="76" priority="2" operator="containsText" text="0">
      <formula>NOT(ISERROR(SEARCH("0",I11)))</formula>
    </cfRule>
    <cfRule type="containsText" priority="3" operator="containsText" text="0">
      <formula>NOT(ISERROR(SEARCH("0",I11)))</formula>
    </cfRule>
  </conditionalFormatting>
  <printOptions horizontalCentered="1" verticalCentered="1"/>
  <pageMargins left="0" right="0" top="0" bottom="0" header="0" footer="0"/>
  <pageSetup paperSize="9" scale="97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6"/>
  <sheetViews>
    <sheetView showGridLines="0" topLeftCell="A7" workbookViewId="0">
      <selection activeCell="L26" sqref="L26"/>
    </sheetView>
  </sheetViews>
  <sheetFormatPr defaultRowHeight="12.75"/>
  <cols>
    <col min="1" max="1" width="1.7109375" style="349" customWidth="1"/>
    <col min="2" max="2" width="12.7109375" style="349" customWidth="1"/>
    <col min="3" max="3" width="5.7109375" style="349" customWidth="1"/>
    <col min="4" max="4" width="15.7109375" style="424" customWidth="1"/>
    <col min="5" max="5" width="7.7109375" style="394" customWidth="1"/>
    <col min="6" max="6" width="13.7109375" style="349" customWidth="1"/>
    <col min="7" max="7" width="7.7109375" style="349" customWidth="1"/>
    <col min="8" max="8" width="13.7109375" style="349" customWidth="1"/>
    <col min="9" max="9" width="20.7109375" style="349" customWidth="1"/>
    <col min="10" max="10" width="1.7109375" style="349" customWidth="1"/>
    <col min="11" max="16384" width="9.140625" style="349"/>
  </cols>
  <sheetData>
    <row r="2" spans="2:9">
      <c r="B2" s="719" t="s">
        <v>421</v>
      </c>
      <c r="C2" s="720"/>
      <c r="D2" s="720"/>
      <c r="E2" s="720"/>
      <c r="F2" s="720"/>
      <c r="G2" s="720"/>
      <c r="H2" s="720"/>
      <c r="I2" s="721"/>
    </row>
    <row r="3" spans="2:9" ht="20.100000000000001" customHeight="1">
      <c r="B3" s="734" t="s">
        <v>405</v>
      </c>
      <c r="C3" s="735"/>
      <c r="D3" s="735"/>
      <c r="E3" s="735"/>
      <c r="F3" s="735"/>
      <c r="G3" s="735"/>
      <c r="H3" s="735"/>
      <c r="I3" s="736"/>
    </row>
    <row r="4" spans="2:9" ht="15" customHeight="1">
      <c r="B4" s="737" t="s">
        <v>424</v>
      </c>
      <c r="C4" s="738"/>
      <c r="D4" s="738"/>
      <c r="E4" s="738"/>
      <c r="F4" s="738"/>
      <c r="G4" s="738"/>
      <c r="H4" s="738"/>
      <c r="I4" s="739"/>
    </row>
    <row r="5" spans="2:9" ht="9.9499999999999993" customHeight="1">
      <c r="B5" s="439"/>
      <c r="I5" s="440"/>
    </row>
    <row r="6" spans="2:9" ht="15.75">
      <c r="B6" s="445" t="s">
        <v>399</v>
      </c>
      <c r="C6" s="453" t="s">
        <v>175</v>
      </c>
      <c r="D6" s="452">
        <v>2023</v>
      </c>
      <c r="I6" s="440"/>
    </row>
    <row r="7" spans="2:9" ht="15.75">
      <c r="B7" s="445" t="s">
        <v>84</v>
      </c>
      <c r="C7" s="453" t="s">
        <v>175</v>
      </c>
      <c r="D7" s="452">
        <v>9</v>
      </c>
      <c r="I7" s="440"/>
    </row>
    <row r="8" spans="2:9" ht="9.9499999999999993" customHeight="1">
      <c r="B8" s="441"/>
      <c r="C8" s="442"/>
      <c r="D8" s="442"/>
      <c r="I8" s="440"/>
    </row>
    <row r="9" spans="2:9" ht="15" customHeight="1">
      <c r="B9" s="722" t="s">
        <v>2</v>
      </c>
      <c r="C9" s="723"/>
      <c r="D9" s="728" t="s">
        <v>3</v>
      </c>
      <c r="E9" s="729" t="s">
        <v>401</v>
      </c>
      <c r="F9" s="729"/>
      <c r="G9" s="729" t="s">
        <v>402</v>
      </c>
      <c r="H9" s="729"/>
      <c r="I9" s="729" t="s">
        <v>85</v>
      </c>
    </row>
    <row r="10" spans="2:9" s="423" customFormat="1" ht="20.100000000000001" customHeight="1">
      <c r="B10" s="724"/>
      <c r="C10" s="725"/>
      <c r="D10" s="728"/>
      <c r="E10" s="427" t="s">
        <v>400</v>
      </c>
      <c r="F10" s="427" t="s">
        <v>55</v>
      </c>
      <c r="G10" s="427" t="s">
        <v>400</v>
      </c>
      <c r="H10" s="427" t="s">
        <v>55</v>
      </c>
      <c r="I10" s="729"/>
    </row>
    <row r="11" spans="2:9">
      <c r="B11" s="447" t="str">
        <f>TEXT(D11,"aaaaaaa")</f>
        <v>Friday</v>
      </c>
      <c r="C11" s="449"/>
      <c r="D11" s="425">
        <f>+DATE(D6,D7,1)</f>
        <v>45170</v>
      </c>
      <c r="E11" s="346">
        <f>IF($B11="Saturday",0,IF($B11="Sunday",0,1))</f>
        <v>1</v>
      </c>
      <c r="F11" s="428">
        <f t="shared" ref="F11:F41" si="0">IF(E11=1,825000,0)</f>
        <v>825000</v>
      </c>
      <c r="G11" s="346">
        <f>IF($B11="Saturday",0,IF($B11="Sunday",0,1))</f>
        <v>1</v>
      </c>
      <c r="H11" s="428">
        <f>IF(G11=1,825000,0)</f>
        <v>825000</v>
      </c>
      <c r="I11" s="346" t="str">
        <f>IF($G11=1,"Hari Kerja","Hari Libur")</f>
        <v>Hari Kerja</v>
      </c>
    </row>
    <row r="12" spans="2:9">
      <c r="B12" s="447" t="str">
        <f t="shared" ref="B12:B41" si="1">TEXT(D12,"aaaaaaa")</f>
        <v>Saturday</v>
      </c>
      <c r="C12" s="449"/>
      <c r="D12" s="425">
        <f>D11+1</f>
        <v>45171</v>
      </c>
      <c r="E12" s="346">
        <f>IF($B12="Saturday",0,IF($B12="Sunday",0,1))</f>
        <v>0</v>
      </c>
      <c r="F12" s="428">
        <f t="shared" si="0"/>
        <v>0</v>
      </c>
      <c r="G12" s="346">
        <f>IF($B12="Saturday",0,IF($B12="Sunday",0,1))</f>
        <v>0</v>
      </c>
      <c r="H12" s="428">
        <f t="shared" ref="H12:H41" si="2">IF(G12=1,825000,0)</f>
        <v>0</v>
      </c>
      <c r="I12" s="346" t="str">
        <f t="shared" ref="I12:I41" si="3">IF($G12=1,"Hari Kerja","Hari Libur")</f>
        <v>Hari Libur</v>
      </c>
    </row>
    <row r="13" spans="2:9">
      <c r="B13" s="447" t="str">
        <f t="shared" si="1"/>
        <v>Sunday</v>
      </c>
      <c r="C13" s="449"/>
      <c r="D13" s="425">
        <f t="shared" ref="D13:D41" si="4">D12+1</f>
        <v>45172</v>
      </c>
      <c r="E13" s="346">
        <f t="shared" ref="E13:G41" si="5">IF($B13="Saturday",0,IF($B13="Sunday",0,1))</f>
        <v>0</v>
      </c>
      <c r="F13" s="428">
        <f t="shared" si="0"/>
        <v>0</v>
      </c>
      <c r="G13" s="346">
        <f t="shared" si="5"/>
        <v>0</v>
      </c>
      <c r="H13" s="428">
        <f t="shared" si="2"/>
        <v>0</v>
      </c>
      <c r="I13" s="346" t="str">
        <f t="shared" si="3"/>
        <v>Hari Libur</v>
      </c>
    </row>
    <row r="14" spans="2:9">
      <c r="B14" s="447" t="str">
        <f t="shared" si="1"/>
        <v>Monday</v>
      </c>
      <c r="C14" s="449"/>
      <c r="D14" s="425">
        <f t="shared" si="4"/>
        <v>45173</v>
      </c>
      <c r="E14" s="346">
        <f t="shared" si="5"/>
        <v>1</v>
      </c>
      <c r="F14" s="428">
        <f t="shared" si="0"/>
        <v>825000</v>
      </c>
      <c r="G14" s="346">
        <f t="shared" si="5"/>
        <v>1</v>
      </c>
      <c r="H14" s="428">
        <f t="shared" si="2"/>
        <v>825000</v>
      </c>
      <c r="I14" s="346" t="str">
        <f t="shared" si="3"/>
        <v>Hari Kerja</v>
      </c>
    </row>
    <row r="15" spans="2:9">
      <c r="B15" s="447" t="str">
        <f t="shared" si="1"/>
        <v>Tuesday</v>
      </c>
      <c r="C15" s="449"/>
      <c r="D15" s="425">
        <f t="shared" si="4"/>
        <v>45174</v>
      </c>
      <c r="E15" s="346">
        <f t="shared" si="5"/>
        <v>1</v>
      </c>
      <c r="F15" s="428">
        <f t="shared" si="0"/>
        <v>825000</v>
      </c>
      <c r="G15" s="346">
        <f t="shared" si="5"/>
        <v>1</v>
      </c>
      <c r="H15" s="428">
        <f t="shared" si="2"/>
        <v>825000</v>
      </c>
      <c r="I15" s="346" t="str">
        <f t="shared" si="3"/>
        <v>Hari Kerja</v>
      </c>
    </row>
    <row r="16" spans="2:9">
      <c r="B16" s="447" t="str">
        <f t="shared" si="1"/>
        <v>Wednesday</v>
      </c>
      <c r="C16" s="449"/>
      <c r="D16" s="425">
        <f t="shared" si="4"/>
        <v>45175</v>
      </c>
      <c r="E16" s="346">
        <f t="shared" si="5"/>
        <v>1</v>
      </c>
      <c r="F16" s="428">
        <f t="shared" si="0"/>
        <v>825000</v>
      </c>
      <c r="G16" s="346">
        <f t="shared" si="5"/>
        <v>1</v>
      </c>
      <c r="H16" s="428">
        <f t="shared" si="2"/>
        <v>825000</v>
      </c>
      <c r="I16" s="346" t="str">
        <f t="shared" si="3"/>
        <v>Hari Kerja</v>
      </c>
    </row>
    <row r="17" spans="2:9">
      <c r="B17" s="447" t="str">
        <f t="shared" si="1"/>
        <v>Thursday</v>
      </c>
      <c r="C17" s="449"/>
      <c r="D17" s="425">
        <f t="shared" si="4"/>
        <v>45176</v>
      </c>
      <c r="E17" s="346">
        <f t="shared" si="5"/>
        <v>1</v>
      </c>
      <c r="F17" s="428">
        <f t="shared" si="0"/>
        <v>825000</v>
      </c>
      <c r="G17" s="346">
        <f t="shared" si="5"/>
        <v>1</v>
      </c>
      <c r="H17" s="428">
        <f t="shared" si="2"/>
        <v>825000</v>
      </c>
      <c r="I17" s="346" t="str">
        <f t="shared" si="3"/>
        <v>Hari Kerja</v>
      </c>
    </row>
    <row r="18" spans="2:9">
      <c r="B18" s="447" t="str">
        <f t="shared" si="1"/>
        <v>Friday</v>
      </c>
      <c r="C18" s="449"/>
      <c r="D18" s="425">
        <f t="shared" si="4"/>
        <v>45177</v>
      </c>
      <c r="E18" s="346">
        <f t="shared" si="5"/>
        <v>1</v>
      </c>
      <c r="F18" s="428">
        <f t="shared" si="0"/>
        <v>825000</v>
      </c>
      <c r="G18" s="346">
        <f t="shared" si="5"/>
        <v>1</v>
      </c>
      <c r="H18" s="428">
        <f t="shared" si="2"/>
        <v>825000</v>
      </c>
      <c r="I18" s="346" t="str">
        <f t="shared" si="3"/>
        <v>Hari Kerja</v>
      </c>
    </row>
    <row r="19" spans="2:9">
      <c r="B19" s="447" t="str">
        <f t="shared" si="1"/>
        <v>Saturday</v>
      </c>
      <c r="C19" s="449"/>
      <c r="D19" s="425">
        <f t="shared" si="4"/>
        <v>45178</v>
      </c>
      <c r="E19" s="346">
        <f t="shared" si="5"/>
        <v>0</v>
      </c>
      <c r="F19" s="428">
        <f t="shared" si="0"/>
        <v>0</v>
      </c>
      <c r="G19" s="346">
        <f t="shared" si="5"/>
        <v>0</v>
      </c>
      <c r="H19" s="428">
        <f t="shared" si="2"/>
        <v>0</v>
      </c>
      <c r="I19" s="346" t="str">
        <f t="shared" si="3"/>
        <v>Hari Libur</v>
      </c>
    </row>
    <row r="20" spans="2:9">
      <c r="B20" s="447" t="str">
        <f t="shared" si="1"/>
        <v>Sunday</v>
      </c>
      <c r="C20" s="449"/>
      <c r="D20" s="425">
        <f t="shared" si="4"/>
        <v>45179</v>
      </c>
      <c r="E20" s="346">
        <f t="shared" si="5"/>
        <v>0</v>
      </c>
      <c r="F20" s="428">
        <f t="shared" si="0"/>
        <v>0</v>
      </c>
      <c r="G20" s="346">
        <f t="shared" si="5"/>
        <v>0</v>
      </c>
      <c r="H20" s="428">
        <f t="shared" si="2"/>
        <v>0</v>
      </c>
      <c r="I20" s="346" t="str">
        <f t="shared" si="3"/>
        <v>Hari Libur</v>
      </c>
    </row>
    <row r="21" spans="2:9">
      <c r="B21" s="447" t="str">
        <f t="shared" si="1"/>
        <v>Monday</v>
      </c>
      <c r="C21" s="449"/>
      <c r="D21" s="425">
        <f t="shared" si="4"/>
        <v>45180</v>
      </c>
      <c r="E21" s="346">
        <f t="shared" si="5"/>
        <v>1</v>
      </c>
      <c r="F21" s="428">
        <f t="shared" si="0"/>
        <v>825000</v>
      </c>
      <c r="G21" s="346">
        <f t="shared" si="5"/>
        <v>1</v>
      </c>
      <c r="H21" s="428">
        <f t="shared" si="2"/>
        <v>825000</v>
      </c>
      <c r="I21" s="346" t="str">
        <f t="shared" si="3"/>
        <v>Hari Kerja</v>
      </c>
    </row>
    <row r="22" spans="2:9">
      <c r="B22" s="447" t="str">
        <f t="shared" si="1"/>
        <v>Tuesday</v>
      </c>
      <c r="C22" s="449"/>
      <c r="D22" s="425">
        <f t="shared" si="4"/>
        <v>45181</v>
      </c>
      <c r="E22" s="346">
        <f t="shared" si="5"/>
        <v>1</v>
      </c>
      <c r="F22" s="428">
        <f t="shared" si="0"/>
        <v>825000</v>
      </c>
      <c r="G22" s="346">
        <f t="shared" si="5"/>
        <v>1</v>
      </c>
      <c r="H22" s="428">
        <f t="shared" si="2"/>
        <v>825000</v>
      </c>
      <c r="I22" s="346" t="str">
        <f t="shared" si="3"/>
        <v>Hari Kerja</v>
      </c>
    </row>
    <row r="23" spans="2:9">
      <c r="B23" s="447" t="str">
        <f t="shared" si="1"/>
        <v>Wednesday</v>
      </c>
      <c r="C23" s="449"/>
      <c r="D23" s="425">
        <f t="shared" si="4"/>
        <v>45182</v>
      </c>
      <c r="E23" s="346">
        <f t="shared" si="5"/>
        <v>1</v>
      </c>
      <c r="F23" s="428">
        <f t="shared" si="0"/>
        <v>825000</v>
      </c>
      <c r="G23" s="346">
        <f t="shared" si="5"/>
        <v>1</v>
      </c>
      <c r="H23" s="428">
        <f t="shared" si="2"/>
        <v>825000</v>
      </c>
      <c r="I23" s="346" t="str">
        <f t="shared" si="3"/>
        <v>Hari Kerja</v>
      </c>
    </row>
    <row r="24" spans="2:9">
      <c r="B24" s="447" t="str">
        <f t="shared" si="1"/>
        <v>Thursday</v>
      </c>
      <c r="C24" s="449"/>
      <c r="D24" s="425">
        <f t="shared" si="4"/>
        <v>45183</v>
      </c>
      <c r="E24" s="346">
        <f t="shared" si="5"/>
        <v>1</v>
      </c>
      <c r="F24" s="428">
        <f t="shared" si="0"/>
        <v>825000</v>
      </c>
      <c r="G24" s="346">
        <f t="shared" si="5"/>
        <v>1</v>
      </c>
      <c r="H24" s="428">
        <f t="shared" si="2"/>
        <v>825000</v>
      </c>
      <c r="I24" s="346" t="str">
        <f t="shared" si="3"/>
        <v>Hari Kerja</v>
      </c>
    </row>
    <row r="25" spans="2:9">
      <c r="B25" s="447" t="str">
        <f t="shared" si="1"/>
        <v>Friday</v>
      </c>
      <c r="C25" s="449"/>
      <c r="D25" s="425">
        <f t="shared" si="4"/>
        <v>45184</v>
      </c>
      <c r="E25" s="346">
        <f t="shared" si="5"/>
        <v>1</v>
      </c>
      <c r="F25" s="428">
        <f t="shared" si="0"/>
        <v>825000</v>
      </c>
      <c r="G25" s="346">
        <f t="shared" si="5"/>
        <v>1</v>
      </c>
      <c r="H25" s="428">
        <f t="shared" si="2"/>
        <v>825000</v>
      </c>
      <c r="I25" s="346" t="str">
        <f t="shared" si="3"/>
        <v>Hari Kerja</v>
      </c>
    </row>
    <row r="26" spans="2:9">
      <c r="B26" s="447" t="str">
        <f t="shared" si="1"/>
        <v>Saturday</v>
      </c>
      <c r="C26" s="449"/>
      <c r="D26" s="425">
        <f t="shared" si="4"/>
        <v>45185</v>
      </c>
      <c r="E26" s="346">
        <f t="shared" si="5"/>
        <v>0</v>
      </c>
      <c r="F26" s="428">
        <f t="shared" si="0"/>
        <v>0</v>
      </c>
      <c r="G26" s="346">
        <f t="shared" si="5"/>
        <v>0</v>
      </c>
      <c r="H26" s="428">
        <f t="shared" si="2"/>
        <v>0</v>
      </c>
      <c r="I26" s="346" t="str">
        <f t="shared" si="3"/>
        <v>Hari Libur</v>
      </c>
    </row>
    <row r="27" spans="2:9">
      <c r="B27" s="447" t="str">
        <f t="shared" si="1"/>
        <v>Sunday</v>
      </c>
      <c r="C27" s="449"/>
      <c r="D27" s="425">
        <f t="shared" si="4"/>
        <v>45186</v>
      </c>
      <c r="E27" s="346">
        <f t="shared" si="5"/>
        <v>0</v>
      </c>
      <c r="F27" s="428">
        <f t="shared" si="0"/>
        <v>0</v>
      </c>
      <c r="G27" s="346">
        <f t="shared" si="5"/>
        <v>0</v>
      </c>
      <c r="H27" s="428">
        <f t="shared" si="2"/>
        <v>0</v>
      </c>
      <c r="I27" s="346" t="str">
        <f t="shared" si="3"/>
        <v>Hari Libur</v>
      </c>
    </row>
    <row r="28" spans="2:9">
      <c r="B28" s="447" t="str">
        <f t="shared" si="1"/>
        <v>Monday</v>
      </c>
      <c r="C28" s="449"/>
      <c r="D28" s="425">
        <f t="shared" si="4"/>
        <v>45187</v>
      </c>
      <c r="E28" s="346">
        <f t="shared" si="5"/>
        <v>1</v>
      </c>
      <c r="F28" s="428">
        <f t="shared" si="0"/>
        <v>825000</v>
      </c>
      <c r="G28" s="346">
        <f t="shared" si="5"/>
        <v>1</v>
      </c>
      <c r="H28" s="428">
        <f t="shared" si="2"/>
        <v>825000</v>
      </c>
      <c r="I28" s="346" t="str">
        <f t="shared" si="3"/>
        <v>Hari Kerja</v>
      </c>
    </row>
    <row r="29" spans="2:9">
      <c r="B29" s="447" t="str">
        <f t="shared" si="1"/>
        <v>Tuesday</v>
      </c>
      <c r="C29" s="449"/>
      <c r="D29" s="425">
        <f t="shared" si="4"/>
        <v>45188</v>
      </c>
      <c r="E29" s="346">
        <f t="shared" si="5"/>
        <v>1</v>
      </c>
      <c r="F29" s="428">
        <f t="shared" si="0"/>
        <v>825000</v>
      </c>
      <c r="G29" s="346">
        <f t="shared" si="5"/>
        <v>1</v>
      </c>
      <c r="H29" s="428">
        <f t="shared" si="2"/>
        <v>825000</v>
      </c>
      <c r="I29" s="346" t="str">
        <f t="shared" si="3"/>
        <v>Hari Kerja</v>
      </c>
    </row>
    <row r="30" spans="2:9">
      <c r="B30" s="447" t="str">
        <f t="shared" si="1"/>
        <v>Wednesday</v>
      </c>
      <c r="C30" s="449"/>
      <c r="D30" s="425">
        <f t="shared" si="4"/>
        <v>45189</v>
      </c>
      <c r="E30" s="346">
        <f t="shared" si="5"/>
        <v>1</v>
      </c>
      <c r="F30" s="428">
        <f t="shared" si="0"/>
        <v>825000</v>
      </c>
      <c r="G30" s="346">
        <f t="shared" si="5"/>
        <v>1</v>
      </c>
      <c r="H30" s="428">
        <f t="shared" si="2"/>
        <v>825000</v>
      </c>
      <c r="I30" s="346" t="str">
        <f t="shared" si="3"/>
        <v>Hari Kerja</v>
      </c>
    </row>
    <row r="31" spans="2:9">
      <c r="B31" s="447" t="str">
        <f t="shared" si="1"/>
        <v>Thursday</v>
      </c>
      <c r="C31" s="449"/>
      <c r="D31" s="425">
        <f t="shared" si="4"/>
        <v>45190</v>
      </c>
      <c r="E31" s="346">
        <f t="shared" si="5"/>
        <v>1</v>
      </c>
      <c r="F31" s="428">
        <f t="shared" si="0"/>
        <v>825000</v>
      </c>
      <c r="G31" s="346">
        <f t="shared" si="5"/>
        <v>1</v>
      </c>
      <c r="H31" s="428">
        <f t="shared" si="2"/>
        <v>825000</v>
      </c>
      <c r="I31" s="346" t="str">
        <f t="shared" si="3"/>
        <v>Hari Kerja</v>
      </c>
    </row>
    <row r="32" spans="2:9">
      <c r="B32" s="447" t="str">
        <f t="shared" si="1"/>
        <v>Friday</v>
      </c>
      <c r="C32" s="449"/>
      <c r="D32" s="425">
        <f t="shared" si="4"/>
        <v>45191</v>
      </c>
      <c r="E32" s="346">
        <f t="shared" si="5"/>
        <v>1</v>
      </c>
      <c r="F32" s="428">
        <f t="shared" si="0"/>
        <v>825000</v>
      </c>
      <c r="G32" s="346">
        <f t="shared" si="5"/>
        <v>1</v>
      </c>
      <c r="H32" s="428">
        <f t="shared" si="2"/>
        <v>825000</v>
      </c>
      <c r="I32" s="346" t="str">
        <f t="shared" si="3"/>
        <v>Hari Kerja</v>
      </c>
    </row>
    <row r="33" spans="2:13">
      <c r="B33" s="464" t="str">
        <f t="shared" si="1"/>
        <v>Saturday</v>
      </c>
      <c r="C33" s="465"/>
      <c r="D33" s="466">
        <f t="shared" si="4"/>
        <v>45192</v>
      </c>
      <c r="E33" s="467">
        <v>1</v>
      </c>
      <c r="F33" s="468">
        <f t="shared" si="0"/>
        <v>825000</v>
      </c>
      <c r="G33" s="467">
        <v>1</v>
      </c>
      <c r="H33" s="468">
        <f t="shared" si="2"/>
        <v>825000</v>
      </c>
      <c r="I33" s="467" t="str">
        <f t="shared" si="3"/>
        <v>Hari Kerja</v>
      </c>
    </row>
    <row r="34" spans="2:13">
      <c r="B34" s="447" t="str">
        <f t="shared" si="1"/>
        <v>Sunday</v>
      </c>
      <c r="C34" s="449"/>
      <c r="D34" s="425">
        <f t="shared" si="4"/>
        <v>45193</v>
      </c>
      <c r="E34" s="346">
        <f t="shared" si="5"/>
        <v>0</v>
      </c>
      <c r="F34" s="428">
        <f t="shared" si="0"/>
        <v>0</v>
      </c>
      <c r="G34" s="346">
        <f t="shared" si="5"/>
        <v>0</v>
      </c>
      <c r="H34" s="428">
        <f t="shared" si="2"/>
        <v>0</v>
      </c>
      <c r="I34" s="346" t="str">
        <f t="shared" si="3"/>
        <v>Hari Libur</v>
      </c>
    </row>
    <row r="35" spans="2:13">
      <c r="B35" s="447" t="str">
        <f t="shared" si="1"/>
        <v>Monday</v>
      </c>
      <c r="C35" s="449"/>
      <c r="D35" s="425">
        <f t="shared" si="4"/>
        <v>45194</v>
      </c>
      <c r="E35" s="346">
        <f t="shared" si="5"/>
        <v>1</v>
      </c>
      <c r="F35" s="428">
        <f t="shared" si="0"/>
        <v>825000</v>
      </c>
      <c r="G35" s="346">
        <f t="shared" si="5"/>
        <v>1</v>
      </c>
      <c r="H35" s="428">
        <f t="shared" si="2"/>
        <v>825000</v>
      </c>
      <c r="I35" s="346" t="str">
        <f t="shared" si="3"/>
        <v>Hari Kerja</v>
      </c>
    </row>
    <row r="36" spans="2:13">
      <c r="B36" s="447" t="str">
        <f t="shared" si="1"/>
        <v>Tuesday</v>
      </c>
      <c r="C36" s="449"/>
      <c r="D36" s="425">
        <f t="shared" si="4"/>
        <v>45195</v>
      </c>
      <c r="E36" s="346">
        <f t="shared" si="5"/>
        <v>1</v>
      </c>
      <c r="F36" s="428">
        <f t="shared" si="0"/>
        <v>825000</v>
      </c>
      <c r="G36" s="346">
        <f t="shared" si="5"/>
        <v>1</v>
      </c>
      <c r="H36" s="428">
        <f t="shared" si="2"/>
        <v>825000</v>
      </c>
      <c r="I36" s="346" t="str">
        <f t="shared" si="3"/>
        <v>Hari Kerja</v>
      </c>
    </row>
    <row r="37" spans="2:13">
      <c r="B37" s="447" t="str">
        <f t="shared" si="1"/>
        <v>Wednesday</v>
      </c>
      <c r="C37" s="449"/>
      <c r="D37" s="425">
        <f t="shared" si="4"/>
        <v>45196</v>
      </c>
      <c r="E37" s="346">
        <f t="shared" si="5"/>
        <v>1</v>
      </c>
      <c r="F37" s="428">
        <f t="shared" si="0"/>
        <v>825000</v>
      </c>
      <c r="G37" s="346">
        <f t="shared" si="5"/>
        <v>1</v>
      </c>
      <c r="H37" s="428">
        <f t="shared" si="2"/>
        <v>825000</v>
      </c>
      <c r="I37" s="346" t="str">
        <f t="shared" si="3"/>
        <v>Hari Kerja</v>
      </c>
    </row>
    <row r="38" spans="2:13">
      <c r="B38" s="464" t="str">
        <f t="shared" si="1"/>
        <v>Thursday</v>
      </c>
      <c r="C38" s="465"/>
      <c r="D38" s="466">
        <f t="shared" si="4"/>
        <v>45197</v>
      </c>
      <c r="E38" s="467">
        <v>0</v>
      </c>
      <c r="F38" s="468">
        <f t="shared" si="0"/>
        <v>0</v>
      </c>
      <c r="G38" s="467">
        <v>0</v>
      </c>
      <c r="H38" s="468">
        <f t="shared" si="2"/>
        <v>0</v>
      </c>
      <c r="I38" s="467" t="str">
        <f t="shared" si="3"/>
        <v>Hari Libur</v>
      </c>
      <c r="M38" s="424"/>
    </row>
    <row r="39" spans="2:13">
      <c r="B39" s="464" t="str">
        <f t="shared" si="1"/>
        <v>Friday</v>
      </c>
      <c r="C39" s="465"/>
      <c r="D39" s="466">
        <f t="shared" si="4"/>
        <v>45198</v>
      </c>
      <c r="E39" s="467">
        <v>0</v>
      </c>
      <c r="F39" s="468">
        <f t="shared" si="0"/>
        <v>0</v>
      </c>
      <c r="G39" s="467">
        <v>0</v>
      </c>
      <c r="H39" s="468">
        <f t="shared" si="2"/>
        <v>0</v>
      </c>
      <c r="I39" s="467" t="str">
        <f t="shared" si="3"/>
        <v>Hari Libur</v>
      </c>
    </row>
    <row r="40" spans="2:13">
      <c r="B40" s="447" t="str">
        <f t="shared" si="1"/>
        <v>Saturday</v>
      </c>
      <c r="C40" s="449"/>
      <c r="D40" s="425">
        <f t="shared" si="4"/>
        <v>45199</v>
      </c>
      <c r="E40" s="346">
        <f t="shared" si="5"/>
        <v>0</v>
      </c>
      <c r="F40" s="428">
        <f t="shared" si="0"/>
        <v>0</v>
      </c>
      <c r="G40" s="346">
        <f t="shared" si="5"/>
        <v>0</v>
      </c>
      <c r="H40" s="428">
        <f t="shared" si="2"/>
        <v>0</v>
      </c>
      <c r="I40" s="346" t="str">
        <f t="shared" si="3"/>
        <v>Hari Libur</v>
      </c>
    </row>
    <row r="41" spans="2:13" ht="13.5" thickBot="1">
      <c r="B41" s="448" t="str">
        <f t="shared" si="1"/>
        <v>Sunday</v>
      </c>
      <c r="C41" s="450"/>
      <c r="D41" s="432">
        <f t="shared" si="4"/>
        <v>45200</v>
      </c>
      <c r="E41" s="433">
        <f t="shared" si="5"/>
        <v>0</v>
      </c>
      <c r="F41" s="434">
        <f t="shared" si="0"/>
        <v>0</v>
      </c>
      <c r="G41" s="433">
        <f t="shared" si="5"/>
        <v>0</v>
      </c>
      <c r="H41" s="434">
        <f t="shared" si="2"/>
        <v>0</v>
      </c>
      <c r="I41" s="433" t="str">
        <f t="shared" si="3"/>
        <v>Hari Libur</v>
      </c>
    </row>
    <row r="42" spans="2:13" ht="13.5" thickTop="1">
      <c r="B42" s="742" t="s">
        <v>403</v>
      </c>
      <c r="C42" s="742"/>
      <c r="D42" s="742"/>
      <c r="E42" s="429">
        <f>SUM(E11:E41)</f>
        <v>20</v>
      </c>
      <c r="F42" s="430">
        <f>SUM(F11:F41)</f>
        <v>16500000</v>
      </c>
      <c r="G42" s="429">
        <f>SUM(G11:G41)</f>
        <v>20</v>
      </c>
      <c r="H42" s="430">
        <f>SUM(H11:H41)</f>
        <v>16500000</v>
      </c>
      <c r="I42" s="435"/>
    </row>
    <row r="43" spans="2:13" ht="15.75">
      <c r="B43" s="743" t="s">
        <v>404</v>
      </c>
      <c r="C43" s="744"/>
      <c r="D43" s="745"/>
      <c r="E43" s="746">
        <f>+F42+H42</f>
        <v>33000000</v>
      </c>
      <c r="F43" s="744"/>
      <c r="G43" s="744"/>
      <c r="H43" s="745"/>
      <c r="I43" s="436"/>
    </row>
    <row r="44" spans="2:13">
      <c r="B44" s="439"/>
      <c r="I44" s="440"/>
    </row>
    <row r="45" spans="2:13" ht="15.75">
      <c r="B45" s="455" t="s">
        <v>412</v>
      </c>
      <c r="I45" s="440"/>
    </row>
    <row r="46" spans="2:13" ht="15.75">
      <c r="B46" s="454" t="s">
        <v>413</v>
      </c>
      <c r="C46" s="763" t="s">
        <v>415</v>
      </c>
      <c r="D46" s="764"/>
      <c r="E46" s="763" t="s">
        <v>414</v>
      </c>
      <c r="F46" s="764"/>
      <c r="G46" s="763" t="s">
        <v>416</v>
      </c>
      <c r="H46" s="765"/>
      <c r="I46" s="764"/>
    </row>
    <row r="47" spans="2:13" ht="45" customHeight="1">
      <c r="B47" s="426" t="s">
        <v>417</v>
      </c>
      <c r="C47" s="732">
        <v>0.25</v>
      </c>
      <c r="D47" s="733"/>
      <c r="E47" s="732">
        <v>0.77083333333333337</v>
      </c>
      <c r="F47" s="733"/>
      <c r="G47" s="751" t="s">
        <v>420</v>
      </c>
      <c r="H47" s="752"/>
      <c r="I47" s="753"/>
    </row>
    <row r="48" spans="2:13" ht="45" customHeight="1">
      <c r="B48" s="426" t="s">
        <v>418</v>
      </c>
      <c r="C48" s="732">
        <v>0.6875</v>
      </c>
      <c r="D48" s="733"/>
      <c r="E48" s="732">
        <v>0.20833333333333334</v>
      </c>
      <c r="F48" s="733"/>
      <c r="G48" s="754"/>
      <c r="H48" s="755"/>
      <c r="I48" s="756"/>
    </row>
    <row r="49" spans="2:9">
      <c r="B49" s="439"/>
      <c r="I49" s="440"/>
    </row>
    <row r="50" spans="2:9">
      <c r="B50" s="439"/>
      <c r="I50" s="440"/>
    </row>
    <row r="51" spans="2:9">
      <c r="B51" s="446"/>
      <c r="C51" s="704" t="s">
        <v>409</v>
      </c>
      <c r="D51" s="705"/>
      <c r="E51" s="704" t="s">
        <v>408</v>
      </c>
      <c r="F51" s="705"/>
      <c r="G51" s="704" t="s">
        <v>407</v>
      </c>
      <c r="H51" s="705"/>
      <c r="I51" s="346" t="s">
        <v>406</v>
      </c>
    </row>
    <row r="52" spans="2:9">
      <c r="B52" s="446"/>
      <c r="C52" s="437"/>
      <c r="D52" s="438"/>
      <c r="E52" s="747"/>
      <c r="F52" s="748"/>
      <c r="G52" s="747"/>
      <c r="H52" s="748"/>
      <c r="I52" s="726"/>
    </row>
    <row r="53" spans="2:9">
      <c r="B53" s="446"/>
      <c r="C53" s="439"/>
      <c r="D53" s="440"/>
      <c r="E53" s="760"/>
      <c r="F53" s="761"/>
      <c r="G53" s="760"/>
      <c r="H53" s="761"/>
      <c r="I53" s="762"/>
    </row>
    <row r="54" spans="2:9">
      <c r="B54" s="446"/>
      <c r="C54" s="443"/>
      <c r="D54" s="444"/>
      <c r="E54" s="749"/>
      <c r="F54" s="750"/>
      <c r="G54" s="749"/>
      <c r="H54" s="750"/>
      <c r="I54" s="727"/>
    </row>
    <row r="55" spans="2:9" ht="15" customHeight="1">
      <c r="B55" s="446"/>
      <c r="C55" s="704" t="s">
        <v>114</v>
      </c>
      <c r="D55" s="705"/>
      <c r="E55" s="704" t="s">
        <v>113</v>
      </c>
      <c r="F55" s="705"/>
      <c r="G55" s="704" t="s">
        <v>112</v>
      </c>
      <c r="H55" s="705"/>
      <c r="I55" s="346" t="s">
        <v>410</v>
      </c>
    </row>
    <row r="56" spans="2:9">
      <c r="B56" s="431"/>
      <c r="C56" s="740" t="s">
        <v>411</v>
      </c>
      <c r="D56" s="741"/>
      <c r="E56" s="740" t="s">
        <v>132</v>
      </c>
      <c r="F56" s="741"/>
      <c r="G56" s="740" t="s">
        <v>132</v>
      </c>
      <c r="H56" s="741"/>
      <c r="I56" s="451" t="s">
        <v>132</v>
      </c>
    </row>
  </sheetData>
  <mergeCells count="31">
    <mergeCell ref="B2:I2"/>
    <mergeCell ref="B3:I3"/>
    <mergeCell ref="B4:I4"/>
    <mergeCell ref="B9:C10"/>
    <mergeCell ref="D9:D10"/>
    <mergeCell ref="E9:F9"/>
    <mergeCell ref="G9:H9"/>
    <mergeCell ref="I9:I10"/>
    <mergeCell ref="B42:D42"/>
    <mergeCell ref="B43:D43"/>
    <mergeCell ref="E43:H43"/>
    <mergeCell ref="C46:D46"/>
    <mergeCell ref="E46:F46"/>
    <mergeCell ref="G46:I46"/>
    <mergeCell ref="I52:I54"/>
    <mergeCell ref="C55:D55"/>
    <mergeCell ref="E55:F55"/>
    <mergeCell ref="G55:H55"/>
    <mergeCell ref="C47:D47"/>
    <mergeCell ref="E47:F47"/>
    <mergeCell ref="G47:I48"/>
    <mergeCell ref="C48:D48"/>
    <mergeCell ref="E48:F48"/>
    <mergeCell ref="C51:D51"/>
    <mergeCell ref="E51:F51"/>
    <mergeCell ref="G51:H51"/>
    <mergeCell ref="C56:D56"/>
    <mergeCell ref="E56:F56"/>
    <mergeCell ref="G56:H56"/>
    <mergeCell ref="E52:F54"/>
    <mergeCell ref="G52:H54"/>
  </mergeCells>
  <conditionalFormatting sqref="B11:C41">
    <cfRule type="containsText" dxfId="75" priority="8" operator="containsText" text="Saturday">
      <formula>NOT(ISERROR(SEARCH("Saturday",B11)))</formula>
    </cfRule>
    <cfRule type="containsText" dxfId="74" priority="9" operator="containsText" text="Sunday">
      <formula>NOT(ISERROR(SEARCH("Sunday",B11)))</formula>
    </cfRule>
  </conditionalFormatting>
  <conditionalFormatting sqref="E11:E41">
    <cfRule type="containsText" dxfId="73" priority="6" operator="containsText" text="0">
      <formula>NOT(ISERROR(SEARCH("0",E11)))</formula>
    </cfRule>
    <cfRule type="containsText" priority="7" operator="containsText" text="0">
      <formula>NOT(ISERROR(SEARCH("0",E11)))</formula>
    </cfRule>
  </conditionalFormatting>
  <conditionalFormatting sqref="G11:G41">
    <cfRule type="containsText" dxfId="72" priority="4" operator="containsText" text="0">
      <formula>NOT(ISERROR(SEARCH("0",G11)))</formula>
    </cfRule>
    <cfRule type="containsText" priority="5" operator="containsText" text="0">
      <formula>NOT(ISERROR(SEARCH("0",G11)))</formula>
    </cfRule>
  </conditionalFormatting>
  <conditionalFormatting sqref="I11:I41">
    <cfRule type="containsText" dxfId="71" priority="1" operator="containsText" text="Hari Libur">
      <formula>NOT(ISERROR(SEARCH("Hari Libur",I11)))</formula>
    </cfRule>
    <cfRule type="containsText" dxfId="70" priority="2" operator="containsText" text="0">
      <formula>NOT(ISERROR(SEARCH("0",I11)))</formula>
    </cfRule>
    <cfRule type="containsText" priority="3" operator="containsText" text="0">
      <formula>NOT(ISERROR(SEARCH("0",I11)))</formula>
    </cfRule>
  </conditionalFormatting>
  <printOptions horizontalCentered="1" verticalCentered="1"/>
  <pageMargins left="0" right="0" top="0" bottom="0" header="0" footer="0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6"/>
  <sheetViews>
    <sheetView showGridLines="0" workbookViewId="0">
      <selection activeCell="L45" sqref="L45"/>
    </sheetView>
  </sheetViews>
  <sheetFormatPr defaultRowHeight="12.75"/>
  <cols>
    <col min="1" max="1" width="1.7109375" style="349" customWidth="1"/>
    <col min="2" max="2" width="12.7109375" style="349" customWidth="1"/>
    <col min="3" max="3" width="5.7109375" style="349" customWidth="1"/>
    <col min="4" max="4" width="15.7109375" style="424" customWidth="1"/>
    <col min="5" max="5" width="7.7109375" style="394" customWidth="1"/>
    <col min="6" max="6" width="13.7109375" style="349" customWidth="1"/>
    <col min="7" max="7" width="7.7109375" style="349" customWidth="1"/>
    <col min="8" max="8" width="13.7109375" style="349" customWidth="1"/>
    <col min="9" max="9" width="20.7109375" style="349" customWidth="1"/>
    <col min="10" max="10" width="1.7109375" style="349" customWidth="1"/>
    <col min="11" max="16384" width="9.140625" style="349"/>
  </cols>
  <sheetData>
    <row r="2" spans="2:9">
      <c r="B2" s="719" t="s">
        <v>421</v>
      </c>
      <c r="C2" s="720"/>
      <c r="D2" s="720"/>
      <c r="E2" s="720"/>
      <c r="F2" s="720"/>
      <c r="G2" s="720"/>
      <c r="H2" s="720"/>
      <c r="I2" s="721"/>
    </row>
    <row r="3" spans="2:9" ht="20.100000000000001" customHeight="1">
      <c r="B3" s="734" t="s">
        <v>405</v>
      </c>
      <c r="C3" s="735"/>
      <c r="D3" s="735"/>
      <c r="E3" s="735"/>
      <c r="F3" s="735"/>
      <c r="G3" s="735"/>
      <c r="H3" s="735"/>
      <c r="I3" s="736"/>
    </row>
    <row r="4" spans="2:9" ht="15" customHeight="1">
      <c r="B4" s="737" t="s">
        <v>425</v>
      </c>
      <c r="C4" s="738"/>
      <c r="D4" s="738"/>
      <c r="E4" s="738"/>
      <c r="F4" s="738"/>
      <c r="G4" s="738"/>
      <c r="H4" s="738"/>
      <c r="I4" s="739"/>
    </row>
    <row r="5" spans="2:9" ht="9.9499999999999993" customHeight="1">
      <c r="B5" s="439"/>
      <c r="I5" s="440"/>
    </row>
    <row r="6" spans="2:9" ht="15.75">
      <c r="B6" s="445" t="s">
        <v>399</v>
      </c>
      <c r="C6" s="453" t="s">
        <v>175</v>
      </c>
      <c r="D6" s="452">
        <v>2023</v>
      </c>
      <c r="I6" s="440"/>
    </row>
    <row r="7" spans="2:9" ht="15.75">
      <c r="B7" s="445" t="s">
        <v>84</v>
      </c>
      <c r="C7" s="453" t="s">
        <v>175</v>
      </c>
      <c r="D7" s="452">
        <v>10</v>
      </c>
      <c r="I7" s="440"/>
    </row>
    <row r="8" spans="2:9" ht="9.9499999999999993" customHeight="1">
      <c r="B8" s="441"/>
      <c r="C8" s="442"/>
      <c r="D8" s="442"/>
      <c r="I8" s="440"/>
    </row>
    <row r="9" spans="2:9" ht="15" customHeight="1">
      <c r="B9" s="722" t="s">
        <v>2</v>
      </c>
      <c r="C9" s="723"/>
      <c r="D9" s="728" t="s">
        <v>3</v>
      </c>
      <c r="E9" s="729" t="s">
        <v>401</v>
      </c>
      <c r="F9" s="729"/>
      <c r="G9" s="729" t="s">
        <v>402</v>
      </c>
      <c r="H9" s="729"/>
      <c r="I9" s="729" t="s">
        <v>85</v>
      </c>
    </row>
    <row r="10" spans="2:9" s="423" customFormat="1" ht="20.100000000000001" customHeight="1">
      <c r="B10" s="724"/>
      <c r="C10" s="725"/>
      <c r="D10" s="728"/>
      <c r="E10" s="427" t="s">
        <v>400</v>
      </c>
      <c r="F10" s="427" t="s">
        <v>55</v>
      </c>
      <c r="G10" s="427" t="s">
        <v>400</v>
      </c>
      <c r="H10" s="427" t="s">
        <v>55</v>
      </c>
      <c r="I10" s="729"/>
    </row>
    <row r="11" spans="2:9">
      <c r="B11" s="447" t="str">
        <f>TEXT(D11,"aaaaaaa")</f>
        <v>Sunday</v>
      </c>
      <c r="C11" s="449"/>
      <c r="D11" s="425">
        <f>+DATE(D6,D7,1)</f>
        <v>45200</v>
      </c>
      <c r="E11" s="346">
        <f>IF($B11="Saturday",0,IF($B11="Sunday",0,1))</f>
        <v>0</v>
      </c>
      <c r="F11" s="428">
        <f t="shared" ref="F11:F41" si="0">IF(E11=1,825000,0)</f>
        <v>0</v>
      </c>
      <c r="G11" s="346">
        <f>IF($B11="Saturday",0,IF($B11="Sunday",0,1))</f>
        <v>0</v>
      </c>
      <c r="H11" s="428">
        <f>IF(G11=1,825000,0)</f>
        <v>0</v>
      </c>
      <c r="I11" s="346" t="str">
        <f>IF($G11=1,"Hari Kerja","Hari Libur")</f>
        <v>Hari Libur</v>
      </c>
    </row>
    <row r="12" spans="2:9">
      <c r="B12" s="447" t="str">
        <f t="shared" ref="B12:B41" si="1">TEXT(D12,"aaaaaaa")</f>
        <v>Monday</v>
      </c>
      <c r="C12" s="449"/>
      <c r="D12" s="425">
        <f>D11+1</f>
        <v>45201</v>
      </c>
      <c r="E12" s="346">
        <f>IF($B12="Saturday",0,IF($B12="Sunday",0,1))</f>
        <v>1</v>
      </c>
      <c r="F12" s="428">
        <f t="shared" si="0"/>
        <v>825000</v>
      </c>
      <c r="G12" s="346">
        <f>IF($B12="Saturday",0,IF($B12="Sunday",0,1))</f>
        <v>1</v>
      </c>
      <c r="H12" s="428">
        <f t="shared" ref="H12:H41" si="2">IF(G12=1,825000,0)</f>
        <v>825000</v>
      </c>
      <c r="I12" s="346" t="str">
        <f t="shared" ref="I12:I41" si="3">IF($G12=1,"Hari Kerja","Hari Libur")</f>
        <v>Hari Kerja</v>
      </c>
    </row>
    <row r="13" spans="2:9">
      <c r="B13" s="447" t="str">
        <f t="shared" si="1"/>
        <v>Tuesday</v>
      </c>
      <c r="C13" s="449"/>
      <c r="D13" s="425">
        <f t="shared" ref="D13:D41" si="4">D12+1</f>
        <v>45202</v>
      </c>
      <c r="E13" s="346">
        <f t="shared" ref="E13:G41" si="5">IF($B13="Saturday",0,IF($B13="Sunday",0,1))</f>
        <v>1</v>
      </c>
      <c r="F13" s="428">
        <f t="shared" si="0"/>
        <v>825000</v>
      </c>
      <c r="G13" s="346">
        <f t="shared" si="5"/>
        <v>1</v>
      </c>
      <c r="H13" s="428">
        <f t="shared" si="2"/>
        <v>825000</v>
      </c>
      <c r="I13" s="346" t="str">
        <f t="shared" si="3"/>
        <v>Hari Kerja</v>
      </c>
    </row>
    <row r="14" spans="2:9">
      <c r="B14" s="447" t="str">
        <f t="shared" si="1"/>
        <v>Wednesday</v>
      </c>
      <c r="C14" s="449"/>
      <c r="D14" s="425">
        <f t="shared" si="4"/>
        <v>45203</v>
      </c>
      <c r="E14" s="346">
        <f t="shared" si="5"/>
        <v>1</v>
      </c>
      <c r="F14" s="428">
        <f t="shared" si="0"/>
        <v>825000</v>
      </c>
      <c r="G14" s="346">
        <f t="shared" si="5"/>
        <v>1</v>
      </c>
      <c r="H14" s="428">
        <f t="shared" si="2"/>
        <v>825000</v>
      </c>
      <c r="I14" s="346" t="str">
        <f t="shared" si="3"/>
        <v>Hari Kerja</v>
      </c>
    </row>
    <row r="15" spans="2:9">
      <c r="B15" s="447" t="str">
        <f t="shared" si="1"/>
        <v>Thursday</v>
      </c>
      <c r="C15" s="449"/>
      <c r="D15" s="425">
        <f t="shared" si="4"/>
        <v>45204</v>
      </c>
      <c r="E15" s="346">
        <f t="shared" si="5"/>
        <v>1</v>
      </c>
      <c r="F15" s="428">
        <f t="shared" si="0"/>
        <v>825000</v>
      </c>
      <c r="G15" s="346">
        <f t="shared" si="5"/>
        <v>1</v>
      </c>
      <c r="H15" s="428">
        <f t="shared" si="2"/>
        <v>825000</v>
      </c>
      <c r="I15" s="346" t="str">
        <f t="shared" si="3"/>
        <v>Hari Kerja</v>
      </c>
    </row>
    <row r="16" spans="2:9">
      <c r="B16" s="447" t="str">
        <f t="shared" si="1"/>
        <v>Friday</v>
      </c>
      <c r="C16" s="449"/>
      <c r="D16" s="425">
        <f t="shared" si="4"/>
        <v>45205</v>
      </c>
      <c r="E16" s="346">
        <f t="shared" si="5"/>
        <v>1</v>
      </c>
      <c r="F16" s="428">
        <f t="shared" si="0"/>
        <v>825000</v>
      </c>
      <c r="G16" s="346">
        <f t="shared" si="5"/>
        <v>1</v>
      </c>
      <c r="H16" s="428">
        <f t="shared" si="2"/>
        <v>825000</v>
      </c>
      <c r="I16" s="346" t="str">
        <f t="shared" si="3"/>
        <v>Hari Kerja</v>
      </c>
    </row>
    <row r="17" spans="2:9">
      <c r="B17" s="447" t="str">
        <f t="shared" si="1"/>
        <v>Saturday</v>
      </c>
      <c r="C17" s="449"/>
      <c r="D17" s="425">
        <f t="shared" si="4"/>
        <v>45206</v>
      </c>
      <c r="E17" s="346">
        <f t="shared" si="5"/>
        <v>0</v>
      </c>
      <c r="F17" s="428">
        <f t="shared" si="0"/>
        <v>0</v>
      </c>
      <c r="G17" s="346">
        <f t="shared" si="5"/>
        <v>0</v>
      </c>
      <c r="H17" s="428">
        <f t="shared" si="2"/>
        <v>0</v>
      </c>
      <c r="I17" s="346" t="str">
        <f t="shared" si="3"/>
        <v>Hari Libur</v>
      </c>
    </row>
    <row r="18" spans="2:9">
      <c r="B18" s="447" t="str">
        <f t="shared" si="1"/>
        <v>Sunday</v>
      </c>
      <c r="C18" s="449"/>
      <c r="D18" s="425">
        <f t="shared" si="4"/>
        <v>45207</v>
      </c>
      <c r="E18" s="346">
        <f t="shared" si="5"/>
        <v>0</v>
      </c>
      <c r="F18" s="428">
        <f t="shared" si="0"/>
        <v>0</v>
      </c>
      <c r="G18" s="346">
        <f t="shared" si="5"/>
        <v>0</v>
      </c>
      <c r="H18" s="428">
        <f t="shared" si="2"/>
        <v>0</v>
      </c>
      <c r="I18" s="346" t="str">
        <f t="shared" si="3"/>
        <v>Hari Libur</v>
      </c>
    </row>
    <row r="19" spans="2:9">
      <c r="B19" s="447" t="str">
        <f t="shared" si="1"/>
        <v>Monday</v>
      </c>
      <c r="C19" s="449"/>
      <c r="D19" s="425">
        <f t="shared" si="4"/>
        <v>45208</v>
      </c>
      <c r="E19" s="346">
        <f t="shared" si="5"/>
        <v>1</v>
      </c>
      <c r="F19" s="428">
        <f t="shared" si="0"/>
        <v>825000</v>
      </c>
      <c r="G19" s="346">
        <f t="shared" si="5"/>
        <v>1</v>
      </c>
      <c r="H19" s="428">
        <f t="shared" si="2"/>
        <v>825000</v>
      </c>
      <c r="I19" s="346" t="str">
        <f t="shared" si="3"/>
        <v>Hari Kerja</v>
      </c>
    </row>
    <row r="20" spans="2:9">
      <c r="B20" s="447" t="str">
        <f t="shared" si="1"/>
        <v>Tuesday</v>
      </c>
      <c r="C20" s="449"/>
      <c r="D20" s="425">
        <f t="shared" si="4"/>
        <v>45209</v>
      </c>
      <c r="E20" s="346">
        <f t="shared" si="5"/>
        <v>1</v>
      </c>
      <c r="F20" s="428">
        <f t="shared" si="0"/>
        <v>825000</v>
      </c>
      <c r="G20" s="346">
        <f t="shared" si="5"/>
        <v>1</v>
      </c>
      <c r="H20" s="428">
        <f t="shared" si="2"/>
        <v>825000</v>
      </c>
      <c r="I20" s="346" t="str">
        <f t="shared" si="3"/>
        <v>Hari Kerja</v>
      </c>
    </row>
    <row r="21" spans="2:9">
      <c r="B21" s="447" t="str">
        <f t="shared" si="1"/>
        <v>Wednesday</v>
      </c>
      <c r="C21" s="449"/>
      <c r="D21" s="425">
        <f t="shared" si="4"/>
        <v>45210</v>
      </c>
      <c r="E21" s="346">
        <f t="shared" si="5"/>
        <v>1</v>
      </c>
      <c r="F21" s="428">
        <f t="shared" si="0"/>
        <v>825000</v>
      </c>
      <c r="G21" s="346">
        <f t="shared" si="5"/>
        <v>1</v>
      </c>
      <c r="H21" s="428">
        <f t="shared" si="2"/>
        <v>825000</v>
      </c>
      <c r="I21" s="346" t="str">
        <f t="shared" si="3"/>
        <v>Hari Kerja</v>
      </c>
    </row>
    <row r="22" spans="2:9">
      <c r="B22" s="447" t="str">
        <f t="shared" si="1"/>
        <v>Thursday</v>
      </c>
      <c r="C22" s="449"/>
      <c r="D22" s="425">
        <f t="shared" si="4"/>
        <v>45211</v>
      </c>
      <c r="E22" s="346">
        <f t="shared" si="5"/>
        <v>1</v>
      </c>
      <c r="F22" s="428">
        <f t="shared" si="0"/>
        <v>825000</v>
      </c>
      <c r="G22" s="346">
        <f t="shared" si="5"/>
        <v>1</v>
      </c>
      <c r="H22" s="428">
        <f t="shared" si="2"/>
        <v>825000</v>
      </c>
      <c r="I22" s="346" t="str">
        <f t="shared" si="3"/>
        <v>Hari Kerja</v>
      </c>
    </row>
    <row r="23" spans="2:9">
      <c r="B23" s="447" t="str">
        <f t="shared" si="1"/>
        <v>Friday</v>
      </c>
      <c r="C23" s="449"/>
      <c r="D23" s="425">
        <f t="shared" si="4"/>
        <v>45212</v>
      </c>
      <c r="E23" s="346">
        <f t="shared" si="5"/>
        <v>1</v>
      </c>
      <c r="F23" s="428">
        <f t="shared" si="0"/>
        <v>825000</v>
      </c>
      <c r="G23" s="346">
        <f t="shared" si="5"/>
        <v>1</v>
      </c>
      <c r="H23" s="428">
        <f t="shared" si="2"/>
        <v>825000</v>
      </c>
      <c r="I23" s="346" t="str">
        <f t="shared" si="3"/>
        <v>Hari Kerja</v>
      </c>
    </row>
    <row r="24" spans="2:9">
      <c r="B24" s="447" t="str">
        <f t="shared" si="1"/>
        <v>Saturday</v>
      </c>
      <c r="C24" s="449"/>
      <c r="D24" s="425">
        <f t="shared" si="4"/>
        <v>45213</v>
      </c>
      <c r="E24" s="346">
        <f t="shared" si="5"/>
        <v>0</v>
      </c>
      <c r="F24" s="428">
        <f t="shared" si="0"/>
        <v>0</v>
      </c>
      <c r="G24" s="346">
        <f t="shared" si="5"/>
        <v>0</v>
      </c>
      <c r="H24" s="428">
        <f t="shared" si="2"/>
        <v>0</v>
      </c>
      <c r="I24" s="346" t="str">
        <f t="shared" si="3"/>
        <v>Hari Libur</v>
      </c>
    </row>
    <row r="25" spans="2:9">
      <c r="B25" s="447" t="str">
        <f t="shared" si="1"/>
        <v>Sunday</v>
      </c>
      <c r="C25" s="449"/>
      <c r="D25" s="425">
        <f t="shared" si="4"/>
        <v>45214</v>
      </c>
      <c r="E25" s="346">
        <f t="shared" si="5"/>
        <v>0</v>
      </c>
      <c r="F25" s="428">
        <f t="shared" si="0"/>
        <v>0</v>
      </c>
      <c r="G25" s="346">
        <f t="shared" si="5"/>
        <v>0</v>
      </c>
      <c r="H25" s="428">
        <f t="shared" si="2"/>
        <v>0</v>
      </c>
      <c r="I25" s="346" t="str">
        <f t="shared" si="3"/>
        <v>Hari Libur</v>
      </c>
    </row>
    <row r="26" spans="2:9">
      <c r="B26" s="447" t="str">
        <f t="shared" si="1"/>
        <v>Monday</v>
      </c>
      <c r="C26" s="449"/>
      <c r="D26" s="425">
        <f t="shared" si="4"/>
        <v>45215</v>
      </c>
      <c r="E26" s="346">
        <f t="shared" si="5"/>
        <v>1</v>
      </c>
      <c r="F26" s="428">
        <f t="shared" si="0"/>
        <v>825000</v>
      </c>
      <c r="G26" s="346">
        <f t="shared" si="5"/>
        <v>1</v>
      </c>
      <c r="H26" s="428">
        <f t="shared" si="2"/>
        <v>825000</v>
      </c>
      <c r="I26" s="346" t="str">
        <f t="shared" si="3"/>
        <v>Hari Kerja</v>
      </c>
    </row>
    <row r="27" spans="2:9">
      <c r="B27" s="447" t="str">
        <f t="shared" si="1"/>
        <v>Tuesday</v>
      </c>
      <c r="C27" s="449"/>
      <c r="D27" s="425">
        <f t="shared" si="4"/>
        <v>45216</v>
      </c>
      <c r="E27" s="346">
        <f t="shared" si="5"/>
        <v>1</v>
      </c>
      <c r="F27" s="428">
        <f t="shared" si="0"/>
        <v>825000</v>
      </c>
      <c r="G27" s="346">
        <f t="shared" si="5"/>
        <v>1</v>
      </c>
      <c r="H27" s="428">
        <f t="shared" si="2"/>
        <v>825000</v>
      </c>
      <c r="I27" s="346" t="str">
        <f t="shared" si="3"/>
        <v>Hari Kerja</v>
      </c>
    </row>
    <row r="28" spans="2:9">
      <c r="B28" s="447" t="str">
        <f t="shared" si="1"/>
        <v>Wednesday</v>
      </c>
      <c r="C28" s="449"/>
      <c r="D28" s="425">
        <f t="shared" si="4"/>
        <v>45217</v>
      </c>
      <c r="E28" s="346">
        <f t="shared" si="5"/>
        <v>1</v>
      </c>
      <c r="F28" s="428">
        <f t="shared" si="0"/>
        <v>825000</v>
      </c>
      <c r="G28" s="346">
        <f t="shared" si="5"/>
        <v>1</v>
      </c>
      <c r="H28" s="428">
        <f t="shared" si="2"/>
        <v>825000</v>
      </c>
      <c r="I28" s="346" t="str">
        <f t="shared" si="3"/>
        <v>Hari Kerja</v>
      </c>
    </row>
    <row r="29" spans="2:9">
      <c r="B29" s="447" t="str">
        <f t="shared" si="1"/>
        <v>Thursday</v>
      </c>
      <c r="C29" s="449"/>
      <c r="D29" s="425">
        <f t="shared" si="4"/>
        <v>45218</v>
      </c>
      <c r="E29" s="346">
        <f t="shared" si="5"/>
        <v>1</v>
      </c>
      <c r="F29" s="428">
        <f t="shared" si="0"/>
        <v>825000</v>
      </c>
      <c r="G29" s="346">
        <f t="shared" si="5"/>
        <v>1</v>
      </c>
      <c r="H29" s="428">
        <f t="shared" si="2"/>
        <v>825000</v>
      </c>
      <c r="I29" s="346" t="str">
        <f t="shared" si="3"/>
        <v>Hari Kerja</v>
      </c>
    </row>
    <row r="30" spans="2:9">
      <c r="B30" s="447" t="str">
        <f t="shared" si="1"/>
        <v>Friday</v>
      </c>
      <c r="C30" s="449"/>
      <c r="D30" s="425">
        <f t="shared" si="4"/>
        <v>45219</v>
      </c>
      <c r="E30" s="346">
        <f t="shared" si="5"/>
        <v>1</v>
      </c>
      <c r="F30" s="428">
        <f t="shared" si="0"/>
        <v>825000</v>
      </c>
      <c r="G30" s="346">
        <f t="shared" si="5"/>
        <v>1</v>
      </c>
      <c r="H30" s="428">
        <f t="shared" si="2"/>
        <v>825000</v>
      </c>
      <c r="I30" s="346" t="str">
        <f t="shared" si="3"/>
        <v>Hari Kerja</v>
      </c>
    </row>
    <row r="31" spans="2:9">
      <c r="B31" s="447" t="str">
        <f t="shared" si="1"/>
        <v>Saturday</v>
      </c>
      <c r="C31" s="449"/>
      <c r="D31" s="425">
        <f t="shared" si="4"/>
        <v>45220</v>
      </c>
      <c r="E31" s="346">
        <f t="shared" si="5"/>
        <v>0</v>
      </c>
      <c r="F31" s="428">
        <f t="shared" si="0"/>
        <v>0</v>
      </c>
      <c r="G31" s="346">
        <f t="shared" si="5"/>
        <v>0</v>
      </c>
      <c r="H31" s="428">
        <f t="shared" si="2"/>
        <v>0</v>
      </c>
      <c r="I31" s="346" t="str">
        <f t="shared" si="3"/>
        <v>Hari Libur</v>
      </c>
    </row>
    <row r="32" spans="2:9">
      <c r="B32" s="447" t="str">
        <f t="shared" si="1"/>
        <v>Sunday</v>
      </c>
      <c r="C32" s="449"/>
      <c r="D32" s="425">
        <f t="shared" si="4"/>
        <v>45221</v>
      </c>
      <c r="E32" s="346">
        <f t="shared" si="5"/>
        <v>0</v>
      </c>
      <c r="F32" s="428">
        <f t="shared" si="0"/>
        <v>0</v>
      </c>
      <c r="G32" s="346">
        <f t="shared" si="5"/>
        <v>0</v>
      </c>
      <c r="H32" s="428">
        <f t="shared" si="2"/>
        <v>0</v>
      </c>
      <c r="I32" s="346" t="str">
        <f t="shared" si="3"/>
        <v>Hari Libur</v>
      </c>
    </row>
    <row r="33" spans="2:13">
      <c r="B33" s="472" t="str">
        <f t="shared" si="1"/>
        <v>Monday</v>
      </c>
      <c r="C33" s="473"/>
      <c r="D33" s="474">
        <f t="shared" si="4"/>
        <v>45222</v>
      </c>
      <c r="E33" s="475">
        <v>1</v>
      </c>
      <c r="F33" s="476">
        <f t="shared" si="0"/>
        <v>825000</v>
      </c>
      <c r="G33" s="475">
        <v>1</v>
      </c>
      <c r="H33" s="476">
        <f t="shared" si="2"/>
        <v>825000</v>
      </c>
      <c r="I33" s="475" t="str">
        <f t="shared" si="3"/>
        <v>Hari Kerja</v>
      </c>
    </row>
    <row r="34" spans="2:13">
      <c r="B34" s="447" t="str">
        <f t="shared" si="1"/>
        <v>Tuesday</v>
      </c>
      <c r="C34" s="449"/>
      <c r="D34" s="425">
        <f t="shared" si="4"/>
        <v>45223</v>
      </c>
      <c r="E34" s="346">
        <f t="shared" si="5"/>
        <v>1</v>
      </c>
      <c r="F34" s="428">
        <f t="shared" si="0"/>
        <v>825000</v>
      </c>
      <c r="G34" s="346">
        <f t="shared" si="5"/>
        <v>1</v>
      </c>
      <c r="H34" s="428">
        <f t="shared" si="2"/>
        <v>825000</v>
      </c>
      <c r="I34" s="346" t="str">
        <f t="shared" si="3"/>
        <v>Hari Kerja</v>
      </c>
    </row>
    <row r="35" spans="2:13">
      <c r="B35" s="447" t="str">
        <f t="shared" si="1"/>
        <v>Wednesday</v>
      </c>
      <c r="C35" s="449"/>
      <c r="D35" s="425">
        <f t="shared" si="4"/>
        <v>45224</v>
      </c>
      <c r="E35" s="346">
        <f t="shared" si="5"/>
        <v>1</v>
      </c>
      <c r="F35" s="428">
        <f t="shared" si="0"/>
        <v>825000</v>
      </c>
      <c r="G35" s="346">
        <f t="shared" si="5"/>
        <v>1</v>
      </c>
      <c r="H35" s="428">
        <f t="shared" si="2"/>
        <v>825000</v>
      </c>
      <c r="I35" s="346" t="str">
        <f t="shared" si="3"/>
        <v>Hari Kerja</v>
      </c>
    </row>
    <row r="36" spans="2:13">
      <c r="B36" s="447" t="str">
        <f t="shared" si="1"/>
        <v>Thursday</v>
      </c>
      <c r="C36" s="449"/>
      <c r="D36" s="425">
        <f t="shared" si="4"/>
        <v>45225</v>
      </c>
      <c r="E36" s="346">
        <f t="shared" si="5"/>
        <v>1</v>
      </c>
      <c r="F36" s="428">
        <f t="shared" si="0"/>
        <v>825000</v>
      </c>
      <c r="G36" s="346">
        <f t="shared" si="5"/>
        <v>1</v>
      </c>
      <c r="H36" s="428">
        <f t="shared" si="2"/>
        <v>825000</v>
      </c>
      <c r="I36" s="346" t="str">
        <f t="shared" si="3"/>
        <v>Hari Kerja</v>
      </c>
    </row>
    <row r="37" spans="2:13">
      <c r="B37" s="447" t="str">
        <f t="shared" si="1"/>
        <v>Friday</v>
      </c>
      <c r="C37" s="449"/>
      <c r="D37" s="425">
        <f t="shared" si="4"/>
        <v>45226</v>
      </c>
      <c r="E37" s="346">
        <f t="shared" si="5"/>
        <v>1</v>
      </c>
      <c r="F37" s="428">
        <f t="shared" si="0"/>
        <v>825000</v>
      </c>
      <c r="G37" s="346">
        <f t="shared" si="5"/>
        <v>1</v>
      </c>
      <c r="H37" s="428">
        <f t="shared" si="2"/>
        <v>825000</v>
      </c>
      <c r="I37" s="346" t="str">
        <f t="shared" si="3"/>
        <v>Hari Kerja</v>
      </c>
    </row>
    <row r="38" spans="2:13">
      <c r="B38" s="472" t="str">
        <f t="shared" si="1"/>
        <v>Saturday</v>
      </c>
      <c r="C38" s="473"/>
      <c r="D38" s="474">
        <f t="shared" si="4"/>
        <v>45227</v>
      </c>
      <c r="E38" s="475">
        <v>0</v>
      </c>
      <c r="F38" s="476">
        <f t="shared" si="0"/>
        <v>0</v>
      </c>
      <c r="G38" s="475">
        <v>0</v>
      </c>
      <c r="H38" s="476">
        <f t="shared" si="2"/>
        <v>0</v>
      </c>
      <c r="I38" s="475" t="str">
        <f t="shared" si="3"/>
        <v>Hari Libur</v>
      </c>
      <c r="M38" s="424"/>
    </row>
    <row r="39" spans="2:13">
      <c r="B39" s="472" t="str">
        <f t="shared" si="1"/>
        <v>Sunday</v>
      </c>
      <c r="C39" s="473"/>
      <c r="D39" s="474">
        <f t="shared" si="4"/>
        <v>45228</v>
      </c>
      <c r="E39" s="475">
        <v>0</v>
      </c>
      <c r="F39" s="476">
        <f t="shared" si="0"/>
        <v>0</v>
      </c>
      <c r="G39" s="475">
        <v>0</v>
      </c>
      <c r="H39" s="476">
        <f t="shared" si="2"/>
        <v>0</v>
      </c>
      <c r="I39" s="475" t="str">
        <f t="shared" si="3"/>
        <v>Hari Libur</v>
      </c>
    </row>
    <row r="40" spans="2:13">
      <c r="B40" s="447" t="str">
        <f t="shared" si="1"/>
        <v>Monday</v>
      </c>
      <c r="C40" s="449"/>
      <c r="D40" s="425">
        <f t="shared" si="4"/>
        <v>45229</v>
      </c>
      <c r="E40" s="346">
        <f t="shared" si="5"/>
        <v>1</v>
      </c>
      <c r="F40" s="428">
        <f t="shared" si="0"/>
        <v>825000</v>
      </c>
      <c r="G40" s="346">
        <f t="shared" si="5"/>
        <v>1</v>
      </c>
      <c r="H40" s="428">
        <f t="shared" si="2"/>
        <v>825000</v>
      </c>
      <c r="I40" s="346" t="str">
        <f t="shared" si="3"/>
        <v>Hari Kerja</v>
      </c>
    </row>
    <row r="41" spans="2:13" ht="13.5" thickBot="1">
      <c r="B41" s="448" t="str">
        <f t="shared" si="1"/>
        <v>Tuesday</v>
      </c>
      <c r="C41" s="450"/>
      <c r="D41" s="432">
        <f t="shared" si="4"/>
        <v>45230</v>
      </c>
      <c r="E41" s="433">
        <f t="shared" si="5"/>
        <v>1</v>
      </c>
      <c r="F41" s="434">
        <f t="shared" si="0"/>
        <v>825000</v>
      </c>
      <c r="G41" s="433">
        <f t="shared" si="5"/>
        <v>1</v>
      </c>
      <c r="H41" s="434">
        <f t="shared" si="2"/>
        <v>825000</v>
      </c>
      <c r="I41" s="433" t="str">
        <f t="shared" si="3"/>
        <v>Hari Kerja</v>
      </c>
    </row>
    <row r="42" spans="2:13" ht="13.5" thickTop="1">
      <c r="B42" s="742" t="s">
        <v>403</v>
      </c>
      <c r="C42" s="742"/>
      <c r="D42" s="742"/>
      <c r="E42" s="429">
        <f>SUM(E11:E41)</f>
        <v>22</v>
      </c>
      <c r="F42" s="430">
        <f>SUM(F11:F41)</f>
        <v>18150000</v>
      </c>
      <c r="G42" s="429">
        <f>SUM(G11:G41)</f>
        <v>22</v>
      </c>
      <c r="H42" s="430">
        <f>SUM(H11:H41)</f>
        <v>18150000</v>
      </c>
      <c r="I42" s="435"/>
    </row>
    <row r="43" spans="2:13" ht="15.75">
      <c r="B43" s="743" t="s">
        <v>404</v>
      </c>
      <c r="C43" s="744"/>
      <c r="D43" s="745"/>
      <c r="E43" s="746">
        <f>+F42+H42</f>
        <v>36300000</v>
      </c>
      <c r="F43" s="744"/>
      <c r="G43" s="744"/>
      <c r="H43" s="745"/>
      <c r="I43" s="436"/>
    </row>
    <row r="44" spans="2:13">
      <c r="B44" s="439"/>
      <c r="I44" s="440"/>
    </row>
    <row r="45" spans="2:13" ht="15.75">
      <c r="B45" s="455" t="s">
        <v>412</v>
      </c>
      <c r="I45" s="440"/>
    </row>
    <row r="46" spans="2:13" ht="15.75">
      <c r="B46" s="454" t="s">
        <v>413</v>
      </c>
      <c r="C46" s="763" t="s">
        <v>415</v>
      </c>
      <c r="D46" s="764"/>
      <c r="E46" s="763" t="s">
        <v>414</v>
      </c>
      <c r="F46" s="764"/>
      <c r="G46" s="763" t="s">
        <v>416</v>
      </c>
      <c r="H46" s="765"/>
      <c r="I46" s="764"/>
    </row>
    <row r="47" spans="2:13" ht="45" customHeight="1">
      <c r="B47" s="426" t="s">
        <v>417</v>
      </c>
      <c r="C47" s="732">
        <v>0.25</v>
      </c>
      <c r="D47" s="733"/>
      <c r="E47" s="732">
        <v>0.77083333333333337</v>
      </c>
      <c r="F47" s="733"/>
      <c r="G47" s="751" t="s">
        <v>420</v>
      </c>
      <c r="H47" s="752"/>
      <c r="I47" s="753"/>
    </row>
    <row r="48" spans="2:13" ht="45" customHeight="1">
      <c r="B48" s="426" t="s">
        <v>418</v>
      </c>
      <c r="C48" s="732">
        <v>0.6875</v>
      </c>
      <c r="D48" s="733"/>
      <c r="E48" s="732">
        <v>0.20833333333333334</v>
      </c>
      <c r="F48" s="733"/>
      <c r="G48" s="754"/>
      <c r="H48" s="755"/>
      <c r="I48" s="756"/>
    </row>
    <row r="49" spans="2:9">
      <c r="B49" s="439"/>
      <c r="I49" s="440"/>
    </row>
    <row r="50" spans="2:9">
      <c r="B50" s="439"/>
      <c r="I50" s="440"/>
    </row>
    <row r="51" spans="2:9">
      <c r="B51" s="446"/>
      <c r="C51" s="704" t="s">
        <v>409</v>
      </c>
      <c r="D51" s="705"/>
      <c r="E51" s="704" t="s">
        <v>408</v>
      </c>
      <c r="F51" s="705"/>
      <c r="G51" s="704" t="s">
        <v>407</v>
      </c>
      <c r="H51" s="705"/>
      <c r="I51" s="346" t="s">
        <v>406</v>
      </c>
    </row>
    <row r="52" spans="2:9">
      <c r="B52" s="446"/>
      <c r="C52" s="437"/>
      <c r="D52" s="438"/>
      <c r="E52" s="747"/>
      <c r="F52" s="748"/>
      <c r="G52" s="747"/>
      <c r="H52" s="748"/>
      <c r="I52" s="726"/>
    </row>
    <row r="53" spans="2:9">
      <c r="B53" s="446"/>
      <c r="C53" s="439"/>
      <c r="D53" s="440"/>
      <c r="E53" s="760"/>
      <c r="F53" s="761"/>
      <c r="G53" s="760"/>
      <c r="H53" s="761"/>
      <c r="I53" s="762"/>
    </row>
    <row r="54" spans="2:9">
      <c r="B54" s="446"/>
      <c r="C54" s="443"/>
      <c r="D54" s="444"/>
      <c r="E54" s="749"/>
      <c r="F54" s="750"/>
      <c r="G54" s="749"/>
      <c r="H54" s="750"/>
      <c r="I54" s="727"/>
    </row>
    <row r="55" spans="2:9" ht="15" customHeight="1">
      <c r="B55" s="446"/>
      <c r="C55" s="704" t="s">
        <v>114</v>
      </c>
      <c r="D55" s="705"/>
      <c r="E55" s="704" t="s">
        <v>113</v>
      </c>
      <c r="F55" s="705"/>
      <c r="G55" s="704" t="s">
        <v>112</v>
      </c>
      <c r="H55" s="705"/>
      <c r="I55" s="346" t="s">
        <v>410</v>
      </c>
    </row>
    <row r="56" spans="2:9">
      <c r="B56" s="431"/>
      <c r="C56" s="740" t="s">
        <v>411</v>
      </c>
      <c r="D56" s="741"/>
      <c r="E56" s="740" t="s">
        <v>132</v>
      </c>
      <c r="F56" s="741"/>
      <c r="G56" s="740" t="s">
        <v>132</v>
      </c>
      <c r="H56" s="741"/>
      <c r="I56" s="451" t="s">
        <v>132</v>
      </c>
    </row>
  </sheetData>
  <mergeCells count="31">
    <mergeCell ref="B2:I2"/>
    <mergeCell ref="B3:I3"/>
    <mergeCell ref="B4:I4"/>
    <mergeCell ref="B9:C10"/>
    <mergeCell ref="D9:D10"/>
    <mergeCell ref="E9:F9"/>
    <mergeCell ref="G9:H9"/>
    <mergeCell ref="I9:I10"/>
    <mergeCell ref="B42:D42"/>
    <mergeCell ref="B43:D43"/>
    <mergeCell ref="E43:H43"/>
    <mergeCell ref="C46:D46"/>
    <mergeCell ref="E46:F46"/>
    <mergeCell ref="G46:I46"/>
    <mergeCell ref="I52:I54"/>
    <mergeCell ref="C55:D55"/>
    <mergeCell ref="E55:F55"/>
    <mergeCell ref="G55:H55"/>
    <mergeCell ref="C47:D47"/>
    <mergeCell ref="E47:F47"/>
    <mergeCell ref="G47:I48"/>
    <mergeCell ref="C48:D48"/>
    <mergeCell ref="E48:F48"/>
    <mergeCell ref="C51:D51"/>
    <mergeCell ref="E51:F51"/>
    <mergeCell ref="G51:H51"/>
    <mergeCell ref="C56:D56"/>
    <mergeCell ref="E56:F56"/>
    <mergeCell ref="G56:H56"/>
    <mergeCell ref="E52:F54"/>
    <mergeCell ref="G52:H54"/>
  </mergeCells>
  <conditionalFormatting sqref="B11:C41">
    <cfRule type="containsText" dxfId="69" priority="8" operator="containsText" text="Saturday">
      <formula>NOT(ISERROR(SEARCH("Saturday",B11)))</formula>
    </cfRule>
    <cfRule type="containsText" dxfId="68" priority="9" operator="containsText" text="Sunday">
      <formula>NOT(ISERROR(SEARCH("Sunday",B11)))</formula>
    </cfRule>
  </conditionalFormatting>
  <conditionalFormatting sqref="E11:E41">
    <cfRule type="containsText" dxfId="67" priority="6" operator="containsText" text="0">
      <formula>NOT(ISERROR(SEARCH("0",E11)))</formula>
    </cfRule>
    <cfRule type="containsText" priority="7" operator="containsText" text="0">
      <formula>NOT(ISERROR(SEARCH("0",E11)))</formula>
    </cfRule>
  </conditionalFormatting>
  <conditionalFormatting sqref="G11:G41">
    <cfRule type="containsText" dxfId="66" priority="4" operator="containsText" text="0">
      <formula>NOT(ISERROR(SEARCH("0",G11)))</formula>
    </cfRule>
    <cfRule type="containsText" priority="5" operator="containsText" text="0">
      <formula>NOT(ISERROR(SEARCH("0",G11)))</formula>
    </cfRule>
  </conditionalFormatting>
  <conditionalFormatting sqref="I11:I41">
    <cfRule type="containsText" dxfId="65" priority="1" operator="containsText" text="Hari Libur">
      <formula>NOT(ISERROR(SEARCH("Hari Libur",I11)))</formula>
    </cfRule>
    <cfRule type="containsText" dxfId="64" priority="2" operator="containsText" text="0">
      <formula>NOT(ISERROR(SEARCH("0",I11)))</formula>
    </cfRule>
    <cfRule type="containsText" priority="3" operator="containsText" text="0">
      <formula>NOT(ISERROR(SEARCH("0",I11)))</formula>
    </cfRule>
  </conditionalFormatting>
  <printOptions horizontalCentered="1" verticalCentered="1"/>
  <pageMargins left="0" right="0" top="0" bottom="0" header="0" footer="0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showGridLines="0" topLeftCell="A22" workbookViewId="0">
      <selection activeCell="M37" sqref="M37"/>
    </sheetView>
  </sheetViews>
  <sheetFormatPr defaultRowHeight="12.75"/>
  <cols>
    <col min="1" max="1" width="1.7109375" style="349" customWidth="1"/>
    <col min="2" max="2" width="12.7109375" style="349" customWidth="1"/>
    <col min="3" max="3" width="5.7109375" style="349" customWidth="1"/>
    <col min="4" max="4" width="15.7109375" style="424" customWidth="1"/>
    <col min="5" max="5" width="7.7109375" style="470" customWidth="1"/>
    <col min="6" max="6" width="13.7109375" style="349" customWidth="1"/>
    <col min="7" max="7" width="7.7109375" style="349" customWidth="1"/>
    <col min="8" max="8" width="13.7109375" style="349" customWidth="1"/>
    <col min="9" max="9" width="20.7109375" style="349" customWidth="1"/>
    <col min="10" max="10" width="1.7109375" style="349" customWidth="1"/>
    <col min="11" max="16384" width="9.140625" style="349"/>
  </cols>
  <sheetData>
    <row r="2" spans="2:9">
      <c r="B2" s="719" t="s">
        <v>421</v>
      </c>
      <c r="C2" s="720"/>
      <c r="D2" s="720"/>
      <c r="E2" s="720"/>
      <c r="F2" s="720"/>
      <c r="G2" s="720"/>
      <c r="H2" s="720"/>
      <c r="I2" s="721"/>
    </row>
    <row r="3" spans="2:9" ht="20.100000000000001" customHeight="1">
      <c r="B3" s="734" t="s">
        <v>405</v>
      </c>
      <c r="C3" s="735"/>
      <c r="D3" s="735"/>
      <c r="E3" s="735"/>
      <c r="F3" s="735"/>
      <c r="G3" s="735"/>
      <c r="H3" s="735"/>
      <c r="I3" s="736"/>
    </row>
    <row r="4" spans="2:9" ht="15" customHeight="1">
      <c r="B4" s="737" t="s">
        <v>426</v>
      </c>
      <c r="C4" s="738"/>
      <c r="D4" s="738"/>
      <c r="E4" s="738"/>
      <c r="F4" s="738"/>
      <c r="G4" s="738"/>
      <c r="H4" s="738"/>
      <c r="I4" s="739"/>
    </row>
    <row r="5" spans="2:9" ht="9.9499999999999993" customHeight="1">
      <c r="B5" s="439"/>
      <c r="I5" s="440"/>
    </row>
    <row r="6" spans="2:9" ht="15.75">
      <c r="B6" s="445" t="s">
        <v>399</v>
      </c>
      <c r="C6" s="453" t="s">
        <v>175</v>
      </c>
      <c r="D6" s="452">
        <v>2023</v>
      </c>
      <c r="I6" s="440"/>
    </row>
    <row r="7" spans="2:9" ht="15.75">
      <c r="B7" s="445" t="s">
        <v>84</v>
      </c>
      <c r="C7" s="453" t="s">
        <v>175</v>
      </c>
      <c r="D7" s="452">
        <v>11</v>
      </c>
      <c r="I7" s="440"/>
    </row>
    <row r="8" spans="2:9" ht="9.9499999999999993" customHeight="1">
      <c r="B8" s="441"/>
      <c r="C8" s="442"/>
      <c r="D8" s="442"/>
      <c r="I8" s="440"/>
    </row>
    <row r="9" spans="2:9" ht="15" customHeight="1">
      <c r="B9" s="722" t="s">
        <v>2</v>
      </c>
      <c r="C9" s="723"/>
      <c r="D9" s="728" t="s">
        <v>3</v>
      </c>
      <c r="E9" s="729" t="s">
        <v>401</v>
      </c>
      <c r="F9" s="729"/>
      <c r="G9" s="729" t="s">
        <v>402</v>
      </c>
      <c r="H9" s="729"/>
      <c r="I9" s="729" t="s">
        <v>85</v>
      </c>
    </row>
    <row r="10" spans="2:9" s="423" customFormat="1" ht="20.100000000000001" customHeight="1">
      <c r="B10" s="724"/>
      <c r="C10" s="725"/>
      <c r="D10" s="728"/>
      <c r="E10" s="471" t="s">
        <v>400</v>
      </c>
      <c r="F10" s="471" t="s">
        <v>55</v>
      </c>
      <c r="G10" s="471" t="s">
        <v>400</v>
      </c>
      <c r="H10" s="471" t="s">
        <v>55</v>
      </c>
      <c r="I10" s="729"/>
    </row>
    <row r="11" spans="2:9">
      <c r="B11" s="447" t="str">
        <f>TEXT(D11,"aaaaaaa")</f>
        <v>Wednesday</v>
      </c>
      <c r="C11" s="449"/>
      <c r="D11" s="425">
        <f>+DATE(D6,D7,1)</f>
        <v>45231</v>
      </c>
      <c r="E11" s="346">
        <f>IF($B11="Saturday",0,IF($B11="Sunday",0,1))</f>
        <v>1</v>
      </c>
      <c r="F11" s="428">
        <f t="shared" ref="F11:F40" si="0">IF(E11=1,825000,0)</f>
        <v>825000</v>
      </c>
      <c r="G11" s="346">
        <f>IF($B11="Saturday",0,IF($B11="Sunday",0,1))</f>
        <v>1</v>
      </c>
      <c r="H11" s="428">
        <f>IF(G11=1,825000,0)</f>
        <v>825000</v>
      </c>
      <c r="I11" s="346" t="str">
        <f>IF($G11=1,"Hari Kerja","Hari Libur")</f>
        <v>Hari Kerja</v>
      </c>
    </row>
    <row r="12" spans="2:9">
      <c r="B12" s="447" t="str">
        <f t="shared" ref="B12:B40" si="1">TEXT(D12,"aaaaaaa")</f>
        <v>Thursday</v>
      </c>
      <c r="C12" s="449"/>
      <c r="D12" s="425">
        <f>D11+1</f>
        <v>45232</v>
      </c>
      <c r="E12" s="346">
        <f>IF($B12="Saturday",0,IF($B12="Sunday",0,1))</f>
        <v>1</v>
      </c>
      <c r="F12" s="428">
        <f t="shared" si="0"/>
        <v>825000</v>
      </c>
      <c r="G12" s="346">
        <f>IF($B12="Saturday",0,IF($B12="Sunday",0,1))</f>
        <v>1</v>
      </c>
      <c r="H12" s="428">
        <f t="shared" ref="H12:H40" si="2">IF(G12=1,825000,0)</f>
        <v>825000</v>
      </c>
      <c r="I12" s="346" t="str">
        <f t="shared" ref="I12:I40" si="3">IF($G12=1,"Hari Kerja","Hari Libur")</f>
        <v>Hari Kerja</v>
      </c>
    </row>
    <row r="13" spans="2:9">
      <c r="B13" s="447" t="str">
        <f t="shared" si="1"/>
        <v>Friday</v>
      </c>
      <c r="C13" s="449"/>
      <c r="D13" s="425">
        <f t="shared" ref="D13:D40" si="4">D12+1</f>
        <v>45233</v>
      </c>
      <c r="E13" s="346">
        <f t="shared" ref="E13:G40" si="5">IF($B13="Saturday",0,IF($B13="Sunday",0,1))</f>
        <v>1</v>
      </c>
      <c r="F13" s="428">
        <f t="shared" si="0"/>
        <v>825000</v>
      </c>
      <c r="G13" s="346">
        <f t="shared" si="5"/>
        <v>1</v>
      </c>
      <c r="H13" s="428">
        <f t="shared" si="2"/>
        <v>825000</v>
      </c>
      <c r="I13" s="346" t="str">
        <f t="shared" si="3"/>
        <v>Hari Kerja</v>
      </c>
    </row>
    <row r="14" spans="2:9">
      <c r="B14" s="447" t="str">
        <f t="shared" si="1"/>
        <v>Saturday</v>
      </c>
      <c r="C14" s="449"/>
      <c r="D14" s="425">
        <f t="shared" si="4"/>
        <v>45234</v>
      </c>
      <c r="E14" s="346">
        <v>1</v>
      </c>
      <c r="F14" s="428">
        <f t="shared" si="0"/>
        <v>825000</v>
      </c>
      <c r="G14" s="346">
        <v>1</v>
      </c>
      <c r="H14" s="428">
        <f t="shared" si="2"/>
        <v>825000</v>
      </c>
      <c r="I14" s="346" t="str">
        <f t="shared" si="3"/>
        <v>Hari Kerja</v>
      </c>
    </row>
    <row r="15" spans="2:9">
      <c r="B15" s="447" t="str">
        <f t="shared" si="1"/>
        <v>Sunday</v>
      </c>
      <c r="C15" s="449"/>
      <c r="D15" s="425">
        <f t="shared" si="4"/>
        <v>45235</v>
      </c>
      <c r="E15" s="346">
        <f t="shared" si="5"/>
        <v>0</v>
      </c>
      <c r="F15" s="428">
        <f t="shared" si="0"/>
        <v>0</v>
      </c>
      <c r="G15" s="346">
        <f t="shared" si="5"/>
        <v>0</v>
      </c>
      <c r="H15" s="428">
        <f t="shared" si="2"/>
        <v>0</v>
      </c>
      <c r="I15" s="346" t="str">
        <f t="shared" si="3"/>
        <v>Hari Libur</v>
      </c>
    </row>
    <row r="16" spans="2:9">
      <c r="B16" s="447" t="str">
        <f t="shared" si="1"/>
        <v>Monday</v>
      </c>
      <c r="C16" s="449"/>
      <c r="D16" s="425">
        <f t="shared" si="4"/>
        <v>45236</v>
      </c>
      <c r="E16" s="346">
        <v>0</v>
      </c>
      <c r="F16" s="428">
        <f t="shared" si="0"/>
        <v>0</v>
      </c>
      <c r="G16" s="346">
        <v>0</v>
      </c>
      <c r="H16" s="428">
        <f t="shared" si="2"/>
        <v>0</v>
      </c>
      <c r="I16" s="346" t="str">
        <f t="shared" si="3"/>
        <v>Hari Libur</v>
      </c>
    </row>
    <row r="17" spans="2:9">
      <c r="B17" s="447" t="str">
        <f t="shared" si="1"/>
        <v>Tuesday</v>
      </c>
      <c r="C17" s="449"/>
      <c r="D17" s="425">
        <f t="shared" si="4"/>
        <v>45237</v>
      </c>
      <c r="E17" s="346">
        <v>0</v>
      </c>
      <c r="F17" s="428">
        <f t="shared" si="0"/>
        <v>0</v>
      </c>
      <c r="G17" s="346">
        <v>0</v>
      </c>
      <c r="H17" s="428">
        <f t="shared" si="2"/>
        <v>0</v>
      </c>
      <c r="I17" s="346" t="str">
        <f t="shared" si="3"/>
        <v>Hari Libur</v>
      </c>
    </row>
    <row r="18" spans="2:9">
      <c r="B18" s="447" t="str">
        <f t="shared" si="1"/>
        <v>Wednesday</v>
      </c>
      <c r="C18" s="449"/>
      <c r="D18" s="425">
        <f t="shared" si="4"/>
        <v>45238</v>
      </c>
      <c r="E18" s="346">
        <f t="shared" si="5"/>
        <v>1</v>
      </c>
      <c r="F18" s="428">
        <f t="shared" si="0"/>
        <v>825000</v>
      </c>
      <c r="G18" s="346">
        <f t="shared" si="5"/>
        <v>1</v>
      </c>
      <c r="H18" s="428">
        <f t="shared" si="2"/>
        <v>825000</v>
      </c>
      <c r="I18" s="346" t="str">
        <f t="shared" si="3"/>
        <v>Hari Kerja</v>
      </c>
    </row>
    <row r="19" spans="2:9">
      <c r="B19" s="447" t="str">
        <f t="shared" si="1"/>
        <v>Thursday</v>
      </c>
      <c r="C19" s="449"/>
      <c r="D19" s="425">
        <f t="shared" si="4"/>
        <v>45239</v>
      </c>
      <c r="E19" s="346">
        <f t="shared" si="5"/>
        <v>1</v>
      </c>
      <c r="F19" s="428">
        <f t="shared" si="0"/>
        <v>825000</v>
      </c>
      <c r="G19" s="346">
        <f t="shared" si="5"/>
        <v>1</v>
      </c>
      <c r="H19" s="428">
        <f t="shared" si="2"/>
        <v>825000</v>
      </c>
      <c r="I19" s="346" t="str">
        <f t="shared" si="3"/>
        <v>Hari Kerja</v>
      </c>
    </row>
    <row r="20" spans="2:9">
      <c r="B20" s="447" t="str">
        <f t="shared" si="1"/>
        <v>Friday</v>
      </c>
      <c r="C20" s="449"/>
      <c r="D20" s="425">
        <f t="shared" si="4"/>
        <v>45240</v>
      </c>
      <c r="E20" s="346">
        <f t="shared" si="5"/>
        <v>1</v>
      </c>
      <c r="F20" s="428">
        <f t="shared" si="0"/>
        <v>825000</v>
      </c>
      <c r="G20" s="346">
        <f t="shared" si="5"/>
        <v>1</v>
      </c>
      <c r="H20" s="428">
        <f t="shared" si="2"/>
        <v>825000</v>
      </c>
      <c r="I20" s="346" t="str">
        <f t="shared" si="3"/>
        <v>Hari Kerja</v>
      </c>
    </row>
    <row r="21" spans="2:9">
      <c r="B21" s="447" t="str">
        <f t="shared" si="1"/>
        <v>Saturday</v>
      </c>
      <c r="C21" s="449"/>
      <c r="D21" s="425">
        <f t="shared" si="4"/>
        <v>45241</v>
      </c>
      <c r="E21" s="346">
        <v>1</v>
      </c>
      <c r="F21" s="428">
        <f t="shared" si="0"/>
        <v>825000</v>
      </c>
      <c r="G21" s="346">
        <v>1</v>
      </c>
      <c r="H21" s="428">
        <f t="shared" si="2"/>
        <v>825000</v>
      </c>
      <c r="I21" s="346" t="str">
        <f t="shared" si="3"/>
        <v>Hari Kerja</v>
      </c>
    </row>
    <row r="22" spans="2:9">
      <c r="B22" s="447" t="str">
        <f t="shared" si="1"/>
        <v>Sunday</v>
      </c>
      <c r="C22" s="449"/>
      <c r="D22" s="425">
        <f t="shared" si="4"/>
        <v>45242</v>
      </c>
      <c r="E22" s="346">
        <f t="shared" si="5"/>
        <v>0</v>
      </c>
      <c r="F22" s="428">
        <f t="shared" si="0"/>
        <v>0</v>
      </c>
      <c r="G22" s="346">
        <f t="shared" si="5"/>
        <v>0</v>
      </c>
      <c r="H22" s="428">
        <f t="shared" si="2"/>
        <v>0</v>
      </c>
      <c r="I22" s="346" t="str">
        <f t="shared" si="3"/>
        <v>Hari Libur</v>
      </c>
    </row>
    <row r="23" spans="2:9">
      <c r="B23" s="447" t="str">
        <f t="shared" si="1"/>
        <v>Monday</v>
      </c>
      <c r="C23" s="449"/>
      <c r="D23" s="425">
        <f t="shared" si="4"/>
        <v>45243</v>
      </c>
      <c r="E23" s="346">
        <f t="shared" si="5"/>
        <v>1</v>
      </c>
      <c r="F23" s="428">
        <f t="shared" si="0"/>
        <v>825000</v>
      </c>
      <c r="G23" s="346">
        <f t="shared" si="5"/>
        <v>1</v>
      </c>
      <c r="H23" s="428">
        <f t="shared" si="2"/>
        <v>825000</v>
      </c>
      <c r="I23" s="346" t="str">
        <f t="shared" si="3"/>
        <v>Hari Kerja</v>
      </c>
    </row>
    <row r="24" spans="2:9">
      <c r="B24" s="447" t="str">
        <f t="shared" si="1"/>
        <v>Tuesday</v>
      </c>
      <c r="C24" s="449"/>
      <c r="D24" s="425">
        <f t="shared" si="4"/>
        <v>45244</v>
      </c>
      <c r="E24" s="346">
        <f t="shared" si="5"/>
        <v>1</v>
      </c>
      <c r="F24" s="428">
        <f t="shared" si="0"/>
        <v>825000</v>
      </c>
      <c r="G24" s="346">
        <f t="shared" si="5"/>
        <v>1</v>
      </c>
      <c r="H24" s="428">
        <f t="shared" si="2"/>
        <v>825000</v>
      </c>
      <c r="I24" s="346" t="str">
        <f t="shared" si="3"/>
        <v>Hari Kerja</v>
      </c>
    </row>
    <row r="25" spans="2:9">
      <c r="B25" s="447" t="str">
        <f t="shared" si="1"/>
        <v>Wednesday</v>
      </c>
      <c r="C25" s="449"/>
      <c r="D25" s="425">
        <f t="shared" si="4"/>
        <v>45245</v>
      </c>
      <c r="E25" s="346">
        <f t="shared" si="5"/>
        <v>1</v>
      </c>
      <c r="F25" s="428">
        <f t="shared" si="0"/>
        <v>825000</v>
      </c>
      <c r="G25" s="346">
        <f t="shared" si="5"/>
        <v>1</v>
      </c>
      <c r="H25" s="428">
        <f t="shared" si="2"/>
        <v>825000</v>
      </c>
      <c r="I25" s="346" t="str">
        <f t="shared" si="3"/>
        <v>Hari Kerja</v>
      </c>
    </row>
    <row r="26" spans="2:9">
      <c r="B26" s="447" t="str">
        <f t="shared" si="1"/>
        <v>Thursday</v>
      </c>
      <c r="C26" s="449"/>
      <c r="D26" s="425">
        <f t="shared" si="4"/>
        <v>45246</v>
      </c>
      <c r="E26" s="346">
        <f t="shared" si="5"/>
        <v>1</v>
      </c>
      <c r="F26" s="428">
        <f t="shared" si="0"/>
        <v>825000</v>
      </c>
      <c r="G26" s="346">
        <f t="shared" si="5"/>
        <v>1</v>
      </c>
      <c r="H26" s="428">
        <f t="shared" si="2"/>
        <v>825000</v>
      </c>
      <c r="I26" s="346" t="str">
        <f t="shared" si="3"/>
        <v>Hari Kerja</v>
      </c>
    </row>
    <row r="27" spans="2:9">
      <c r="B27" s="447" t="str">
        <f t="shared" si="1"/>
        <v>Friday</v>
      </c>
      <c r="C27" s="449"/>
      <c r="D27" s="425">
        <f t="shared" si="4"/>
        <v>45247</v>
      </c>
      <c r="E27" s="346">
        <f t="shared" si="5"/>
        <v>1</v>
      </c>
      <c r="F27" s="428">
        <f t="shared" si="0"/>
        <v>825000</v>
      </c>
      <c r="G27" s="346">
        <f t="shared" si="5"/>
        <v>1</v>
      </c>
      <c r="H27" s="428">
        <f t="shared" si="2"/>
        <v>825000</v>
      </c>
      <c r="I27" s="346" t="str">
        <f t="shared" si="3"/>
        <v>Hari Kerja</v>
      </c>
    </row>
    <row r="28" spans="2:9">
      <c r="B28" s="447" t="str">
        <f t="shared" si="1"/>
        <v>Saturday</v>
      </c>
      <c r="C28" s="449"/>
      <c r="D28" s="425">
        <f t="shared" si="4"/>
        <v>45248</v>
      </c>
      <c r="E28" s="346">
        <f t="shared" si="5"/>
        <v>0</v>
      </c>
      <c r="F28" s="428">
        <f t="shared" si="0"/>
        <v>0</v>
      </c>
      <c r="G28" s="346">
        <f t="shared" si="5"/>
        <v>0</v>
      </c>
      <c r="H28" s="428">
        <f t="shared" si="2"/>
        <v>0</v>
      </c>
      <c r="I28" s="346" t="str">
        <f t="shared" si="3"/>
        <v>Hari Libur</v>
      </c>
    </row>
    <row r="29" spans="2:9">
      <c r="B29" s="447" t="str">
        <f t="shared" si="1"/>
        <v>Sunday</v>
      </c>
      <c r="C29" s="449"/>
      <c r="D29" s="425">
        <f t="shared" si="4"/>
        <v>45249</v>
      </c>
      <c r="E29" s="346">
        <f t="shared" si="5"/>
        <v>0</v>
      </c>
      <c r="F29" s="428">
        <f t="shared" si="0"/>
        <v>0</v>
      </c>
      <c r="G29" s="346">
        <f t="shared" si="5"/>
        <v>0</v>
      </c>
      <c r="H29" s="428">
        <f t="shared" si="2"/>
        <v>0</v>
      </c>
      <c r="I29" s="346" t="str">
        <f t="shared" si="3"/>
        <v>Hari Libur</v>
      </c>
    </row>
    <row r="30" spans="2:9">
      <c r="B30" s="447" t="str">
        <f t="shared" si="1"/>
        <v>Monday</v>
      </c>
      <c r="C30" s="449"/>
      <c r="D30" s="425">
        <f t="shared" si="4"/>
        <v>45250</v>
      </c>
      <c r="E30" s="346">
        <f t="shared" si="5"/>
        <v>1</v>
      </c>
      <c r="F30" s="428">
        <f t="shared" si="0"/>
        <v>825000</v>
      </c>
      <c r="G30" s="346">
        <f t="shared" si="5"/>
        <v>1</v>
      </c>
      <c r="H30" s="428">
        <f t="shared" si="2"/>
        <v>825000</v>
      </c>
      <c r="I30" s="346" t="str">
        <f t="shared" si="3"/>
        <v>Hari Kerja</v>
      </c>
    </row>
    <row r="31" spans="2:9">
      <c r="B31" s="447" t="str">
        <f t="shared" si="1"/>
        <v>Tuesday</v>
      </c>
      <c r="C31" s="449"/>
      <c r="D31" s="425">
        <f t="shared" si="4"/>
        <v>45251</v>
      </c>
      <c r="E31" s="346">
        <f t="shared" si="5"/>
        <v>1</v>
      </c>
      <c r="F31" s="428">
        <f t="shared" si="0"/>
        <v>825000</v>
      </c>
      <c r="G31" s="346">
        <f t="shared" si="5"/>
        <v>1</v>
      </c>
      <c r="H31" s="428">
        <f t="shared" si="2"/>
        <v>825000</v>
      </c>
      <c r="I31" s="346" t="str">
        <f t="shared" si="3"/>
        <v>Hari Kerja</v>
      </c>
    </row>
    <row r="32" spans="2:9">
      <c r="B32" s="447" t="str">
        <f t="shared" si="1"/>
        <v>Wednesday</v>
      </c>
      <c r="C32" s="449"/>
      <c r="D32" s="425">
        <f t="shared" si="4"/>
        <v>45252</v>
      </c>
      <c r="E32" s="346">
        <f t="shared" si="5"/>
        <v>1</v>
      </c>
      <c r="F32" s="428">
        <f t="shared" si="0"/>
        <v>825000</v>
      </c>
      <c r="G32" s="346">
        <f t="shared" si="5"/>
        <v>1</v>
      </c>
      <c r="H32" s="428">
        <f t="shared" si="2"/>
        <v>825000</v>
      </c>
      <c r="I32" s="346" t="str">
        <f t="shared" si="3"/>
        <v>Hari Kerja</v>
      </c>
    </row>
    <row r="33" spans="2:13">
      <c r="B33" s="472" t="str">
        <f t="shared" si="1"/>
        <v>Thursday</v>
      </c>
      <c r="C33" s="473"/>
      <c r="D33" s="474">
        <f t="shared" si="4"/>
        <v>45253</v>
      </c>
      <c r="E33" s="475">
        <v>1</v>
      </c>
      <c r="F33" s="476">
        <f t="shared" si="0"/>
        <v>825000</v>
      </c>
      <c r="G33" s="475">
        <v>1</v>
      </c>
      <c r="H33" s="476">
        <f t="shared" si="2"/>
        <v>825000</v>
      </c>
      <c r="I33" s="475" t="str">
        <f t="shared" si="3"/>
        <v>Hari Kerja</v>
      </c>
    </row>
    <row r="34" spans="2:13">
      <c r="B34" s="447" t="str">
        <f t="shared" si="1"/>
        <v>Friday</v>
      </c>
      <c r="C34" s="449"/>
      <c r="D34" s="425">
        <f t="shared" si="4"/>
        <v>45254</v>
      </c>
      <c r="E34" s="346">
        <f t="shared" si="5"/>
        <v>1</v>
      </c>
      <c r="F34" s="428">
        <f t="shared" si="0"/>
        <v>825000</v>
      </c>
      <c r="G34" s="346">
        <f t="shared" si="5"/>
        <v>1</v>
      </c>
      <c r="H34" s="428">
        <f t="shared" si="2"/>
        <v>825000</v>
      </c>
      <c r="I34" s="346" t="str">
        <f t="shared" si="3"/>
        <v>Hari Kerja</v>
      </c>
    </row>
    <row r="35" spans="2:13">
      <c r="B35" s="447" t="str">
        <f t="shared" si="1"/>
        <v>Saturday</v>
      </c>
      <c r="C35" s="449"/>
      <c r="D35" s="425">
        <f t="shared" si="4"/>
        <v>45255</v>
      </c>
      <c r="E35" s="346">
        <f t="shared" si="5"/>
        <v>0</v>
      </c>
      <c r="F35" s="428">
        <f t="shared" si="0"/>
        <v>0</v>
      </c>
      <c r="G35" s="346">
        <f t="shared" si="5"/>
        <v>0</v>
      </c>
      <c r="H35" s="428">
        <f t="shared" si="2"/>
        <v>0</v>
      </c>
      <c r="I35" s="346" t="str">
        <f t="shared" si="3"/>
        <v>Hari Libur</v>
      </c>
    </row>
    <row r="36" spans="2:13">
      <c r="B36" s="447" t="str">
        <f t="shared" si="1"/>
        <v>Sunday</v>
      </c>
      <c r="C36" s="449"/>
      <c r="D36" s="425">
        <f t="shared" si="4"/>
        <v>45256</v>
      </c>
      <c r="E36" s="346">
        <f t="shared" si="5"/>
        <v>0</v>
      </c>
      <c r="F36" s="428">
        <f t="shared" si="0"/>
        <v>0</v>
      </c>
      <c r="G36" s="346">
        <f t="shared" si="5"/>
        <v>0</v>
      </c>
      <c r="H36" s="428">
        <f t="shared" si="2"/>
        <v>0</v>
      </c>
      <c r="I36" s="346" t="str">
        <f t="shared" si="3"/>
        <v>Hari Libur</v>
      </c>
    </row>
    <row r="37" spans="2:13">
      <c r="B37" s="447" t="str">
        <f t="shared" si="1"/>
        <v>Monday</v>
      </c>
      <c r="C37" s="449"/>
      <c r="D37" s="425">
        <f t="shared" si="4"/>
        <v>45257</v>
      </c>
      <c r="E37" s="346">
        <f t="shared" si="5"/>
        <v>1</v>
      </c>
      <c r="F37" s="428">
        <f t="shared" si="0"/>
        <v>825000</v>
      </c>
      <c r="G37" s="346">
        <f t="shared" si="5"/>
        <v>1</v>
      </c>
      <c r="H37" s="428">
        <f t="shared" si="2"/>
        <v>825000</v>
      </c>
      <c r="I37" s="346" t="str">
        <f t="shared" si="3"/>
        <v>Hari Kerja</v>
      </c>
    </row>
    <row r="38" spans="2:13">
      <c r="B38" s="472" t="str">
        <f t="shared" si="1"/>
        <v>Tuesday</v>
      </c>
      <c r="C38" s="473"/>
      <c r="D38" s="474">
        <f t="shared" si="4"/>
        <v>45258</v>
      </c>
      <c r="E38" s="475">
        <v>1</v>
      </c>
      <c r="F38" s="476">
        <f t="shared" si="0"/>
        <v>825000</v>
      </c>
      <c r="G38" s="475">
        <v>1</v>
      </c>
      <c r="H38" s="476">
        <f t="shared" si="2"/>
        <v>825000</v>
      </c>
      <c r="I38" s="475" t="str">
        <f t="shared" si="3"/>
        <v>Hari Kerja</v>
      </c>
      <c r="M38" s="424"/>
    </row>
    <row r="39" spans="2:13">
      <c r="B39" s="472" t="str">
        <f t="shared" si="1"/>
        <v>Wednesday</v>
      </c>
      <c r="C39" s="473"/>
      <c r="D39" s="474">
        <f t="shared" si="4"/>
        <v>45259</v>
      </c>
      <c r="E39" s="475">
        <v>1</v>
      </c>
      <c r="F39" s="476">
        <f t="shared" si="0"/>
        <v>825000</v>
      </c>
      <c r="G39" s="475">
        <v>1</v>
      </c>
      <c r="H39" s="476">
        <f t="shared" si="2"/>
        <v>825000</v>
      </c>
      <c r="I39" s="475" t="str">
        <f t="shared" si="3"/>
        <v>Hari Kerja</v>
      </c>
    </row>
    <row r="40" spans="2:13" ht="13.5" thickBot="1">
      <c r="B40" s="447" t="str">
        <f t="shared" si="1"/>
        <v>Thursday</v>
      </c>
      <c r="C40" s="449"/>
      <c r="D40" s="425">
        <f t="shared" si="4"/>
        <v>45260</v>
      </c>
      <c r="E40" s="346">
        <f t="shared" si="5"/>
        <v>1</v>
      </c>
      <c r="F40" s="428">
        <f t="shared" si="0"/>
        <v>825000</v>
      </c>
      <c r="G40" s="346">
        <f t="shared" si="5"/>
        <v>1</v>
      </c>
      <c r="H40" s="428">
        <f t="shared" si="2"/>
        <v>825000</v>
      </c>
      <c r="I40" s="346" t="str">
        <f t="shared" si="3"/>
        <v>Hari Kerja</v>
      </c>
    </row>
    <row r="41" spans="2:13" ht="13.5" thickTop="1">
      <c r="B41" s="742" t="s">
        <v>403</v>
      </c>
      <c r="C41" s="742"/>
      <c r="D41" s="742"/>
      <c r="E41" s="469">
        <f>SUM(E11:E40)</f>
        <v>22</v>
      </c>
      <c r="F41" s="430">
        <f>SUM(F11:F40)</f>
        <v>18150000</v>
      </c>
      <c r="G41" s="469">
        <f>SUM(G11:G40)</f>
        <v>22</v>
      </c>
      <c r="H41" s="430">
        <f>SUM(H11:H40)</f>
        <v>18150000</v>
      </c>
      <c r="I41" s="435"/>
    </row>
    <row r="42" spans="2:13" ht="15.75">
      <c r="B42" s="743" t="s">
        <v>404</v>
      </c>
      <c r="C42" s="744"/>
      <c r="D42" s="745"/>
      <c r="E42" s="746">
        <f>+F41+H41</f>
        <v>36300000</v>
      </c>
      <c r="F42" s="744"/>
      <c r="G42" s="744"/>
      <c r="H42" s="745"/>
      <c r="I42" s="436"/>
    </row>
    <row r="43" spans="2:13">
      <c r="B43" s="439"/>
      <c r="I43" s="440"/>
    </row>
    <row r="44" spans="2:13" ht="15.75">
      <c r="B44" s="455" t="s">
        <v>412</v>
      </c>
      <c r="I44" s="440"/>
    </row>
    <row r="45" spans="2:13" ht="15.75">
      <c r="B45" s="454" t="s">
        <v>413</v>
      </c>
      <c r="C45" s="763" t="s">
        <v>415</v>
      </c>
      <c r="D45" s="764"/>
      <c r="E45" s="763" t="s">
        <v>414</v>
      </c>
      <c r="F45" s="764"/>
      <c r="G45" s="763" t="s">
        <v>416</v>
      </c>
      <c r="H45" s="765"/>
      <c r="I45" s="764"/>
    </row>
    <row r="46" spans="2:13" ht="45" customHeight="1">
      <c r="B46" s="426" t="s">
        <v>417</v>
      </c>
      <c r="C46" s="732">
        <v>0.25</v>
      </c>
      <c r="D46" s="733"/>
      <c r="E46" s="732">
        <v>0.77083333333333337</v>
      </c>
      <c r="F46" s="733"/>
      <c r="G46" s="751" t="s">
        <v>420</v>
      </c>
      <c r="H46" s="752"/>
      <c r="I46" s="753"/>
    </row>
    <row r="47" spans="2:13" ht="45" customHeight="1">
      <c r="B47" s="426" t="s">
        <v>418</v>
      </c>
      <c r="C47" s="732">
        <v>0.6875</v>
      </c>
      <c r="D47" s="733"/>
      <c r="E47" s="732">
        <v>0.20833333333333334</v>
      </c>
      <c r="F47" s="733"/>
      <c r="G47" s="754"/>
      <c r="H47" s="755"/>
      <c r="I47" s="756"/>
    </row>
    <row r="48" spans="2:13">
      <c r="B48" s="439"/>
      <c r="I48" s="440"/>
    </row>
    <row r="49" spans="2:9">
      <c r="B49" s="439"/>
      <c r="I49" s="440"/>
    </row>
    <row r="50" spans="2:9">
      <c r="B50" s="446"/>
      <c r="C50" s="704" t="s">
        <v>409</v>
      </c>
      <c r="D50" s="705"/>
      <c r="E50" s="704" t="s">
        <v>408</v>
      </c>
      <c r="F50" s="705"/>
      <c r="G50" s="704" t="s">
        <v>407</v>
      </c>
      <c r="H50" s="705"/>
      <c r="I50" s="346" t="s">
        <v>406</v>
      </c>
    </row>
    <row r="51" spans="2:9">
      <c r="B51" s="446"/>
      <c r="C51" s="437"/>
      <c r="D51" s="438"/>
      <c r="E51" s="747"/>
      <c r="F51" s="748"/>
      <c r="G51" s="747"/>
      <c r="H51" s="748"/>
      <c r="I51" s="726"/>
    </row>
    <row r="52" spans="2:9">
      <c r="B52" s="446"/>
      <c r="C52" s="439"/>
      <c r="D52" s="440"/>
      <c r="E52" s="760"/>
      <c r="F52" s="761"/>
      <c r="G52" s="760"/>
      <c r="H52" s="761"/>
      <c r="I52" s="762"/>
    </row>
    <row r="53" spans="2:9">
      <c r="B53" s="446"/>
      <c r="C53" s="443"/>
      <c r="D53" s="444"/>
      <c r="E53" s="749"/>
      <c r="F53" s="750"/>
      <c r="G53" s="749"/>
      <c r="H53" s="750"/>
      <c r="I53" s="727"/>
    </row>
    <row r="54" spans="2:9" ht="15" customHeight="1">
      <c r="B54" s="446"/>
      <c r="C54" s="704" t="s">
        <v>114</v>
      </c>
      <c r="D54" s="705"/>
      <c r="E54" s="704" t="s">
        <v>113</v>
      </c>
      <c r="F54" s="705"/>
      <c r="G54" s="704" t="s">
        <v>112</v>
      </c>
      <c r="H54" s="705"/>
      <c r="I54" s="346" t="s">
        <v>410</v>
      </c>
    </row>
    <row r="55" spans="2:9">
      <c r="B55" s="431"/>
      <c r="C55" s="740" t="s">
        <v>411</v>
      </c>
      <c r="D55" s="741"/>
      <c r="E55" s="740" t="s">
        <v>132</v>
      </c>
      <c r="F55" s="741"/>
      <c r="G55" s="740" t="s">
        <v>132</v>
      </c>
      <c r="H55" s="741"/>
      <c r="I55" s="451" t="s">
        <v>132</v>
      </c>
    </row>
  </sheetData>
  <mergeCells count="31">
    <mergeCell ref="C55:D55"/>
    <mergeCell ref="E55:F55"/>
    <mergeCell ref="G55:H55"/>
    <mergeCell ref="E51:F53"/>
    <mergeCell ref="G51:H53"/>
    <mergeCell ref="I51:I53"/>
    <mergeCell ref="C54:D54"/>
    <mergeCell ref="E54:F54"/>
    <mergeCell ref="G54:H54"/>
    <mergeCell ref="C46:D46"/>
    <mergeCell ref="E46:F46"/>
    <mergeCell ref="G46:I47"/>
    <mergeCell ref="C47:D47"/>
    <mergeCell ref="E47:F47"/>
    <mergeCell ref="C50:D50"/>
    <mergeCell ref="E50:F50"/>
    <mergeCell ref="G50:H50"/>
    <mergeCell ref="B41:D41"/>
    <mergeCell ref="B42:D42"/>
    <mergeCell ref="E42:H42"/>
    <mergeCell ref="C45:D45"/>
    <mergeCell ref="E45:F45"/>
    <mergeCell ref="G45:I45"/>
    <mergeCell ref="B2:I2"/>
    <mergeCell ref="B3:I3"/>
    <mergeCell ref="B4:I4"/>
    <mergeCell ref="B9:C10"/>
    <mergeCell ref="D9:D10"/>
    <mergeCell ref="E9:F9"/>
    <mergeCell ref="G9:H9"/>
    <mergeCell ref="I9:I10"/>
  </mergeCells>
  <conditionalFormatting sqref="B11:C40">
    <cfRule type="containsText" dxfId="63" priority="8" operator="containsText" text="Saturday">
      <formula>NOT(ISERROR(SEARCH("Saturday",B11)))</formula>
    </cfRule>
    <cfRule type="containsText" dxfId="62" priority="9" operator="containsText" text="Sunday">
      <formula>NOT(ISERROR(SEARCH("Sunday",B11)))</formula>
    </cfRule>
  </conditionalFormatting>
  <conditionalFormatting sqref="E11:E40">
    <cfRule type="containsText" dxfId="61" priority="6" operator="containsText" text="0">
      <formula>NOT(ISERROR(SEARCH("0",E11)))</formula>
    </cfRule>
    <cfRule type="containsText" priority="7" operator="containsText" text="0">
      <formula>NOT(ISERROR(SEARCH("0",E11)))</formula>
    </cfRule>
  </conditionalFormatting>
  <conditionalFormatting sqref="G11:G40">
    <cfRule type="containsText" dxfId="60" priority="4" operator="containsText" text="0">
      <formula>NOT(ISERROR(SEARCH("0",G11)))</formula>
    </cfRule>
    <cfRule type="containsText" priority="5" operator="containsText" text="0">
      <formula>NOT(ISERROR(SEARCH("0",G11)))</formula>
    </cfRule>
  </conditionalFormatting>
  <conditionalFormatting sqref="I11:I40">
    <cfRule type="containsText" dxfId="59" priority="1" operator="containsText" text="Hari Libur">
      <formula>NOT(ISERROR(SEARCH("Hari Libur",I11)))</formula>
    </cfRule>
    <cfRule type="containsText" dxfId="58" priority="2" operator="containsText" text="0">
      <formula>NOT(ISERROR(SEARCH("0",I11)))</formula>
    </cfRule>
    <cfRule type="containsText" priority="3" operator="containsText" text="0">
      <formula>NOT(ISERROR(SEARCH("0",I11)))</formula>
    </cfRule>
  </conditionalFormatting>
  <printOptions horizontalCentered="1" verticalCentered="1"/>
  <pageMargins left="0" right="0" top="0" bottom="0" header="0" footer="0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showGridLines="0" topLeftCell="A37" workbookViewId="0">
      <selection activeCell="M15" sqref="M15"/>
    </sheetView>
  </sheetViews>
  <sheetFormatPr defaultRowHeight="12.75"/>
  <cols>
    <col min="1" max="1" width="1.7109375" style="349" customWidth="1"/>
    <col min="2" max="2" width="12.7109375" style="349" customWidth="1"/>
    <col min="3" max="3" width="5.7109375" style="349" customWidth="1"/>
    <col min="4" max="4" width="15.7109375" style="424" customWidth="1"/>
    <col min="5" max="5" width="7.7109375" style="479" customWidth="1"/>
    <col min="6" max="6" width="13.7109375" style="349" customWidth="1"/>
    <col min="7" max="7" width="7.7109375" style="349" customWidth="1"/>
    <col min="8" max="8" width="13.7109375" style="349" customWidth="1"/>
    <col min="9" max="9" width="20.7109375" style="349" customWidth="1"/>
    <col min="10" max="10" width="1.7109375" style="349" customWidth="1"/>
    <col min="11" max="16384" width="9.140625" style="349"/>
  </cols>
  <sheetData>
    <row r="2" spans="2:9">
      <c r="B2" s="719" t="s">
        <v>421</v>
      </c>
      <c r="C2" s="720"/>
      <c r="D2" s="720"/>
      <c r="E2" s="720"/>
      <c r="F2" s="720"/>
      <c r="G2" s="720"/>
      <c r="H2" s="720"/>
      <c r="I2" s="721"/>
    </row>
    <row r="3" spans="2:9" ht="20.100000000000001" customHeight="1">
      <c r="B3" s="734" t="s">
        <v>405</v>
      </c>
      <c r="C3" s="735"/>
      <c r="D3" s="735"/>
      <c r="E3" s="735"/>
      <c r="F3" s="735"/>
      <c r="G3" s="735"/>
      <c r="H3" s="735"/>
      <c r="I3" s="736"/>
    </row>
    <row r="4" spans="2:9" ht="15" customHeight="1">
      <c r="B4" s="737" t="s">
        <v>427</v>
      </c>
      <c r="C4" s="738"/>
      <c r="D4" s="738"/>
      <c r="E4" s="738"/>
      <c r="F4" s="738"/>
      <c r="G4" s="738"/>
      <c r="H4" s="738"/>
      <c r="I4" s="739"/>
    </row>
    <row r="5" spans="2:9" ht="9.9499999999999993" customHeight="1">
      <c r="B5" s="439"/>
      <c r="I5" s="440"/>
    </row>
    <row r="6" spans="2:9" ht="15.75">
      <c r="B6" s="445" t="s">
        <v>399</v>
      </c>
      <c r="C6" s="453" t="s">
        <v>175</v>
      </c>
      <c r="D6" s="452">
        <v>2023</v>
      </c>
      <c r="I6" s="440"/>
    </row>
    <row r="7" spans="2:9" ht="15.75">
      <c r="B7" s="445" t="s">
        <v>84</v>
      </c>
      <c r="C7" s="453" t="s">
        <v>175</v>
      </c>
      <c r="D7" s="452">
        <v>12</v>
      </c>
      <c r="I7" s="440"/>
    </row>
    <row r="8" spans="2:9" ht="9.9499999999999993" customHeight="1">
      <c r="B8" s="441"/>
      <c r="C8" s="442"/>
      <c r="D8" s="442"/>
      <c r="I8" s="440"/>
    </row>
    <row r="9" spans="2:9" ht="15" customHeight="1">
      <c r="B9" s="722" t="s">
        <v>2</v>
      </c>
      <c r="C9" s="723"/>
      <c r="D9" s="728" t="s">
        <v>3</v>
      </c>
      <c r="E9" s="729" t="s">
        <v>401</v>
      </c>
      <c r="F9" s="729"/>
      <c r="G9" s="729" t="s">
        <v>402</v>
      </c>
      <c r="H9" s="729"/>
      <c r="I9" s="729" t="s">
        <v>85</v>
      </c>
    </row>
    <row r="10" spans="2:9" s="423" customFormat="1" ht="20.100000000000001" customHeight="1">
      <c r="B10" s="724"/>
      <c r="C10" s="725"/>
      <c r="D10" s="728"/>
      <c r="E10" s="478" t="s">
        <v>400</v>
      </c>
      <c r="F10" s="478" t="s">
        <v>55</v>
      </c>
      <c r="G10" s="478" t="s">
        <v>400</v>
      </c>
      <c r="H10" s="478" t="s">
        <v>55</v>
      </c>
      <c r="I10" s="729"/>
    </row>
    <row r="11" spans="2:9">
      <c r="B11" s="447" t="str">
        <f>TEXT(D11,"aaaaaaa")</f>
        <v>Friday</v>
      </c>
      <c r="C11" s="449"/>
      <c r="D11" s="425">
        <f>+DATE(D6,D7,1)</f>
        <v>45261</v>
      </c>
      <c r="E11" s="346">
        <f t="shared" ref="E11:G40" si="0">IF($B11="Saturday",0,IF($B11="Sunday",0,1))</f>
        <v>1</v>
      </c>
      <c r="F11" s="428">
        <f t="shared" ref="F11:F14" si="1">IF(E11=1,825000,0)</f>
        <v>825000</v>
      </c>
      <c r="G11" s="346">
        <f t="shared" si="0"/>
        <v>1</v>
      </c>
      <c r="H11" s="428">
        <f t="shared" ref="H11:H14" si="2">IF(G11=1,825000,0)</f>
        <v>825000</v>
      </c>
      <c r="I11" s="346" t="str">
        <f t="shared" ref="I11:I40" si="3">IF($G11=1,"Hari Kerja","Hari Libur")</f>
        <v>Hari Kerja</v>
      </c>
    </row>
    <row r="12" spans="2:9">
      <c r="B12" s="447" t="str">
        <f t="shared" ref="B12:B40" si="4">TEXT(D12,"aaaaaaa")</f>
        <v>Saturday</v>
      </c>
      <c r="C12" s="449"/>
      <c r="D12" s="425">
        <f>D11+1</f>
        <v>45262</v>
      </c>
      <c r="E12" s="346">
        <f t="shared" si="0"/>
        <v>0</v>
      </c>
      <c r="F12" s="428">
        <f t="shared" si="1"/>
        <v>0</v>
      </c>
      <c r="G12" s="346">
        <f t="shared" si="0"/>
        <v>0</v>
      </c>
      <c r="H12" s="428">
        <f t="shared" si="2"/>
        <v>0</v>
      </c>
      <c r="I12" s="346" t="str">
        <f t="shared" si="3"/>
        <v>Hari Libur</v>
      </c>
    </row>
    <row r="13" spans="2:9">
      <c r="B13" s="447" t="str">
        <f t="shared" si="4"/>
        <v>Sunday</v>
      </c>
      <c r="C13" s="449"/>
      <c r="D13" s="425">
        <f t="shared" ref="D13:D40" si="5">D12+1</f>
        <v>45263</v>
      </c>
      <c r="E13" s="346">
        <f t="shared" si="0"/>
        <v>0</v>
      </c>
      <c r="F13" s="428">
        <f t="shared" si="1"/>
        <v>0</v>
      </c>
      <c r="G13" s="346">
        <f t="shared" si="0"/>
        <v>0</v>
      </c>
      <c r="H13" s="428">
        <f t="shared" si="2"/>
        <v>0</v>
      </c>
      <c r="I13" s="346" t="str">
        <f t="shared" si="3"/>
        <v>Hari Libur</v>
      </c>
    </row>
    <row r="14" spans="2:9">
      <c r="B14" s="447" t="str">
        <f t="shared" si="4"/>
        <v>Monday</v>
      </c>
      <c r="C14" s="449"/>
      <c r="D14" s="425">
        <f t="shared" si="5"/>
        <v>45264</v>
      </c>
      <c r="E14" s="346">
        <f t="shared" si="0"/>
        <v>1</v>
      </c>
      <c r="F14" s="428">
        <f t="shared" si="1"/>
        <v>825000</v>
      </c>
      <c r="G14" s="346">
        <f t="shared" si="0"/>
        <v>1</v>
      </c>
      <c r="H14" s="428">
        <f t="shared" si="2"/>
        <v>825000</v>
      </c>
      <c r="I14" s="346" t="str">
        <f t="shared" si="3"/>
        <v>Hari Kerja</v>
      </c>
    </row>
    <row r="15" spans="2:9">
      <c r="B15" s="447" t="str">
        <f t="shared" si="4"/>
        <v>Tuesday</v>
      </c>
      <c r="C15" s="449"/>
      <c r="D15" s="425">
        <f t="shared" si="5"/>
        <v>45265</v>
      </c>
      <c r="E15" s="346">
        <f t="shared" si="0"/>
        <v>1</v>
      </c>
      <c r="F15" s="428">
        <f t="shared" ref="F15" si="6">IF(E15=1,825000,0)</f>
        <v>825000</v>
      </c>
      <c r="G15" s="346">
        <f t="shared" si="0"/>
        <v>1</v>
      </c>
      <c r="H15" s="428">
        <f t="shared" ref="H15" si="7">IF(G15=1,825000,0)</f>
        <v>825000</v>
      </c>
      <c r="I15" s="346" t="str">
        <f t="shared" si="3"/>
        <v>Hari Kerja</v>
      </c>
    </row>
    <row r="16" spans="2:9">
      <c r="B16" s="447" t="str">
        <f t="shared" si="4"/>
        <v>Wednesday</v>
      </c>
      <c r="C16" s="449"/>
      <c r="D16" s="425">
        <f t="shared" si="5"/>
        <v>45266</v>
      </c>
      <c r="E16" s="346">
        <f t="shared" si="0"/>
        <v>1</v>
      </c>
      <c r="F16" s="428">
        <f t="shared" ref="F16:F34" si="8">IF(E16=1,825000,0)</f>
        <v>825000</v>
      </c>
      <c r="G16" s="346">
        <f t="shared" si="0"/>
        <v>1</v>
      </c>
      <c r="H16" s="428">
        <f t="shared" ref="H16:H34" si="9">IF(G16=1,825000,0)</f>
        <v>825000</v>
      </c>
      <c r="I16" s="346" t="str">
        <f t="shared" si="3"/>
        <v>Hari Kerja</v>
      </c>
    </row>
    <row r="17" spans="2:9">
      <c r="B17" s="447" t="str">
        <f t="shared" si="4"/>
        <v>Thursday</v>
      </c>
      <c r="C17" s="449"/>
      <c r="D17" s="425">
        <f t="shared" si="5"/>
        <v>45267</v>
      </c>
      <c r="E17" s="346">
        <f t="shared" si="0"/>
        <v>1</v>
      </c>
      <c r="F17" s="428">
        <f t="shared" si="8"/>
        <v>825000</v>
      </c>
      <c r="G17" s="346">
        <f t="shared" si="0"/>
        <v>1</v>
      </c>
      <c r="H17" s="428">
        <f t="shared" si="9"/>
        <v>825000</v>
      </c>
      <c r="I17" s="346" t="str">
        <f t="shared" si="3"/>
        <v>Hari Kerja</v>
      </c>
    </row>
    <row r="18" spans="2:9">
      <c r="B18" s="447" t="str">
        <f t="shared" si="4"/>
        <v>Friday</v>
      </c>
      <c r="C18" s="449"/>
      <c r="D18" s="425">
        <f t="shared" si="5"/>
        <v>45268</v>
      </c>
      <c r="E18" s="346">
        <f t="shared" si="0"/>
        <v>1</v>
      </c>
      <c r="F18" s="428">
        <f t="shared" si="8"/>
        <v>825000</v>
      </c>
      <c r="G18" s="346">
        <f t="shared" si="0"/>
        <v>1</v>
      </c>
      <c r="H18" s="428">
        <f t="shared" si="9"/>
        <v>825000</v>
      </c>
      <c r="I18" s="346" t="str">
        <f t="shared" si="3"/>
        <v>Hari Kerja</v>
      </c>
    </row>
    <row r="19" spans="2:9">
      <c r="B19" s="447" t="str">
        <f t="shared" si="4"/>
        <v>Saturday</v>
      </c>
      <c r="C19" s="449"/>
      <c r="D19" s="425">
        <f t="shared" si="5"/>
        <v>45269</v>
      </c>
      <c r="E19" s="346">
        <f t="shared" si="0"/>
        <v>0</v>
      </c>
      <c r="F19" s="428">
        <f t="shared" si="8"/>
        <v>0</v>
      </c>
      <c r="G19" s="346">
        <f t="shared" si="0"/>
        <v>0</v>
      </c>
      <c r="H19" s="428">
        <f t="shared" si="9"/>
        <v>0</v>
      </c>
      <c r="I19" s="346" t="str">
        <f t="shared" si="3"/>
        <v>Hari Libur</v>
      </c>
    </row>
    <row r="20" spans="2:9">
      <c r="B20" s="447" t="str">
        <f t="shared" si="4"/>
        <v>Sunday</v>
      </c>
      <c r="C20" s="449"/>
      <c r="D20" s="425">
        <f t="shared" si="5"/>
        <v>45270</v>
      </c>
      <c r="E20" s="346">
        <f t="shared" si="0"/>
        <v>0</v>
      </c>
      <c r="F20" s="428">
        <f t="shared" si="8"/>
        <v>0</v>
      </c>
      <c r="G20" s="346">
        <f t="shared" si="0"/>
        <v>0</v>
      </c>
      <c r="H20" s="428">
        <f t="shared" si="9"/>
        <v>0</v>
      </c>
      <c r="I20" s="346" t="str">
        <f t="shared" si="3"/>
        <v>Hari Libur</v>
      </c>
    </row>
    <row r="21" spans="2:9">
      <c r="B21" s="447" t="str">
        <f t="shared" si="4"/>
        <v>Monday</v>
      </c>
      <c r="C21" s="449"/>
      <c r="D21" s="425">
        <f t="shared" si="5"/>
        <v>45271</v>
      </c>
      <c r="E21" s="346">
        <f t="shared" si="0"/>
        <v>1</v>
      </c>
      <c r="F21" s="428">
        <f t="shared" si="8"/>
        <v>825000</v>
      </c>
      <c r="G21" s="346">
        <f t="shared" si="0"/>
        <v>1</v>
      </c>
      <c r="H21" s="428">
        <f t="shared" si="9"/>
        <v>825000</v>
      </c>
      <c r="I21" s="346" t="str">
        <f t="shared" si="3"/>
        <v>Hari Kerja</v>
      </c>
    </row>
    <row r="22" spans="2:9">
      <c r="B22" s="447" t="str">
        <f t="shared" si="4"/>
        <v>Tuesday</v>
      </c>
      <c r="C22" s="449"/>
      <c r="D22" s="425">
        <f t="shared" si="5"/>
        <v>45272</v>
      </c>
      <c r="E22" s="346">
        <f t="shared" si="0"/>
        <v>1</v>
      </c>
      <c r="F22" s="428">
        <f t="shared" si="8"/>
        <v>825000</v>
      </c>
      <c r="G22" s="346">
        <f t="shared" si="0"/>
        <v>1</v>
      </c>
      <c r="H22" s="428">
        <f t="shared" si="9"/>
        <v>825000</v>
      </c>
      <c r="I22" s="346" t="str">
        <f t="shared" si="3"/>
        <v>Hari Kerja</v>
      </c>
    </row>
    <row r="23" spans="2:9">
      <c r="B23" s="447" t="str">
        <f t="shared" si="4"/>
        <v>Wednesday</v>
      </c>
      <c r="C23" s="449"/>
      <c r="D23" s="425">
        <f t="shared" si="5"/>
        <v>45273</v>
      </c>
      <c r="E23" s="346">
        <f t="shared" si="0"/>
        <v>1</v>
      </c>
      <c r="F23" s="428">
        <f t="shared" si="8"/>
        <v>825000</v>
      </c>
      <c r="G23" s="346">
        <f t="shared" si="0"/>
        <v>1</v>
      </c>
      <c r="H23" s="428">
        <f t="shared" si="9"/>
        <v>825000</v>
      </c>
      <c r="I23" s="346" t="str">
        <f t="shared" si="3"/>
        <v>Hari Kerja</v>
      </c>
    </row>
    <row r="24" spans="2:9">
      <c r="B24" s="447" t="str">
        <f t="shared" si="4"/>
        <v>Thursday</v>
      </c>
      <c r="C24" s="449"/>
      <c r="D24" s="425">
        <f t="shared" si="5"/>
        <v>45274</v>
      </c>
      <c r="E24" s="346">
        <f t="shared" si="0"/>
        <v>1</v>
      </c>
      <c r="F24" s="428">
        <f t="shared" si="8"/>
        <v>825000</v>
      </c>
      <c r="G24" s="346">
        <f t="shared" si="0"/>
        <v>1</v>
      </c>
      <c r="H24" s="428">
        <f t="shared" si="9"/>
        <v>825000</v>
      </c>
      <c r="I24" s="346" t="str">
        <f t="shared" si="3"/>
        <v>Hari Kerja</v>
      </c>
    </row>
    <row r="25" spans="2:9">
      <c r="B25" s="447" t="str">
        <f t="shared" si="4"/>
        <v>Friday</v>
      </c>
      <c r="C25" s="449"/>
      <c r="D25" s="425">
        <f t="shared" si="5"/>
        <v>45275</v>
      </c>
      <c r="E25" s="346">
        <f t="shared" si="0"/>
        <v>1</v>
      </c>
      <c r="F25" s="428">
        <f t="shared" si="8"/>
        <v>825000</v>
      </c>
      <c r="G25" s="346">
        <f t="shared" si="0"/>
        <v>1</v>
      </c>
      <c r="H25" s="428">
        <f t="shared" si="9"/>
        <v>825000</v>
      </c>
      <c r="I25" s="346" t="str">
        <f t="shared" si="3"/>
        <v>Hari Kerja</v>
      </c>
    </row>
    <row r="26" spans="2:9">
      <c r="B26" s="447" t="str">
        <f t="shared" si="4"/>
        <v>Saturday</v>
      </c>
      <c r="C26" s="449"/>
      <c r="D26" s="425">
        <f t="shared" si="5"/>
        <v>45276</v>
      </c>
      <c r="E26" s="346">
        <f t="shared" si="0"/>
        <v>0</v>
      </c>
      <c r="F26" s="428">
        <f t="shared" si="8"/>
        <v>0</v>
      </c>
      <c r="G26" s="346">
        <f t="shared" si="0"/>
        <v>0</v>
      </c>
      <c r="H26" s="428">
        <f t="shared" si="9"/>
        <v>0</v>
      </c>
      <c r="I26" s="346" t="str">
        <f t="shared" si="3"/>
        <v>Hari Libur</v>
      </c>
    </row>
    <row r="27" spans="2:9">
      <c r="B27" s="447" t="str">
        <f t="shared" si="4"/>
        <v>Sunday</v>
      </c>
      <c r="C27" s="449"/>
      <c r="D27" s="425">
        <f t="shared" si="5"/>
        <v>45277</v>
      </c>
      <c r="E27" s="346">
        <f t="shared" si="0"/>
        <v>0</v>
      </c>
      <c r="F27" s="428">
        <f t="shared" si="8"/>
        <v>0</v>
      </c>
      <c r="G27" s="346">
        <f t="shared" si="0"/>
        <v>0</v>
      </c>
      <c r="H27" s="428">
        <f t="shared" si="9"/>
        <v>0</v>
      </c>
      <c r="I27" s="346" t="str">
        <f t="shared" si="3"/>
        <v>Hari Libur</v>
      </c>
    </row>
    <row r="28" spans="2:9">
      <c r="B28" s="447" t="str">
        <f t="shared" si="4"/>
        <v>Monday</v>
      </c>
      <c r="C28" s="449"/>
      <c r="D28" s="425">
        <f t="shared" si="5"/>
        <v>45278</v>
      </c>
      <c r="E28" s="346">
        <f t="shared" si="0"/>
        <v>1</v>
      </c>
      <c r="F28" s="428">
        <f t="shared" si="8"/>
        <v>825000</v>
      </c>
      <c r="G28" s="346">
        <f t="shared" si="0"/>
        <v>1</v>
      </c>
      <c r="H28" s="428">
        <f t="shared" si="9"/>
        <v>825000</v>
      </c>
      <c r="I28" s="346" t="str">
        <f t="shared" si="3"/>
        <v>Hari Kerja</v>
      </c>
    </row>
    <row r="29" spans="2:9">
      <c r="B29" s="447" t="str">
        <f t="shared" si="4"/>
        <v>Tuesday</v>
      </c>
      <c r="C29" s="449"/>
      <c r="D29" s="425">
        <f t="shared" si="5"/>
        <v>45279</v>
      </c>
      <c r="E29" s="346">
        <f t="shared" si="0"/>
        <v>1</v>
      </c>
      <c r="F29" s="428">
        <f t="shared" si="8"/>
        <v>825000</v>
      </c>
      <c r="G29" s="346">
        <f t="shared" si="0"/>
        <v>1</v>
      </c>
      <c r="H29" s="428">
        <f t="shared" si="9"/>
        <v>825000</v>
      </c>
      <c r="I29" s="346" t="str">
        <f t="shared" si="3"/>
        <v>Hari Kerja</v>
      </c>
    </row>
    <row r="30" spans="2:9">
      <c r="B30" s="447" t="str">
        <f t="shared" si="4"/>
        <v>Wednesday</v>
      </c>
      <c r="C30" s="449"/>
      <c r="D30" s="425">
        <f t="shared" si="5"/>
        <v>45280</v>
      </c>
      <c r="E30" s="346">
        <f t="shared" si="0"/>
        <v>1</v>
      </c>
      <c r="F30" s="428">
        <f t="shared" si="8"/>
        <v>825000</v>
      </c>
      <c r="G30" s="346">
        <f t="shared" si="0"/>
        <v>1</v>
      </c>
      <c r="H30" s="428">
        <f t="shared" si="9"/>
        <v>825000</v>
      </c>
      <c r="I30" s="346" t="str">
        <f t="shared" si="3"/>
        <v>Hari Kerja</v>
      </c>
    </row>
    <row r="31" spans="2:9">
      <c r="B31" s="447" t="str">
        <f t="shared" si="4"/>
        <v>Thursday</v>
      </c>
      <c r="C31" s="449"/>
      <c r="D31" s="425">
        <f t="shared" si="5"/>
        <v>45281</v>
      </c>
      <c r="E31" s="346">
        <f t="shared" si="0"/>
        <v>1</v>
      </c>
      <c r="F31" s="428">
        <f t="shared" si="8"/>
        <v>825000</v>
      </c>
      <c r="G31" s="346">
        <f t="shared" si="0"/>
        <v>1</v>
      </c>
      <c r="H31" s="428">
        <f t="shared" si="9"/>
        <v>825000</v>
      </c>
      <c r="I31" s="346" t="str">
        <f t="shared" si="3"/>
        <v>Hari Kerja</v>
      </c>
    </row>
    <row r="32" spans="2:9">
      <c r="B32" s="447" t="str">
        <f t="shared" si="4"/>
        <v>Friday</v>
      </c>
      <c r="C32" s="449"/>
      <c r="D32" s="425">
        <f t="shared" si="5"/>
        <v>45282</v>
      </c>
      <c r="E32" s="346">
        <f t="shared" si="0"/>
        <v>1</v>
      </c>
      <c r="F32" s="428">
        <f t="shared" si="8"/>
        <v>825000</v>
      </c>
      <c r="G32" s="346">
        <f t="shared" si="0"/>
        <v>1</v>
      </c>
      <c r="H32" s="428">
        <f t="shared" si="9"/>
        <v>825000</v>
      </c>
      <c r="I32" s="346" t="str">
        <f t="shared" si="3"/>
        <v>Hari Kerja</v>
      </c>
    </row>
    <row r="33" spans="2:13">
      <c r="B33" s="472" t="str">
        <f t="shared" si="4"/>
        <v>Saturday</v>
      </c>
      <c r="C33" s="473"/>
      <c r="D33" s="474">
        <f t="shared" si="5"/>
        <v>45283</v>
      </c>
      <c r="E33" s="346">
        <f t="shared" si="0"/>
        <v>0</v>
      </c>
      <c r="F33" s="428">
        <f t="shared" si="8"/>
        <v>0</v>
      </c>
      <c r="G33" s="346">
        <f t="shared" si="0"/>
        <v>0</v>
      </c>
      <c r="H33" s="428">
        <f t="shared" si="9"/>
        <v>0</v>
      </c>
      <c r="I33" s="346" t="str">
        <f t="shared" si="3"/>
        <v>Hari Libur</v>
      </c>
    </row>
    <row r="34" spans="2:13">
      <c r="B34" s="447" t="str">
        <f t="shared" si="4"/>
        <v>Sunday</v>
      </c>
      <c r="C34" s="449"/>
      <c r="D34" s="425">
        <f t="shared" si="5"/>
        <v>45284</v>
      </c>
      <c r="E34" s="346">
        <f t="shared" si="0"/>
        <v>0</v>
      </c>
      <c r="F34" s="428">
        <f t="shared" si="8"/>
        <v>0</v>
      </c>
      <c r="G34" s="346">
        <f t="shared" si="0"/>
        <v>0</v>
      </c>
      <c r="H34" s="428">
        <f t="shared" si="9"/>
        <v>0</v>
      </c>
      <c r="I34" s="346" t="str">
        <f t="shared" si="3"/>
        <v>Hari Libur</v>
      </c>
    </row>
    <row r="35" spans="2:13">
      <c r="B35" s="480" t="str">
        <f t="shared" si="4"/>
        <v>Monday</v>
      </c>
      <c r="C35" s="481"/>
      <c r="D35" s="482">
        <f t="shared" si="5"/>
        <v>45285</v>
      </c>
      <c r="E35" s="483">
        <v>0</v>
      </c>
      <c r="F35" s="484">
        <f t="shared" ref="F35:F40" si="10">IF(E35=1,825000,0)</f>
        <v>0</v>
      </c>
      <c r="G35" s="483">
        <v>0</v>
      </c>
      <c r="H35" s="484">
        <f t="shared" ref="H35:H40" si="11">IF(G35=1,825000,0)</f>
        <v>0</v>
      </c>
      <c r="I35" s="483" t="str">
        <f t="shared" si="3"/>
        <v>Hari Libur</v>
      </c>
    </row>
    <row r="36" spans="2:13">
      <c r="B36" s="480" t="str">
        <f t="shared" si="4"/>
        <v>Tuesday</v>
      </c>
      <c r="C36" s="481"/>
      <c r="D36" s="482">
        <f t="shared" si="5"/>
        <v>45286</v>
      </c>
      <c r="E36" s="483">
        <v>0</v>
      </c>
      <c r="F36" s="484">
        <f t="shared" si="10"/>
        <v>0</v>
      </c>
      <c r="G36" s="483">
        <v>0</v>
      </c>
      <c r="H36" s="484">
        <f t="shared" si="11"/>
        <v>0</v>
      </c>
      <c r="I36" s="483" t="str">
        <f t="shared" si="3"/>
        <v>Hari Libur</v>
      </c>
    </row>
    <row r="37" spans="2:13">
      <c r="B37" s="447" t="str">
        <f t="shared" si="4"/>
        <v>Wednesday</v>
      </c>
      <c r="C37" s="449"/>
      <c r="D37" s="425">
        <f t="shared" si="5"/>
        <v>45287</v>
      </c>
      <c r="E37" s="346">
        <f t="shared" si="0"/>
        <v>1</v>
      </c>
      <c r="F37" s="428">
        <f t="shared" si="10"/>
        <v>825000</v>
      </c>
      <c r="G37" s="346">
        <f t="shared" si="0"/>
        <v>1</v>
      </c>
      <c r="H37" s="428">
        <f t="shared" si="11"/>
        <v>825000</v>
      </c>
      <c r="I37" s="346" t="str">
        <f t="shared" si="3"/>
        <v>Hari Kerja</v>
      </c>
    </row>
    <row r="38" spans="2:13">
      <c r="B38" s="472" t="str">
        <f t="shared" si="4"/>
        <v>Thursday</v>
      </c>
      <c r="C38" s="473"/>
      <c r="D38" s="474">
        <f t="shared" si="5"/>
        <v>45288</v>
      </c>
      <c r="E38" s="346">
        <f t="shared" si="0"/>
        <v>1</v>
      </c>
      <c r="F38" s="428">
        <f t="shared" si="10"/>
        <v>825000</v>
      </c>
      <c r="G38" s="346">
        <f t="shared" si="0"/>
        <v>1</v>
      </c>
      <c r="H38" s="428">
        <f t="shared" si="11"/>
        <v>825000</v>
      </c>
      <c r="I38" s="346" t="str">
        <f t="shared" si="3"/>
        <v>Hari Kerja</v>
      </c>
      <c r="M38" s="424"/>
    </row>
    <row r="39" spans="2:13">
      <c r="B39" s="472" t="str">
        <f t="shared" si="4"/>
        <v>Friday</v>
      </c>
      <c r="C39" s="473"/>
      <c r="D39" s="474">
        <f t="shared" si="5"/>
        <v>45289</v>
      </c>
      <c r="E39" s="346">
        <f t="shared" si="0"/>
        <v>1</v>
      </c>
      <c r="F39" s="428">
        <f t="shared" si="10"/>
        <v>825000</v>
      </c>
      <c r="G39" s="346">
        <f t="shared" si="0"/>
        <v>1</v>
      </c>
      <c r="H39" s="428">
        <f t="shared" si="11"/>
        <v>825000</v>
      </c>
      <c r="I39" s="346" t="str">
        <f t="shared" si="3"/>
        <v>Hari Kerja</v>
      </c>
    </row>
    <row r="40" spans="2:13" ht="13.5" thickBot="1">
      <c r="B40" s="447" t="str">
        <f t="shared" si="4"/>
        <v>Saturday</v>
      </c>
      <c r="C40" s="449"/>
      <c r="D40" s="425">
        <f t="shared" si="5"/>
        <v>45290</v>
      </c>
      <c r="E40" s="346">
        <f t="shared" si="0"/>
        <v>0</v>
      </c>
      <c r="F40" s="428">
        <f t="shared" si="10"/>
        <v>0</v>
      </c>
      <c r="G40" s="346">
        <f t="shared" si="0"/>
        <v>0</v>
      </c>
      <c r="H40" s="428">
        <f t="shared" si="11"/>
        <v>0</v>
      </c>
      <c r="I40" s="346" t="str">
        <f t="shared" si="3"/>
        <v>Hari Libur</v>
      </c>
    </row>
    <row r="41" spans="2:13" ht="13.5" thickTop="1">
      <c r="B41" s="742" t="s">
        <v>403</v>
      </c>
      <c r="C41" s="742"/>
      <c r="D41" s="742"/>
      <c r="E41" s="477">
        <f>SUM(E11:E40)</f>
        <v>19</v>
      </c>
      <c r="F41" s="430">
        <f>SUM(F11:F40)</f>
        <v>15675000</v>
      </c>
      <c r="G41" s="477">
        <f>SUM(G11:G40)</f>
        <v>19</v>
      </c>
      <c r="H41" s="430">
        <f>SUM(H11:H40)</f>
        <v>15675000</v>
      </c>
      <c r="I41" s="435"/>
    </row>
    <row r="42" spans="2:13" ht="15.75">
      <c r="B42" s="743" t="s">
        <v>404</v>
      </c>
      <c r="C42" s="744"/>
      <c r="D42" s="745"/>
      <c r="E42" s="746">
        <f>+F41+H41</f>
        <v>31350000</v>
      </c>
      <c r="F42" s="744"/>
      <c r="G42" s="744"/>
      <c r="H42" s="745"/>
      <c r="I42" s="436"/>
    </row>
    <row r="43" spans="2:13">
      <c r="B43" s="439"/>
      <c r="I43" s="440"/>
    </row>
    <row r="44" spans="2:13" ht="15.75">
      <c r="B44" s="455" t="s">
        <v>412</v>
      </c>
      <c r="I44" s="440"/>
    </row>
    <row r="45" spans="2:13" ht="15.75">
      <c r="B45" s="454" t="s">
        <v>413</v>
      </c>
      <c r="C45" s="763" t="s">
        <v>415</v>
      </c>
      <c r="D45" s="764"/>
      <c r="E45" s="763" t="s">
        <v>414</v>
      </c>
      <c r="F45" s="764"/>
      <c r="G45" s="763" t="s">
        <v>416</v>
      </c>
      <c r="H45" s="765"/>
      <c r="I45" s="764"/>
    </row>
    <row r="46" spans="2:13" ht="45" customHeight="1">
      <c r="B46" s="426" t="s">
        <v>417</v>
      </c>
      <c r="C46" s="732">
        <v>0.25</v>
      </c>
      <c r="D46" s="733"/>
      <c r="E46" s="732">
        <v>0.77083333333333337</v>
      </c>
      <c r="F46" s="733"/>
      <c r="G46" s="751" t="s">
        <v>420</v>
      </c>
      <c r="H46" s="752"/>
      <c r="I46" s="753"/>
    </row>
    <row r="47" spans="2:13" ht="45" customHeight="1">
      <c r="B47" s="426" t="s">
        <v>418</v>
      </c>
      <c r="C47" s="732">
        <v>0.6875</v>
      </c>
      <c r="D47" s="733"/>
      <c r="E47" s="732">
        <v>0.20833333333333334</v>
      </c>
      <c r="F47" s="733"/>
      <c r="G47" s="754"/>
      <c r="H47" s="755"/>
      <c r="I47" s="756"/>
    </row>
    <row r="48" spans="2:13">
      <c r="B48" s="439"/>
      <c r="I48" s="440"/>
    </row>
    <row r="49" spans="2:9">
      <c r="B49" s="439"/>
      <c r="I49" s="440"/>
    </row>
    <row r="50" spans="2:9">
      <c r="B50" s="446"/>
      <c r="C50" s="704" t="s">
        <v>409</v>
      </c>
      <c r="D50" s="705"/>
      <c r="E50" s="704" t="s">
        <v>408</v>
      </c>
      <c r="F50" s="705"/>
      <c r="G50" s="704" t="s">
        <v>407</v>
      </c>
      <c r="H50" s="705"/>
      <c r="I50" s="346" t="s">
        <v>406</v>
      </c>
    </row>
    <row r="51" spans="2:9">
      <c r="B51" s="446"/>
      <c r="C51" s="437"/>
      <c r="D51" s="438"/>
      <c r="E51" s="747"/>
      <c r="F51" s="748"/>
      <c r="G51" s="747"/>
      <c r="H51" s="748"/>
      <c r="I51" s="726"/>
    </row>
    <row r="52" spans="2:9">
      <c r="B52" s="446"/>
      <c r="C52" s="439"/>
      <c r="D52" s="440"/>
      <c r="E52" s="760"/>
      <c r="F52" s="761"/>
      <c r="G52" s="760"/>
      <c r="H52" s="761"/>
      <c r="I52" s="762"/>
    </row>
    <row r="53" spans="2:9">
      <c r="B53" s="446"/>
      <c r="C53" s="443"/>
      <c r="D53" s="444"/>
      <c r="E53" s="749"/>
      <c r="F53" s="750"/>
      <c r="G53" s="749"/>
      <c r="H53" s="750"/>
      <c r="I53" s="727"/>
    </row>
    <row r="54" spans="2:9" ht="15" customHeight="1">
      <c r="B54" s="446"/>
      <c r="C54" s="704" t="s">
        <v>114</v>
      </c>
      <c r="D54" s="705"/>
      <c r="E54" s="704" t="s">
        <v>113</v>
      </c>
      <c r="F54" s="705"/>
      <c r="G54" s="704" t="s">
        <v>112</v>
      </c>
      <c r="H54" s="705"/>
      <c r="I54" s="346" t="s">
        <v>410</v>
      </c>
    </row>
    <row r="55" spans="2:9">
      <c r="B55" s="431"/>
      <c r="C55" s="740" t="s">
        <v>411</v>
      </c>
      <c r="D55" s="741"/>
      <c r="E55" s="740" t="s">
        <v>132</v>
      </c>
      <c r="F55" s="741"/>
      <c r="G55" s="740" t="s">
        <v>132</v>
      </c>
      <c r="H55" s="741"/>
      <c r="I55" s="451" t="s">
        <v>428</v>
      </c>
    </row>
  </sheetData>
  <mergeCells count="31">
    <mergeCell ref="B2:I2"/>
    <mergeCell ref="B3:I3"/>
    <mergeCell ref="B4:I4"/>
    <mergeCell ref="B9:C10"/>
    <mergeCell ref="D9:D10"/>
    <mergeCell ref="E9:F9"/>
    <mergeCell ref="G9:H9"/>
    <mergeCell ref="I9:I10"/>
    <mergeCell ref="B41:D41"/>
    <mergeCell ref="B42:D42"/>
    <mergeCell ref="E42:H42"/>
    <mergeCell ref="C45:D45"/>
    <mergeCell ref="E45:F45"/>
    <mergeCell ref="G45:I45"/>
    <mergeCell ref="I51:I53"/>
    <mergeCell ref="C54:D54"/>
    <mergeCell ref="E54:F54"/>
    <mergeCell ref="G54:H54"/>
    <mergeCell ref="C46:D46"/>
    <mergeCell ref="E46:F46"/>
    <mergeCell ref="G46:I47"/>
    <mergeCell ref="C47:D47"/>
    <mergeCell ref="E47:F47"/>
    <mergeCell ref="C50:D50"/>
    <mergeCell ref="E50:F50"/>
    <mergeCell ref="G50:H50"/>
    <mergeCell ref="C55:D55"/>
    <mergeCell ref="E55:F55"/>
    <mergeCell ref="G55:H55"/>
    <mergeCell ref="E51:F53"/>
    <mergeCell ref="G51:H53"/>
  </mergeCells>
  <conditionalFormatting sqref="B11:C40">
    <cfRule type="containsText" dxfId="57" priority="29" operator="containsText" text="Saturday">
      <formula>NOT(ISERROR(SEARCH("Saturday",B11)))</formula>
    </cfRule>
    <cfRule type="containsText" dxfId="56" priority="30" operator="containsText" text="Sunday">
      <formula>NOT(ISERROR(SEARCH("Sunday",B11)))</formula>
    </cfRule>
  </conditionalFormatting>
  <conditionalFormatting sqref="E11:E34">
    <cfRule type="containsText" dxfId="55" priority="27" operator="containsText" text="0">
      <formula>NOT(ISERROR(SEARCH("0",E11)))</formula>
    </cfRule>
    <cfRule type="containsText" priority="28" operator="containsText" text="0">
      <formula>NOT(ISERROR(SEARCH("0",E11)))</formula>
    </cfRule>
  </conditionalFormatting>
  <conditionalFormatting sqref="G11:G34">
    <cfRule type="containsText" dxfId="54" priority="25" operator="containsText" text="0">
      <formula>NOT(ISERROR(SEARCH("0",G11)))</formula>
    </cfRule>
    <cfRule type="containsText" priority="26" operator="containsText" text="0">
      <formula>NOT(ISERROR(SEARCH("0",G11)))</formula>
    </cfRule>
  </conditionalFormatting>
  <conditionalFormatting sqref="I11:I34">
    <cfRule type="containsText" dxfId="53" priority="22" operator="containsText" text="Hari Libur">
      <formula>NOT(ISERROR(SEARCH("Hari Libur",I11)))</formula>
    </cfRule>
    <cfRule type="containsText" dxfId="52" priority="23" operator="containsText" text="0">
      <formula>NOT(ISERROR(SEARCH("0",I11)))</formula>
    </cfRule>
    <cfRule type="containsText" priority="24" operator="containsText" text="0">
      <formula>NOT(ISERROR(SEARCH("0",I11)))</formula>
    </cfRule>
  </conditionalFormatting>
  <conditionalFormatting sqref="E33">
    <cfRule type="containsText" dxfId="51" priority="20" operator="containsText" text="0">
      <formula>NOT(ISERROR(SEARCH("0",E33)))</formula>
    </cfRule>
    <cfRule type="containsText" priority="21" operator="containsText" text="0">
      <formula>NOT(ISERROR(SEARCH("0",E33)))</formula>
    </cfRule>
  </conditionalFormatting>
  <conditionalFormatting sqref="G33">
    <cfRule type="containsText" dxfId="50" priority="18" operator="containsText" text="0">
      <formula>NOT(ISERROR(SEARCH("0",G33)))</formula>
    </cfRule>
    <cfRule type="containsText" priority="19" operator="containsText" text="0">
      <formula>NOT(ISERROR(SEARCH("0",G33)))</formula>
    </cfRule>
  </conditionalFormatting>
  <conditionalFormatting sqref="I33">
    <cfRule type="containsText" dxfId="49" priority="15" operator="containsText" text="Hari Libur">
      <formula>NOT(ISERROR(SEARCH("Hari Libur",I33)))</formula>
    </cfRule>
    <cfRule type="containsText" dxfId="48" priority="16" operator="containsText" text="0">
      <formula>NOT(ISERROR(SEARCH("0",I33)))</formula>
    </cfRule>
    <cfRule type="containsText" priority="17" operator="containsText" text="0">
      <formula>NOT(ISERROR(SEARCH("0",I33)))</formula>
    </cfRule>
  </conditionalFormatting>
  <conditionalFormatting sqref="E35:E36">
    <cfRule type="containsText" dxfId="47" priority="13" operator="containsText" text="0">
      <formula>NOT(ISERROR(SEARCH("0",E35)))</formula>
    </cfRule>
    <cfRule type="containsText" priority="14" operator="containsText" text="0">
      <formula>NOT(ISERROR(SEARCH("0",E35)))</formula>
    </cfRule>
  </conditionalFormatting>
  <conditionalFormatting sqref="G35:G36">
    <cfRule type="containsText" dxfId="46" priority="11" operator="containsText" text="0">
      <formula>NOT(ISERROR(SEARCH("0",G35)))</formula>
    </cfRule>
    <cfRule type="containsText" priority="12" operator="containsText" text="0">
      <formula>NOT(ISERROR(SEARCH("0",G35)))</formula>
    </cfRule>
  </conditionalFormatting>
  <conditionalFormatting sqref="I35:I36">
    <cfRule type="containsText" dxfId="45" priority="8" operator="containsText" text="Hari Libur">
      <formula>NOT(ISERROR(SEARCH("Hari Libur",I35)))</formula>
    </cfRule>
    <cfRule type="containsText" dxfId="44" priority="9" operator="containsText" text="0">
      <formula>NOT(ISERROR(SEARCH("0",I35)))</formula>
    </cfRule>
    <cfRule type="containsText" priority="10" operator="containsText" text="0">
      <formula>NOT(ISERROR(SEARCH("0",I35)))</formula>
    </cfRule>
  </conditionalFormatting>
  <conditionalFormatting sqref="E37:E40">
    <cfRule type="containsText" dxfId="43" priority="6" operator="containsText" text="0">
      <formula>NOT(ISERROR(SEARCH("0",E37)))</formula>
    </cfRule>
    <cfRule type="containsText" priority="7" operator="containsText" text="0">
      <formula>NOT(ISERROR(SEARCH("0",E37)))</formula>
    </cfRule>
  </conditionalFormatting>
  <conditionalFormatting sqref="G37:G40">
    <cfRule type="containsText" dxfId="42" priority="4" operator="containsText" text="0">
      <formula>NOT(ISERROR(SEARCH("0",G37)))</formula>
    </cfRule>
    <cfRule type="containsText" priority="5" operator="containsText" text="0">
      <formula>NOT(ISERROR(SEARCH("0",G37)))</formula>
    </cfRule>
  </conditionalFormatting>
  <conditionalFormatting sqref="I37:I40">
    <cfRule type="containsText" dxfId="41" priority="1" operator="containsText" text="Hari Libur">
      <formula>NOT(ISERROR(SEARCH("Hari Libur",I37)))</formula>
    </cfRule>
    <cfRule type="containsText" dxfId="40" priority="2" operator="containsText" text="0">
      <formula>NOT(ISERROR(SEARCH("0",I37)))</formula>
    </cfRule>
    <cfRule type="containsText" priority="3" operator="containsText" text="0">
      <formula>NOT(ISERROR(SEARCH("0",I37)))</formula>
    </cfRule>
  </conditionalFormatting>
  <printOptions horizontalCentered="1" verticalCentered="1"/>
  <pageMargins left="0" right="0" top="0" bottom="0" header="0" footer="0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6"/>
  <sheetViews>
    <sheetView showGridLines="0" workbookViewId="0">
      <selection activeCell="O18" sqref="O18"/>
    </sheetView>
  </sheetViews>
  <sheetFormatPr defaultRowHeight="12.75"/>
  <cols>
    <col min="1" max="1" width="1.7109375" style="349" customWidth="1"/>
    <col min="2" max="2" width="12.7109375" style="349" customWidth="1"/>
    <col min="3" max="3" width="5.7109375" style="349" customWidth="1"/>
    <col min="4" max="4" width="15.7109375" style="424" customWidth="1"/>
    <col min="5" max="5" width="7.7109375" style="487" customWidth="1"/>
    <col min="6" max="6" width="13.7109375" style="349" customWidth="1"/>
    <col min="7" max="7" width="7.7109375" style="349" customWidth="1"/>
    <col min="8" max="8" width="13.7109375" style="349" customWidth="1"/>
    <col min="9" max="9" width="20.7109375" style="349" customWidth="1"/>
    <col min="10" max="10" width="1.7109375" style="349" customWidth="1"/>
    <col min="11" max="16384" width="9.140625" style="349"/>
  </cols>
  <sheetData>
    <row r="2" spans="2:9">
      <c r="B2" s="719" t="s">
        <v>421</v>
      </c>
      <c r="C2" s="720"/>
      <c r="D2" s="720"/>
      <c r="E2" s="720"/>
      <c r="F2" s="720"/>
      <c r="G2" s="720"/>
      <c r="H2" s="720"/>
      <c r="I2" s="721"/>
    </row>
    <row r="3" spans="2:9" ht="20.100000000000001" customHeight="1">
      <c r="B3" s="734" t="s">
        <v>405</v>
      </c>
      <c r="C3" s="735"/>
      <c r="D3" s="735"/>
      <c r="E3" s="735"/>
      <c r="F3" s="735"/>
      <c r="G3" s="735"/>
      <c r="H3" s="735"/>
      <c r="I3" s="736"/>
    </row>
    <row r="4" spans="2:9" ht="15" customHeight="1">
      <c r="B4" s="737" t="s">
        <v>430</v>
      </c>
      <c r="C4" s="738"/>
      <c r="D4" s="738"/>
      <c r="E4" s="738"/>
      <c r="F4" s="738"/>
      <c r="G4" s="738"/>
      <c r="H4" s="738"/>
      <c r="I4" s="739"/>
    </row>
    <row r="5" spans="2:9" ht="9.9499999999999993" customHeight="1">
      <c r="B5" s="439"/>
      <c r="I5" s="440"/>
    </row>
    <row r="6" spans="2:9" ht="15.75">
      <c r="B6" s="445" t="s">
        <v>399</v>
      </c>
      <c r="C6" s="453" t="s">
        <v>175</v>
      </c>
      <c r="D6" s="452">
        <v>2024</v>
      </c>
      <c r="I6" s="440"/>
    </row>
    <row r="7" spans="2:9" ht="15.75">
      <c r="B7" s="445" t="s">
        <v>84</v>
      </c>
      <c r="C7" s="453" t="s">
        <v>175</v>
      </c>
      <c r="D7" s="452">
        <v>1</v>
      </c>
      <c r="I7" s="440"/>
    </row>
    <row r="8" spans="2:9" ht="9.9499999999999993" customHeight="1">
      <c r="B8" s="441"/>
      <c r="C8" s="442"/>
      <c r="D8" s="442"/>
      <c r="I8" s="440"/>
    </row>
    <row r="9" spans="2:9" ht="15" customHeight="1">
      <c r="B9" s="722" t="s">
        <v>2</v>
      </c>
      <c r="C9" s="723"/>
      <c r="D9" s="728" t="s">
        <v>3</v>
      </c>
      <c r="E9" s="729" t="s">
        <v>401</v>
      </c>
      <c r="F9" s="729"/>
      <c r="G9" s="729" t="s">
        <v>402</v>
      </c>
      <c r="H9" s="729"/>
      <c r="I9" s="729" t="s">
        <v>85</v>
      </c>
    </row>
    <row r="10" spans="2:9" s="423" customFormat="1" ht="20.100000000000001" customHeight="1">
      <c r="B10" s="724"/>
      <c r="C10" s="725"/>
      <c r="D10" s="728"/>
      <c r="E10" s="486" t="s">
        <v>400</v>
      </c>
      <c r="F10" s="486" t="s">
        <v>55</v>
      </c>
      <c r="G10" s="486" t="s">
        <v>400</v>
      </c>
      <c r="H10" s="486" t="s">
        <v>55</v>
      </c>
      <c r="I10" s="729"/>
    </row>
    <row r="11" spans="2:9">
      <c r="B11" s="480" t="str">
        <f>TEXT(D11,"aaaaaaa")</f>
        <v>Monday</v>
      </c>
      <c r="C11" s="481"/>
      <c r="D11" s="482">
        <f>+DATE(D6,D7,1)</f>
        <v>45292</v>
      </c>
      <c r="E11" s="483">
        <v>0</v>
      </c>
      <c r="F11" s="484">
        <f t="shared" ref="F11:F39" si="0">IF(E11=1,825000,0)</f>
        <v>0</v>
      </c>
      <c r="G11" s="483">
        <v>0</v>
      </c>
      <c r="H11" s="484">
        <f t="shared" ref="H11:H39" si="1">IF(G11=1,825000,0)</f>
        <v>0</v>
      </c>
      <c r="I11" s="483" t="str">
        <f t="shared" ref="I11:I41" si="2">IF($G11=1,"Hari Kerja","Hari Libur")</f>
        <v>Hari Libur</v>
      </c>
    </row>
    <row r="12" spans="2:9">
      <c r="B12" s="447" t="str">
        <f t="shared" ref="B12:B41" si="3">TEXT(D12,"aaaaaaa")</f>
        <v>Tuesday</v>
      </c>
      <c r="C12" s="449"/>
      <c r="D12" s="425">
        <f>D11+1</f>
        <v>45293</v>
      </c>
      <c r="E12" s="346">
        <f t="shared" ref="E12:G41" si="4">IF($B12="Saturday",0,IF($B12="Sunday",0,1))</f>
        <v>1</v>
      </c>
      <c r="F12" s="428">
        <f t="shared" si="0"/>
        <v>825000</v>
      </c>
      <c r="G12" s="346">
        <f t="shared" si="4"/>
        <v>1</v>
      </c>
      <c r="H12" s="428">
        <f t="shared" si="1"/>
        <v>825000</v>
      </c>
      <c r="I12" s="346" t="str">
        <f t="shared" si="2"/>
        <v>Hari Kerja</v>
      </c>
    </row>
    <row r="13" spans="2:9">
      <c r="B13" s="447" t="str">
        <f t="shared" si="3"/>
        <v>Wednesday</v>
      </c>
      <c r="C13" s="449"/>
      <c r="D13" s="425">
        <f t="shared" ref="D13:D41" si="5">D12+1</f>
        <v>45294</v>
      </c>
      <c r="E13" s="346">
        <f t="shared" si="4"/>
        <v>1</v>
      </c>
      <c r="F13" s="428">
        <f t="shared" si="0"/>
        <v>825000</v>
      </c>
      <c r="G13" s="346">
        <f t="shared" si="4"/>
        <v>1</v>
      </c>
      <c r="H13" s="428">
        <f t="shared" si="1"/>
        <v>825000</v>
      </c>
      <c r="I13" s="346" t="str">
        <f t="shared" si="2"/>
        <v>Hari Kerja</v>
      </c>
    </row>
    <row r="14" spans="2:9">
      <c r="B14" s="447" t="str">
        <f t="shared" si="3"/>
        <v>Thursday</v>
      </c>
      <c r="C14" s="449"/>
      <c r="D14" s="425">
        <f t="shared" si="5"/>
        <v>45295</v>
      </c>
      <c r="E14" s="346">
        <f t="shared" si="4"/>
        <v>1</v>
      </c>
      <c r="F14" s="428">
        <f t="shared" si="0"/>
        <v>825000</v>
      </c>
      <c r="G14" s="346">
        <f t="shared" si="4"/>
        <v>1</v>
      </c>
      <c r="H14" s="428">
        <f t="shared" si="1"/>
        <v>825000</v>
      </c>
      <c r="I14" s="346" t="str">
        <f t="shared" si="2"/>
        <v>Hari Kerja</v>
      </c>
    </row>
    <row r="15" spans="2:9">
      <c r="B15" s="447" t="str">
        <f t="shared" si="3"/>
        <v>Friday</v>
      </c>
      <c r="C15" s="449"/>
      <c r="D15" s="425">
        <f t="shared" si="5"/>
        <v>45296</v>
      </c>
      <c r="E15" s="346">
        <f t="shared" si="4"/>
        <v>1</v>
      </c>
      <c r="F15" s="428">
        <f t="shared" si="0"/>
        <v>825000</v>
      </c>
      <c r="G15" s="346">
        <f t="shared" si="4"/>
        <v>1</v>
      </c>
      <c r="H15" s="428">
        <f t="shared" si="1"/>
        <v>825000</v>
      </c>
      <c r="I15" s="346" t="str">
        <f t="shared" si="2"/>
        <v>Hari Kerja</v>
      </c>
    </row>
    <row r="16" spans="2:9">
      <c r="B16" s="447" t="str">
        <f t="shared" si="3"/>
        <v>Saturday</v>
      </c>
      <c r="C16" s="449"/>
      <c r="D16" s="425">
        <f t="shared" si="5"/>
        <v>45297</v>
      </c>
      <c r="E16" s="346">
        <f t="shared" si="4"/>
        <v>0</v>
      </c>
      <c r="F16" s="428">
        <f t="shared" si="0"/>
        <v>0</v>
      </c>
      <c r="G16" s="346">
        <f t="shared" si="4"/>
        <v>0</v>
      </c>
      <c r="H16" s="428">
        <f t="shared" si="1"/>
        <v>0</v>
      </c>
      <c r="I16" s="346" t="str">
        <f t="shared" si="2"/>
        <v>Hari Libur</v>
      </c>
    </row>
    <row r="17" spans="2:9">
      <c r="B17" s="447" t="str">
        <f t="shared" si="3"/>
        <v>Sunday</v>
      </c>
      <c r="C17" s="449"/>
      <c r="D17" s="425">
        <f t="shared" si="5"/>
        <v>45298</v>
      </c>
      <c r="E17" s="346">
        <f t="shared" si="4"/>
        <v>0</v>
      </c>
      <c r="F17" s="428">
        <f t="shared" si="0"/>
        <v>0</v>
      </c>
      <c r="G17" s="346">
        <f t="shared" si="4"/>
        <v>0</v>
      </c>
      <c r="H17" s="428">
        <f t="shared" si="1"/>
        <v>0</v>
      </c>
      <c r="I17" s="346" t="str">
        <f t="shared" si="2"/>
        <v>Hari Libur</v>
      </c>
    </row>
    <row r="18" spans="2:9">
      <c r="B18" s="447" t="str">
        <f t="shared" si="3"/>
        <v>Monday</v>
      </c>
      <c r="C18" s="449"/>
      <c r="D18" s="425">
        <f t="shared" si="5"/>
        <v>45299</v>
      </c>
      <c r="E18" s="346">
        <f t="shared" si="4"/>
        <v>1</v>
      </c>
      <c r="F18" s="428">
        <f t="shared" si="0"/>
        <v>825000</v>
      </c>
      <c r="G18" s="346">
        <f t="shared" si="4"/>
        <v>1</v>
      </c>
      <c r="H18" s="428">
        <f t="shared" si="1"/>
        <v>825000</v>
      </c>
      <c r="I18" s="346" t="str">
        <f t="shared" si="2"/>
        <v>Hari Kerja</v>
      </c>
    </row>
    <row r="19" spans="2:9">
      <c r="B19" s="447" t="str">
        <f t="shared" si="3"/>
        <v>Tuesday</v>
      </c>
      <c r="C19" s="449"/>
      <c r="D19" s="425">
        <f t="shared" si="5"/>
        <v>45300</v>
      </c>
      <c r="E19" s="346">
        <f t="shared" si="4"/>
        <v>1</v>
      </c>
      <c r="F19" s="428">
        <f t="shared" si="0"/>
        <v>825000</v>
      </c>
      <c r="G19" s="346">
        <f t="shared" si="4"/>
        <v>1</v>
      </c>
      <c r="H19" s="428">
        <f t="shared" si="1"/>
        <v>825000</v>
      </c>
      <c r="I19" s="346" t="str">
        <f t="shared" si="2"/>
        <v>Hari Kerja</v>
      </c>
    </row>
    <row r="20" spans="2:9">
      <c r="B20" s="447" t="str">
        <f t="shared" si="3"/>
        <v>Wednesday</v>
      </c>
      <c r="C20" s="449"/>
      <c r="D20" s="425">
        <f t="shared" si="5"/>
        <v>45301</v>
      </c>
      <c r="E20" s="346">
        <f t="shared" si="4"/>
        <v>1</v>
      </c>
      <c r="F20" s="428">
        <f t="shared" si="0"/>
        <v>825000</v>
      </c>
      <c r="G20" s="346">
        <f t="shared" si="4"/>
        <v>1</v>
      </c>
      <c r="H20" s="428">
        <f t="shared" si="1"/>
        <v>825000</v>
      </c>
      <c r="I20" s="346" t="str">
        <f t="shared" si="2"/>
        <v>Hari Kerja</v>
      </c>
    </row>
    <row r="21" spans="2:9">
      <c r="B21" s="447" t="str">
        <f t="shared" si="3"/>
        <v>Thursday</v>
      </c>
      <c r="C21" s="449"/>
      <c r="D21" s="425">
        <f t="shared" si="5"/>
        <v>45302</v>
      </c>
      <c r="E21" s="346">
        <f t="shared" si="4"/>
        <v>1</v>
      </c>
      <c r="F21" s="428">
        <f t="shared" si="0"/>
        <v>825000</v>
      </c>
      <c r="G21" s="346">
        <f t="shared" si="4"/>
        <v>1</v>
      </c>
      <c r="H21" s="428">
        <f t="shared" si="1"/>
        <v>825000</v>
      </c>
      <c r="I21" s="346" t="str">
        <f t="shared" si="2"/>
        <v>Hari Kerja</v>
      </c>
    </row>
    <row r="22" spans="2:9">
      <c r="B22" s="447" t="str">
        <f t="shared" si="3"/>
        <v>Friday</v>
      </c>
      <c r="C22" s="449"/>
      <c r="D22" s="425">
        <f t="shared" si="5"/>
        <v>45303</v>
      </c>
      <c r="E22" s="346">
        <f t="shared" si="4"/>
        <v>1</v>
      </c>
      <c r="F22" s="428">
        <f t="shared" si="0"/>
        <v>825000</v>
      </c>
      <c r="G22" s="346">
        <f t="shared" si="4"/>
        <v>1</v>
      </c>
      <c r="H22" s="428">
        <f t="shared" si="1"/>
        <v>825000</v>
      </c>
      <c r="I22" s="346" t="str">
        <f t="shared" si="2"/>
        <v>Hari Kerja</v>
      </c>
    </row>
    <row r="23" spans="2:9">
      <c r="B23" s="447" t="str">
        <f t="shared" si="3"/>
        <v>Saturday</v>
      </c>
      <c r="C23" s="449"/>
      <c r="D23" s="425">
        <f t="shared" si="5"/>
        <v>45304</v>
      </c>
      <c r="E23" s="346">
        <f t="shared" si="4"/>
        <v>0</v>
      </c>
      <c r="F23" s="428">
        <f t="shared" si="0"/>
        <v>0</v>
      </c>
      <c r="G23" s="346">
        <f t="shared" si="4"/>
        <v>0</v>
      </c>
      <c r="H23" s="428">
        <f t="shared" si="1"/>
        <v>0</v>
      </c>
      <c r="I23" s="346" t="str">
        <f t="shared" si="2"/>
        <v>Hari Libur</v>
      </c>
    </row>
    <row r="24" spans="2:9">
      <c r="B24" s="447" t="str">
        <f t="shared" si="3"/>
        <v>Sunday</v>
      </c>
      <c r="C24" s="449"/>
      <c r="D24" s="425">
        <f t="shared" si="5"/>
        <v>45305</v>
      </c>
      <c r="E24" s="346">
        <f t="shared" si="4"/>
        <v>0</v>
      </c>
      <c r="F24" s="428">
        <f t="shared" si="0"/>
        <v>0</v>
      </c>
      <c r="G24" s="346">
        <f t="shared" si="4"/>
        <v>0</v>
      </c>
      <c r="H24" s="428">
        <f t="shared" si="1"/>
        <v>0</v>
      </c>
      <c r="I24" s="346" t="str">
        <f t="shared" si="2"/>
        <v>Hari Libur</v>
      </c>
    </row>
    <row r="25" spans="2:9">
      <c r="B25" s="447" t="str">
        <f t="shared" si="3"/>
        <v>Monday</v>
      </c>
      <c r="C25" s="449"/>
      <c r="D25" s="425">
        <f t="shared" si="5"/>
        <v>45306</v>
      </c>
      <c r="E25" s="346">
        <f t="shared" si="4"/>
        <v>1</v>
      </c>
      <c r="F25" s="428">
        <f t="shared" si="0"/>
        <v>825000</v>
      </c>
      <c r="G25" s="346">
        <f t="shared" si="4"/>
        <v>1</v>
      </c>
      <c r="H25" s="428">
        <f t="shared" si="1"/>
        <v>825000</v>
      </c>
      <c r="I25" s="346" t="str">
        <f t="shared" si="2"/>
        <v>Hari Kerja</v>
      </c>
    </row>
    <row r="26" spans="2:9">
      <c r="B26" s="447" t="str">
        <f t="shared" si="3"/>
        <v>Tuesday</v>
      </c>
      <c r="C26" s="449"/>
      <c r="D26" s="425">
        <f t="shared" si="5"/>
        <v>45307</v>
      </c>
      <c r="E26" s="346">
        <f t="shared" si="4"/>
        <v>1</v>
      </c>
      <c r="F26" s="428">
        <f t="shared" si="0"/>
        <v>825000</v>
      </c>
      <c r="G26" s="346">
        <f t="shared" si="4"/>
        <v>1</v>
      </c>
      <c r="H26" s="428">
        <f t="shared" si="1"/>
        <v>825000</v>
      </c>
      <c r="I26" s="346" t="str">
        <f t="shared" si="2"/>
        <v>Hari Kerja</v>
      </c>
    </row>
    <row r="27" spans="2:9">
      <c r="B27" s="447" t="str">
        <f t="shared" si="3"/>
        <v>Wednesday</v>
      </c>
      <c r="C27" s="449"/>
      <c r="D27" s="425">
        <f t="shared" si="5"/>
        <v>45308</v>
      </c>
      <c r="E27" s="346">
        <f t="shared" si="4"/>
        <v>1</v>
      </c>
      <c r="F27" s="428">
        <f t="shared" si="0"/>
        <v>825000</v>
      </c>
      <c r="G27" s="346">
        <f t="shared" si="4"/>
        <v>1</v>
      </c>
      <c r="H27" s="428">
        <f t="shared" si="1"/>
        <v>825000</v>
      </c>
      <c r="I27" s="346" t="str">
        <f t="shared" si="2"/>
        <v>Hari Kerja</v>
      </c>
    </row>
    <row r="28" spans="2:9">
      <c r="B28" s="447" t="str">
        <f t="shared" si="3"/>
        <v>Thursday</v>
      </c>
      <c r="C28" s="449"/>
      <c r="D28" s="425">
        <f t="shared" si="5"/>
        <v>45309</v>
      </c>
      <c r="E28" s="346">
        <f t="shared" si="4"/>
        <v>1</v>
      </c>
      <c r="F28" s="428">
        <f t="shared" si="0"/>
        <v>825000</v>
      </c>
      <c r="G28" s="346">
        <f t="shared" si="4"/>
        <v>1</v>
      </c>
      <c r="H28" s="428">
        <f t="shared" si="1"/>
        <v>825000</v>
      </c>
      <c r="I28" s="346" t="str">
        <f t="shared" si="2"/>
        <v>Hari Kerja</v>
      </c>
    </row>
    <row r="29" spans="2:9">
      <c r="B29" s="447" t="str">
        <f t="shared" si="3"/>
        <v>Friday</v>
      </c>
      <c r="C29" s="449"/>
      <c r="D29" s="425">
        <f t="shared" si="5"/>
        <v>45310</v>
      </c>
      <c r="E29" s="346">
        <f t="shared" si="4"/>
        <v>1</v>
      </c>
      <c r="F29" s="428">
        <f t="shared" si="0"/>
        <v>825000</v>
      </c>
      <c r="G29" s="346">
        <f t="shared" si="4"/>
        <v>1</v>
      </c>
      <c r="H29" s="428">
        <f t="shared" si="1"/>
        <v>825000</v>
      </c>
      <c r="I29" s="346" t="str">
        <f t="shared" si="2"/>
        <v>Hari Kerja</v>
      </c>
    </row>
    <row r="30" spans="2:9">
      <c r="B30" s="447" t="str">
        <f t="shared" si="3"/>
        <v>Saturday</v>
      </c>
      <c r="C30" s="449"/>
      <c r="D30" s="425">
        <f t="shared" si="5"/>
        <v>45311</v>
      </c>
      <c r="E30" s="346">
        <f t="shared" si="4"/>
        <v>0</v>
      </c>
      <c r="F30" s="428">
        <f t="shared" si="0"/>
        <v>0</v>
      </c>
      <c r="G30" s="346">
        <f t="shared" si="4"/>
        <v>0</v>
      </c>
      <c r="H30" s="428">
        <f t="shared" si="1"/>
        <v>0</v>
      </c>
      <c r="I30" s="346" t="str">
        <f t="shared" si="2"/>
        <v>Hari Libur</v>
      </c>
    </row>
    <row r="31" spans="2:9">
      <c r="B31" s="447" t="str">
        <f t="shared" si="3"/>
        <v>Sunday</v>
      </c>
      <c r="C31" s="449"/>
      <c r="D31" s="425">
        <f t="shared" si="5"/>
        <v>45312</v>
      </c>
      <c r="E31" s="346">
        <f t="shared" si="4"/>
        <v>0</v>
      </c>
      <c r="F31" s="428">
        <f t="shared" si="0"/>
        <v>0</v>
      </c>
      <c r="G31" s="346">
        <f t="shared" si="4"/>
        <v>0</v>
      </c>
      <c r="H31" s="428">
        <f t="shared" si="1"/>
        <v>0</v>
      </c>
      <c r="I31" s="346" t="str">
        <f t="shared" si="2"/>
        <v>Hari Libur</v>
      </c>
    </row>
    <row r="32" spans="2:9">
      <c r="B32" s="447" t="str">
        <f t="shared" si="3"/>
        <v>Monday</v>
      </c>
      <c r="C32" s="449"/>
      <c r="D32" s="425">
        <f t="shared" si="5"/>
        <v>45313</v>
      </c>
      <c r="E32" s="346">
        <f t="shared" si="4"/>
        <v>1</v>
      </c>
      <c r="F32" s="428">
        <f t="shared" si="0"/>
        <v>825000</v>
      </c>
      <c r="G32" s="346">
        <f t="shared" si="4"/>
        <v>1</v>
      </c>
      <c r="H32" s="428">
        <f t="shared" si="1"/>
        <v>825000</v>
      </c>
      <c r="I32" s="346" t="str">
        <f t="shared" si="2"/>
        <v>Hari Kerja</v>
      </c>
    </row>
    <row r="33" spans="2:13">
      <c r="B33" s="472" t="str">
        <f t="shared" si="3"/>
        <v>Tuesday</v>
      </c>
      <c r="C33" s="473"/>
      <c r="D33" s="474">
        <f t="shared" si="5"/>
        <v>45314</v>
      </c>
      <c r="E33" s="346">
        <f t="shared" si="4"/>
        <v>1</v>
      </c>
      <c r="F33" s="428">
        <f t="shared" si="0"/>
        <v>825000</v>
      </c>
      <c r="G33" s="346">
        <f t="shared" si="4"/>
        <v>1</v>
      </c>
      <c r="H33" s="428">
        <f t="shared" si="1"/>
        <v>825000</v>
      </c>
      <c r="I33" s="346" t="str">
        <f t="shared" si="2"/>
        <v>Hari Kerja</v>
      </c>
    </row>
    <row r="34" spans="2:13">
      <c r="B34" s="447" t="str">
        <f t="shared" si="3"/>
        <v>Wednesday</v>
      </c>
      <c r="C34" s="449"/>
      <c r="D34" s="425">
        <f t="shared" si="5"/>
        <v>45315</v>
      </c>
      <c r="E34" s="346">
        <f t="shared" si="4"/>
        <v>1</v>
      </c>
      <c r="F34" s="428">
        <f t="shared" si="0"/>
        <v>825000</v>
      </c>
      <c r="G34" s="346">
        <f t="shared" si="4"/>
        <v>1</v>
      </c>
      <c r="H34" s="428">
        <f t="shared" si="1"/>
        <v>825000</v>
      </c>
      <c r="I34" s="346" t="str">
        <f t="shared" si="2"/>
        <v>Hari Kerja</v>
      </c>
    </row>
    <row r="35" spans="2:13">
      <c r="B35" s="472" t="str">
        <f t="shared" si="3"/>
        <v>Thursday</v>
      </c>
      <c r="C35" s="473"/>
      <c r="D35" s="474">
        <f t="shared" si="5"/>
        <v>45316</v>
      </c>
      <c r="E35" s="346">
        <f t="shared" si="4"/>
        <v>1</v>
      </c>
      <c r="F35" s="428">
        <f t="shared" ref="F35:F36" si="6">IF(E35=1,825000,0)</f>
        <v>825000</v>
      </c>
      <c r="G35" s="346">
        <f t="shared" si="4"/>
        <v>1</v>
      </c>
      <c r="H35" s="428">
        <f t="shared" ref="H35:H36" si="7">IF(G35=1,825000,0)</f>
        <v>825000</v>
      </c>
      <c r="I35" s="346" t="str">
        <f t="shared" si="2"/>
        <v>Hari Kerja</v>
      </c>
    </row>
    <row r="36" spans="2:13">
      <c r="B36" s="472" t="str">
        <f t="shared" si="3"/>
        <v>Friday</v>
      </c>
      <c r="C36" s="473"/>
      <c r="D36" s="474">
        <f t="shared" si="5"/>
        <v>45317</v>
      </c>
      <c r="E36" s="346">
        <f t="shared" si="4"/>
        <v>1</v>
      </c>
      <c r="F36" s="428">
        <f t="shared" si="6"/>
        <v>825000</v>
      </c>
      <c r="G36" s="346">
        <f t="shared" si="4"/>
        <v>1</v>
      </c>
      <c r="H36" s="428">
        <f t="shared" si="7"/>
        <v>825000</v>
      </c>
      <c r="I36" s="346" t="str">
        <f t="shared" si="2"/>
        <v>Hari Kerja</v>
      </c>
    </row>
    <row r="37" spans="2:13">
      <c r="B37" s="447" t="str">
        <f t="shared" si="3"/>
        <v>Saturday</v>
      </c>
      <c r="C37" s="449"/>
      <c r="D37" s="425">
        <f t="shared" si="5"/>
        <v>45318</v>
      </c>
      <c r="E37" s="346">
        <f t="shared" si="4"/>
        <v>0</v>
      </c>
      <c r="F37" s="428">
        <f t="shared" si="0"/>
        <v>0</v>
      </c>
      <c r="G37" s="346">
        <f t="shared" si="4"/>
        <v>0</v>
      </c>
      <c r="H37" s="428">
        <f t="shared" si="1"/>
        <v>0</v>
      </c>
      <c r="I37" s="346" t="str">
        <f t="shared" si="2"/>
        <v>Hari Libur</v>
      </c>
    </row>
    <row r="38" spans="2:13">
      <c r="B38" s="472" t="str">
        <f t="shared" si="3"/>
        <v>Sunday</v>
      </c>
      <c r="C38" s="473"/>
      <c r="D38" s="474">
        <f t="shared" si="5"/>
        <v>45319</v>
      </c>
      <c r="E38" s="346">
        <f t="shared" si="4"/>
        <v>0</v>
      </c>
      <c r="F38" s="428">
        <f t="shared" si="0"/>
        <v>0</v>
      </c>
      <c r="G38" s="346">
        <f t="shared" si="4"/>
        <v>0</v>
      </c>
      <c r="H38" s="428">
        <f t="shared" si="1"/>
        <v>0</v>
      </c>
      <c r="I38" s="346" t="str">
        <f t="shared" si="2"/>
        <v>Hari Libur</v>
      </c>
      <c r="M38" s="424"/>
    </row>
    <row r="39" spans="2:13">
      <c r="B39" s="472" t="str">
        <f t="shared" si="3"/>
        <v>Monday</v>
      </c>
      <c r="C39" s="473"/>
      <c r="D39" s="474">
        <f t="shared" si="5"/>
        <v>45320</v>
      </c>
      <c r="E39" s="346">
        <f>IF($B39="Saturday",0,IF($B39="Sunday",0,1))</f>
        <v>1</v>
      </c>
      <c r="F39" s="428">
        <f t="shared" si="0"/>
        <v>825000</v>
      </c>
      <c r="G39" s="346">
        <f t="shared" si="4"/>
        <v>1</v>
      </c>
      <c r="H39" s="428">
        <f t="shared" si="1"/>
        <v>825000</v>
      </c>
      <c r="I39" s="346" t="str">
        <f t="shared" si="2"/>
        <v>Hari Kerja</v>
      </c>
    </row>
    <row r="40" spans="2:13">
      <c r="B40" s="472" t="str">
        <f t="shared" si="3"/>
        <v>Tuesday</v>
      </c>
      <c r="C40" s="473"/>
      <c r="D40" s="474">
        <f t="shared" si="5"/>
        <v>45321</v>
      </c>
      <c r="E40" s="346">
        <f t="shared" ref="E40:E41" si="8">IF($B40="Saturday",0,IF($B40="Sunday",0,1))</f>
        <v>1</v>
      </c>
      <c r="F40" s="428">
        <f t="shared" ref="F40:F41" si="9">IF(E40=1,825000,0)</f>
        <v>825000</v>
      </c>
      <c r="G40" s="346">
        <f t="shared" si="4"/>
        <v>1</v>
      </c>
      <c r="H40" s="428">
        <f t="shared" ref="H40:H41" si="10">IF(G40=1,825000,0)</f>
        <v>825000</v>
      </c>
      <c r="I40" s="346" t="str">
        <f t="shared" si="2"/>
        <v>Hari Kerja</v>
      </c>
    </row>
    <row r="41" spans="2:13" ht="13.5" thickBot="1">
      <c r="B41" s="492" t="str">
        <f t="shared" si="3"/>
        <v>Wednesday</v>
      </c>
      <c r="C41" s="450"/>
      <c r="D41" s="493">
        <f t="shared" si="5"/>
        <v>45322</v>
      </c>
      <c r="E41" s="433">
        <f t="shared" si="8"/>
        <v>1</v>
      </c>
      <c r="F41" s="434">
        <f t="shared" si="9"/>
        <v>825000</v>
      </c>
      <c r="G41" s="433">
        <f t="shared" si="4"/>
        <v>1</v>
      </c>
      <c r="H41" s="434">
        <f t="shared" si="10"/>
        <v>825000</v>
      </c>
      <c r="I41" s="433" t="str">
        <f t="shared" si="2"/>
        <v>Hari Kerja</v>
      </c>
    </row>
    <row r="42" spans="2:13" ht="13.5" thickTop="1">
      <c r="B42" s="742" t="s">
        <v>403</v>
      </c>
      <c r="C42" s="742"/>
      <c r="D42" s="742"/>
      <c r="E42" s="485">
        <f>SUM(E11:E41)</f>
        <v>22</v>
      </c>
      <c r="F42" s="430">
        <f>SUM(F11:F41)</f>
        <v>18150000</v>
      </c>
      <c r="G42" s="485">
        <f>SUM(G11:G41)</f>
        <v>22</v>
      </c>
      <c r="H42" s="430">
        <f>SUM(H11:H41)</f>
        <v>18150000</v>
      </c>
      <c r="I42" s="491"/>
    </row>
    <row r="43" spans="2:13" ht="15.75">
      <c r="B43" s="743" t="s">
        <v>404</v>
      </c>
      <c r="C43" s="744"/>
      <c r="D43" s="745"/>
      <c r="E43" s="746">
        <f>+F42+H42</f>
        <v>36300000</v>
      </c>
      <c r="F43" s="744"/>
      <c r="G43" s="744"/>
      <c r="H43" s="745"/>
      <c r="I43" s="436"/>
    </row>
    <row r="44" spans="2:13">
      <c r="B44" s="439"/>
      <c r="I44" s="440"/>
    </row>
    <row r="45" spans="2:13" ht="15.75">
      <c r="B45" s="455" t="s">
        <v>412</v>
      </c>
      <c r="I45" s="440"/>
    </row>
    <row r="46" spans="2:13" ht="15.75">
      <c r="B46" s="454" t="s">
        <v>413</v>
      </c>
      <c r="C46" s="763" t="s">
        <v>415</v>
      </c>
      <c r="D46" s="764"/>
      <c r="E46" s="763" t="s">
        <v>414</v>
      </c>
      <c r="F46" s="764"/>
      <c r="G46" s="763" t="s">
        <v>416</v>
      </c>
      <c r="H46" s="765"/>
      <c r="I46" s="764"/>
    </row>
    <row r="47" spans="2:13" ht="45" customHeight="1">
      <c r="B47" s="426" t="s">
        <v>417</v>
      </c>
      <c r="C47" s="732">
        <v>0.25</v>
      </c>
      <c r="D47" s="733"/>
      <c r="E47" s="732">
        <v>0.77083333333333337</v>
      </c>
      <c r="F47" s="733"/>
      <c r="G47" s="751" t="s">
        <v>420</v>
      </c>
      <c r="H47" s="752"/>
      <c r="I47" s="753"/>
    </row>
    <row r="48" spans="2:13" ht="45" customHeight="1">
      <c r="B48" s="426" t="s">
        <v>418</v>
      </c>
      <c r="C48" s="732">
        <v>0.6875</v>
      </c>
      <c r="D48" s="733"/>
      <c r="E48" s="732">
        <v>0.20833333333333334</v>
      </c>
      <c r="F48" s="733"/>
      <c r="G48" s="754"/>
      <c r="H48" s="755"/>
      <c r="I48" s="756"/>
    </row>
    <row r="49" spans="2:9">
      <c r="B49" s="439"/>
      <c r="I49" s="440"/>
    </row>
    <row r="50" spans="2:9">
      <c r="B50" s="439"/>
      <c r="I50" s="440"/>
    </row>
    <row r="51" spans="2:9">
      <c r="B51" s="446"/>
      <c r="C51" s="704" t="s">
        <v>409</v>
      </c>
      <c r="D51" s="705"/>
      <c r="E51" s="704" t="s">
        <v>408</v>
      </c>
      <c r="F51" s="705"/>
      <c r="G51" s="704" t="s">
        <v>407</v>
      </c>
      <c r="H51" s="705"/>
      <c r="I51" s="346" t="s">
        <v>406</v>
      </c>
    </row>
    <row r="52" spans="2:9">
      <c r="B52" s="446"/>
      <c r="C52" s="437"/>
      <c r="D52" s="438"/>
      <c r="E52" s="747"/>
      <c r="F52" s="748"/>
      <c r="G52" s="747"/>
      <c r="H52" s="748"/>
      <c r="I52" s="726"/>
    </row>
    <row r="53" spans="2:9">
      <c r="B53" s="446"/>
      <c r="C53" s="439"/>
      <c r="D53" s="440"/>
      <c r="E53" s="760"/>
      <c r="F53" s="761"/>
      <c r="G53" s="760"/>
      <c r="H53" s="761"/>
      <c r="I53" s="762"/>
    </row>
    <row r="54" spans="2:9">
      <c r="B54" s="446"/>
      <c r="C54" s="443"/>
      <c r="D54" s="444"/>
      <c r="E54" s="749"/>
      <c r="F54" s="750"/>
      <c r="G54" s="749"/>
      <c r="H54" s="750"/>
      <c r="I54" s="727"/>
    </row>
    <row r="55" spans="2:9" ht="15" customHeight="1">
      <c r="B55" s="446"/>
      <c r="C55" s="704" t="s">
        <v>114</v>
      </c>
      <c r="D55" s="705"/>
      <c r="E55" s="704" t="s">
        <v>113</v>
      </c>
      <c r="F55" s="705"/>
      <c r="G55" s="704" t="s">
        <v>112</v>
      </c>
      <c r="H55" s="705"/>
      <c r="I55" s="346" t="s">
        <v>410</v>
      </c>
    </row>
    <row r="56" spans="2:9">
      <c r="B56" s="431"/>
      <c r="C56" s="494" t="s">
        <v>411</v>
      </c>
      <c r="D56" s="495"/>
      <c r="E56" s="494" t="s">
        <v>132</v>
      </c>
      <c r="F56" s="495"/>
      <c r="G56" s="494" t="s">
        <v>132</v>
      </c>
      <c r="H56" s="495"/>
      <c r="I56" s="451" t="s">
        <v>429</v>
      </c>
    </row>
  </sheetData>
  <mergeCells count="28">
    <mergeCell ref="B2:I2"/>
    <mergeCell ref="B3:I3"/>
    <mergeCell ref="B4:I4"/>
    <mergeCell ref="B9:C10"/>
    <mergeCell ref="D9:D10"/>
    <mergeCell ref="E9:F9"/>
    <mergeCell ref="G9:H9"/>
    <mergeCell ref="I9:I10"/>
    <mergeCell ref="C51:D51"/>
    <mergeCell ref="E51:F51"/>
    <mergeCell ref="G51:H51"/>
    <mergeCell ref="B42:D42"/>
    <mergeCell ref="B43:D43"/>
    <mergeCell ref="E43:H43"/>
    <mergeCell ref="C46:D46"/>
    <mergeCell ref="E46:F46"/>
    <mergeCell ref="G46:I46"/>
    <mergeCell ref="C47:D47"/>
    <mergeCell ref="E47:F47"/>
    <mergeCell ref="G47:I48"/>
    <mergeCell ref="C48:D48"/>
    <mergeCell ref="E48:F48"/>
    <mergeCell ref="E52:F54"/>
    <mergeCell ref="G52:H54"/>
    <mergeCell ref="I52:I54"/>
    <mergeCell ref="C55:D55"/>
    <mergeCell ref="E55:F55"/>
    <mergeCell ref="G55:H55"/>
  </mergeCells>
  <conditionalFormatting sqref="B11:C41">
    <cfRule type="containsText" dxfId="39" priority="36" operator="containsText" text="Saturday">
      <formula>NOT(ISERROR(SEARCH("Saturday",B11)))</formula>
    </cfRule>
    <cfRule type="containsText" dxfId="38" priority="37" operator="containsText" text="Sunday">
      <formula>NOT(ISERROR(SEARCH("Sunday",B11)))</formula>
    </cfRule>
  </conditionalFormatting>
  <conditionalFormatting sqref="E11:E34">
    <cfRule type="containsText" dxfId="37" priority="34" operator="containsText" text="0">
      <formula>NOT(ISERROR(SEARCH("0",E11)))</formula>
    </cfRule>
    <cfRule type="containsText" priority="35" operator="containsText" text="0">
      <formula>NOT(ISERROR(SEARCH("0",E11)))</formula>
    </cfRule>
  </conditionalFormatting>
  <conditionalFormatting sqref="G11:G34">
    <cfRule type="containsText" dxfId="36" priority="32" operator="containsText" text="0">
      <formula>NOT(ISERROR(SEARCH("0",G11)))</formula>
    </cfRule>
    <cfRule type="containsText" priority="33" operator="containsText" text="0">
      <formula>NOT(ISERROR(SEARCH("0",G11)))</formula>
    </cfRule>
  </conditionalFormatting>
  <conditionalFormatting sqref="I11:I34">
    <cfRule type="containsText" dxfId="35" priority="29" operator="containsText" text="Hari Libur">
      <formula>NOT(ISERROR(SEARCH("Hari Libur",I11)))</formula>
    </cfRule>
    <cfRule type="containsText" dxfId="34" priority="30" operator="containsText" text="0">
      <formula>NOT(ISERROR(SEARCH("0",I11)))</formula>
    </cfRule>
    <cfRule type="containsText" priority="31" operator="containsText" text="0">
      <formula>NOT(ISERROR(SEARCH("0",I11)))</formula>
    </cfRule>
  </conditionalFormatting>
  <conditionalFormatting sqref="E33">
    <cfRule type="containsText" dxfId="33" priority="27" operator="containsText" text="0">
      <formula>NOT(ISERROR(SEARCH("0",E33)))</formula>
    </cfRule>
    <cfRule type="containsText" priority="28" operator="containsText" text="0">
      <formula>NOT(ISERROR(SEARCH("0",E33)))</formula>
    </cfRule>
  </conditionalFormatting>
  <conditionalFormatting sqref="G33">
    <cfRule type="containsText" dxfId="32" priority="25" operator="containsText" text="0">
      <formula>NOT(ISERROR(SEARCH("0",G33)))</formula>
    </cfRule>
    <cfRule type="containsText" priority="26" operator="containsText" text="0">
      <formula>NOT(ISERROR(SEARCH("0",G33)))</formula>
    </cfRule>
  </conditionalFormatting>
  <conditionalFormatting sqref="I33">
    <cfRule type="containsText" dxfId="31" priority="22" operator="containsText" text="Hari Libur">
      <formula>NOT(ISERROR(SEARCH("Hari Libur",I33)))</formula>
    </cfRule>
    <cfRule type="containsText" dxfId="30" priority="23" operator="containsText" text="0">
      <formula>NOT(ISERROR(SEARCH("0",I33)))</formula>
    </cfRule>
    <cfRule type="containsText" priority="24" operator="containsText" text="0">
      <formula>NOT(ISERROR(SEARCH("0",I33)))</formula>
    </cfRule>
  </conditionalFormatting>
  <conditionalFormatting sqref="E37:E41">
    <cfRule type="containsText" dxfId="29" priority="13" operator="containsText" text="0">
      <formula>NOT(ISERROR(SEARCH("0",E37)))</formula>
    </cfRule>
    <cfRule type="containsText" priority="14" operator="containsText" text="0">
      <formula>NOT(ISERROR(SEARCH("0",E37)))</formula>
    </cfRule>
  </conditionalFormatting>
  <conditionalFormatting sqref="G37:G41">
    <cfRule type="containsText" dxfId="28" priority="11" operator="containsText" text="0">
      <formula>NOT(ISERROR(SEARCH("0",G37)))</formula>
    </cfRule>
    <cfRule type="containsText" priority="12" operator="containsText" text="0">
      <formula>NOT(ISERROR(SEARCH("0",G37)))</formula>
    </cfRule>
  </conditionalFormatting>
  <conditionalFormatting sqref="I37:I41">
    <cfRule type="containsText" dxfId="27" priority="8" operator="containsText" text="Hari Libur">
      <formula>NOT(ISERROR(SEARCH("Hari Libur",I37)))</formula>
    </cfRule>
    <cfRule type="containsText" dxfId="26" priority="9" operator="containsText" text="0">
      <formula>NOT(ISERROR(SEARCH("0",I37)))</formula>
    </cfRule>
    <cfRule type="containsText" priority="10" operator="containsText" text="0">
      <formula>NOT(ISERROR(SEARCH("0",I37)))</formula>
    </cfRule>
  </conditionalFormatting>
  <conditionalFormatting sqref="E35:E36">
    <cfRule type="containsText" dxfId="25" priority="6" operator="containsText" text="0">
      <formula>NOT(ISERROR(SEARCH("0",E35)))</formula>
    </cfRule>
    <cfRule type="containsText" priority="7" operator="containsText" text="0">
      <formula>NOT(ISERROR(SEARCH("0",E35)))</formula>
    </cfRule>
  </conditionalFormatting>
  <conditionalFormatting sqref="G35:G36">
    <cfRule type="containsText" dxfId="24" priority="4" operator="containsText" text="0">
      <formula>NOT(ISERROR(SEARCH("0",G35)))</formula>
    </cfRule>
    <cfRule type="containsText" priority="5" operator="containsText" text="0">
      <formula>NOT(ISERROR(SEARCH("0",G35)))</formula>
    </cfRule>
  </conditionalFormatting>
  <conditionalFormatting sqref="I35:I36">
    <cfRule type="containsText" dxfId="23" priority="1" operator="containsText" text="Hari Libur">
      <formula>NOT(ISERROR(SEARCH("Hari Libur",I35)))</formula>
    </cfRule>
    <cfRule type="containsText" dxfId="22" priority="2" operator="containsText" text="0">
      <formula>NOT(ISERROR(SEARCH("0",I35)))</formula>
    </cfRule>
    <cfRule type="containsText" priority="3" operator="containsText" text="0">
      <formula>NOT(ISERROR(SEARCH("0",I35)))</formula>
    </cfRule>
  </conditionalFormatting>
  <printOptions horizontalCentered="1" verticalCentered="1"/>
  <pageMargins left="0" right="0" top="0" bottom="0" header="0" footer="0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6"/>
  <sheetViews>
    <sheetView showGridLines="0" tabSelected="1" workbookViewId="0">
      <selection activeCell="O48" sqref="O48"/>
    </sheetView>
  </sheetViews>
  <sheetFormatPr defaultRowHeight="12.75"/>
  <cols>
    <col min="1" max="1" width="1.7109375" style="349" customWidth="1"/>
    <col min="2" max="2" width="12.7109375" style="349" customWidth="1"/>
    <col min="3" max="3" width="5.7109375" style="349" customWidth="1"/>
    <col min="4" max="4" width="15.7109375" style="424" customWidth="1"/>
    <col min="5" max="5" width="7.7109375" style="489" customWidth="1"/>
    <col min="6" max="6" width="13.7109375" style="349" customWidth="1"/>
    <col min="7" max="7" width="7.7109375" style="349" customWidth="1"/>
    <col min="8" max="8" width="13.7109375" style="349" customWidth="1"/>
    <col min="9" max="9" width="20.7109375" style="349" customWidth="1"/>
    <col min="10" max="10" width="1.7109375" style="349" customWidth="1"/>
    <col min="11" max="16384" width="9.140625" style="349"/>
  </cols>
  <sheetData>
    <row r="2" spans="2:9">
      <c r="B2" s="719" t="s">
        <v>421</v>
      </c>
      <c r="C2" s="720"/>
      <c r="D2" s="720"/>
      <c r="E2" s="720"/>
      <c r="F2" s="720"/>
      <c r="G2" s="720"/>
      <c r="H2" s="720"/>
      <c r="I2" s="721"/>
    </row>
    <row r="3" spans="2:9" ht="20.100000000000001" customHeight="1">
      <c r="B3" s="734" t="s">
        <v>405</v>
      </c>
      <c r="C3" s="735"/>
      <c r="D3" s="735"/>
      <c r="E3" s="735"/>
      <c r="F3" s="735"/>
      <c r="G3" s="735"/>
      <c r="H3" s="735"/>
      <c r="I3" s="736"/>
    </row>
    <row r="4" spans="2:9" ht="15" customHeight="1">
      <c r="B4" s="737" t="s">
        <v>431</v>
      </c>
      <c r="C4" s="738"/>
      <c r="D4" s="738"/>
      <c r="E4" s="738"/>
      <c r="F4" s="738"/>
      <c r="G4" s="738"/>
      <c r="H4" s="738"/>
      <c r="I4" s="739"/>
    </row>
    <row r="5" spans="2:9" ht="9.9499999999999993" customHeight="1">
      <c r="B5" s="439"/>
      <c r="I5" s="440"/>
    </row>
    <row r="6" spans="2:9" ht="15.75">
      <c r="B6" s="445" t="s">
        <v>399</v>
      </c>
      <c r="C6" s="453" t="s">
        <v>175</v>
      </c>
      <c r="D6" s="452">
        <v>2024</v>
      </c>
      <c r="I6" s="440"/>
    </row>
    <row r="7" spans="2:9" ht="15.75">
      <c r="B7" s="445" t="s">
        <v>84</v>
      </c>
      <c r="C7" s="453" t="s">
        <v>175</v>
      </c>
      <c r="D7" s="452">
        <v>2</v>
      </c>
      <c r="I7" s="440"/>
    </row>
    <row r="8" spans="2:9" ht="9.9499999999999993" customHeight="1">
      <c r="B8" s="441"/>
      <c r="C8" s="442"/>
      <c r="D8" s="442"/>
      <c r="I8" s="440"/>
    </row>
    <row r="9" spans="2:9" ht="15" customHeight="1">
      <c r="B9" s="722" t="s">
        <v>2</v>
      </c>
      <c r="C9" s="723"/>
      <c r="D9" s="728" t="s">
        <v>3</v>
      </c>
      <c r="E9" s="729" t="s">
        <v>401</v>
      </c>
      <c r="F9" s="729"/>
      <c r="G9" s="729" t="s">
        <v>402</v>
      </c>
      <c r="H9" s="729"/>
      <c r="I9" s="729" t="s">
        <v>85</v>
      </c>
    </row>
    <row r="10" spans="2:9" s="423" customFormat="1" ht="20.100000000000001" customHeight="1">
      <c r="B10" s="724"/>
      <c r="C10" s="725"/>
      <c r="D10" s="728"/>
      <c r="E10" s="490" t="s">
        <v>400</v>
      </c>
      <c r="F10" s="490" t="s">
        <v>55</v>
      </c>
      <c r="G10" s="490" t="s">
        <v>400</v>
      </c>
      <c r="H10" s="490" t="s">
        <v>55</v>
      </c>
      <c r="I10" s="729"/>
    </row>
    <row r="11" spans="2:9">
      <c r="B11" s="472" t="str">
        <f>TEXT(D11,"aaaaaaa")</f>
        <v>Thursday</v>
      </c>
      <c r="C11" s="473"/>
      <c r="D11" s="474">
        <f>+DATE(D6,D7,1)</f>
        <v>45323</v>
      </c>
      <c r="E11" s="346">
        <f t="shared" ref="E11:G41" si="0">IF($B11="Saturday",0,IF($B11="Sunday",0,1))</f>
        <v>1</v>
      </c>
      <c r="F11" s="428">
        <f t="shared" ref="F11" si="1">IF(E11=1,825000,0)</f>
        <v>825000</v>
      </c>
      <c r="G11" s="346">
        <f t="shared" si="0"/>
        <v>1</v>
      </c>
      <c r="H11" s="428">
        <f t="shared" ref="H11" si="2">IF(G11=1,825000,0)</f>
        <v>825000</v>
      </c>
      <c r="I11" s="346" t="str">
        <f t="shared" ref="I11:I41" si="3">IF($G11=1,"Hari Kerja","Hari Libur")</f>
        <v>Hari Kerja</v>
      </c>
    </row>
    <row r="12" spans="2:9">
      <c r="B12" s="447" t="str">
        <f t="shared" ref="B12:B41" si="4">TEXT(D12,"aaaaaaa")</f>
        <v>Friday</v>
      </c>
      <c r="C12" s="449"/>
      <c r="D12" s="425">
        <f>D11+1</f>
        <v>45324</v>
      </c>
      <c r="E12" s="346">
        <f t="shared" si="0"/>
        <v>1</v>
      </c>
      <c r="F12" s="428">
        <f t="shared" ref="F11:F41" si="5">IF(E12=1,825000,0)</f>
        <v>825000</v>
      </c>
      <c r="G12" s="346">
        <f t="shared" si="0"/>
        <v>1</v>
      </c>
      <c r="H12" s="428">
        <f t="shared" ref="H11:H41" si="6">IF(G12=1,825000,0)</f>
        <v>825000</v>
      </c>
      <c r="I12" s="346" t="str">
        <f t="shared" si="3"/>
        <v>Hari Kerja</v>
      </c>
    </row>
    <row r="13" spans="2:9">
      <c r="B13" s="766" t="str">
        <f t="shared" si="4"/>
        <v>Saturday</v>
      </c>
      <c r="C13" s="767"/>
      <c r="D13" s="768">
        <f t="shared" ref="D13:D41" si="7">D12+1</f>
        <v>45325</v>
      </c>
      <c r="E13" s="769">
        <v>1</v>
      </c>
      <c r="F13" s="770">
        <f t="shared" si="5"/>
        <v>825000</v>
      </c>
      <c r="G13" s="769">
        <v>1</v>
      </c>
      <c r="H13" s="770">
        <f t="shared" si="6"/>
        <v>825000</v>
      </c>
      <c r="I13" s="769" t="str">
        <f t="shared" si="3"/>
        <v>Hari Kerja</v>
      </c>
    </row>
    <row r="14" spans="2:9">
      <c r="B14" s="447" t="str">
        <f t="shared" si="4"/>
        <v>Sunday</v>
      </c>
      <c r="C14" s="449"/>
      <c r="D14" s="425">
        <f t="shared" si="7"/>
        <v>45326</v>
      </c>
      <c r="E14" s="346">
        <f t="shared" si="0"/>
        <v>0</v>
      </c>
      <c r="F14" s="428">
        <f t="shared" si="5"/>
        <v>0</v>
      </c>
      <c r="G14" s="346">
        <f t="shared" si="0"/>
        <v>0</v>
      </c>
      <c r="H14" s="428">
        <f t="shared" si="6"/>
        <v>0</v>
      </c>
      <c r="I14" s="346" t="str">
        <f t="shared" si="3"/>
        <v>Hari Libur</v>
      </c>
    </row>
    <row r="15" spans="2:9">
      <c r="B15" s="447" t="str">
        <f t="shared" si="4"/>
        <v>Monday</v>
      </c>
      <c r="C15" s="449"/>
      <c r="D15" s="425">
        <f t="shared" si="7"/>
        <v>45327</v>
      </c>
      <c r="E15" s="346">
        <f t="shared" si="0"/>
        <v>1</v>
      </c>
      <c r="F15" s="428">
        <f t="shared" si="5"/>
        <v>825000</v>
      </c>
      <c r="G15" s="346">
        <f t="shared" si="0"/>
        <v>1</v>
      </c>
      <c r="H15" s="428">
        <f t="shared" si="6"/>
        <v>825000</v>
      </c>
      <c r="I15" s="346" t="str">
        <f t="shared" si="3"/>
        <v>Hari Kerja</v>
      </c>
    </row>
    <row r="16" spans="2:9">
      <c r="B16" s="447" t="str">
        <f t="shared" si="4"/>
        <v>Tuesday</v>
      </c>
      <c r="C16" s="449"/>
      <c r="D16" s="425">
        <f t="shared" si="7"/>
        <v>45328</v>
      </c>
      <c r="E16" s="346">
        <f t="shared" si="0"/>
        <v>1</v>
      </c>
      <c r="F16" s="428">
        <f t="shared" si="5"/>
        <v>825000</v>
      </c>
      <c r="G16" s="346">
        <f t="shared" si="0"/>
        <v>1</v>
      </c>
      <c r="H16" s="428">
        <f t="shared" si="6"/>
        <v>825000</v>
      </c>
      <c r="I16" s="346" t="str">
        <f t="shared" si="3"/>
        <v>Hari Kerja</v>
      </c>
    </row>
    <row r="17" spans="2:9">
      <c r="B17" s="447" t="str">
        <f t="shared" si="4"/>
        <v>Wednesday</v>
      </c>
      <c r="C17" s="449"/>
      <c r="D17" s="425">
        <f t="shared" si="7"/>
        <v>45329</v>
      </c>
      <c r="E17" s="346">
        <f t="shared" si="0"/>
        <v>1</v>
      </c>
      <c r="F17" s="428">
        <f t="shared" si="5"/>
        <v>825000</v>
      </c>
      <c r="G17" s="346">
        <f t="shared" si="0"/>
        <v>1</v>
      </c>
      <c r="H17" s="428">
        <f t="shared" si="6"/>
        <v>825000</v>
      </c>
      <c r="I17" s="346" t="str">
        <f t="shared" si="3"/>
        <v>Hari Kerja</v>
      </c>
    </row>
    <row r="18" spans="2:9">
      <c r="B18" s="480" t="str">
        <f t="shared" si="4"/>
        <v>Thursday</v>
      </c>
      <c r="C18" s="481"/>
      <c r="D18" s="482">
        <f t="shared" si="7"/>
        <v>45330</v>
      </c>
      <c r="E18" s="483">
        <v>0</v>
      </c>
      <c r="F18" s="484">
        <f t="shared" si="5"/>
        <v>0</v>
      </c>
      <c r="G18" s="483">
        <v>0</v>
      </c>
      <c r="H18" s="484">
        <f t="shared" si="6"/>
        <v>0</v>
      </c>
      <c r="I18" s="483" t="str">
        <f t="shared" si="3"/>
        <v>Hari Libur</v>
      </c>
    </row>
    <row r="19" spans="2:9">
      <c r="B19" s="447" t="str">
        <f t="shared" si="4"/>
        <v>Friday</v>
      </c>
      <c r="C19" s="449"/>
      <c r="D19" s="425">
        <f t="shared" si="7"/>
        <v>45331</v>
      </c>
      <c r="E19" s="346">
        <f t="shared" si="0"/>
        <v>1</v>
      </c>
      <c r="F19" s="428">
        <f t="shared" si="5"/>
        <v>825000</v>
      </c>
      <c r="G19" s="346">
        <f t="shared" si="0"/>
        <v>1</v>
      </c>
      <c r="H19" s="428">
        <f t="shared" si="6"/>
        <v>825000</v>
      </c>
      <c r="I19" s="346" t="str">
        <f t="shared" si="3"/>
        <v>Hari Kerja</v>
      </c>
    </row>
    <row r="20" spans="2:9">
      <c r="B20" s="766" t="str">
        <f t="shared" si="4"/>
        <v>Saturday</v>
      </c>
      <c r="C20" s="767"/>
      <c r="D20" s="768">
        <f t="shared" si="7"/>
        <v>45332</v>
      </c>
      <c r="E20" s="769">
        <v>1</v>
      </c>
      <c r="F20" s="770">
        <f t="shared" si="5"/>
        <v>825000</v>
      </c>
      <c r="G20" s="769">
        <v>1</v>
      </c>
      <c r="H20" s="770">
        <f t="shared" si="6"/>
        <v>825000</v>
      </c>
      <c r="I20" s="769" t="str">
        <f t="shared" si="3"/>
        <v>Hari Kerja</v>
      </c>
    </row>
    <row r="21" spans="2:9">
      <c r="B21" s="447" t="str">
        <f t="shared" si="4"/>
        <v>Sunday</v>
      </c>
      <c r="C21" s="449"/>
      <c r="D21" s="425">
        <f t="shared" si="7"/>
        <v>45333</v>
      </c>
      <c r="E21" s="346">
        <f t="shared" si="0"/>
        <v>0</v>
      </c>
      <c r="F21" s="428">
        <f t="shared" si="5"/>
        <v>0</v>
      </c>
      <c r="G21" s="346">
        <f t="shared" si="0"/>
        <v>0</v>
      </c>
      <c r="H21" s="428">
        <f t="shared" si="6"/>
        <v>0</v>
      </c>
      <c r="I21" s="346" t="str">
        <f t="shared" si="3"/>
        <v>Hari Libur</v>
      </c>
    </row>
    <row r="22" spans="2:9">
      <c r="B22" s="480" t="str">
        <f t="shared" si="4"/>
        <v>Monday</v>
      </c>
      <c r="C22" s="481"/>
      <c r="D22" s="482">
        <f t="shared" si="7"/>
        <v>45334</v>
      </c>
      <c r="E22" s="483">
        <v>0</v>
      </c>
      <c r="F22" s="484">
        <f t="shared" si="5"/>
        <v>0</v>
      </c>
      <c r="G22" s="483">
        <v>0</v>
      </c>
      <c r="H22" s="484">
        <f t="shared" si="6"/>
        <v>0</v>
      </c>
      <c r="I22" s="483" t="str">
        <f t="shared" si="3"/>
        <v>Hari Libur</v>
      </c>
    </row>
    <row r="23" spans="2:9">
      <c r="B23" s="480" t="str">
        <f t="shared" si="4"/>
        <v>Tuesday</v>
      </c>
      <c r="C23" s="481"/>
      <c r="D23" s="482">
        <f t="shared" si="7"/>
        <v>45335</v>
      </c>
      <c r="E23" s="483">
        <v>0</v>
      </c>
      <c r="F23" s="484">
        <f t="shared" si="5"/>
        <v>0</v>
      </c>
      <c r="G23" s="483">
        <v>0</v>
      </c>
      <c r="H23" s="484">
        <f t="shared" si="6"/>
        <v>0</v>
      </c>
      <c r="I23" s="483" t="str">
        <f t="shared" si="3"/>
        <v>Hari Libur</v>
      </c>
    </row>
    <row r="24" spans="2:9">
      <c r="B24" s="480" t="str">
        <f t="shared" si="4"/>
        <v>Wednesday</v>
      </c>
      <c r="C24" s="481"/>
      <c r="D24" s="482">
        <f t="shared" si="7"/>
        <v>45336</v>
      </c>
      <c r="E24" s="483">
        <v>0</v>
      </c>
      <c r="F24" s="484">
        <f t="shared" si="5"/>
        <v>0</v>
      </c>
      <c r="G24" s="483">
        <v>0</v>
      </c>
      <c r="H24" s="484">
        <f t="shared" si="6"/>
        <v>0</v>
      </c>
      <c r="I24" s="483" t="str">
        <f t="shared" si="3"/>
        <v>Hari Libur</v>
      </c>
    </row>
    <row r="25" spans="2:9">
      <c r="B25" s="447" t="str">
        <f t="shared" si="4"/>
        <v>Thursday</v>
      </c>
      <c r="C25" s="449"/>
      <c r="D25" s="425">
        <f t="shared" si="7"/>
        <v>45337</v>
      </c>
      <c r="E25" s="346">
        <f t="shared" si="0"/>
        <v>1</v>
      </c>
      <c r="F25" s="428">
        <f t="shared" si="5"/>
        <v>825000</v>
      </c>
      <c r="G25" s="346">
        <f t="shared" si="0"/>
        <v>1</v>
      </c>
      <c r="H25" s="428">
        <f t="shared" si="6"/>
        <v>825000</v>
      </c>
      <c r="I25" s="346" t="str">
        <f t="shared" si="3"/>
        <v>Hari Kerja</v>
      </c>
    </row>
    <row r="26" spans="2:9">
      <c r="B26" s="447" t="str">
        <f t="shared" si="4"/>
        <v>Friday</v>
      </c>
      <c r="C26" s="449"/>
      <c r="D26" s="425">
        <f t="shared" si="7"/>
        <v>45338</v>
      </c>
      <c r="E26" s="346">
        <f t="shared" si="0"/>
        <v>1</v>
      </c>
      <c r="F26" s="428">
        <f t="shared" si="5"/>
        <v>825000</v>
      </c>
      <c r="G26" s="346">
        <f t="shared" si="0"/>
        <v>1</v>
      </c>
      <c r="H26" s="428">
        <f t="shared" si="6"/>
        <v>825000</v>
      </c>
      <c r="I26" s="346" t="str">
        <f t="shared" si="3"/>
        <v>Hari Kerja</v>
      </c>
    </row>
    <row r="27" spans="2:9">
      <c r="B27" s="447" t="str">
        <f t="shared" si="4"/>
        <v>Saturday</v>
      </c>
      <c r="C27" s="449"/>
      <c r="D27" s="425">
        <f t="shared" si="7"/>
        <v>45339</v>
      </c>
      <c r="E27" s="346">
        <f t="shared" si="0"/>
        <v>0</v>
      </c>
      <c r="F27" s="428">
        <f t="shared" si="5"/>
        <v>0</v>
      </c>
      <c r="G27" s="346">
        <f t="shared" si="0"/>
        <v>0</v>
      </c>
      <c r="H27" s="428">
        <f t="shared" si="6"/>
        <v>0</v>
      </c>
      <c r="I27" s="346" t="str">
        <f t="shared" si="3"/>
        <v>Hari Libur</v>
      </c>
    </row>
    <row r="28" spans="2:9">
      <c r="B28" s="447" t="str">
        <f t="shared" si="4"/>
        <v>Sunday</v>
      </c>
      <c r="C28" s="449"/>
      <c r="D28" s="425">
        <f t="shared" si="7"/>
        <v>45340</v>
      </c>
      <c r="E28" s="346">
        <f t="shared" si="0"/>
        <v>0</v>
      </c>
      <c r="F28" s="428">
        <f t="shared" si="5"/>
        <v>0</v>
      </c>
      <c r="G28" s="346">
        <f t="shared" si="0"/>
        <v>0</v>
      </c>
      <c r="H28" s="428">
        <f t="shared" si="6"/>
        <v>0</v>
      </c>
      <c r="I28" s="346" t="str">
        <f t="shared" si="3"/>
        <v>Hari Libur</v>
      </c>
    </row>
    <row r="29" spans="2:9">
      <c r="B29" s="447" t="str">
        <f t="shared" si="4"/>
        <v>Monday</v>
      </c>
      <c r="C29" s="449"/>
      <c r="D29" s="425">
        <f t="shared" si="7"/>
        <v>45341</v>
      </c>
      <c r="E29" s="346">
        <f t="shared" si="0"/>
        <v>1</v>
      </c>
      <c r="F29" s="428">
        <f t="shared" si="5"/>
        <v>825000</v>
      </c>
      <c r="G29" s="346">
        <f t="shared" si="0"/>
        <v>1</v>
      </c>
      <c r="H29" s="428">
        <f t="shared" si="6"/>
        <v>825000</v>
      </c>
      <c r="I29" s="346" t="str">
        <f t="shared" si="3"/>
        <v>Hari Kerja</v>
      </c>
    </row>
    <row r="30" spans="2:9">
      <c r="B30" s="447" t="str">
        <f t="shared" si="4"/>
        <v>Tuesday</v>
      </c>
      <c r="C30" s="449"/>
      <c r="D30" s="425">
        <f t="shared" si="7"/>
        <v>45342</v>
      </c>
      <c r="E30" s="346">
        <f t="shared" si="0"/>
        <v>1</v>
      </c>
      <c r="F30" s="428">
        <f t="shared" si="5"/>
        <v>825000</v>
      </c>
      <c r="G30" s="346">
        <f t="shared" si="0"/>
        <v>1</v>
      </c>
      <c r="H30" s="428">
        <f t="shared" si="6"/>
        <v>825000</v>
      </c>
      <c r="I30" s="346" t="str">
        <f t="shared" si="3"/>
        <v>Hari Kerja</v>
      </c>
    </row>
    <row r="31" spans="2:9">
      <c r="B31" s="447" t="str">
        <f t="shared" si="4"/>
        <v>Wednesday</v>
      </c>
      <c r="C31" s="449"/>
      <c r="D31" s="425">
        <f t="shared" si="7"/>
        <v>45343</v>
      </c>
      <c r="E31" s="346">
        <f t="shared" si="0"/>
        <v>1</v>
      </c>
      <c r="F31" s="428">
        <f t="shared" si="5"/>
        <v>825000</v>
      </c>
      <c r="G31" s="346">
        <f t="shared" si="0"/>
        <v>1</v>
      </c>
      <c r="H31" s="428">
        <f t="shared" si="6"/>
        <v>825000</v>
      </c>
      <c r="I31" s="346" t="str">
        <f t="shared" si="3"/>
        <v>Hari Kerja</v>
      </c>
    </row>
    <row r="32" spans="2:9">
      <c r="B32" s="447" t="str">
        <f t="shared" si="4"/>
        <v>Thursday</v>
      </c>
      <c r="C32" s="449"/>
      <c r="D32" s="425">
        <f t="shared" si="7"/>
        <v>45344</v>
      </c>
      <c r="E32" s="346">
        <f t="shared" si="0"/>
        <v>1</v>
      </c>
      <c r="F32" s="428">
        <f t="shared" si="5"/>
        <v>825000</v>
      </c>
      <c r="G32" s="346">
        <f t="shared" si="0"/>
        <v>1</v>
      </c>
      <c r="H32" s="428">
        <f t="shared" si="6"/>
        <v>825000</v>
      </c>
      <c r="I32" s="346" t="str">
        <f t="shared" si="3"/>
        <v>Hari Kerja</v>
      </c>
    </row>
    <row r="33" spans="2:13">
      <c r="B33" s="472" t="str">
        <f t="shared" si="4"/>
        <v>Friday</v>
      </c>
      <c r="C33" s="473"/>
      <c r="D33" s="474">
        <f t="shared" si="7"/>
        <v>45345</v>
      </c>
      <c r="E33" s="346">
        <f t="shared" si="0"/>
        <v>1</v>
      </c>
      <c r="F33" s="428">
        <f t="shared" si="5"/>
        <v>825000</v>
      </c>
      <c r="G33" s="346">
        <f t="shared" si="0"/>
        <v>1</v>
      </c>
      <c r="H33" s="428">
        <f t="shared" si="6"/>
        <v>825000</v>
      </c>
      <c r="I33" s="346" t="str">
        <f t="shared" si="3"/>
        <v>Hari Kerja</v>
      </c>
    </row>
    <row r="34" spans="2:13">
      <c r="B34" s="447" t="str">
        <f t="shared" si="4"/>
        <v>Saturday</v>
      </c>
      <c r="C34" s="449"/>
      <c r="D34" s="425">
        <f t="shared" si="7"/>
        <v>45346</v>
      </c>
      <c r="E34" s="346">
        <f t="shared" si="0"/>
        <v>0</v>
      </c>
      <c r="F34" s="428">
        <f t="shared" si="5"/>
        <v>0</v>
      </c>
      <c r="G34" s="346">
        <f t="shared" si="0"/>
        <v>0</v>
      </c>
      <c r="H34" s="428">
        <f t="shared" si="6"/>
        <v>0</v>
      </c>
      <c r="I34" s="346" t="str">
        <f t="shared" si="3"/>
        <v>Hari Libur</v>
      </c>
    </row>
    <row r="35" spans="2:13">
      <c r="B35" s="472" t="str">
        <f t="shared" si="4"/>
        <v>Sunday</v>
      </c>
      <c r="C35" s="473"/>
      <c r="D35" s="474">
        <f t="shared" si="7"/>
        <v>45347</v>
      </c>
      <c r="E35" s="346">
        <f t="shared" si="0"/>
        <v>0</v>
      </c>
      <c r="F35" s="428">
        <f t="shared" si="5"/>
        <v>0</v>
      </c>
      <c r="G35" s="346">
        <f t="shared" si="0"/>
        <v>0</v>
      </c>
      <c r="H35" s="428">
        <f t="shared" si="6"/>
        <v>0</v>
      </c>
      <c r="I35" s="346" t="str">
        <f t="shared" si="3"/>
        <v>Hari Libur</v>
      </c>
    </row>
    <row r="36" spans="2:13">
      <c r="B36" s="472" t="str">
        <f t="shared" si="4"/>
        <v>Monday</v>
      </c>
      <c r="C36" s="473"/>
      <c r="D36" s="474">
        <f t="shared" si="7"/>
        <v>45348</v>
      </c>
      <c r="E36" s="346">
        <f t="shared" si="0"/>
        <v>1</v>
      </c>
      <c r="F36" s="428">
        <f t="shared" si="5"/>
        <v>825000</v>
      </c>
      <c r="G36" s="346">
        <f t="shared" si="0"/>
        <v>1</v>
      </c>
      <c r="H36" s="428">
        <f t="shared" si="6"/>
        <v>825000</v>
      </c>
      <c r="I36" s="346" t="str">
        <f t="shared" si="3"/>
        <v>Hari Kerja</v>
      </c>
    </row>
    <row r="37" spans="2:13">
      <c r="B37" s="447" t="str">
        <f t="shared" si="4"/>
        <v>Tuesday</v>
      </c>
      <c r="C37" s="449"/>
      <c r="D37" s="425">
        <f t="shared" si="7"/>
        <v>45349</v>
      </c>
      <c r="E37" s="346">
        <f t="shared" si="0"/>
        <v>1</v>
      </c>
      <c r="F37" s="428">
        <f t="shared" si="5"/>
        <v>825000</v>
      </c>
      <c r="G37" s="346">
        <f t="shared" si="0"/>
        <v>1</v>
      </c>
      <c r="H37" s="428">
        <f t="shared" si="6"/>
        <v>825000</v>
      </c>
      <c r="I37" s="346" t="str">
        <f t="shared" si="3"/>
        <v>Hari Kerja</v>
      </c>
    </row>
    <row r="38" spans="2:13">
      <c r="B38" s="472" t="str">
        <f t="shared" si="4"/>
        <v>Wednesday</v>
      </c>
      <c r="C38" s="473"/>
      <c r="D38" s="474">
        <f t="shared" si="7"/>
        <v>45350</v>
      </c>
      <c r="E38" s="346">
        <f t="shared" si="0"/>
        <v>1</v>
      </c>
      <c r="F38" s="428">
        <f t="shared" si="5"/>
        <v>825000</v>
      </c>
      <c r="G38" s="346">
        <f t="shared" si="0"/>
        <v>1</v>
      </c>
      <c r="H38" s="428">
        <f t="shared" si="6"/>
        <v>825000</v>
      </c>
      <c r="I38" s="346" t="str">
        <f t="shared" si="3"/>
        <v>Hari Kerja</v>
      </c>
      <c r="M38" s="424"/>
    </row>
    <row r="39" spans="2:13">
      <c r="B39" s="472" t="str">
        <f t="shared" si="4"/>
        <v>Thursday</v>
      </c>
      <c r="C39" s="473"/>
      <c r="D39" s="474">
        <f t="shared" si="7"/>
        <v>45351</v>
      </c>
      <c r="E39" s="346">
        <f>IF($B39="Saturday",0,IF($B39="Sunday",0,1))</f>
        <v>1</v>
      </c>
      <c r="F39" s="428">
        <f t="shared" si="5"/>
        <v>825000</v>
      </c>
      <c r="G39" s="346">
        <f t="shared" si="0"/>
        <v>1</v>
      </c>
      <c r="H39" s="428">
        <f t="shared" si="6"/>
        <v>825000</v>
      </c>
      <c r="I39" s="346" t="str">
        <f t="shared" si="3"/>
        <v>Hari Kerja</v>
      </c>
    </row>
    <row r="40" spans="2:13">
      <c r="B40" s="472"/>
      <c r="C40" s="473"/>
      <c r="D40" s="474"/>
      <c r="E40" s="346"/>
      <c r="F40" s="428"/>
      <c r="G40" s="346"/>
      <c r="H40" s="428"/>
      <c r="I40" s="346"/>
    </row>
    <row r="41" spans="2:13" ht="13.5" thickBot="1">
      <c r="B41" s="492"/>
      <c r="C41" s="450"/>
      <c r="D41" s="493"/>
      <c r="E41" s="433"/>
      <c r="F41" s="434"/>
      <c r="G41" s="433"/>
      <c r="H41" s="434"/>
      <c r="I41" s="433"/>
    </row>
    <row r="42" spans="2:13" ht="13.5" thickTop="1">
      <c r="B42" s="742" t="s">
        <v>403</v>
      </c>
      <c r="C42" s="742"/>
      <c r="D42" s="742"/>
      <c r="E42" s="488">
        <f>SUM(E11:E41)</f>
        <v>19</v>
      </c>
      <c r="F42" s="430">
        <f>SUM(F11:F41)</f>
        <v>15675000</v>
      </c>
      <c r="G42" s="488">
        <f>SUM(G11:G41)</f>
        <v>19</v>
      </c>
      <c r="H42" s="430">
        <f>SUM(H11:H41)</f>
        <v>15675000</v>
      </c>
      <c r="I42" s="491"/>
    </row>
    <row r="43" spans="2:13" ht="15.75">
      <c r="B43" s="743" t="s">
        <v>404</v>
      </c>
      <c r="C43" s="744"/>
      <c r="D43" s="745"/>
      <c r="E43" s="746">
        <f>+F42+H42</f>
        <v>31350000</v>
      </c>
      <c r="F43" s="744"/>
      <c r="G43" s="744"/>
      <c r="H43" s="745"/>
      <c r="I43" s="436"/>
    </row>
    <row r="44" spans="2:13">
      <c r="B44" s="439"/>
      <c r="I44" s="440"/>
    </row>
    <row r="45" spans="2:13" ht="15.75">
      <c r="B45" s="455" t="s">
        <v>412</v>
      </c>
      <c r="I45" s="440"/>
    </row>
    <row r="46" spans="2:13" ht="15.75">
      <c r="B46" s="454" t="s">
        <v>413</v>
      </c>
      <c r="C46" s="763" t="s">
        <v>415</v>
      </c>
      <c r="D46" s="764"/>
      <c r="E46" s="763" t="s">
        <v>414</v>
      </c>
      <c r="F46" s="764"/>
      <c r="G46" s="763" t="s">
        <v>416</v>
      </c>
      <c r="H46" s="765"/>
      <c r="I46" s="764"/>
    </row>
    <row r="47" spans="2:13" ht="45" customHeight="1">
      <c r="B47" s="426" t="s">
        <v>417</v>
      </c>
      <c r="C47" s="732">
        <v>0.25</v>
      </c>
      <c r="D47" s="733"/>
      <c r="E47" s="732">
        <v>0.77083333333333337</v>
      </c>
      <c r="F47" s="733"/>
      <c r="G47" s="751" t="s">
        <v>420</v>
      </c>
      <c r="H47" s="752"/>
      <c r="I47" s="753"/>
    </row>
    <row r="48" spans="2:13" ht="45" customHeight="1">
      <c r="B48" s="426" t="s">
        <v>418</v>
      </c>
      <c r="C48" s="732">
        <v>0.6875</v>
      </c>
      <c r="D48" s="733"/>
      <c r="E48" s="732">
        <v>0.20833333333333334</v>
      </c>
      <c r="F48" s="733"/>
      <c r="G48" s="754"/>
      <c r="H48" s="755"/>
      <c r="I48" s="756"/>
    </row>
    <row r="49" spans="2:9">
      <c r="B49" s="439"/>
      <c r="I49" s="440"/>
    </row>
    <row r="50" spans="2:9">
      <c r="B50" s="439"/>
      <c r="I50" s="440"/>
    </row>
    <row r="51" spans="2:9">
      <c r="B51" s="446"/>
      <c r="C51" s="704" t="s">
        <v>409</v>
      </c>
      <c r="D51" s="705"/>
      <c r="E51" s="704" t="s">
        <v>408</v>
      </c>
      <c r="F51" s="705"/>
      <c r="G51" s="704" t="s">
        <v>407</v>
      </c>
      <c r="H51" s="705"/>
      <c r="I51" s="346" t="s">
        <v>406</v>
      </c>
    </row>
    <row r="52" spans="2:9">
      <c r="B52" s="446"/>
      <c r="C52" s="437"/>
      <c r="D52" s="438"/>
      <c r="E52" s="747"/>
      <c r="F52" s="748"/>
      <c r="G52" s="747"/>
      <c r="H52" s="748"/>
      <c r="I52" s="726"/>
    </row>
    <row r="53" spans="2:9">
      <c r="B53" s="446"/>
      <c r="C53" s="439"/>
      <c r="D53" s="440"/>
      <c r="E53" s="760"/>
      <c r="F53" s="761"/>
      <c r="G53" s="760"/>
      <c r="H53" s="761"/>
      <c r="I53" s="762"/>
    </row>
    <row r="54" spans="2:9">
      <c r="B54" s="446"/>
      <c r="C54" s="443"/>
      <c r="D54" s="444"/>
      <c r="E54" s="749"/>
      <c r="F54" s="750"/>
      <c r="G54" s="749"/>
      <c r="H54" s="750"/>
      <c r="I54" s="727"/>
    </row>
    <row r="55" spans="2:9" ht="15" customHeight="1">
      <c r="B55" s="446"/>
      <c r="C55" s="704" t="s">
        <v>114</v>
      </c>
      <c r="D55" s="705"/>
      <c r="E55" s="704" t="s">
        <v>113</v>
      </c>
      <c r="F55" s="705"/>
      <c r="G55" s="704" t="s">
        <v>112</v>
      </c>
      <c r="H55" s="705"/>
      <c r="I55" s="346" t="s">
        <v>410</v>
      </c>
    </row>
    <row r="56" spans="2:9">
      <c r="B56" s="431"/>
      <c r="C56" s="494" t="s">
        <v>411</v>
      </c>
      <c r="D56" s="495"/>
      <c r="E56" s="494" t="s">
        <v>132</v>
      </c>
      <c r="F56" s="495"/>
      <c r="G56" s="494" t="s">
        <v>132</v>
      </c>
      <c r="H56" s="495"/>
      <c r="I56" s="451" t="s">
        <v>132</v>
      </c>
    </row>
  </sheetData>
  <mergeCells count="28">
    <mergeCell ref="E52:F54"/>
    <mergeCell ref="G52:H54"/>
    <mergeCell ref="I52:I54"/>
    <mergeCell ref="C55:D55"/>
    <mergeCell ref="E55:F55"/>
    <mergeCell ref="G55:H55"/>
    <mergeCell ref="C47:D47"/>
    <mergeCell ref="E47:F47"/>
    <mergeCell ref="G47:I48"/>
    <mergeCell ref="C48:D48"/>
    <mergeCell ref="E48:F48"/>
    <mergeCell ref="C51:D51"/>
    <mergeCell ref="E51:F51"/>
    <mergeCell ref="G51:H51"/>
    <mergeCell ref="B42:D42"/>
    <mergeCell ref="B43:D43"/>
    <mergeCell ref="E43:H43"/>
    <mergeCell ref="C46:D46"/>
    <mergeCell ref="E46:F46"/>
    <mergeCell ref="G46:I46"/>
    <mergeCell ref="B2:I2"/>
    <mergeCell ref="B3:I3"/>
    <mergeCell ref="B4:I4"/>
    <mergeCell ref="B9:C10"/>
    <mergeCell ref="D9:D10"/>
    <mergeCell ref="E9:F9"/>
    <mergeCell ref="G9:H9"/>
    <mergeCell ref="I9:I10"/>
  </mergeCells>
  <conditionalFormatting sqref="B11:C41">
    <cfRule type="containsText" dxfId="21" priority="36" operator="containsText" text="Saturday">
      <formula>NOT(ISERROR(SEARCH("Saturday",B11)))</formula>
    </cfRule>
    <cfRule type="containsText" dxfId="20" priority="37" operator="containsText" text="Sunday">
      <formula>NOT(ISERROR(SEARCH("Sunday",B11)))</formula>
    </cfRule>
  </conditionalFormatting>
  <conditionalFormatting sqref="E12:E34">
    <cfRule type="containsText" dxfId="19" priority="34" operator="containsText" text="0">
      <formula>NOT(ISERROR(SEARCH("0",E12)))</formula>
    </cfRule>
    <cfRule type="containsText" priority="35" operator="containsText" text="0">
      <formula>NOT(ISERROR(SEARCH("0",E12)))</formula>
    </cfRule>
  </conditionalFormatting>
  <conditionalFormatting sqref="G12:G34">
    <cfRule type="containsText" dxfId="18" priority="32" operator="containsText" text="0">
      <formula>NOT(ISERROR(SEARCH("0",G12)))</formula>
    </cfRule>
    <cfRule type="containsText" priority="33" operator="containsText" text="0">
      <formula>NOT(ISERROR(SEARCH("0",G12)))</formula>
    </cfRule>
  </conditionalFormatting>
  <conditionalFormatting sqref="I12:I34">
    <cfRule type="containsText" dxfId="17" priority="29" operator="containsText" text="Hari Libur">
      <formula>NOT(ISERROR(SEARCH("Hari Libur",I12)))</formula>
    </cfRule>
    <cfRule type="containsText" dxfId="16" priority="30" operator="containsText" text="0">
      <formula>NOT(ISERROR(SEARCH("0",I12)))</formula>
    </cfRule>
    <cfRule type="containsText" priority="31" operator="containsText" text="0">
      <formula>NOT(ISERROR(SEARCH("0",I12)))</formula>
    </cfRule>
  </conditionalFormatting>
  <conditionalFormatting sqref="E33">
    <cfRule type="containsText" dxfId="15" priority="27" operator="containsText" text="0">
      <formula>NOT(ISERROR(SEARCH("0",E33)))</formula>
    </cfRule>
    <cfRule type="containsText" priority="28" operator="containsText" text="0">
      <formula>NOT(ISERROR(SEARCH("0",E33)))</formula>
    </cfRule>
  </conditionalFormatting>
  <conditionalFormatting sqref="G33">
    <cfRule type="containsText" dxfId="14" priority="25" operator="containsText" text="0">
      <formula>NOT(ISERROR(SEARCH("0",G33)))</formula>
    </cfRule>
    <cfRule type="containsText" priority="26" operator="containsText" text="0">
      <formula>NOT(ISERROR(SEARCH("0",G33)))</formula>
    </cfRule>
  </conditionalFormatting>
  <conditionalFormatting sqref="I33">
    <cfRule type="containsText" dxfId="13" priority="22" operator="containsText" text="Hari Libur">
      <formula>NOT(ISERROR(SEARCH("Hari Libur",I33)))</formula>
    </cfRule>
    <cfRule type="containsText" dxfId="12" priority="23" operator="containsText" text="0">
      <formula>NOT(ISERROR(SEARCH("0",I33)))</formula>
    </cfRule>
    <cfRule type="containsText" priority="24" operator="containsText" text="0">
      <formula>NOT(ISERROR(SEARCH("0",I33)))</formula>
    </cfRule>
  </conditionalFormatting>
  <conditionalFormatting sqref="E37:E41">
    <cfRule type="containsText" dxfId="11" priority="20" operator="containsText" text="0">
      <formula>NOT(ISERROR(SEARCH("0",E37)))</formula>
    </cfRule>
    <cfRule type="containsText" priority="21" operator="containsText" text="0">
      <formula>NOT(ISERROR(SEARCH("0",E37)))</formula>
    </cfRule>
  </conditionalFormatting>
  <conditionalFormatting sqref="G37:G41">
    <cfRule type="containsText" dxfId="10" priority="18" operator="containsText" text="0">
      <formula>NOT(ISERROR(SEARCH("0",G37)))</formula>
    </cfRule>
    <cfRule type="containsText" priority="19" operator="containsText" text="0">
      <formula>NOT(ISERROR(SEARCH("0",G37)))</formula>
    </cfRule>
  </conditionalFormatting>
  <conditionalFormatting sqref="I37:I41">
    <cfRule type="containsText" dxfId="9" priority="15" operator="containsText" text="Hari Libur">
      <formula>NOT(ISERROR(SEARCH("Hari Libur",I37)))</formula>
    </cfRule>
    <cfRule type="containsText" dxfId="8" priority="16" operator="containsText" text="0">
      <formula>NOT(ISERROR(SEARCH("0",I37)))</formula>
    </cfRule>
    <cfRule type="containsText" priority="17" operator="containsText" text="0">
      <formula>NOT(ISERROR(SEARCH("0",I37)))</formula>
    </cfRule>
  </conditionalFormatting>
  <conditionalFormatting sqref="E35:E36">
    <cfRule type="containsText" dxfId="7" priority="13" operator="containsText" text="0">
      <formula>NOT(ISERROR(SEARCH("0",E35)))</formula>
    </cfRule>
    <cfRule type="containsText" priority="14" operator="containsText" text="0">
      <formula>NOT(ISERROR(SEARCH("0",E35)))</formula>
    </cfRule>
  </conditionalFormatting>
  <conditionalFormatting sqref="G35:G36">
    <cfRule type="containsText" dxfId="6" priority="11" operator="containsText" text="0">
      <formula>NOT(ISERROR(SEARCH("0",G35)))</formula>
    </cfRule>
    <cfRule type="containsText" priority="12" operator="containsText" text="0">
      <formula>NOT(ISERROR(SEARCH("0",G35)))</formula>
    </cfRule>
  </conditionalFormatting>
  <conditionalFormatting sqref="I35:I36">
    <cfRule type="containsText" dxfId="5" priority="8" operator="containsText" text="Hari Libur">
      <formula>NOT(ISERROR(SEARCH("Hari Libur",I35)))</formula>
    </cfRule>
    <cfRule type="containsText" dxfId="4" priority="9" operator="containsText" text="0">
      <formula>NOT(ISERROR(SEARCH("0",I35)))</formula>
    </cfRule>
    <cfRule type="containsText" priority="10" operator="containsText" text="0">
      <formula>NOT(ISERROR(SEARCH("0",I35)))</formula>
    </cfRule>
  </conditionalFormatting>
  <conditionalFormatting sqref="E11">
    <cfRule type="containsText" dxfId="3" priority="6" operator="containsText" text="0">
      <formula>NOT(ISERROR(SEARCH("0",E11)))</formula>
    </cfRule>
    <cfRule type="containsText" priority="7" operator="containsText" text="0">
      <formula>NOT(ISERROR(SEARCH("0",E11)))</formula>
    </cfRule>
  </conditionalFormatting>
  <conditionalFormatting sqref="G11">
    <cfRule type="containsText" dxfId="2" priority="4" operator="containsText" text="0">
      <formula>NOT(ISERROR(SEARCH("0",G11)))</formula>
    </cfRule>
    <cfRule type="containsText" priority="5" operator="containsText" text="0">
      <formula>NOT(ISERROR(SEARCH("0",G11)))</formula>
    </cfRule>
  </conditionalFormatting>
  <conditionalFormatting sqref="I11">
    <cfRule type="containsText" dxfId="1" priority="1" operator="containsText" text="Hari Libur">
      <formula>NOT(ISERROR(SEARCH("Hari Libur",I11)))</formula>
    </cfRule>
    <cfRule type="containsText" dxfId="0" priority="2" operator="containsText" text="0">
      <formula>NOT(ISERROR(SEARCH("0",I11)))</formula>
    </cfRule>
    <cfRule type="containsText" priority="3" operator="containsText" text="0">
      <formula>NOT(ISERROR(SEARCH("0",I11)))</formula>
    </cfRule>
  </conditionalFormatting>
  <printOptions horizontalCentered="1" verticalCentered="1"/>
  <pageMargins left="0" right="0" top="0" bottom="0" header="0" footer="0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14</vt:i4>
      </vt:variant>
    </vt:vector>
  </HeadingPairs>
  <TitlesOfParts>
    <vt:vector size="31" baseType="lpstr">
      <vt:lpstr>OKTOBER</vt:lpstr>
      <vt:lpstr>DES</vt:lpstr>
      <vt:lpstr>2018</vt:lpstr>
      <vt:lpstr>JF</vt:lpstr>
      <vt:lpstr>Order 2018</vt:lpstr>
      <vt:lpstr>Sheet2</vt:lpstr>
      <vt:lpstr>PO 2019</vt:lpstr>
      <vt:lpstr>PO TERM 79</vt:lpstr>
      <vt:lpstr>PO TERM 80</vt:lpstr>
      <vt:lpstr>PO TERM 81</vt:lpstr>
      <vt:lpstr>0823</vt:lpstr>
      <vt:lpstr>0923</vt:lpstr>
      <vt:lpstr>1023</vt:lpstr>
      <vt:lpstr>1123</vt:lpstr>
      <vt:lpstr>1223</vt:lpstr>
      <vt:lpstr>0124</vt:lpstr>
      <vt:lpstr>0224</vt:lpstr>
      <vt:lpstr>'0124'!Print_Area</vt:lpstr>
      <vt:lpstr>'0224'!Print_Area</vt:lpstr>
      <vt:lpstr>'0823'!Print_Area</vt:lpstr>
      <vt:lpstr>'0923'!Print_Area</vt:lpstr>
      <vt:lpstr>'1023'!Print_Area</vt:lpstr>
      <vt:lpstr>'1123'!Print_Area</vt:lpstr>
      <vt:lpstr>'1223'!Print_Area</vt:lpstr>
      <vt:lpstr>'2018'!Print_Area</vt:lpstr>
      <vt:lpstr>DES!Print_Area</vt:lpstr>
      <vt:lpstr>OKTOBER!Print_Area</vt:lpstr>
      <vt:lpstr>'Order 2018'!Print_Area</vt:lpstr>
      <vt:lpstr>'PO 2019'!Print_Area</vt:lpstr>
      <vt:lpstr>'PO TERM 80'!Print_Area</vt:lpstr>
      <vt:lpstr>'PO TERM 81'!Print_Area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prd-02</dc:creator>
  <cp:lastModifiedBy>GA-05</cp:lastModifiedBy>
  <cp:lastPrinted>2024-01-22T04:20:10Z</cp:lastPrinted>
  <dcterms:created xsi:type="dcterms:W3CDTF">2017-09-22T03:10:53Z</dcterms:created>
  <dcterms:modified xsi:type="dcterms:W3CDTF">2024-01-22T04:20:33Z</dcterms:modified>
</cp:coreProperties>
</file>