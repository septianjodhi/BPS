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GA\GA-03- MIKI\2. PERJALANAN DINAS\DOMESTIC\1. PERHITUNGAN SPD\0. TERM 84\25.06 Juni 2025\MPC TRAINING AS400 DI PEMI\"/>
    </mc:Choice>
  </mc:AlternateContent>
  <xr:revisionPtr revIDLastSave="0" documentId="13_ncr:1_{16AE7812-01F6-4770-BFD9-353A7615D828}" xr6:coauthVersionLast="47" xr6:coauthVersionMax="47" xr10:uidLastSave="{00000000-0000-0000-0000-000000000000}"/>
  <bookViews>
    <workbookView xWindow="-120" yWindow="-120" windowWidth="29040" windowHeight="15720" xr2:uid="{FCC4BF14-03A1-493C-99CB-7B93B23D47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8" i="2"/>
  <c r="K15" i="1"/>
  <c r="K14" i="1"/>
  <c r="K13" i="1"/>
  <c r="K12" i="1"/>
  <c r="L12" i="1" l="1"/>
  <c r="L13" i="1"/>
  <c r="L14" i="1"/>
  <c r="L15" i="1"/>
  <c r="I15" i="1"/>
  <c r="J15" i="1" s="1"/>
  <c r="J14" i="1"/>
  <c r="I14" i="1"/>
  <c r="I13" i="1"/>
  <c r="J13" i="1" s="1"/>
  <c r="I12" i="1"/>
  <c r="J12" i="1" s="1"/>
  <c r="I11" i="1"/>
  <c r="J11" i="1" s="1"/>
  <c r="K11" i="1" s="1"/>
  <c r="F10" i="1"/>
  <c r="I10" i="1" s="1"/>
  <c r="J10" i="1"/>
  <c r="L11" i="1" l="1"/>
  <c r="K10" i="1"/>
  <c r="L10" i="1" s="1"/>
</calcChain>
</file>

<file path=xl/sharedStrings.xml><?xml version="1.0" encoding="utf-8"?>
<sst xmlns="http://schemas.openxmlformats.org/spreadsheetml/2006/main" count="46" uniqueCount="39">
  <si>
    <t>PT. SEMARANG AUTOCOMP MANUFACTURING INDONESIA - TUGU FACTORY</t>
  </si>
  <si>
    <t>GENERAL AFFAIRS</t>
  </si>
  <si>
    <t>RINCIAN BIAYA KOST MPC AS400 TRAINING</t>
  </si>
  <si>
    <t>NO</t>
  </si>
  <si>
    <t>BULAN</t>
  </si>
  <si>
    <t>PRICE</t>
  </si>
  <si>
    <t>KAMAR + GAS LPG</t>
  </si>
  <si>
    <t>TOKEN LISTRIK</t>
  </si>
  <si>
    <t>OJEK</t>
  </si>
  <si>
    <t>SUB TOTAL</t>
  </si>
  <si>
    <t>Hari Kerja PEMI</t>
  </si>
  <si>
    <t>Berangkat</t>
  </si>
  <si>
    <t>Pulang</t>
  </si>
  <si>
    <t>Jumlah</t>
  </si>
  <si>
    <t>a</t>
  </si>
  <si>
    <t>b</t>
  </si>
  <si>
    <t>c</t>
  </si>
  <si>
    <t>d</t>
  </si>
  <si>
    <t>e</t>
  </si>
  <si>
    <t>f = cXdXe</t>
  </si>
  <si>
    <t>g = a+b+f</t>
  </si>
  <si>
    <t>h</t>
  </si>
  <si>
    <t>Agustus 2025</t>
  </si>
  <si>
    <t>September 2025</t>
  </si>
  <si>
    <t>Oktober 2025</t>
  </si>
  <si>
    <t>November 2025</t>
  </si>
  <si>
    <t>Desember 2025</t>
  </si>
  <si>
    <t>i = g+h</t>
  </si>
  <si>
    <t>GROWS UP
(nominal pada kwitansi)
PPh 0,5%</t>
  </si>
  <si>
    <r>
      <t xml:space="preserve">GROWS UP
</t>
    </r>
    <r>
      <rPr>
        <b/>
        <sz val="12"/>
        <color theme="1"/>
        <rFont val="Calibri Light"/>
        <family val="2"/>
        <scheme val="major"/>
      </rPr>
      <t>(nominal pada kwitansi)</t>
    </r>
  </si>
  <si>
    <t>INV 1 = Periode Juli 2025</t>
  </si>
  <si>
    <t>Deposit</t>
  </si>
  <si>
    <t>:</t>
  </si>
  <si>
    <t>Juli</t>
  </si>
  <si>
    <t>+</t>
  </si>
  <si>
    <t>Total</t>
  </si>
  <si>
    <t>INV 2 = Periode Juli 2025</t>
  </si>
  <si>
    <t>Juli 2025</t>
  </si>
  <si>
    <t>+ Deposit 300.000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</si>
</sst>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sz val="14"/>
      <color theme="1"/>
      <name val="Cambria"/>
      <family val="1"/>
    </font>
    <font>
      <u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165" fontId="2" fillId="2" borderId="6" xfId="1" applyNumberFormat="1" applyFont="1" applyFill="1" applyBorder="1" applyAlignment="1">
      <alignment vertical="top"/>
    </xf>
    <xf numFmtId="165" fontId="2" fillId="0" borderId="6" xfId="1" applyNumberFormat="1" applyFont="1" applyBorder="1" applyAlignment="1">
      <alignment vertical="top"/>
    </xf>
    <xf numFmtId="165" fontId="4" fillId="3" borderId="6" xfId="1" applyNumberFormat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165" fontId="2" fillId="2" borderId="1" xfId="1" applyNumberFormat="1" applyFont="1" applyFill="1" applyBorder="1" applyAlignment="1">
      <alignment vertical="top"/>
    </xf>
    <xf numFmtId="165" fontId="2" fillId="0" borderId="1" xfId="1" applyNumberFormat="1" applyFont="1" applyBorder="1" applyAlignment="1">
      <alignment vertical="top"/>
    </xf>
    <xf numFmtId="17" fontId="2" fillId="0" borderId="1" xfId="0" quotePrefix="1" applyNumberFormat="1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165" fontId="2" fillId="2" borderId="7" xfId="1" applyNumberFormat="1" applyFont="1" applyFill="1" applyBorder="1" applyAlignment="1">
      <alignment vertical="top"/>
    </xf>
    <xf numFmtId="165" fontId="2" fillId="0" borderId="7" xfId="1" applyNumberFormat="1" applyFont="1" applyBorder="1" applyAlignment="1">
      <alignment vertical="top"/>
    </xf>
    <xf numFmtId="165" fontId="4" fillId="3" borderId="7" xfId="1" applyNumberFormat="1" applyFont="1" applyFill="1" applyBorder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6" fillId="4" borderId="5" xfId="0" applyFont="1" applyFill="1" applyBorder="1" applyAlignment="1">
      <alignment horizontal="center" vertical="top"/>
    </xf>
    <xf numFmtId="165" fontId="6" fillId="4" borderId="6" xfId="1" applyNumberFormat="1" applyFont="1" applyFill="1" applyBorder="1" applyAlignment="1">
      <alignment horizontal="center" vertical="top"/>
    </xf>
    <xf numFmtId="165" fontId="6" fillId="4" borderId="7" xfId="1" applyNumberFormat="1" applyFont="1" applyFill="1" applyBorder="1" applyAlignment="1">
      <alignment horizontal="center" vertical="top"/>
    </xf>
    <xf numFmtId="0" fontId="8" fillId="6" borderId="0" xfId="2" applyFont="1" applyFill="1"/>
    <xf numFmtId="0" fontId="8" fillId="6" borderId="0" xfId="2" applyFont="1" applyFill="1" applyAlignment="1">
      <alignment horizontal="center"/>
    </xf>
    <xf numFmtId="165" fontId="8" fillId="6" borderId="0" xfId="3" applyNumberFormat="1" applyFont="1" applyFill="1"/>
    <xf numFmtId="0" fontId="8" fillId="0" borderId="0" xfId="2" applyFont="1"/>
    <xf numFmtId="0" fontId="9" fillId="6" borderId="0" xfId="2" applyFont="1" applyFill="1"/>
    <xf numFmtId="0" fontId="8" fillId="6" borderId="8" xfId="2" applyFont="1" applyFill="1" applyBorder="1"/>
    <xf numFmtId="0" fontId="8" fillId="6" borderId="8" xfId="2" applyFont="1" applyFill="1" applyBorder="1" applyAlignment="1">
      <alignment horizontal="center"/>
    </xf>
    <xf numFmtId="165" fontId="8" fillId="6" borderId="8" xfId="3" applyNumberFormat="1" applyFont="1" applyFill="1" applyBorder="1"/>
    <xf numFmtId="0" fontId="8" fillId="0" borderId="0" xfId="2" applyFont="1" applyAlignment="1">
      <alignment horizontal="center"/>
    </xf>
    <xf numFmtId="165" fontId="8" fillId="0" borderId="0" xfId="3" applyNumberFormat="1" applyFont="1"/>
    <xf numFmtId="0" fontId="8" fillId="7" borderId="0" xfId="2" applyFont="1" applyFill="1"/>
    <xf numFmtId="0" fontId="8" fillId="7" borderId="0" xfId="2" applyFont="1" applyFill="1" applyAlignment="1">
      <alignment horizontal="center"/>
    </xf>
    <xf numFmtId="165" fontId="8" fillId="7" borderId="0" xfId="3" applyNumberFormat="1" applyFont="1" applyFill="1"/>
    <xf numFmtId="0" fontId="9" fillId="7" borderId="0" xfId="2" applyFont="1" applyFill="1"/>
    <xf numFmtId="0" fontId="8" fillId="7" borderId="8" xfId="2" applyFont="1" applyFill="1" applyBorder="1"/>
    <xf numFmtId="0" fontId="8" fillId="7" borderId="8" xfId="2" applyFont="1" applyFill="1" applyBorder="1" applyAlignment="1">
      <alignment horizontal="center"/>
    </xf>
    <xf numFmtId="165" fontId="8" fillId="7" borderId="8" xfId="3" applyNumberFormat="1" applyFont="1" applyFill="1" applyBorder="1"/>
    <xf numFmtId="164" fontId="2" fillId="0" borderId="0" xfId="0" quotePrefix="1" applyNumberFormat="1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/>
    </xf>
    <xf numFmtId="165" fontId="4" fillId="5" borderId="6" xfId="1" applyNumberFormat="1" applyFont="1" applyFill="1" applyBorder="1" applyAlignment="1">
      <alignment vertical="top"/>
    </xf>
    <xf numFmtId="165" fontId="4" fillId="5" borderId="7" xfId="1" applyNumberFormat="1" applyFont="1" applyFill="1" applyBorder="1" applyAlignment="1">
      <alignment vertical="top"/>
    </xf>
  </cellXfs>
  <cellStyles count="4">
    <cellStyle name="Comma" xfId="1" builtinId="3"/>
    <cellStyle name="Comma 2" xfId="3" xr:uid="{70B6BFEE-F1C7-4946-8CA4-81AB523695DB}"/>
    <cellStyle name="Normal" xfId="0" builtinId="0"/>
    <cellStyle name="Normal 2" xfId="2" xr:uid="{3A682C1E-36A2-4308-B5EE-2392516425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115957</xdr:colOff>
      <xdr:row>15</xdr:row>
      <xdr:rowOff>190500</xdr:rowOff>
    </xdr:from>
    <xdr:to>
      <xdr:col>9</xdr:col>
      <xdr:colOff>1283805</xdr:colOff>
      <xdr:row>17</xdr:row>
      <xdr:rowOff>57978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1B43EB5F-8B15-45CF-AEE5-D25E95819EE7}"/>
            </a:ext>
          </a:extLst>
        </xdr:cNvPr>
        <xdr:cNvSpPr/>
      </xdr:nvSpPr>
      <xdr:spPr>
        <a:xfrm>
          <a:off x="9168848" y="3627783"/>
          <a:ext cx="1167848" cy="265043"/>
        </a:xfrm>
        <a:prstGeom prst="wedgeRectCallout">
          <a:avLst>
            <a:gd name="adj1" fmla="val -11142"/>
            <a:gd name="adj2" fmla="val -113198"/>
          </a:avLst>
        </a:prstGeom>
        <a:solidFill>
          <a:srgbClr val="FFFF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Amount</a:t>
          </a:r>
          <a:r>
            <a:rPr lang="en-US" sz="1100" baseline="0">
              <a:solidFill>
                <a:sysClr val="windowText" lastClr="000000"/>
              </a:solidFill>
            </a:rPr>
            <a:t> PR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4AFA-81F5-4BF6-9B8E-18F8981E81F8}">
  <sheetPr>
    <pageSetUpPr fitToPage="1"/>
  </sheetPr>
  <dimension ref="B2:N22"/>
  <sheetViews>
    <sheetView showGridLines="0" tabSelected="1" zoomScale="115" zoomScaleNormal="115" workbookViewId="0">
      <selection activeCell="K18" sqref="K18"/>
    </sheetView>
  </sheetViews>
  <sheetFormatPr defaultColWidth="9.140625" defaultRowHeight="15.75" x14ac:dyDescent="0.25"/>
  <cols>
    <col min="1" max="1" width="1.7109375" style="1" customWidth="1"/>
    <col min="2" max="2" width="5.7109375" style="1" customWidth="1"/>
    <col min="3" max="3" width="30.7109375" style="1" customWidth="1"/>
    <col min="4" max="8" width="15.7109375" style="1" customWidth="1"/>
    <col min="9" max="9" width="18.7109375" style="1" customWidth="1"/>
    <col min="10" max="10" width="20.7109375" style="1" customWidth="1"/>
    <col min="11" max="12" width="25.7109375" style="1" customWidth="1"/>
    <col min="13" max="13" width="5.7109375" style="1" customWidth="1"/>
    <col min="14" max="18" width="15.7109375" style="1" customWidth="1"/>
    <col min="19" max="16384" width="9.140625" style="1"/>
  </cols>
  <sheetData>
    <row r="2" spans="2:14" x14ac:dyDescent="0.25">
      <c r="B2" s="1" t="s">
        <v>0</v>
      </c>
    </row>
    <row r="3" spans="2:14" x14ac:dyDescent="0.25">
      <c r="B3" s="1" t="s">
        <v>1</v>
      </c>
    </row>
    <row r="4" spans="2:14" ht="23.25" x14ac:dyDescent="0.25">
      <c r="B4" s="2" t="s">
        <v>2</v>
      </c>
    </row>
    <row r="6" spans="2:14" s="3" customFormat="1" x14ac:dyDescent="0.25">
      <c r="B6" s="47" t="s">
        <v>3</v>
      </c>
      <c r="C6" s="47" t="s">
        <v>4</v>
      </c>
      <c r="D6" s="49" t="s">
        <v>5</v>
      </c>
      <c r="E6" s="50"/>
      <c r="F6" s="50"/>
      <c r="G6" s="50"/>
      <c r="H6" s="50"/>
      <c r="I6" s="50"/>
      <c r="J6" s="51"/>
      <c r="K6" s="55" t="s">
        <v>28</v>
      </c>
      <c r="L6" s="52" t="s">
        <v>29</v>
      </c>
    </row>
    <row r="7" spans="2:14" s="4" customFormat="1" ht="31.5" customHeight="1" x14ac:dyDescent="0.25">
      <c r="B7" s="47"/>
      <c r="C7" s="47"/>
      <c r="D7" s="53" t="s">
        <v>6</v>
      </c>
      <c r="E7" s="53" t="s">
        <v>7</v>
      </c>
      <c r="F7" s="53" t="s">
        <v>8</v>
      </c>
      <c r="G7" s="53"/>
      <c r="H7" s="53"/>
      <c r="I7" s="53"/>
      <c r="J7" s="54" t="s">
        <v>9</v>
      </c>
      <c r="K7" s="55"/>
      <c r="L7" s="52"/>
    </row>
    <row r="8" spans="2:14" s="3" customFormat="1" ht="31.5" x14ac:dyDescent="0.25">
      <c r="B8" s="47"/>
      <c r="C8" s="47"/>
      <c r="D8" s="53"/>
      <c r="E8" s="53"/>
      <c r="F8" s="5" t="s">
        <v>10</v>
      </c>
      <c r="G8" s="6" t="s">
        <v>11</v>
      </c>
      <c r="H8" s="6" t="s">
        <v>12</v>
      </c>
      <c r="I8" s="6" t="s">
        <v>13</v>
      </c>
      <c r="J8" s="54"/>
      <c r="K8" s="55"/>
      <c r="L8" s="52"/>
    </row>
    <row r="9" spans="2:14" s="3" customFormat="1" ht="21.75" thickBot="1" x14ac:dyDescent="0.3">
      <c r="B9" s="48"/>
      <c r="C9" s="48"/>
      <c r="D9" s="7" t="s">
        <v>14</v>
      </c>
      <c r="E9" s="7" t="s">
        <v>15</v>
      </c>
      <c r="F9" s="8" t="s">
        <v>16</v>
      </c>
      <c r="G9" s="8" t="s">
        <v>17</v>
      </c>
      <c r="H9" s="8" t="s">
        <v>18</v>
      </c>
      <c r="I9" s="7" t="s">
        <v>19</v>
      </c>
      <c r="J9" s="56" t="s">
        <v>20</v>
      </c>
      <c r="K9" s="9" t="s">
        <v>21</v>
      </c>
      <c r="L9" s="26" t="s">
        <v>27</v>
      </c>
    </row>
    <row r="10" spans="2:14" ht="21.75" hidden="1" thickTop="1" x14ac:dyDescent="0.25">
      <c r="B10" s="10">
        <v>1</v>
      </c>
      <c r="C10" s="11" t="s">
        <v>37</v>
      </c>
      <c r="D10" s="12">
        <v>2300000</v>
      </c>
      <c r="E10" s="12">
        <v>200000</v>
      </c>
      <c r="F10" s="13">
        <f>23-4</f>
        <v>19</v>
      </c>
      <c r="G10" s="13">
        <v>15000</v>
      </c>
      <c r="H10" s="13">
        <v>15000</v>
      </c>
      <c r="I10" s="12">
        <f>+F10*(G10+H10)</f>
        <v>570000</v>
      </c>
      <c r="J10" s="57">
        <f>+D10+E10+I10</f>
        <v>3070000</v>
      </c>
      <c r="K10" s="14">
        <f>(ROUND((J10/99.5)*100,0))-J10</f>
        <v>15427</v>
      </c>
      <c r="L10" s="27">
        <f>+J10+K10</f>
        <v>3085427</v>
      </c>
      <c r="N10" s="46" t="s">
        <v>38</v>
      </c>
    </row>
    <row r="11" spans="2:14" ht="21" hidden="1" x14ac:dyDescent="0.25">
      <c r="B11" s="6">
        <v>2</v>
      </c>
      <c r="C11" s="15" t="s">
        <v>22</v>
      </c>
      <c r="D11" s="16">
        <v>2000000</v>
      </c>
      <c r="E11" s="16">
        <v>200000</v>
      </c>
      <c r="F11" s="17">
        <v>21</v>
      </c>
      <c r="G11" s="13">
        <v>15000</v>
      </c>
      <c r="H11" s="13">
        <v>15000</v>
      </c>
      <c r="I11" s="12">
        <f t="shared" ref="I11:I15" si="0">+F11*(G11+H11)</f>
        <v>630000</v>
      </c>
      <c r="J11" s="57">
        <f t="shared" ref="J11:J15" si="1">+D11+E11+I11</f>
        <v>2830000</v>
      </c>
      <c r="K11" s="14">
        <f t="shared" ref="K11:K15" si="2">(ROUND((J11/99.5)*100,0))-J11</f>
        <v>14221</v>
      </c>
      <c r="L11" s="27">
        <f t="shared" ref="L11:L15" si="3">+J11+K11</f>
        <v>2844221</v>
      </c>
      <c r="N11" s="25"/>
    </row>
    <row r="12" spans="2:14" ht="21.75" thickTop="1" x14ac:dyDescent="0.25">
      <c r="B12" s="6">
        <v>3</v>
      </c>
      <c r="C12" s="18" t="s">
        <v>23</v>
      </c>
      <c r="D12" s="16">
        <v>2000000</v>
      </c>
      <c r="E12" s="16">
        <v>200000</v>
      </c>
      <c r="F12" s="17">
        <v>21</v>
      </c>
      <c r="G12" s="13">
        <v>15000</v>
      </c>
      <c r="H12" s="13">
        <v>15000</v>
      </c>
      <c r="I12" s="12">
        <f t="shared" si="0"/>
        <v>630000</v>
      </c>
      <c r="J12" s="57">
        <f t="shared" si="1"/>
        <v>2830000</v>
      </c>
      <c r="K12" s="14">
        <f t="shared" si="2"/>
        <v>14221</v>
      </c>
      <c r="L12" s="27">
        <f t="shared" si="3"/>
        <v>2844221</v>
      </c>
      <c r="N12" s="25"/>
    </row>
    <row r="13" spans="2:14" ht="21" x14ac:dyDescent="0.25">
      <c r="B13" s="6">
        <v>4</v>
      </c>
      <c r="C13" s="15" t="s">
        <v>24</v>
      </c>
      <c r="D13" s="16">
        <v>2000000</v>
      </c>
      <c r="E13" s="16">
        <v>200000</v>
      </c>
      <c r="F13" s="17">
        <v>23</v>
      </c>
      <c r="G13" s="13">
        <v>15000</v>
      </c>
      <c r="H13" s="13">
        <v>15000</v>
      </c>
      <c r="I13" s="12">
        <f t="shared" si="0"/>
        <v>690000</v>
      </c>
      <c r="J13" s="57">
        <f t="shared" si="1"/>
        <v>2890000</v>
      </c>
      <c r="K13" s="14">
        <f t="shared" si="2"/>
        <v>14523</v>
      </c>
      <c r="L13" s="27">
        <f t="shared" si="3"/>
        <v>2904523</v>
      </c>
      <c r="N13" s="25"/>
    </row>
    <row r="14" spans="2:14" ht="21" x14ac:dyDescent="0.25">
      <c r="B14" s="6">
        <v>5</v>
      </c>
      <c r="C14" s="18" t="s">
        <v>25</v>
      </c>
      <c r="D14" s="16">
        <v>2000000</v>
      </c>
      <c r="E14" s="16">
        <v>200000</v>
      </c>
      <c r="F14" s="17">
        <v>20</v>
      </c>
      <c r="G14" s="13">
        <v>15000</v>
      </c>
      <c r="H14" s="13">
        <v>15000</v>
      </c>
      <c r="I14" s="12">
        <f t="shared" si="0"/>
        <v>600000</v>
      </c>
      <c r="J14" s="57">
        <f t="shared" si="1"/>
        <v>2800000</v>
      </c>
      <c r="K14" s="14">
        <f t="shared" si="2"/>
        <v>14070</v>
      </c>
      <c r="L14" s="27">
        <f t="shared" si="3"/>
        <v>2814070</v>
      </c>
      <c r="N14" s="25"/>
    </row>
    <row r="15" spans="2:14" ht="21.75" thickBot="1" x14ac:dyDescent="0.3">
      <c r="B15" s="19">
        <v>6</v>
      </c>
      <c r="C15" s="20" t="s">
        <v>26</v>
      </c>
      <c r="D15" s="21">
        <v>2000000</v>
      </c>
      <c r="E15" s="21">
        <v>200000</v>
      </c>
      <c r="F15" s="22">
        <v>21</v>
      </c>
      <c r="G15" s="22">
        <v>15000</v>
      </c>
      <c r="H15" s="22">
        <v>15000</v>
      </c>
      <c r="I15" s="21">
        <f t="shared" si="0"/>
        <v>630000</v>
      </c>
      <c r="J15" s="58">
        <f t="shared" si="1"/>
        <v>2830000</v>
      </c>
      <c r="K15" s="23">
        <f t="shared" si="2"/>
        <v>14221</v>
      </c>
      <c r="L15" s="28">
        <f t="shared" si="3"/>
        <v>2844221</v>
      </c>
      <c r="N15" s="25"/>
    </row>
    <row r="16" spans="2:14" x14ac:dyDescent="0.25">
      <c r="K16" s="25"/>
    </row>
    <row r="17" spans="9:11" x14ac:dyDescent="0.25">
      <c r="J17" s="24"/>
      <c r="K17" s="25"/>
    </row>
    <row r="18" spans="9:11" x14ac:dyDescent="0.25">
      <c r="J18" s="24"/>
      <c r="K18" s="25"/>
    </row>
    <row r="19" spans="9:11" x14ac:dyDescent="0.25">
      <c r="I19" s="24"/>
      <c r="J19" s="24"/>
    </row>
    <row r="20" spans="9:11" x14ac:dyDescent="0.25">
      <c r="J20" s="24"/>
    </row>
    <row r="21" spans="9:11" x14ac:dyDescent="0.25">
      <c r="J21" s="24"/>
    </row>
    <row r="22" spans="9:11" x14ac:dyDescent="0.25">
      <c r="J22" s="24"/>
    </row>
  </sheetData>
  <mergeCells count="9">
    <mergeCell ref="B6:B9"/>
    <mergeCell ref="C6:C9"/>
    <mergeCell ref="D6:J6"/>
    <mergeCell ref="L6:L8"/>
    <mergeCell ref="D7:D8"/>
    <mergeCell ref="E7:E8"/>
    <mergeCell ref="F7:I7"/>
    <mergeCell ref="J7:J8"/>
    <mergeCell ref="K6:K8"/>
  </mergeCells>
  <pageMargins left="0" right="0" top="0.74803149606299213" bottom="0.74803149606299213" header="0.31496062992125984" footer="0.31496062992125984"/>
  <pageSetup paperSize="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4531-5893-4A10-8998-AFC67981684C}">
  <dimension ref="B3:F16"/>
  <sheetViews>
    <sheetView showGridLines="0" workbookViewId="0">
      <selection activeCell="C31" sqref="C31"/>
    </sheetView>
  </sheetViews>
  <sheetFormatPr defaultRowHeight="18" x14ac:dyDescent="0.25"/>
  <cols>
    <col min="1" max="2" width="9.140625" style="32"/>
    <col min="3" max="3" width="10.7109375" style="32" customWidth="1"/>
    <col min="4" max="4" width="2.7109375" style="37" customWidth="1"/>
    <col min="5" max="5" width="15.7109375" style="38" customWidth="1"/>
    <col min="6" max="16384" width="9.140625" style="32"/>
  </cols>
  <sheetData>
    <row r="3" spans="2:6" x14ac:dyDescent="0.25">
      <c r="B3" s="29"/>
      <c r="C3" s="29"/>
      <c r="D3" s="30"/>
      <c r="E3" s="31"/>
      <c r="F3" s="29"/>
    </row>
    <row r="4" spans="2:6" x14ac:dyDescent="0.25">
      <c r="B4" s="29"/>
      <c r="C4" s="33" t="s">
        <v>30</v>
      </c>
      <c r="D4" s="33"/>
      <c r="E4" s="33"/>
      <c r="F4" s="29"/>
    </row>
    <row r="5" spans="2:6" ht="9.9499999999999993" customHeight="1" x14ac:dyDescent="0.25">
      <c r="B5" s="29"/>
      <c r="C5" s="29"/>
      <c r="D5" s="30"/>
      <c r="E5" s="31"/>
      <c r="F5" s="29"/>
    </row>
    <row r="6" spans="2:6" x14ac:dyDescent="0.25">
      <c r="B6" s="29"/>
      <c r="C6" s="29" t="s">
        <v>31</v>
      </c>
      <c r="D6" s="30" t="s">
        <v>32</v>
      </c>
      <c r="E6" s="31">
        <v>300000</v>
      </c>
      <c r="F6" s="29"/>
    </row>
    <row r="7" spans="2:6" x14ac:dyDescent="0.25">
      <c r="B7" s="29"/>
      <c r="C7" s="34" t="s">
        <v>33</v>
      </c>
      <c r="D7" s="35" t="s">
        <v>32</v>
      </c>
      <c r="E7" s="36">
        <v>2783920</v>
      </c>
      <c r="F7" s="29" t="s">
        <v>34</v>
      </c>
    </row>
    <row r="8" spans="2:6" x14ac:dyDescent="0.25">
      <c r="B8" s="29"/>
      <c r="C8" s="29" t="s">
        <v>35</v>
      </c>
      <c r="D8" s="30" t="s">
        <v>32</v>
      </c>
      <c r="E8" s="31">
        <f>+E7+E6</f>
        <v>3083920</v>
      </c>
      <c r="F8" s="29"/>
    </row>
    <row r="9" spans="2:6" x14ac:dyDescent="0.25">
      <c r="B9" s="29"/>
      <c r="C9" s="29"/>
      <c r="D9" s="30"/>
      <c r="E9" s="31"/>
      <c r="F9" s="29"/>
    </row>
    <row r="11" spans="2:6" x14ac:dyDescent="0.25">
      <c r="B11" s="39"/>
      <c r="C11" s="39"/>
      <c r="D11" s="40"/>
      <c r="E11" s="41"/>
      <c r="F11" s="39"/>
    </row>
    <row r="12" spans="2:6" x14ac:dyDescent="0.25">
      <c r="B12" s="39"/>
      <c r="C12" s="42" t="s">
        <v>36</v>
      </c>
      <c r="D12" s="42"/>
      <c r="E12" s="42"/>
      <c r="F12" s="39"/>
    </row>
    <row r="13" spans="2:6" ht="9.9499999999999993" customHeight="1" x14ac:dyDescent="0.25">
      <c r="B13" s="39"/>
      <c r="C13" s="39"/>
      <c r="D13" s="40"/>
      <c r="E13" s="41"/>
      <c r="F13" s="39"/>
    </row>
    <row r="14" spans="2:6" x14ac:dyDescent="0.25">
      <c r="B14" s="39"/>
      <c r="C14" s="43" t="s">
        <v>33</v>
      </c>
      <c r="D14" s="44" t="s">
        <v>32</v>
      </c>
      <c r="E14" s="45">
        <v>2844221</v>
      </c>
      <c r="F14" s="39" t="s">
        <v>34</v>
      </c>
    </row>
    <row r="15" spans="2:6" x14ac:dyDescent="0.25">
      <c r="B15" s="39"/>
      <c r="C15" s="39" t="s">
        <v>35</v>
      </c>
      <c r="D15" s="40" t="s">
        <v>32</v>
      </c>
      <c r="E15" s="41">
        <f>+E14</f>
        <v>2844221</v>
      </c>
      <c r="F15" s="39"/>
    </row>
    <row r="16" spans="2:6" x14ac:dyDescent="0.25">
      <c r="B16" s="39"/>
      <c r="C16" s="39"/>
      <c r="D16" s="40"/>
      <c r="E16" s="41"/>
      <c r="F16" s="3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GA-12</dc:creator>
  <cp:lastModifiedBy>GA-12</cp:lastModifiedBy>
  <cp:lastPrinted>2025-07-02T04:38:40Z</cp:lastPrinted>
  <dcterms:created xsi:type="dcterms:W3CDTF">2025-07-01T02:59:38Z</dcterms:created>
  <dcterms:modified xsi:type="dcterms:W3CDTF">2025-08-15T07:33:25Z</dcterms:modified>
</cp:coreProperties>
</file>