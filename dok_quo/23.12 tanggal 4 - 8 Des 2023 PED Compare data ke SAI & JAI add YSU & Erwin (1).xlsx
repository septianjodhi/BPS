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defaultThemeVersion="124226"/>
  <mc:AlternateContent xmlns:mc="http://schemas.openxmlformats.org/markup-compatibility/2006">
    <mc:Choice Requires="x15">
      <x15ac:absPath xmlns:x15ac="http://schemas.microsoft.com/office/spreadsheetml/2010/11/ac" url="D:\SHARE DATA\PUTRI MEI E\3. TERM 83\2. DATA SCAN\4. SCAN PERJALANAN DINAS\5. DESEMBER 2023\"/>
    </mc:Choice>
  </mc:AlternateContent>
  <xr:revisionPtr revIDLastSave="0" documentId="13_ncr:1_{5EE28364-BC0C-4433-8A72-3D758591370F}" xr6:coauthVersionLast="47" xr6:coauthVersionMax="47" xr10:uidLastSave="{00000000-0000-0000-0000-000000000000}"/>
  <bookViews>
    <workbookView xWindow="-120" yWindow="-120" windowWidth="29040" windowHeight="15840" tabRatio="761" activeTab="2" xr2:uid="{00000000-000D-0000-FFFF-FFFF00000000}"/>
  </bookViews>
  <sheets>
    <sheet name="TAHAP 1" sheetId="5" r:id="rId1"/>
    <sheet name="TAPAH 2.2 (Rincian)" sheetId="15" r:id="rId2"/>
    <sheet name="TAHAP 2.1 (SPD)" sheetId="16" r:id="rId3"/>
    <sheet name="Sheet2" sheetId="19" r:id="rId4"/>
    <sheet name="Rincian OT Driver" sheetId="13" r:id="rId5"/>
    <sheet name="Info Affiliate tujuan" sheetId="17" r:id="rId6"/>
    <sheet name="Sheet1" sheetId="18" r:id="rId7"/>
  </sheets>
  <definedNames>
    <definedName name="_xlnm.Print_Area" localSheetId="5">'Info Affiliate tujuan'!$A$2:$AB$12</definedName>
    <definedName name="_xlnm.Print_Area" localSheetId="4">'Rincian OT Driver'!$A$1:$Q$25</definedName>
    <definedName name="_xlnm.Print_Area" localSheetId="0">'TAHAP 1'!$A$1:$V$85</definedName>
    <definedName name="_xlnm.Print_Area" localSheetId="2">'TAHAP 2.1 (SPD)'!$A$1:$X$61</definedName>
    <definedName name="_xlnm.Print_Area" localSheetId="1">'TAPAH 2.2 (Rincian)'!$A$1:$Q$125</definedName>
  </definedNames>
  <calcPr calcId="181029"/>
</workbook>
</file>

<file path=xl/calcChain.xml><?xml version="1.0" encoding="utf-8"?>
<calcChain xmlns="http://schemas.openxmlformats.org/spreadsheetml/2006/main">
  <c r="Q38" i="16" l="1"/>
  <c r="I100" i="15"/>
  <c r="I99" i="15"/>
  <c r="I98" i="15"/>
  <c r="I97" i="15"/>
  <c r="I96" i="15"/>
  <c r="I95" i="15"/>
  <c r="I94" i="15"/>
  <c r="I89" i="15"/>
  <c r="I90" i="15" s="1"/>
  <c r="H116" i="15"/>
  <c r="J116" i="15" s="1"/>
  <c r="Q39" i="16" s="1"/>
  <c r="H115" i="15"/>
  <c r="E116" i="15"/>
  <c r="E115" i="15"/>
  <c r="E114" i="15"/>
  <c r="E113" i="15"/>
  <c r="E112" i="15"/>
  <c r="J115" i="15"/>
  <c r="B37" i="16"/>
  <c r="B39" i="16"/>
  <c r="G39" i="16"/>
  <c r="G38" i="16"/>
  <c r="M23" i="16"/>
  <c r="AB23" i="16" s="1"/>
  <c r="K23" i="16"/>
  <c r="AA23" i="16" s="1"/>
  <c r="I23" i="16"/>
  <c r="Z23" i="16" s="1"/>
  <c r="G23" i="16"/>
  <c r="Y23" i="16" s="1"/>
  <c r="M22" i="16"/>
  <c r="AB22" i="16" s="1"/>
  <c r="K22" i="16"/>
  <c r="AA22" i="16" s="1"/>
  <c r="I22" i="16"/>
  <c r="Z22" i="16" s="1"/>
  <c r="G22" i="16"/>
  <c r="Y22" i="16" s="1"/>
  <c r="C53" i="15"/>
  <c r="C38" i="16" s="1"/>
  <c r="C54" i="15"/>
  <c r="C39" i="16" s="1"/>
  <c r="G46" i="15"/>
  <c r="F46" i="15"/>
  <c r="J45" i="15"/>
  <c r="J44" i="15"/>
  <c r="J43" i="15"/>
  <c r="J42" i="15"/>
  <c r="C41" i="15"/>
  <c r="C42" i="15" s="1"/>
  <c r="C43" i="15" s="1"/>
  <c r="C44" i="15" s="1"/>
  <c r="C45" i="15" s="1"/>
  <c r="I40" i="15"/>
  <c r="H40" i="15"/>
  <c r="G40" i="15"/>
  <c r="F40" i="15"/>
  <c r="J27" i="15"/>
  <c r="J26" i="15"/>
  <c r="J25" i="15"/>
  <c r="J24" i="15"/>
  <c r="G28" i="15"/>
  <c r="J23" i="15"/>
  <c r="C23" i="15"/>
  <c r="C24" i="15" s="1"/>
  <c r="C25" i="15" s="1"/>
  <c r="C26" i="15" s="1"/>
  <c r="C27" i="15" s="1"/>
  <c r="I22" i="15"/>
  <c r="H22" i="15"/>
  <c r="G22" i="15"/>
  <c r="F22" i="15"/>
  <c r="I101" i="15" l="1"/>
  <c r="I103" i="15" s="1"/>
  <c r="O38" i="16" s="1"/>
  <c r="C115" i="15"/>
  <c r="C116" i="15"/>
  <c r="J28" i="15"/>
  <c r="H53" i="15" s="1"/>
  <c r="L38" i="16" s="1"/>
  <c r="J41" i="15"/>
  <c r="J46" i="15" s="1"/>
  <c r="H54" i="15" s="1"/>
  <c r="L39" i="16" s="1"/>
  <c r="F28" i="15"/>
  <c r="G109" i="15"/>
  <c r="Q29" i="16" s="1"/>
  <c r="H113" i="15"/>
  <c r="J113" i="15" s="1"/>
  <c r="Q36" i="16" s="1"/>
  <c r="J36" i="15"/>
  <c r="I35" i="15"/>
  <c r="J35" i="15" s="1"/>
  <c r="I34" i="15"/>
  <c r="J34" i="15" s="1"/>
  <c r="I33" i="15"/>
  <c r="J33" i="15" s="1"/>
  <c r="H32" i="15"/>
  <c r="G36" i="16" l="1"/>
  <c r="G37" i="16"/>
  <c r="I10" i="16"/>
  <c r="M21" i="16"/>
  <c r="AB21" i="16" s="1"/>
  <c r="K21" i="16"/>
  <c r="AA21" i="16" s="1"/>
  <c r="I21" i="16"/>
  <c r="Z21" i="16" s="1"/>
  <c r="G21" i="16"/>
  <c r="Y21" i="16" s="1"/>
  <c r="H114" i="15"/>
  <c r="J114" i="15" s="1"/>
  <c r="Q37" i="16" s="1"/>
  <c r="E108" i="15"/>
  <c r="C108" i="15"/>
  <c r="C51" i="15"/>
  <c r="C113" i="15" s="1"/>
  <c r="C52" i="15"/>
  <c r="C114" i="15" s="1"/>
  <c r="C36" i="16" l="1"/>
  <c r="C37" i="16"/>
  <c r="P62" i="5"/>
  <c r="H112" i="15"/>
  <c r="J112" i="15" s="1"/>
  <c r="K112" i="15" l="1"/>
  <c r="Q35" i="16"/>
  <c r="Q40" i="16" s="1"/>
  <c r="I20" i="16"/>
  <c r="Z20" i="16" s="1"/>
  <c r="D18" i="18" l="1"/>
  <c r="G35" i="16" l="1"/>
  <c r="M20" i="16"/>
  <c r="AB20" i="16" s="1"/>
  <c r="K20" i="16"/>
  <c r="AA20" i="16" s="1"/>
  <c r="G20" i="16"/>
  <c r="Y20" i="16" s="1"/>
  <c r="F14" i="5" l="1"/>
  <c r="C14" i="5"/>
  <c r="F20" i="16" l="1"/>
  <c r="F15" i="5"/>
  <c r="C20" i="16"/>
  <c r="C15" i="5"/>
  <c r="F5" i="19"/>
  <c r="F16" i="5" l="1"/>
  <c r="F21" i="16"/>
  <c r="C16" i="5"/>
  <c r="C21" i="16"/>
  <c r="I9" i="16"/>
  <c r="C17" i="5" l="1"/>
  <c r="C23" i="16" s="1"/>
  <c r="C22" i="16"/>
  <c r="F17" i="5"/>
  <c r="F23" i="16" s="1"/>
  <c r="F22" i="16"/>
  <c r="L16" i="13"/>
  <c r="G16" i="13"/>
  <c r="E16" i="13"/>
  <c r="O15" i="13"/>
  <c r="O16" i="13" s="1"/>
  <c r="N15" i="13"/>
  <c r="N16" i="13" s="1"/>
  <c r="L15" i="13"/>
  <c r="I14" i="13" l="1"/>
  <c r="J14" i="13" s="1"/>
  <c r="M14" i="13" s="1"/>
  <c r="M15" i="13" s="1"/>
  <c r="M16" i="13" s="1"/>
  <c r="P16" i="13" s="1"/>
  <c r="F29" i="5"/>
  <c r="C29" i="5"/>
  <c r="C14" i="13"/>
  <c r="P15" i="13" l="1"/>
  <c r="I72" i="15"/>
  <c r="I73" i="15"/>
  <c r="I74" i="15"/>
  <c r="I76" i="15"/>
  <c r="I77" i="15"/>
  <c r="I78" i="15"/>
  <c r="I67" i="15"/>
  <c r="I68" i="15" s="1"/>
  <c r="I75" i="15"/>
  <c r="C17" i="13"/>
  <c r="C20" i="13" s="1"/>
  <c r="I31" i="15"/>
  <c r="H31" i="15"/>
  <c r="G31" i="15"/>
  <c r="F31" i="15"/>
  <c r="I32" i="15"/>
  <c r="G37" i="15" s="1"/>
  <c r="F32" i="15"/>
  <c r="C32" i="15"/>
  <c r="C33" i="15" s="1"/>
  <c r="C34" i="15" s="1"/>
  <c r="C35" i="15" s="1"/>
  <c r="C36" i="15" s="1"/>
  <c r="G5" i="18"/>
  <c r="G4" i="18"/>
  <c r="D6" i="18"/>
  <c r="E6" i="18"/>
  <c r="F6" i="18"/>
  <c r="C6" i="18"/>
  <c r="T8" i="17"/>
  <c r="R8" i="17"/>
  <c r="M19" i="16"/>
  <c r="AB19" i="16" s="1"/>
  <c r="K19" i="16"/>
  <c r="AA19" i="16" s="1"/>
  <c r="I19" i="16"/>
  <c r="Z19" i="16" s="1"/>
  <c r="G19" i="16"/>
  <c r="Y19" i="16" s="1"/>
  <c r="F19" i="16"/>
  <c r="P32" i="16" s="1"/>
  <c r="C19" i="16"/>
  <c r="P30" i="16" s="1"/>
  <c r="B35" i="16"/>
  <c r="J32" i="15" l="1"/>
  <c r="J37" i="15" s="1"/>
  <c r="F37" i="15"/>
  <c r="I79" i="15"/>
  <c r="I81" i="15" s="1"/>
  <c r="O35" i="16" s="1"/>
  <c r="O40" i="16" s="1"/>
  <c r="B14" i="13"/>
  <c r="C50" i="15"/>
  <c r="R77" i="5"/>
  <c r="R76" i="5"/>
  <c r="R75" i="5"/>
  <c r="R72" i="5"/>
  <c r="R74" i="5" s="1"/>
  <c r="R71" i="5"/>
  <c r="R70" i="5"/>
  <c r="R69" i="5"/>
  <c r="H52" i="15" l="1"/>
  <c r="L37" i="16" s="1"/>
  <c r="H51" i="15"/>
  <c r="L36" i="16" s="1"/>
  <c r="H50" i="15"/>
  <c r="C35" i="16"/>
  <c r="C112" i="15"/>
  <c r="H55" i="15" l="1"/>
  <c r="L35" i="16"/>
  <c r="L40" i="16" s="1"/>
  <c r="T57" i="16"/>
  <c r="F8" i="15"/>
  <c r="O121" i="15"/>
  <c r="B7" i="13"/>
  <c r="L41" i="16" l="1"/>
  <c r="G19" i="13" l="1"/>
  <c r="E19" i="13"/>
  <c r="O18" i="13"/>
  <c r="O19" i="13" s="1"/>
  <c r="N18" i="13"/>
  <c r="N19" i="13" s="1"/>
  <c r="L18" i="13"/>
  <c r="L19" i="13" s="1"/>
  <c r="E76" i="13"/>
  <c r="I74" i="13" s="1"/>
  <c r="N75" i="13" s="1"/>
  <c r="O75" i="13"/>
  <c r="O76" i="13" s="1"/>
  <c r="M75" i="13"/>
  <c r="M76" i="13" s="1"/>
  <c r="L75" i="13"/>
  <c r="L76" i="13" s="1"/>
  <c r="E55" i="13"/>
  <c r="I53" i="13" s="1"/>
  <c r="J53" i="13" s="1"/>
  <c r="N53" i="13" s="1"/>
  <c r="I56" i="13"/>
  <c r="J56" i="13" s="1"/>
  <c r="B17" i="13" l="1"/>
  <c r="I17" i="13"/>
  <c r="J17" i="13" s="1"/>
  <c r="M17" i="13" s="1"/>
  <c r="M18" i="13" s="1"/>
  <c r="P18" i="13" s="1"/>
  <c r="J74" i="13"/>
  <c r="N76" i="13"/>
  <c r="P76" i="13" s="1"/>
  <c r="P75" i="13"/>
  <c r="B20" i="13" l="1"/>
  <c r="M19" i="13"/>
  <c r="P19" i="13" s="1"/>
  <c r="G73" i="13"/>
  <c r="E73" i="13"/>
  <c r="O72" i="13"/>
  <c r="O73" i="13" s="1"/>
  <c r="N72" i="13"/>
  <c r="N73" i="13" s="1"/>
  <c r="L72" i="13"/>
  <c r="L73" i="13" s="1"/>
  <c r="G70" i="13"/>
  <c r="E70" i="13"/>
  <c r="O69" i="13"/>
  <c r="O70" i="13" s="1"/>
  <c r="N69" i="13"/>
  <c r="N70" i="13" s="1"/>
  <c r="L69" i="13"/>
  <c r="L70" i="13" s="1"/>
  <c r="G67" i="13"/>
  <c r="E67" i="13"/>
  <c r="O66" i="13"/>
  <c r="O67" i="13" s="1"/>
  <c r="N66" i="13"/>
  <c r="N67" i="13" s="1"/>
  <c r="L66" i="13"/>
  <c r="L67" i="13" s="1"/>
  <c r="G64" i="13"/>
  <c r="E64" i="13"/>
  <c r="O63" i="13"/>
  <c r="O64" i="13" s="1"/>
  <c r="N63" i="13"/>
  <c r="N64" i="13" s="1"/>
  <c r="L63" i="13"/>
  <c r="L64" i="13" s="1"/>
  <c r="G61" i="13"/>
  <c r="E61" i="13"/>
  <c r="O60" i="13"/>
  <c r="O61" i="13" s="1"/>
  <c r="N60" i="13"/>
  <c r="N61" i="13" s="1"/>
  <c r="L60" i="13"/>
  <c r="L61" i="13" s="1"/>
  <c r="O57" i="13"/>
  <c r="O58" i="13" s="1"/>
  <c r="N57" i="13"/>
  <c r="N58" i="13" s="1"/>
  <c r="L57" i="13"/>
  <c r="L58" i="13" s="1"/>
  <c r="M54" i="13"/>
  <c r="M55" i="13" s="1"/>
  <c r="O54" i="13"/>
  <c r="O55" i="13" s="1"/>
  <c r="N54" i="13"/>
  <c r="N55" i="13" s="1"/>
  <c r="L54" i="13"/>
  <c r="G52" i="13"/>
  <c r="E52" i="13"/>
  <c r="I50" i="13" s="1"/>
  <c r="J50" i="13" s="1"/>
  <c r="M50" i="13" s="1"/>
  <c r="M51" i="13" s="1"/>
  <c r="M52" i="13" s="1"/>
  <c r="O51" i="13"/>
  <c r="O52" i="13" s="1"/>
  <c r="N51" i="13"/>
  <c r="N52" i="13" s="1"/>
  <c r="L51" i="13"/>
  <c r="C38" i="13"/>
  <c r="C41" i="13" s="1"/>
  <c r="C44" i="13" s="1"/>
  <c r="C47" i="13" s="1"/>
  <c r="C50" i="13" s="1"/>
  <c r="C53" i="13" s="1"/>
  <c r="C56" i="13" s="1"/>
  <c r="C59" i="13" s="1"/>
  <c r="C62" i="13" s="1"/>
  <c r="C65" i="13" s="1"/>
  <c r="C68" i="13" s="1"/>
  <c r="C71" i="13" s="1"/>
  <c r="C74" i="13" s="1"/>
  <c r="G49" i="13"/>
  <c r="E49" i="13"/>
  <c r="O48" i="13"/>
  <c r="O49" i="13" s="1"/>
  <c r="N48" i="13"/>
  <c r="N49" i="13" s="1"/>
  <c r="L48" i="13"/>
  <c r="L49" i="13" s="1"/>
  <c r="G46" i="13"/>
  <c r="E46" i="13"/>
  <c r="O45" i="13"/>
  <c r="O46" i="13" s="1"/>
  <c r="N45" i="13"/>
  <c r="N46" i="13" s="1"/>
  <c r="L45" i="13"/>
  <c r="L46" i="13" s="1"/>
  <c r="G43" i="13"/>
  <c r="E43" i="13"/>
  <c r="I41" i="13" s="1"/>
  <c r="J41" i="13" s="1"/>
  <c r="M41" i="13" s="1"/>
  <c r="M42" i="13" s="1"/>
  <c r="O42" i="13"/>
  <c r="O43" i="13" s="1"/>
  <c r="N42" i="13"/>
  <c r="N43" i="13" s="1"/>
  <c r="L42" i="13"/>
  <c r="L43" i="13" s="1"/>
  <c r="G40" i="13"/>
  <c r="E40" i="13"/>
  <c r="O39" i="13"/>
  <c r="O40" i="13" s="1"/>
  <c r="N39" i="13"/>
  <c r="N40" i="13" s="1"/>
  <c r="L39" i="13"/>
  <c r="L40" i="13" s="1"/>
  <c r="G37" i="13"/>
  <c r="E37" i="13"/>
  <c r="O36" i="13"/>
  <c r="O37" i="13" s="1"/>
  <c r="N36" i="13"/>
  <c r="N37" i="13" s="1"/>
  <c r="L36" i="13"/>
  <c r="L37" i="13" s="1"/>
  <c r="E32" i="13"/>
  <c r="B28" i="13"/>
  <c r="G22" i="13"/>
  <c r="E22" i="13"/>
  <c r="O21" i="13"/>
  <c r="O22" i="13" s="1"/>
  <c r="N21" i="13"/>
  <c r="N22" i="13" s="1"/>
  <c r="L21" i="13"/>
  <c r="L22" i="13" s="1"/>
  <c r="E11" i="13"/>
  <c r="I44" i="13" l="1"/>
  <c r="J44" i="13" s="1"/>
  <c r="M44" i="13" s="1"/>
  <c r="M45" i="13" s="1"/>
  <c r="M46" i="13" s="1"/>
  <c r="I65" i="13"/>
  <c r="J65" i="13" s="1"/>
  <c r="M65" i="13" s="1"/>
  <c r="M66" i="13" s="1"/>
  <c r="M67" i="13" s="1"/>
  <c r="M57" i="13"/>
  <c r="M58" i="13" s="1"/>
  <c r="P58" i="13" s="1"/>
  <c r="I68" i="13"/>
  <c r="J68" i="13" s="1"/>
  <c r="M68" i="13" s="1"/>
  <c r="M69" i="13" s="1"/>
  <c r="M70" i="13" s="1"/>
  <c r="P70" i="13" s="1"/>
  <c r="I47" i="13"/>
  <c r="J47" i="13" s="1"/>
  <c r="M47" i="13" s="1"/>
  <c r="M48" i="13" s="1"/>
  <c r="M49" i="13" s="1"/>
  <c r="P49" i="13" s="1"/>
  <c r="I59" i="13"/>
  <c r="J59" i="13" s="1"/>
  <c r="M59" i="13" s="1"/>
  <c r="M60" i="13" s="1"/>
  <c r="M61" i="13" s="1"/>
  <c r="P61" i="13" s="1"/>
  <c r="I62" i="13"/>
  <c r="J62" i="13" s="1"/>
  <c r="M62" i="13" s="1"/>
  <c r="M63" i="13" s="1"/>
  <c r="M64" i="13" s="1"/>
  <c r="P64" i="13" s="1"/>
  <c r="I71" i="13"/>
  <c r="J71" i="13" s="1"/>
  <c r="M71" i="13" s="1"/>
  <c r="M72" i="13" s="1"/>
  <c r="M73" i="13" s="1"/>
  <c r="P73" i="13" s="1"/>
  <c r="P67" i="13"/>
  <c r="P66" i="13"/>
  <c r="I20" i="13"/>
  <c r="J20" i="13" s="1"/>
  <c r="M20" i="13" s="1"/>
  <c r="M21" i="13" s="1"/>
  <c r="M22" i="13" s="1"/>
  <c r="P22" i="13" s="1"/>
  <c r="P24" i="13" s="1"/>
  <c r="P51" i="13"/>
  <c r="P54" i="13"/>
  <c r="L55" i="13"/>
  <c r="P55" i="13" s="1"/>
  <c r="L52" i="13"/>
  <c r="P52" i="13" s="1"/>
  <c r="I35" i="13"/>
  <c r="J35" i="13" s="1"/>
  <c r="M35" i="13" s="1"/>
  <c r="M36" i="13" s="1"/>
  <c r="M37" i="13" s="1"/>
  <c r="P37" i="13" s="1"/>
  <c r="I38" i="13"/>
  <c r="J38" i="13" s="1"/>
  <c r="M38" i="13" s="1"/>
  <c r="M39" i="13" s="1"/>
  <c r="M40" i="13" s="1"/>
  <c r="P40" i="13" s="1"/>
  <c r="P46" i="13"/>
  <c r="M43" i="13"/>
  <c r="P43" i="13" s="1"/>
  <c r="P42" i="13"/>
  <c r="P45" i="13"/>
  <c r="R23" i="13" l="1"/>
  <c r="R24" i="13" s="1"/>
  <c r="P57" i="13"/>
  <c r="P78" i="13"/>
  <c r="P72" i="13"/>
  <c r="P63" i="13"/>
  <c r="P60" i="13"/>
  <c r="P48" i="13"/>
  <c r="P69" i="13"/>
  <c r="P21" i="13"/>
  <c r="P23" i="13" s="1"/>
  <c r="P36" i="13"/>
  <c r="P39" i="13"/>
  <c r="P77" i="13" l="1"/>
</calcChain>
</file>

<file path=xl/sharedStrings.xml><?xml version="1.0" encoding="utf-8"?>
<sst xmlns="http://schemas.openxmlformats.org/spreadsheetml/2006/main" count="749" uniqueCount="318">
  <si>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</si>
  <si>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</si>
  <si>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</si>
  <si>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</si>
  <si>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</si>
  <si>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</si>
  <si>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</si>
  <si>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</si>
  <si>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</si>
  <si>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</si>
  <si>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</si>
  <si>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</si>
  <si>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</si>
  <si>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</si>
  <si>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</si>
  <si>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</si>
  <si>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</si>
  <si>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</si>
  <si>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</si>
  <si>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</si>
  <si>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</si>
  <si>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</si>
  <si>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</si>
  <si>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</si>
  <si>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</si>
  <si>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</si>
  <si>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</si>
  <si>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</si>
  <si>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</si>
  <si>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</si>
  <si>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</si>
  <si>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</si>
  <si>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</si>
  <si>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</si>
  <si>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Di isi oleh : GA</t>
  </si>
  <si>
    <t>NO.</t>
  </si>
  <si>
    <t>DEPARTURE</t>
  </si>
  <si>
    <t>ARRIVAL</t>
  </si>
  <si>
    <t>HOTEL</t>
  </si>
  <si>
    <t>PT. SEMARANG AUTOCOMP MANUFACTURING INDONESIA - TUGU FACTORY</t>
  </si>
  <si>
    <t>DROP</t>
  </si>
  <si>
    <t>TUNGGU</t>
  </si>
  <si>
    <t>Finish</t>
  </si>
  <si>
    <t>HARGA</t>
  </si>
  <si>
    <t>JML HARI</t>
  </si>
  <si>
    <t>JUMLAH</t>
  </si>
  <si>
    <t>Sewa Unit</t>
  </si>
  <si>
    <t>BBM (Estimasi)</t>
  </si>
  <si>
    <t>Tol (Estimasi)</t>
  </si>
  <si>
    <t>Parkir (Estimasi)</t>
  </si>
  <si>
    <t>Overtime Driver (Estimasi)</t>
  </si>
  <si>
    <t>Fee Luar Kota Driver</t>
  </si>
  <si>
    <t>Uang Inap</t>
  </si>
  <si>
    <t>ITEM</t>
  </si>
  <si>
    <t xml:space="preserve">Biaya Antar Ambil </t>
  </si>
  <si>
    <t>DRIVER</t>
  </si>
  <si>
    <t>Start</t>
  </si>
  <si>
    <t>KET.</t>
  </si>
  <si>
    <t>PERHITUNGAN OT DRIVER</t>
  </si>
  <si>
    <t>NO. POLISI</t>
  </si>
  <si>
    <t>TYPE MOBIL</t>
  </si>
  <si>
    <t>UMK      :</t>
  </si>
  <si>
    <t xml:space="preserve">   Jam Kerja Efektif :   08.00 - 17.00</t>
  </si>
  <si>
    <t>1 TUL    =    UMK/173    =</t>
  </si>
  <si>
    <t>HARI</t>
  </si>
  <si>
    <t>KET. JAM</t>
  </si>
  <si>
    <t>OT AWAL</t>
  </si>
  <si>
    <t>OT AKHIR</t>
  </si>
  <si>
    <t>SUB TOTAL OT</t>
  </si>
  <si>
    <t>RINCIAN PERHITUNGAN</t>
  </si>
  <si>
    <t>JAM PENGALI TUL</t>
  </si>
  <si>
    <t>pengali</t>
  </si>
  <si>
    <t>Senin</t>
  </si>
  <si>
    <t>OT :</t>
  </si>
  <si>
    <t>jam ke</t>
  </si>
  <si>
    <t>tul</t>
  </si>
  <si>
    <t xml:space="preserve">Jumlah </t>
  </si>
  <si>
    <t>nominal</t>
  </si>
  <si>
    <t>Selasa</t>
  </si>
  <si>
    <t>Rabu</t>
  </si>
  <si>
    <t>Kamis</t>
  </si>
  <si>
    <t>Jum'at</t>
  </si>
  <si>
    <t>TOTAL TUL</t>
  </si>
  <si>
    <t>TOTAL BIAYA OVERTIME</t>
  </si>
  <si>
    <t>Minggu</t>
  </si>
  <si>
    <t>Sabtu</t>
  </si>
  <si>
    <t>NAMA HOTEL</t>
  </si>
  <si>
    <t>ALAMAT</t>
  </si>
  <si>
    <t>OFF</t>
  </si>
  <si>
    <t>- 1 jam</t>
  </si>
  <si>
    <t>PREPARED</t>
  </si>
  <si>
    <t>CHECKED</t>
  </si>
  <si>
    <t>Renny</t>
  </si>
  <si>
    <t>SMK</t>
  </si>
  <si>
    <t>FYH</t>
  </si>
  <si>
    <t>ESTIMASI OVERTIME DRIVER</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</si>
  <si>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</si>
  <si>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</si>
  <si>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</si>
  <si>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</si>
  <si>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</si>
  <si>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</si>
  <si>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</si>
  <si>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</si>
  <si>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</si>
  <si>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</si>
  <si>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</si>
  <si>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</si>
  <si>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</si>
  <si>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</si>
  <si>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</si>
  <si>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</si>
  <si>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</si>
  <si>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</si>
  <si>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</si>
  <si>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</si>
  <si>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</si>
  <si>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</si>
  <si>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</si>
  <si>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</si>
  <si>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</si>
  <si>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</si>
  <si>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</si>
  <si>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</si>
  <si>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</si>
  <si>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</si>
  <si>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</si>
  <si>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</si>
  <si>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</si>
  <si>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</si>
  <si>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</si>
  <si>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</si>
  <si>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</si>
  <si>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</si>
  <si>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</si>
  <si>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</si>
  <si>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</si>
  <si>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</si>
  <si>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</si>
  <si>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</si>
  <si>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</si>
  <si>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</si>
  <si>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</si>
  <si>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</si>
  <si>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</si>
  <si>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</si>
  <si>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</si>
  <si>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</si>
  <si>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</si>
  <si>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</si>
  <si>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</si>
  <si>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</si>
  <si>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</si>
  <si>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</si>
  <si>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</si>
  <si>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</si>
  <si>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</si>
  <si>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</si>
  <si>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</si>
  <si>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</si>
  <si>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</si>
  <si>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</si>
  <si>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</si>
  <si>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</si>
  <si>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</si>
  <si>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</si>
  <si>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</si>
  <si>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</si>
  <si>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</si>
  <si>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</si>
  <si>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</si>
  <si>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</si>
  <si>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</si>
  <si>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</si>
  <si>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</si>
  <si>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</si>
  <si>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</si>
  <si>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</si>
  <si>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</si>
  <si>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</si>
  <si>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</si>
  <si>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</si>
  <si>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</si>
  <si>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</si>
  <si>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</si>
  <si>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</si>
  <si>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</si>
  <si>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</si>
  <si>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</si>
  <si>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</si>
  <si>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</si>
  <si>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</si>
  <si>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</si>
  <si>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</si>
  <si>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</si>
  <si>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</si>
  <si>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</si>
  <si>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</si>
  <si>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</si>
  <si>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</si>
  <si>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</si>
  <si>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</si>
  <si>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</si>
  <si>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</si>
  <si>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</si>
  <si>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</si>
  <si>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</si>
  <si>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</si>
  <si>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</si>
  <si>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</si>
  <si>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</si>
  <si>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</si>
  <si>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</si>
  <si>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</si>
  <si>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CSPV</t>
  </si>
  <si>
    <t>Mr. Abdul Karis</t>
  </si>
  <si>
    <t>Yes</t>
  </si>
  <si>
    <t>PGA / IT</t>
  </si>
  <si>
    <t>AKA</t>
  </si>
  <si>
    <t>RENNY</t>
  </si>
  <si>
    <t xml:space="preserve">LAMPIRAN (Rincian) </t>
  </si>
  <si>
    <t>GOL</t>
  </si>
  <si>
    <t>SUB TOTAL</t>
  </si>
  <si>
    <t>1. PESERTA</t>
  </si>
  <si>
    <t>FM / DFM</t>
  </si>
  <si>
    <t>PRESDIR</t>
  </si>
  <si>
    <t>BRI</t>
  </si>
  <si>
    <t>NKA</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</si>
  <si>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</si>
  <si>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</si>
  <si>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</si>
  <si>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</si>
  <si>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</si>
  <si>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</si>
  <si>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</si>
  <si>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</si>
  <si>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</si>
  <si>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</si>
  <si>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 PEMI</t>
  </si>
  <si>
    <t>: Transfer System Proses Yaris</t>
  </si>
  <si>
    <t>PRD / KBN</t>
  </si>
  <si>
    <t>SPV</t>
  </si>
  <si>
    <t>Mr. Yusuf Dwi Susilo</t>
  </si>
  <si>
    <t>QA</t>
  </si>
  <si>
    <t>Mr. Munhamir</t>
  </si>
  <si>
    <t>MTC</t>
  </si>
  <si>
    <t>LL</t>
  </si>
  <si>
    <t>Mr. Masbikin</t>
  </si>
  <si>
    <t>YDS</t>
  </si>
  <si>
    <t>PERIODE BUDGET</t>
  </si>
  <si>
    <t>MUN</t>
  </si>
  <si>
    <t>Berangkat : Batik Air ID6339
SRG (08:25) - CKG (09:30)</t>
  </si>
  <si>
    <t>Pulang : Batik Air ID8346
CKG (15:00 - SRG (16:05)</t>
  </si>
  <si>
    <t>Room Type</t>
  </si>
  <si>
    <t>Bed</t>
  </si>
  <si>
    <t>Breakfast</t>
  </si>
  <si>
    <t>King</t>
  </si>
  <si>
    <t>Non Smoking</t>
  </si>
  <si>
    <t>Smoking</t>
  </si>
  <si>
    <t>Standar</t>
  </si>
  <si>
    <t>Qty Room</t>
  </si>
  <si>
    <t>PESAWAT</t>
  </si>
  <si>
    <t>MASBIKHIN</t>
  </si>
  <si>
    <t>Rincian Golongan</t>
  </si>
  <si>
    <t>LUNCH</t>
  </si>
  <si>
    <t>DINNER</t>
  </si>
  <si>
    <t>JML BIAYA</t>
  </si>
  <si>
    <t>PERIODE</t>
  </si>
  <si>
    <t>KET ROOM</t>
  </si>
  <si>
    <t>Check In</t>
  </si>
  <si>
    <t>Check Out</t>
  </si>
  <si>
    <t>BY : CAR</t>
  </si>
  <si>
    <t>TRANSPORTASI</t>
  </si>
  <si>
    <t>: 2 / 2</t>
  </si>
  <si>
    <t xml:space="preserve"> </t>
  </si>
  <si>
    <t>1350007255753</t>
  </si>
  <si>
    <t>MUCHAMAD ROSYID</t>
  </si>
  <si>
    <t>SUPRIYONO</t>
  </si>
  <si>
    <t>1360004496367</t>
  </si>
  <si>
    <t>INNOVA</t>
  </si>
  <si>
    <t>QTY ROOM</t>
  </si>
  <si>
    <t>QTY NIGHT</t>
  </si>
  <si>
    <t>ROOM</t>
  </si>
  <si>
    <t>PRD</t>
  </si>
  <si>
    <t>SAMI</t>
  </si>
  <si>
    <t>BIAYA SEWA UNIT</t>
  </si>
  <si>
    <t>BIAYA OPERATIONAL MOBIL</t>
  </si>
  <si>
    <t>Pulang :</t>
  </si>
  <si>
    <t>Berangkat :</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</si>
  <si>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</si>
  <si>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</si>
  <si>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</si>
  <si>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PGA / PED</t>
  </si>
  <si>
    <t>PGA / QS</t>
  </si>
  <si>
    <t>NUNING DIAN PERTIWI</t>
  </si>
  <si>
    <t>DARMUJI</t>
  </si>
  <si>
    <t>AHMAD MUBARAK</t>
  </si>
  <si>
    <t>(3) NORMAL</t>
  </si>
  <si>
    <t>NDP</t>
  </si>
  <si>
    <t>di SAI / JAI</t>
  </si>
  <si>
    <t>di Hotel</t>
  </si>
  <si>
    <r>
      <rPr>
        <b/>
        <sz val="12"/>
        <color rgb="FF0000CC"/>
        <rFont val="Calibri"/>
        <family val="2"/>
        <scheme val="minor"/>
      </rPr>
      <t xml:space="preserve">FAIRFIELD BY MARRIOTT SURABAYA
Jalan Mayjend Sungkono No 178, Surabaya City Center, Surabaya, 60225, Indonesia. 
</t>
    </r>
    <r>
      <rPr>
        <sz val="12"/>
        <color rgb="FF0000CC"/>
        <rFont val="Calibri"/>
        <family val="2"/>
        <scheme val="minor"/>
      </rPr>
      <t>CI/CO : 04 - 08 Dec (04 Malam)
Guest Room : IDR 851.000/room/night include breakfast</t>
    </r>
  </si>
  <si>
    <t>FAIR FIELD HOTEL SURABAYA</t>
  </si>
  <si>
    <t>: JAI &amp; SAI</t>
  </si>
  <si>
    <t>: KOMPARE DATA IDL &amp; DATA HR</t>
  </si>
  <si>
    <t>SMGR</t>
  </si>
  <si>
    <t>GL</t>
  </si>
  <si>
    <t>ERWIN DWI PAMUNGKAS</t>
  </si>
  <si>
    <t>YUICHIRO SUZUKI</t>
  </si>
  <si>
    <t>Approved 29-11-2023</t>
  </si>
  <si>
    <t>YSU</t>
  </si>
  <si>
    <t>Erwin</t>
  </si>
  <si>
    <t>PLE</t>
  </si>
  <si>
    <t>TMI</t>
  </si>
  <si>
    <t>Guest Room</t>
  </si>
  <si>
    <t>2.1 MOBIL-1</t>
  </si>
  <si>
    <t>2.1 MOBIL-2</t>
  </si>
  <si>
    <t>Sewa Unit + 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</si>
</sst>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00_ ;_-[$Rp-421]* \-#,##0.00\ ;_-[$Rp-421]* &quot;-&quot;_ ;_-@_ "/>
    <numFmt numFmtId="172" formatCode="_-[$Rp-421]* #,##0_ ;_-[$Rp-421]* \-#,##0\ ;_-[$Rp-421]* &quot;-&quot;_ ;_-@_ "/>
    <numFmt numFmtId="173" formatCode="h:mm;@"/>
    <numFmt numFmtId="174" formatCode="#,##0.00;[Red]#,##0.00"/>
    <numFmt numFmtId="175" formatCode="0.00;[Red]0.00"/>
    <numFmt numFmtId="176" formatCode="_-[$Rp-421]* #,##0.00_ ;_-[$Rp-421]* \-#,##0.00\ ;_-[$Rp-421]* &quot;-&quot;??_ ;_-@_ "/>
    <numFmt numFmtId="177" formatCode="_-[$Rp-421]* #,##0_-;\-[$Rp-421]* #,##0_-;_-[$Rp-421]* &quot;-&quot;??_-;_-@_-"/>
    <numFmt numFmtId="178" formatCode="[$-409]dd\-mmm\-yy;@"/>
    <numFmt numFmtId="179" formatCode="[$-409]d\-mmm\-yy;@"/>
  </numFmts>
  <fonts count="95">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sz val="11"/>
      <name val="Calibri"/>
      <family val="2"/>
      <scheme val="minor"/>
    </font>
    <font>
      <sz val="10"/>
      <name val="Calibri"/>
      <family val="2"/>
      <scheme val="minor"/>
    </font>
    <font>
      <b/>
      <sz val="11"/>
      <name val="Calibri"/>
      <family val="2"/>
      <scheme val="minor"/>
    </font>
    <font>
      <sz val="9"/>
      <name val="Calibri"/>
      <family val="2"/>
      <scheme val="minor"/>
    </font>
    <font>
      <sz val="8"/>
      <name val="Calibri"/>
      <family val="2"/>
      <scheme val="minor"/>
    </font>
    <font>
      <sz val="10"/>
      <name val="Calibri"/>
      <family val="2"/>
    </font>
    <font>
      <b/>
      <sz val="12"/>
      <name val="Calibri"/>
      <family val="2"/>
      <scheme val="minor"/>
    </font>
    <font>
      <b/>
      <sz val="22"/>
      <name val="Calibri"/>
      <family val="2"/>
      <scheme val="minor"/>
    </font>
    <font>
      <b/>
      <sz val="9"/>
      <name val="Calibri"/>
      <family val="2"/>
      <scheme val="minor"/>
    </font>
    <font>
      <b/>
      <sz val="24"/>
      <name val="Calibri"/>
      <family val="2"/>
      <scheme val="minor"/>
    </font>
    <font>
      <b/>
      <i/>
      <sz val="12"/>
      <name val="Calibri"/>
      <family val="2"/>
      <scheme val="minor"/>
    </font>
    <font>
      <b/>
      <i/>
      <sz val="14"/>
      <name val="Calibri"/>
      <family val="2"/>
      <scheme val="minor"/>
    </font>
    <font>
      <b/>
      <sz val="10"/>
      <name val="Calibri"/>
      <family val="2"/>
    </font>
    <font>
      <b/>
      <sz val="8"/>
      <name val="Calibri"/>
      <family val="2"/>
      <scheme val="minor"/>
    </font>
    <font>
      <b/>
      <sz val="9"/>
      <name val="Tekton Pro"/>
      <family val="2"/>
    </font>
    <font>
      <b/>
      <sz val="8"/>
      <name val="Tekton Pro"/>
      <family val="2"/>
    </font>
    <font>
      <sz val="9"/>
      <name val="Berlin Sans FB Demi"/>
      <family val="2"/>
    </font>
    <font>
      <sz val="24"/>
      <name val="Calibri"/>
      <family val="2"/>
      <scheme val="minor"/>
    </font>
    <font>
      <sz val="10"/>
      <color theme="9" tint="-0.499984740745262"/>
      <name val="Calibri"/>
      <family val="2"/>
    </font>
    <font>
      <sz val="10"/>
      <color rgb="FF7030A0"/>
      <name val="Calibri"/>
      <family val="2"/>
    </font>
    <font>
      <b/>
      <sz val="10"/>
      <name val="Calibri"/>
      <family val="2"/>
      <scheme val="minor"/>
    </font>
    <font>
      <sz val="9"/>
      <color theme="9" tint="-0.499984740745262"/>
      <name val="Calibri"/>
      <family val="2"/>
      <scheme val="minor"/>
    </font>
    <font>
      <sz val="11"/>
      <color theme="9" tint="-0.499984740745262"/>
      <name val="Calibri"/>
      <family val="2"/>
      <scheme val="minor"/>
    </font>
    <font>
      <b/>
      <sz val="8"/>
      <color theme="9" tint="-0.499984740745262"/>
      <name val="Tekton Pro"/>
      <family val="2"/>
    </font>
    <font>
      <b/>
      <sz val="9"/>
      <color theme="9" tint="-0.499984740745262"/>
      <name val="Tekton Pro"/>
      <family val="2"/>
    </font>
    <font>
      <sz val="8"/>
      <color theme="9" tint="-0.499984740745262"/>
      <name val="Calibri"/>
      <family val="2"/>
      <scheme val="minor"/>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i/>
      <sz val="11"/>
      <color rgb="FF0000CC"/>
      <name val="Calibri"/>
      <family val="2"/>
      <scheme val="minor"/>
    </font>
    <font>
      <sz val="12"/>
      <color rgb="FF0000CC"/>
      <name val="Calibri"/>
      <family val="2"/>
      <scheme val="minor"/>
    </font>
    <font>
      <sz val="24"/>
      <color theme="9" tint="-0.499984740745262"/>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sz val="12"/>
      <color rgb="FF0000CC"/>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2"/>
      <name val="Times New Roman"/>
      <family val="1"/>
    </font>
    <font>
      <sz val="14"/>
      <name val="Times New Roman"/>
      <family val="1"/>
    </font>
    <font>
      <sz val="16"/>
      <name val="Times New Roman"/>
      <family val="1"/>
    </font>
    <font>
      <i/>
      <sz val="14"/>
      <name val="Times New Roman"/>
      <family val="1"/>
    </font>
  </fonts>
  <fills count="16">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FF99"/>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hair">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1001">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11" fillId="0" borderId="0" xfId="0" applyFont="1" applyAlignment="1">
      <alignment vertical="center"/>
    </xf>
    <xf numFmtId="0" fontId="1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170" fontId="13" fillId="0" borderId="0" xfId="0" applyNumberFormat="1" applyFont="1" applyAlignment="1">
      <alignment vertical="center"/>
    </xf>
    <xf numFmtId="170" fontId="15" fillId="0" borderId="0" xfId="0" applyNumberFormat="1" applyFont="1" applyAlignment="1">
      <alignment horizontal="right" vertical="center"/>
    </xf>
    <xf numFmtId="0" fontId="16" fillId="0" borderId="0" xfId="0" applyFont="1" applyAlignment="1">
      <alignment vertical="center"/>
    </xf>
    <xf numFmtId="0" fontId="16" fillId="0" borderId="0" xfId="0" applyFont="1" applyAlignment="1">
      <alignment horizontal="right" vertical="center"/>
    </xf>
    <xf numFmtId="164" fontId="17" fillId="0" borderId="0" xfId="2" applyFont="1" applyFill="1" applyBorder="1" applyAlignment="1">
      <alignment vertical="center"/>
    </xf>
    <xf numFmtId="164" fontId="13" fillId="0" borderId="0" xfId="2" applyFont="1" applyFill="1" applyBorder="1" applyAlignment="1">
      <alignment horizontal="right" vertical="center"/>
    </xf>
    <xf numFmtId="167" fontId="18" fillId="0" borderId="0" xfId="1" applyNumberFormat="1" applyFont="1" applyAlignment="1">
      <alignment vertical="center"/>
    </xf>
    <xf numFmtId="0" fontId="19" fillId="0" borderId="0" xfId="0" applyFont="1" applyAlignment="1">
      <alignment vertical="center"/>
    </xf>
    <xf numFmtId="0" fontId="21" fillId="0" borderId="28" xfId="0" applyFont="1" applyBorder="1" applyAlignment="1">
      <alignment vertical="center"/>
    </xf>
    <xf numFmtId="0" fontId="21" fillId="0" borderId="29" xfId="0" applyFont="1" applyBorder="1" applyAlignment="1">
      <alignment vertical="center"/>
    </xf>
    <xf numFmtId="0" fontId="21" fillId="0" borderId="30" xfId="0" applyFont="1" applyBorder="1" applyAlignment="1">
      <alignment vertical="center"/>
    </xf>
    <xf numFmtId="0" fontId="22" fillId="0" borderId="0" xfId="0" applyFont="1" applyAlignment="1">
      <alignment vertical="center"/>
    </xf>
    <xf numFmtId="0" fontId="21" fillId="0" borderId="34" xfId="0" applyFont="1" applyBorder="1" applyAlignment="1">
      <alignment vertical="center"/>
    </xf>
    <xf numFmtId="0" fontId="21" fillId="0" borderId="0" xfId="0" applyFont="1" applyAlignment="1">
      <alignment vertical="center"/>
    </xf>
    <xf numFmtId="0" fontId="21" fillId="0" borderId="35" xfId="0" applyFont="1" applyBorder="1" applyAlignment="1">
      <alignment vertical="center"/>
    </xf>
    <xf numFmtId="0" fontId="16" fillId="0" borderId="36" xfId="0" applyFont="1" applyBorder="1" applyAlignment="1">
      <alignment vertical="center"/>
    </xf>
    <xf numFmtId="0" fontId="19" fillId="4" borderId="37" xfId="0" applyFont="1" applyFill="1" applyBorder="1" applyAlignment="1">
      <alignment vertical="center"/>
    </xf>
    <xf numFmtId="0" fontId="21" fillId="0" borderId="31" xfId="0" applyFont="1" applyBorder="1" applyAlignment="1">
      <alignment vertical="center"/>
    </xf>
    <xf numFmtId="0" fontId="21" fillId="0" borderId="32" xfId="0" applyFont="1" applyBorder="1" applyAlignment="1">
      <alignment horizontal="left" vertical="center"/>
    </xf>
    <xf numFmtId="0" fontId="21" fillId="0" borderId="33" xfId="0" applyFont="1" applyBorder="1" applyAlignment="1">
      <alignment horizontal="left" vertical="center"/>
    </xf>
    <xf numFmtId="0" fontId="15" fillId="6" borderId="28" xfId="0" applyFont="1" applyFill="1" applyBorder="1" applyAlignment="1">
      <alignment vertical="center"/>
    </xf>
    <xf numFmtId="164" fontId="15" fillId="6" borderId="29" xfId="2" applyFont="1" applyFill="1" applyBorder="1" applyAlignment="1">
      <alignment horizontal="center" vertical="center"/>
    </xf>
    <xf numFmtId="164" fontId="15" fillId="6" borderId="29" xfId="2" applyFont="1" applyFill="1" applyBorder="1" applyAlignment="1">
      <alignment horizontal="right" vertical="center"/>
    </xf>
    <xf numFmtId="172" fontId="15" fillId="0" borderId="37" xfId="0" applyNumberFormat="1" applyFont="1" applyBorder="1" applyAlignment="1">
      <alignment vertical="center"/>
    </xf>
    <xf numFmtId="172" fontId="15" fillId="0" borderId="38" xfId="0" applyNumberFormat="1" applyFont="1" applyBorder="1" applyAlignment="1">
      <alignment vertical="center"/>
    </xf>
    <xf numFmtId="0" fontId="24" fillId="0" borderId="0" xfId="0" applyFont="1" applyAlignment="1">
      <alignment vertical="center"/>
    </xf>
    <xf numFmtId="0" fontId="21" fillId="0" borderId="35" xfId="0" applyFont="1" applyBorder="1" applyAlignment="1">
      <alignment horizontal="left" vertical="center"/>
    </xf>
    <xf numFmtId="0" fontId="21" fillId="0" borderId="36" xfId="0" applyFont="1" applyBorder="1" applyAlignment="1">
      <alignment vertical="center" wrapText="1"/>
    </xf>
    <xf numFmtId="0" fontId="21" fillId="7" borderId="44" xfId="0" applyFont="1" applyFill="1" applyBorder="1" applyAlignment="1">
      <alignment horizontal="center" vertical="center" wrapText="1"/>
    </xf>
    <xf numFmtId="0" fontId="21" fillId="0" borderId="0" xfId="0" applyFont="1" applyAlignment="1">
      <alignment vertical="center" wrapText="1"/>
    </xf>
    <xf numFmtId="167" fontId="25" fillId="0" borderId="0" xfId="1" applyNumberFormat="1" applyFont="1" applyAlignment="1">
      <alignment vertical="center" wrapText="1"/>
    </xf>
    <xf numFmtId="0" fontId="21" fillId="7" borderId="5" xfId="0" applyFont="1" applyFill="1" applyBorder="1" applyAlignment="1">
      <alignment horizontal="center" vertical="center" wrapText="1"/>
    </xf>
    <xf numFmtId="0" fontId="26" fillId="7" borderId="5" xfId="0" applyFont="1" applyFill="1" applyBorder="1" applyAlignment="1">
      <alignment horizontal="center" vertical="center" wrapText="1"/>
    </xf>
    <xf numFmtId="0" fontId="27" fillId="7" borderId="24" xfId="0" applyFont="1" applyFill="1" applyBorder="1" applyAlignment="1">
      <alignment horizontal="right" vertical="center" wrapText="1"/>
    </xf>
    <xf numFmtId="0" fontId="15" fillId="7" borderId="24" xfId="0" applyFont="1" applyFill="1" applyBorder="1" applyAlignment="1">
      <alignment horizontal="center" vertical="center"/>
    </xf>
    <xf numFmtId="0" fontId="15" fillId="7" borderId="13" xfId="0" applyFont="1" applyFill="1" applyBorder="1" applyAlignment="1">
      <alignment horizontal="center" vertical="center"/>
    </xf>
    <xf numFmtId="175" fontId="27" fillId="0" borderId="44" xfId="0" applyNumberFormat="1" applyFont="1" applyBorder="1" applyAlignment="1">
      <alignment horizontal="right" vertical="center"/>
    </xf>
    <xf numFmtId="175" fontId="17" fillId="0" borderId="44" xfId="0" applyNumberFormat="1" applyFont="1" applyBorder="1" applyAlignment="1">
      <alignment horizontal="right" vertical="center"/>
    </xf>
    <xf numFmtId="165" fontId="17" fillId="0" borderId="44" xfId="1" applyFont="1" applyFill="1" applyBorder="1" applyAlignment="1">
      <alignment horizontal="right" vertical="center"/>
    </xf>
    <xf numFmtId="175" fontId="16" fillId="0" borderId="51" xfId="0" applyNumberFormat="1" applyFont="1" applyBorder="1" applyAlignment="1">
      <alignment horizontal="right" vertical="center"/>
    </xf>
    <xf numFmtId="167" fontId="18" fillId="0" borderId="0" xfId="1" applyNumberFormat="1" applyFont="1" applyAlignment="1">
      <alignment vertical="center" wrapText="1"/>
    </xf>
    <xf numFmtId="0" fontId="30" fillId="0" borderId="0" xfId="0" applyFont="1" applyAlignment="1">
      <alignment vertical="center"/>
    </xf>
    <xf numFmtId="175" fontId="27" fillId="0" borderId="1" xfId="0" applyNumberFormat="1" applyFont="1" applyBorder="1" applyAlignment="1">
      <alignment horizontal="right" vertical="center"/>
    </xf>
    <xf numFmtId="175" fontId="17" fillId="8" borderId="1" xfId="0" applyNumberFormat="1" applyFont="1" applyFill="1" applyBorder="1" applyAlignment="1">
      <alignment horizontal="right" vertical="center"/>
    </xf>
    <xf numFmtId="175" fontId="16" fillId="8" borderId="52" xfId="0" applyNumberFormat="1" applyFont="1" applyFill="1" applyBorder="1" applyAlignment="1">
      <alignment horizontal="right" vertical="center"/>
    </xf>
    <xf numFmtId="170" fontId="28" fillId="0" borderId="48" xfId="0" applyNumberFormat="1" applyFont="1" applyBorder="1" applyAlignment="1">
      <alignment horizontal="center" vertical="center" wrapText="1"/>
    </xf>
    <xf numFmtId="175" fontId="27" fillId="0" borderId="54" xfId="0" applyNumberFormat="1" applyFont="1" applyBorder="1" applyAlignment="1">
      <alignment horizontal="right" vertical="center"/>
    </xf>
    <xf numFmtId="172" fontId="17" fillId="9" borderId="54" xfId="0" applyNumberFormat="1" applyFont="1" applyFill="1" applyBorder="1" applyAlignment="1">
      <alignment horizontal="right" vertical="center"/>
    </xf>
    <xf numFmtId="172" fontId="16" fillId="9" borderId="56" xfId="0" applyNumberFormat="1" applyFont="1" applyFill="1" applyBorder="1" applyAlignment="1">
      <alignment horizontal="right" vertical="center"/>
    </xf>
    <xf numFmtId="167" fontId="31" fillId="0" borderId="0" xfId="1" applyNumberFormat="1" applyFont="1" applyAlignment="1">
      <alignment vertical="center"/>
    </xf>
    <xf numFmtId="167" fontId="32" fillId="0" borderId="0" xfId="1" applyNumberFormat="1" applyFont="1" applyAlignment="1">
      <alignment vertical="center"/>
    </xf>
    <xf numFmtId="174" fontId="21" fillId="8" borderId="46" xfId="0" applyNumberFormat="1" applyFont="1" applyFill="1" applyBorder="1" applyAlignment="1">
      <alignment vertical="center"/>
    </xf>
    <xf numFmtId="176" fontId="15" fillId="9" borderId="56" xfId="0" applyNumberFormat="1" applyFont="1" applyFill="1" applyBorder="1" applyAlignment="1">
      <alignment vertical="center"/>
    </xf>
    <xf numFmtId="0" fontId="17" fillId="0" borderId="0" xfId="0" applyFont="1" applyAlignment="1">
      <alignment vertical="center"/>
    </xf>
    <xf numFmtId="167" fontId="13" fillId="0" borderId="0" xfId="1" applyNumberFormat="1" applyFont="1" applyAlignment="1">
      <alignment horizontal="right" vertical="center"/>
    </xf>
    <xf numFmtId="0" fontId="13" fillId="0" borderId="0" xfId="0" applyFont="1" applyAlignment="1">
      <alignment horizontal="right" vertical="center"/>
    </xf>
    <xf numFmtId="0" fontId="19" fillId="5" borderId="0" xfId="0" applyFont="1" applyFill="1" applyAlignment="1">
      <alignment vertical="center"/>
    </xf>
    <xf numFmtId="0" fontId="35" fillId="0" borderId="0" xfId="0" applyFont="1" applyAlignment="1">
      <alignment vertical="center"/>
    </xf>
    <xf numFmtId="175" fontId="37" fillId="0" borderId="44" xfId="0" applyNumberFormat="1" applyFont="1" applyBorder="1" applyAlignment="1">
      <alignment horizontal="right" vertical="center"/>
    </xf>
    <xf numFmtId="175" fontId="38" fillId="0" borderId="44" xfId="0" applyNumberFormat="1" applyFont="1" applyBorder="1" applyAlignment="1">
      <alignment horizontal="right" vertical="center"/>
    </xf>
    <xf numFmtId="165" fontId="38" fillId="0" borderId="44" xfId="1" applyFont="1" applyFill="1" applyBorder="1" applyAlignment="1">
      <alignment horizontal="right" vertical="center"/>
    </xf>
    <xf numFmtId="175" fontId="34" fillId="0" borderId="51" xfId="0" applyNumberFormat="1" applyFont="1" applyBorder="1" applyAlignment="1">
      <alignment horizontal="right" vertical="center"/>
    </xf>
    <xf numFmtId="175" fontId="37" fillId="0" borderId="1" xfId="0" applyNumberFormat="1" applyFont="1" applyBorder="1" applyAlignment="1">
      <alignment horizontal="right" vertical="center"/>
    </xf>
    <xf numFmtId="175" fontId="38" fillId="8" borderId="1" xfId="0" applyNumberFormat="1" applyFont="1" applyFill="1" applyBorder="1" applyAlignment="1">
      <alignment horizontal="right" vertical="center"/>
    </xf>
    <xf numFmtId="175" fontId="34" fillId="8" borderId="52" xfId="0" applyNumberFormat="1" applyFont="1" applyFill="1" applyBorder="1" applyAlignment="1">
      <alignment horizontal="right" vertical="center"/>
    </xf>
    <xf numFmtId="170" fontId="36" fillId="0" borderId="48" xfId="0" applyNumberFormat="1" applyFont="1" applyBorder="1" applyAlignment="1">
      <alignment horizontal="center" vertical="center" wrapText="1"/>
    </xf>
    <xf numFmtId="175" fontId="37" fillId="0" borderId="54" xfId="0" applyNumberFormat="1" applyFont="1" applyBorder="1" applyAlignment="1">
      <alignment horizontal="right" vertical="center"/>
    </xf>
    <xf numFmtId="172" fontId="38" fillId="9" borderId="54" xfId="0" applyNumberFormat="1" applyFont="1" applyFill="1" applyBorder="1" applyAlignment="1">
      <alignment horizontal="right" vertical="center"/>
    </xf>
    <xf numFmtId="172" fontId="34" fillId="9" borderId="56" xfId="0" applyNumberFormat="1" applyFont="1" applyFill="1" applyBorder="1" applyAlignment="1">
      <alignment horizontal="right" vertical="center"/>
    </xf>
    <xf numFmtId="174" fontId="34" fillId="0" borderId="48" xfId="0" quotePrefix="1" applyNumberFormat="1" applyFont="1" applyBorder="1" applyAlignment="1">
      <alignment horizontal="center" wrapText="1"/>
    </xf>
    <xf numFmtId="175" fontId="34" fillId="0" borderId="44" xfId="0" applyNumberFormat="1" applyFont="1" applyBorder="1" applyAlignment="1">
      <alignment horizontal="right"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41" fillId="0" borderId="0" xfId="0" applyFont="1" applyAlignment="1">
      <alignment vertical="center"/>
    </xf>
    <xf numFmtId="0" fontId="10" fillId="3" borderId="1" xfId="0" applyFont="1" applyFill="1" applyBorder="1" applyAlignment="1">
      <alignment horizontal="center" vertical="center"/>
    </xf>
    <xf numFmtId="0" fontId="41" fillId="0" borderId="0" xfId="0" applyFont="1" applyAlignment="1">
      <alignment horizontal="center" vertical="top"/>
    </xf>
    <xf numFmtId="0" fontId="41" fillId="0" borderId="0" xfId="0" applyFont="1" applyAlignment="1">
      <alignment horizontal="left" vertical="top"/>
    </xf>
    <xf numFmtId="0" fontId="45" fillId="0" borderId="0" xfId="0" applyFont="1" applyAlignment="1">
      <alignment vertical="center"/>
    </xf>
    <xf numFmtId="0" fontId="45"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41" fillId="0" borderId="13" xfId="0" applyFont="1" applyBorder="1" applyAlignment="1">
      <alignment horizontal="center" vertical="top"/>
    </xf>
    <xf numFmtId="0" fontId="6" fillId="10"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10" borderId="1" xfId="0" applyFont="1" applyFill="1" applyBorder="1" applyAlignment="1">
      <alignment horizontal="center" vertical="center" wrapText="1"/>
    </xf>
    <xf numFmtId="0" fontId="6" fillId="10" borderId="19" xfId="0" applyFont="1" applyFill="1" applyBorder="1" applyAlignment="1">
      <alignment horizontal="center" vertical="center" wrapText="1"/>
    </xf>
    <xf numFmtId="0" fontId="6" fillId="10"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61" xfId="0" applyFont="1" applyBorder="1" applyAlignment="1">
      <alignment horizontal="left" vertical="center"/>
    </xf>
    <xf numFmtId="0" fontId="41" fillId="0" borderId="61" xfId="0" applyFont="1" applyBorder="1" applyAlignment="1">
      <alignment horizontal="left" vertical="top"/>
    </xf>
    <xf numFmtId="0" fontId="41" fillId="0" borderId="61" xfId="0" applyFont="1" applyBorder="1" applyAlignment="1">
      <alignment horizontal="center" vertical="top"/>
    </xf>
    <xf numFmtId="0" fontId="41" fillId="0" borderId="61" xfId="0" applyFont="1" applyBorder="1" applyAlignment="1">
      <alignment vertical="center"/>
    </xf>
    <xf numFmtId="0" fontId="12" fillId="0" borderId="13" xfId="0" applyFont="1" applyBorder="1" applyAlignment="1">
      <alignment vertical="center"/>
    </xf>
    <xf numFmtId="0" fontId="5" fillId="0" borderId="70" xfId="0" applyFont="1" applyBorder="1" applyAlignment="1">
      <alignment vertical="center"/>
    </xf>
    <xf numFmtId="0" fontId="5" fillId="0" borderId="65"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43" fillId="0" borderId="13" xfId="0" applyFont="1" applyBorder="1"/>
    <xf numFmtId="0" fontId="41" fillId="0" borderId="16" xfId="0" applyFont="1" applyBorder="1" applyAlignment="1">
      <alignment vertical="center"/>
    </xf>
    <xf numFmtId="0" fontId="45"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41"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62" xfId="0" applyBorder="1" applyAlignment="1">
      <alignment vertical="center"/>
    </xf>
    <xf numFmtId="0" fontId="0" fillId="0" borderId="63" xfId="0" applyBorder="1" applyAlignment="1">
      <alignment vertical="center"/>
    </xf>
    <xf numFmtId="0" fontId="0" fillId="0" borderId="64" xfId="0" applyBorder="1" applyAlignment="1">
      <alignment vertical="center"/>
    </xf>
    <xf numFmtId="0" fontId="0" fillId="0" borderId="65" xfId="0" applyBorder="1" applyAlignment="1">
      <alignment vertical="center"/>
    </xf>
    <xf numFmtId="0" fontId="0" fillId="0" borderId="15" xfId="0" applyBorder="1" applyAlignment="1">
      <alignment vertical="center"/>
    </xf>
    <xf numFmtId="0" fontId="0" fillId="0" borderId="66" xfId="0" applyBorder="1" applyAlignment="1">
      <alignmen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19" fillId="11" borderId="0" xfId="0" applyFont="1" applyFill="1" applyAlignment="1">
      <alignment vertical="center"/>
    </xf>
    <xf numFmtId="167" fontId="31" fillId="0" borderId="0" xfId="1" applyNumberFormat="1" applyFont="1" applyAlignment="1">
      <alignment vertical="center" wrapText="1"/>
    </xf>
    <xf numFmtId="0" fontId="52" fillId="0" borderId="0" xfId="0" applyFont="1" applyAlignment="1">
      <alignment vertical="center"/>
    </xf>
    <xf numFmtId="0" fontId="26" fillId="7" borderId="54" xfId="0" applyFont="1" applyFill="1" applyBorder="1" applyAlignment="1">
      <alignment horizontal="center" vertical="center" wrapText="1"/>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62" xfId="0" applyFont="1" applyBorder="1" applyAlignment="1">
      <alignment vertical="center"/>
    </xf>
    <xf numFmtId="0" fontId="3" fillId="0" borderId="63" xfId="0" applyFont="1" applyBorder="1" applyAlignment="1">
      <alignment vertical="center"/>
    </xf>
    <xf numFmtId="0" fontId="3" fillId="0" borderId="64" xfId="0" applyFont="1" applyBorder="1" applyAlignment="1">
      <alignment vertical="center"/>
    </xf>
    <xf numFmtId="0" fontId="3" fillId="0" borderId="65" xfId="0" applyFont="1" applyBorder="1" applyAlignment="1">
      <alignment vertical="center"/>
    </xf>
    <xf numFmtId="0" fontId="3" fillId="0" borderId="15" xfId="0" applyFont="1" applyBorder="1" applyAlignment="1">
      <alignment vertical="center"/>
    </xf>
    <xf numFmtId="0" fontId="3" fillId="0" borderId="66" xfId="0" applyFont="1" applyBorder="1" applyAlignment="1">
      <alignment vertical="center"/>
    </xf>
    <xf numFmtId="0" fontId="3" fillId="0" borderId="67" xfId="0" applyFont="1" applyBorder="1" applyAlignment="1">
      <alignment vertical="center"/>
    </xf>
    <xf numFmtId="0" fontId="3" fillId="0" borderId="68" xfId="0" applyFont="1" applyBorder="1" applyAlignment="1">
      <alignment vertical="center"/>
    </xf>
    <xf numFmtId="0" fontId="3" fillId="0" borderId="69" xfId="0" applyFont="1" applyBorder="1" applyAlignment="1">
      <alignment vertical="center"/>
    </xf>
    <xf numFmtId="0" fontId="9" fillId="0" borderId="0" xfId="0" applyFont="1" applyAlignment="1">
      <alignment horizontal="center" vertical="center"/>
    </xf>
    <xf numFmtId="178" fontId="0" fillId="0" borderId="1" xfId="0" applyNumberFormat="1" applyBorder="1" applyAlignment="1">
      <alignment horizontal="center" vertical="center"/>
    </xf>
    <xf numFmtId="0" fontId="0" fillId="0" borderId="6" xfId="0" applyBorder="1" applyAlignment="1">
      <alignment horizontal="center" vertical="center"/>
    </xf>
    <xf numFmtId="178" fontId="0" fillId="0" borderId="6" xfId="0" applyNumberFormat="1" applyBorder="1" applyAlignment="1">
      <alignment horizontal="center" vertical="center"/>
    </xf>
    <xf numFmtId="0" fontId="55"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55"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4" fillId="0" borderId="3" xfId="0" applyFont="1" applyBorder="1" applyAlignment="1">
      <alignment vertical="center"/>
    </xf>
    <xf numFmtId="0" fontId="4" fillId="0" borderId="2" xfId="0" applyFont="1" applyBorder="1" applyAlignment="1">
      <alignment vertical="center"/>
    </xf>
    <xf numFmtId="0" fontId="3" fillId="0" borderId="76" xfId="0" applyFont="1" applyBorder="1" applyAlignment="1">
      <alignment vertical="center"/>
    </xf>
    <xf numFmtId="0" fontId="3" fillId="0" borderId="77" xfId="0" applyFont="1" applyBorder="1" applyAlignment="1">
      <alignment vertical="center"/>
    </xf>
    <xf numFmtId="0" fontId="0" fillId="0" borderId="5" xfId="0" applyBorder="1" applyAlignment="1">
      <alignment horizontal="center" vertical="center"/>
    </xf>
    <xf numFmtId="0" fontId="55" fillId="0" borderId="78"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79" xfId="0" applyBorder="1" applyAlignment="1">
      <alignment vertical="center"/>
    </xf>
    <xf numFmtId="0" fontId="5" fillId="12" borderId="0" xfId="0" applyFont="1" applyFill="1" applyAlignment="1">
      <alignment horizontal="left" vertical="center"/>
    </xf>
    <xf numFmtId="0" fontId="49" fillId="0" borderId="0" xfId="0" applyFont="1" applyAlignment="1">
      <alignment vertical="center"/>
    </xf>
    <xf numFmtId="0" fontId="49" fillId="0" borderId="16" xfId="0" applyFont="1" applyBorder="1" applyAlignment="1">
      <alignment vertical="center"/>
    </xf>
    <xf numFmtId="177"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49" fillId="0" borderId="78" xfId="0" applyFont="1" applyBorder="1" applyAlignment="1">
      <alignment horizontal="left" vertical="center"/>
    </xf>
    <xf numFmtId="0" fontId="49" fillId="0" borderId="27" xfId="0" applyFont="1" applyBorder="1" applyAlignment="1">
      <alignment horizontal="left" vertical="center"/>
    </xf>
    <xf numFmtId="0" fontId="5" fillId="0" borderId="78" xfId="0" applyFont="1" applyBorder="1" applyAlignment="1">
      <alignment horizontal="left" vertical="center"/>
    </xf>
    <xf numFmtId="0" fontId="5" fillId="0" borderId="27" xfId="0" applyFont="1" applyBorder="1" applyAlignment="1">
      <alignment horizontal="left" vertical="center"/>
    </xf>
    <xf numFmtId="0" fontId="0" fillId="0" borderId="3" xfId="0" applyBorder="1" applyAlignment="1">
      <alignment vertical="center"/>
    </xf>
    <xf numFmtId="0" fontId="49" fillId="0" borderId="1" xfId="0" applyFont="1" applyBorder="1" applyAlignment="1">
      <alignment horizontal="center" vertical="center"/>
    </xf>
    <xf numFmtId="0" fontId="5" fillId="0" borderId="0" xfId="0" applyFont="1" applyAlignment="1">
      <alignment horizontal="center" vertical="center"/>
    </xf>
    <xf numFmtId="178" fontId="1" fillId="0" borderId="6" xfId="3" applyNumberFormat="1" applyBorder="1" applyAlignment="1">
      <alignment horizontal="center" vertical="center"/>
    </xf>
    <xf numFmtId="178"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13"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49" fillId="0" borderId="0" xfId="0" applyFont="1" applyAlignment="1">
      <alignment horizontal="center" vertical="center"/>
    </xf>
    <xf numFmtId="177"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49" fillId="0" borderId="27" xfId="0" applyFont="1" applyBorder="1" applyAlignment="1">
      <alignment vertical="center"/>
    </xf>
    <xf numFmtId="0" fontId="55" fillId="12" borderId="13" xfId="0" applyFont="1" applyFill="1" applyBorder="1" applyAlignment="1">
      <alignment horizontal="left" vertical="center"/>
    </xf>
    <xf numFmtId="0" fontId="49" fillId="0" borderId="17" xfId="0" applyFont="1" applyBorder="1" applyAlignment="1">
      <alignment horizontal="center" vertical="center"/>
    </xf>
    <xf numFmtId="20" fontId="4" fillId="0" borderId="18" xfId="0" applyNumberFormat="1" applyFont="1" applyBorder="1" applyAlignment="1">
      <alignment horizontal="center" vertical="center"/>
    </xf>
    <xf numFmtId="0" fontId="55" fillId="0" borderId="13" xfId="0" applyFont="1" applyBorder="1" applyAlignment="1">
      <alignment horizontal="left" vertical="center"/>
    </xf>
    <xf numFmtId="0" fontId="50" fillId="0" borderId="0" xfId="0" applyFont="1" applyAlignment="1">
      <alignment wrapText="1"/>
    </xf>
    <xf numFmtId="0" fontId="5" fillId="0" borderId="14" xfId="0" applyFont="1" applyBorder="1" applyAlignment="1">
      <alignment vertical="center"/>
    </xf>
    <xf numFmtId="0" fontId="5" fillId="0" borderId="15" xfId="0" applyFont="1" applyBorder="1" applyAlignment="1">
      <alignment vertical="center"/>
    </xf>
    <xf numFmtId="0" fontId="7" fillId="0" borderId="11" xfId="0" applyFont="1" applyBorder="1" applyAlignment="1">
      <alignment vertical="center"/>
    </xf>
    <xf numFmtId="0" fontId="0" fillId="0" borderId="11" xfId="0" applyBorder="1" applyAlignment="1">
      <alignment horizontal="center" vertical="center"/>
    </xf>
    <xf numFmtId="166" fontId="59" fillId="0" borderId="3" xfId="0" applyNumberFormat="1" applyFont="1" applyBorder="1" applyAlignment="1">
      <alignment horizontal="center" vertical="center"/>
    </xf>
    <xf numFmtId="166" fontId="59" fillId="0" borderId="2" xfId="0" applyNumberFormat="1" applyFont="1" applyBorder="1" applyAlignment="1">
      <alignment horizontal="center" vertical="center"/>
    </xf>
    <xf numFmtId="0" fontId="6"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4" xfId="0" applyFont="1" applyBorder="1" applyAlignment="1">
      <alignment horizontal="center" vertical="center"/>
    </xf>
    <xf numFmtId="0" fontId="13" fillId="0" borderId="4" xfId="0" applyFont="1" applyBorder="1" applyAlignment="1">
      <alignment horizontal="center" vertical="center" wrapText="1"/>
    </xf>
    <xf numFmtId="0" fontId="3" fillId="0" borderId="1" xfId="0" applyFont="1" applyBorder="1" applyAlignment="1">
      <alignment vertical="center"/>
    </xf>
    <xf numFmtId="0" fontId="45" fillId="14" borderId="1" xfId="0" applyFont="1" applyFill="1" applyBorder="1" applyAlignment="1">
      <alignment horizontal="center" vertical="center"/>
    </xf>
    <xf numFmtId="167" fontId="45" fillId="14" borderId="1" xfId="1" applyNumberFormat="1" applyFont="1" applyFill="1" applyBorder="1" applyAlignment="1">
      <alignment horizontal="center" vertical="center"/>
    </xf>
    <xf numFmtId="167" fontId="3" fillId="0" borderId="1" xfId="1" applyNumberFormat="1" applyFont="1" applyBorder="1" applyAlignment="1">
      <alignment horizontal="center" vertical="center"/>
    </xf>
    <xf numFmtId="167" fontId="3" fillId="0" borderId="0" xfId="1" applyNumberFormat="1" applyFont="1" applyAlignment="1">
      <alignment horizontal="center" vertical="center"/>
    </xf>
    <xf numFmtId="0" fontId="3" fillId="0" borderId="6" xfId="0" applyFont="1" applyBorder="1" applyAlignment="1">
      <alignment vertical="center"/>
    </xf>
    <xf numFmtId="167" fontId="3" fillId="0" borderId="6" xfId="1" applyNumberFormat="1" applyFont="1" applyBorder="1" applyAlignment="1">
      <alignment horizontal="center" vertical="center"/>
    </xf>
    <xf numFmtId="0" fontId="3" fillId="0" borderId="17" xfId="0" applyFont="1" applyBorder="1" applyAlignment="1">
      <alignment vertical="center"/>
    </xf>
    <xf numFmtId="167" fontId="3" fillId="0" borderId="17" xfId="1" applyNumberFormat="1" applyFont="1" applyBorder="1" applyAlignment="1">
      <alignment horizontal="center" vertical="center"/>
    </xf>
    <xf numFmtId="0" fontId="45" fillId="0" borderId="0" xfId="0" applyFont="1" applyAlignment="1">
      <alignment horizontal="center" vertical="center"/>
    </xf>
    <xf numFmtId="167" fontId="45" fillId="0" borderId="1" xfId="0" applyNumberFormat="1" applyFont="1" applyBorder="1" applyAlignment="1">
      <alignment horizontal="center" vertical="center"/>
    </xf>
    <xf numFmtId="0" fontId="45" fillId="4" borderId="1" xfId="0" applyFont="1" applyFill="1" applyBorder="1" applyAlignment="1">
      <alignment horizontal="center" vertical="center"/>
    </xf>
    <xf numFmtId="0" fontId="5" fillId="13"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49" fillId="0" borderId="3" xfId="0" applyFont="1" applyBorder="1" applyAlignment="1">
      <alignment vertical="center"/>
    </xf>
    <xf numFmtId="0" fontId="49" fillId="0" borderId="2" xfId="0" applyFont="1" applyBorder="1" applyAlignment="1">
      <alignment vertical="center"/>
    </xf>
    <xf numFmtId="0" fontId="49" fillId="0" borderId="4" xfId="0" applyFont="1" applyBorder="1" applyAlignment="1">
      <alignment vertical="center"/>
    </xf>
    <xf numFmtId="167" fontId="5" fillId="0" borderId="0" xfId="0" applyNumberFormat="1" applyFont="1" applyAlignment="1">
      <alignment vertical="center"/>
    </xf>
    <xf numFmtId="0" fontId="60" fillId="0" borderId="13" xfId="0" applyFont="1" applyBorder="1" applyAlignment="1">
      <alignment horizontal="left" vertical="center"/>
    </xf>
    <xf numFmtId="0" fontId="49" fillId="0" borderId="0" xfId="0" applyFont="1" applyAlignment="1">
      <alignment vertical="top"/>
    </xf>
    <xf numFmtId="16" fontId="49" fillId="0" borderId="0" xfId="0" applyNumberFormat="1" applyFont="1" applyAlignment="1">
      <alignment vertical="center"/>
    </xf>
    <xf numFmtId="0" fontId="49" fillId="0" borderId="13" xfId="0" applyFont="1" applyBorder="1" applyAlignment="1">
      <alignment vertical="center"/>
    </xf>
    <xf numFmtId="0" fontId="4" fillId="0" borderId="13" xfId="0" applyFont="1" applyBorder="1" applyAlignment="1">
      <alignment horizontal="center" vertical="center"/>
    </xf>
    <xf numFmtId="179" fontId="4" fillId="0" borderId="0" xfId="0" applyNumberFormat="1" applyFont="1" applyAlignment="1">
      <alignment horizontal="center" vertical="center"/>
    </xf>
    <xf numFmtId="0" fontId="0" fillId="0" borderId="0" xfId="0" applyAlignment="1">
      <alignment horizontal="center" vertical="center" wrapText="1"/>
    </xf>
    <xf numFmtId="167" fontId="4" fillId="0" borderId="0" xfId="1" applyNumberFormat="1" applyFont="1" applyBorder="1" applyAlignment="1">
      <alignment horizontal="center" vertical="center"/>
    </xf>
    <xf numFmtId="0" fontId="49" fillId="0" borderId="16" xfId="0" applyFont="1" applyBorder="1" applyAlignment="1">
      <alignment horizontal="left" vertical="center"/>
    </xf>
    <xf numFmtId="0" fontId="55"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0" fontId="61" fillId="0" borderId="13" xfId="0" quotePrefix="1" applyFont="1" applyBorder="1" applyAlignment="1">
      <alignment horizontal="left" vertical="center"/>
    </xf>
    <xf numFmtId="166" fontId="51" fillId="0" borderId="10" xfId="0" applyNumberFormat="1" applyFont="1" applyBorder="1" applyAlignment="1">
      <alignment horizontal="center" vertical="center"/>
    </xf>
    <xf numFmtId="166" fontId="51" fillId="0" borderId="11" xfId="0" applyNumberFormat="1" applyFont="1" applyBorder="1" applyAlignment="1">
      <alignment horizontal="center" vertical="center"/>
    </xf>
    <xf numFmtId="0" fontId="51" fillId="0" borderId="6" xfId="0" quotePrefix="1" applyFont="1" applyBorder="1" applyAlignment="1">
      <alignment horizontal="center" vertical="center"/>
    </xf>
    <xf numFmtId="166" fontId="51" fillId="0" borderId="3" xfId="0" applyNumberFormat="1" applyFont="1" applyBorder="1" applyAlignment="1">
      <alignment horizontal="center" vertical="center"/>
    </xf>
    <xf numFmtId="166" fontId="51" fillId="0" borderId="2" xfId="0" applyNumberFormat="1" applyFont="1" applyBorder="1" applyAlignment="1">
      <alignment horizontal="center" vertical="center"/>
    </xf>
    <xf numFmtId="0" fontId="51" fillId="0" borderId="3" xfId="0" applyFont="1" applyBorder="1" applyAlignment="1">
      <alignment vertical="center"/>
    </xf>
    <xf numFmtId="0" fontId="51" fillId="0" borderId="2" xfId="0" applyFont="1" applyBorder="1" applyAlignment="1">
      <alignment vertical="center"/>
    </xf>
    <xf numFmtId="0" fontId="51"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49" fillId="0" borderId="0" xfId="0" applyFont="1" applyAlignment="1">
      <alignment horizontal="center" vertical="center" wrapText="1"/>
    </xf>
    <xf numFmtId="0" fontId="58" fillId="0" borderId="13" xfId="0" applyFont="1" applyBorder="1"/>
    <xf numFmtId="0" fontId="63" fillId="3" borderId="3" xfId="0" applyFont="1" applyFill="1" applyBorder="1" applyAlignment="1">
      <alignment vertical="center"/>
    </xf>
    <xf numFmtId="0" fontId="63" fillId="3" borderId="2" xfId="0" applyFont="1" applyFill="1" applyBorder="1" applyAlignment="1">
      <alignment vertical="center"/>
    </xf>
    <xf numFmtId="0" fontId="63" fillId="3" borderId="4" xfId="0" applyFont="1" applyFill="1" applyBorder="1" applyAlignment="1">
      <alignment vertical="center"/>
    </xf>
    <xf numFmtId="0" fontId="63" fillId="3" borderId="1" xfId="0" applyFont="1" applyFill="1" applyBorder="1" applyAlignment="1">
      <alignment horizontal="center" vertical="center"/>
    </xf>
    <xf numFmtId="0" fontId="6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58" fillId="2" borderId="1" xfId="1" applyNumberFormat="1" applyFont="1" applyFill="1" applyBorder="1" applyAlignment="1">
      <alignment horizontal="center" vertical="center"/>
    </xf>
    <xf numFmtId="167" fontId="58" fillId="2" borderId="3" xfId="1" applyNumberFormat="1" applyFont="1" applyFill="1" applyBorder="1" applyAlignment="1">
      <alignment horizontal="center" vertical="center"/>
    </xf>
    <xf numFmtId="177" fontId="64" fillId="0" borderId="0" xfId="0" applyNumberFormat="1" applyFont="1" applyAlignment="1">
      <alignment horizontal="center" vertical="center"/>
    </xf>
    <xf numFmtId="0" fontId="49" fillId="0" borderId="27" xfId="0" applyFont="1" applyBorder="1" applyAlignment="1">
      <alignment horizontal="center" vertical="center"/>
    </xf>
    <xf numFmtId="167" fontId="49" fillId="0" borderId="27" xfId="0" applyNumberFormat="1" applyFont="1" applyBorder="1" applyAlignment="1">
      <alignment horizontal="center" vertical="center"/>
    </xf>
    <xf numFmtId="0" fontId="49" fillId="0" borderId="79" xfId="0" applyFont="1" applyBorder="1" applyAlignment="1">
      <alignment vertical="center"/>
    </xf>
    <xf numFmtId="0" fontId="5" fillId="15" borderId="1" xfId="0" applyFont="1" applyFill="1" applyBorder="1" applyAlignment="1">
      <alignment horizontal="center" vertical="center"/>
    </xf>
    <xf numFmtId="0" fontId="49" fillId="0" borderId="0" xfId="0" applyFont="1" applyAlignment="1">
      <alignment horizontal="left" vertical="center"/>
    </xf>
    <xf numFmtId="167" fontId="49" fillId="0" borderId="13" xfId="1" applyNumberFormat="1" applyFont="1" applyFill="1" applyBorder="1" applyAlignment="1">
      <alignment vertical="center"/>
    </xf>
    <xf numFmtId="0" fontId="49" fillId="0" borderId="13" xfId="0" applyFont="1" applyBorder="1" applyAlignment="1">
      <alignment horizontal="center" vertical="center"/>
    </xf>
    <xf numFmtId="179" fontId="49" fillId="0" borderId="0" xfId="0" applyNumberFormat="1" applyFont="1" applyAlignment="1">
      <alignment horizontal="center" vertical="center"/>
    </xf>
    <xf numFmtId="167" fontId="49" fillId="0" borderId="0" xfId="1" applyNumberFormat="1" applyFont="1" applyBorder="1" applyAlignment="1">
      <alignment horizontal="center" vertical="center"/>
    </xf>
    <xf numFmtId="167" fontId="49" fillId="0" borderId="0" xfId="1" applyNumberFormat="1" applyFont="1" applyFill="1" applyBorder="1" applyAlignment="1">
      <alignment horizontal="center" vertical="center"/>
    </xf>
    <xf numFmtId="167" fontId="49" fillId="0" borderId="0" xfId="1" applyNumberFormat="1" applyFont="1" applyFill="1" applyBorder="1" applyAlignment="1">
      <alignment vertical="center"/>
    </xf>
    <xf numFmtId="0" fontId="49" fillId="4" borderId="8" xfId="0" applyFont="1" applyFill="1" applyBorder="1" applyAlignment="1">
      <alignment vertical="center"/>
    </xf>
    <xf numFmtId="0" fontId="49"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65" fillId="0" borderId="10" xfId="1" applyNumberFormat="1" applyFont="1" applyBorder="1" applyAlignment="1">
      <alignment horizontal="center" vertical="center"/>
    </xf>
    <xf numFmtId="0" fontId="65" fillId="0" borderId="85" xfId="0" applyFont="1" applyBorder="1" applyAlignment="1">
      <alignment horizontal="center" vertical="center"/>
    </xf>
    <xf numFmtId="167" fontId="65" fillId="0" borderId="12" xfId="1" applyNumberFormat="1" applyFont="1" applyBorder="1" applyAlignment="1">
      <alignment horizontal="center" vertical="center"/>
    </xf>
    <xf numFmtId="167" fontId="65" fillId="0" borderId="1" xfId="1" applyNumberFormat="1" applyFont="1" applyBorder="1" applyAlignment="1">
      <alignment vertical="center"/>
    </xf>
    <xf numFmtId="167" fontId="65" fillId="0" borderId="3" xfId="1" applyNumberFormat="1" applyFont="1" applyBorder="1" applyAlignment="1">
      <alignment vertical="center"/>
    </xf>
    <xf numFmtId="167" fontId="65" fillId="0" borderId="3" xfId="1" applyNumberFormat="1" applyFont="1" applyBorder="1" applyAlignment="1">
      <alignment horizontal="center" vertical="center"/>
    </xf>
    <xf numFmtId="167" fontId="65" fillId="0" borderId="4" xfId="1" applyNumberFormat="1" applyFont="1" applyBorder="1" applyAlignment="1">
      <alignment horizontal="center" vertical="center"/>
    </xf>
    <xf numFmtId="167" fontId="65" fillId="0" borderId="17" xfId="1" applyNumberFormat="1" applyFont="1" applyBorder="1" applyAlignment="1">
      <alignment vertical="center"/>
    </xf>
    <xf numFmtId="167" fontId="65" fillId="0" borderId="21" xfId="1" applyNumberFormat="1" applyFont="1" applyBorder="1" applyAlignment="1">
      <alignment vertical="center"/>
    </xf>
    <xf numFmtId="167" fontId="65" fillId="0" borderId="21" xfId="1" applyNumberFormat="1" applyFont="1" applyBorder="1" applyAlignment="1">
      <alignment horizontal="center" vertical="center"/>
    </xf>
    <xf numFmtId="167" fontId="65" fillId="0" borderId="22" xfId="1" applyNumberFormat="1" applyFont="1" applyBorder="1" applyAlignment="1">
      <alignment horizontal="center" vertical="center"/>
    </xf>
    <xf numFmtId="167" fontId="66" fillId="0" borderId="4" xfId="0" applyNumberFormat="1" applyFont="1" applyBorder="1" applyAlignment="1">
      <alignment vertical="center"/>
    </xf>
    <xf numFmtId="0" fontId="65" fillId="0" borderId="1" xfId="0" applyFont="1" applyBorder="1" applyAlignment="1">
      <alignment horizontal="center" vertical="center"/>
    </xf>
    <xf numFmtId="167" fontId="66" fillId="0" borderId="75" xfId="0" applyNumberFormat="1" applyFont="1" applyBorder="1" applyAlignment="1">
      <alignment vertical="center"/>
    </xf>
    <xf numFmtId="167" fontId="65" fillId="0" borderId="1" xfId="1" applyNumberFormat="1" applyFont="1" applyBorder="1" applyAlignment="1">
      <alignment horizontal="center" vertical="center"/>
    </xf>
    <xf numFmtId="167" fontId="65" fillId="0" borderId="6" xfId="0" applyNumberFormat="1" applyFont="1" applyBorder="1" applyAlignment="1">
      <alignment vertical="center"/>
    </xf>
    <xf numFmtId="167" fontId="66" fillId="0" borderId="6" xfId="1" applyNumberFormat="1" applyFont="1" applyBorder="1" applyAlignment="1">
      <alignment vertical="center"/>
    </xf>
    <xf numFmtId="167" fontId="0" fillId="0" borderId="0" xfId="1" applyNumberFormat="1" applyFont="1"/>
    <xf numFmtId="0" fontId="0" fillId="0" borderId="1" xfId="0" applyBorder="1"/>
    <xf numFmtId="167" fontId="0" fillId="0" borderId="1" xfId="1" applyNumberFormat="1" applyFont="1" applyBorder="1"/>
    <xf numFmtId="0" fontId="2" fillId="0" borderId="1" xfId="0" applyFont="1" applyBorder="1" applyAlignment="1">
      <alignment horizontal="center"/>
    </xf>
    <xf numFmtId="167" fontId="2" fillId="0" borderId="1" xfId="1" applyNumberFormat="1" applyFont="1" applyBorder="1" applyAlignment="1">
      <alignment horizontal="center"/>
    </xf>
    <xf numFmtId="0" fontId="2" fillId="0" borderId="0" xfId="0" applyFont="1" applyAlignment="1">
      <alignment horizontal="center"/>
    </xf>
    <xf numFmtId="0" fontId="0" fillId="0" borderId="1" xfId="0" applyBorder="1" applyAlignment="1">
      <alignment horizontal="center"/>
    </xf>
    <xf numFmtId="0" fontId="0" fillId="0" borderId="0" xfId="0" applyAlignment="1">
      <alignment horizontal="center"/>
    </xf>
    <xf numFmtId="167" fontId="2" fillId="0" borderId="6" xfId="1" applyNumberFormat="1" applyFont="1" applyBorder="1"/>
    <xf numFmtId="0" fontId="0" fillId="0" borderId="17" xfId="0" applyBorder="1" applyAlignment="1">
      <alignment horizontal="center"/>
    </xf>
    <xf numFmtId="0" fontId="0" fillId="0" borderId="17" xfId="0" applyBorder="1"/>
    <xf numFmtId="167" fontId="0" fillId="0" borderId="17" xfId="1" applyNumberFormat="1" applyFont="1" applyBorder="1"/>
    <xf numFmtId="167" fontId="66" fillId="0" borderId="4" xfId="0" applyNumberFormat="1" applyFont="1" applyBorder="1" applyAlignment="1">
      <alignment horizontal="left" vertical="center"/>
    </xf>
    <xf numFmtId="167" fontId="65" fillId="0" borderId="17" xfId="1" applyNumberFormat="1" applyFont="1" applyBorder="1" applyAlignment="1">
      <alignment horizontal="center" vertical="center"/>
    </xf>
    <xf numFmtId="0" fontId="51" fillId="0" borderId="3" xfId="0" applyFont="1" applyBorder="1" applyAlignment="1">
      <alignment horizontal="left" vertical="center"/>
    </xf>
    <xf numFmtId="0" fontId="51" fillId="0" borderId="2" xfId="0" applyFont="1" applyBorder="1" applyAlignment="1">
      <alignment horizontal="left" vertical="center"/>
    </xf>
    <xf numFmtId="167" fontId="65" fillId="0" borderId="1" xfId="1" applyNumberFormat="1" applyFont="1" applyFill="1" applyBorder="1" applyAlignment="1">
      <alignment horizontal="center" vertical="center"/>
    </xf>
    <xf numFmtId="179" fontId="6" fillId="15" borderId="1" xfId="0" applyNumberFormat="1" applyFont="1" applyFill="1" applyBorder="1" applyAlignment="1">
      <alignment horizontal="center" vertical="center"/>
    </xf>
    <xf numFmtId="0" fontId="6" fillId="15" borderId="1" xfId="0" applyFont="1" applyFill="1" applyBorder="1" applyAlignment="1">
      <alignment horizontal="center" vertical="center" wrapText="1"/>
    </xf>
    <xf numFmtId="167"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49" fillId="0" borderId="79" xfId="0" applyNumberFormat="1" applyFont="1" applyBorder="1" applyAlignment="1">
      <alignment horizontal="left" vertical="center"/>
    </xf>
    <xf numFmtId="0" fontId="65" fillId="0" borderId="1" xfId="0" applyFont="1" applyBorder="1" applyAlignment="1">
      <alignment horizontal="center" vertical="center" wrapText="1"/>
    </xf>
    <xf numFmtId="167" fontId="66" fillId="0" borderId="4" xfId="1" applyNumberFormat="1" applyFont="1" applyBorder="1" applyAlignment="1">
      <alignment horizontal="center" vertical="center"/>
    </xf>
    <xf numFmtId="0" fontId="5" fillId="0" borderId="74" xfId="0" applyFont="1" applyBorder="1" applyAlignment="1">
      <alignment vertical="center"/>
    </xf>
    <xf numFmtId="0" fontId="49" fillId="0" borderId="10" xfId="0" applyFont="1" applyBorder="1" applyAlignment="1">
      <alignment horizontal="center" vertical="center"/>
    </xf>
    <xf numFmtId="0" fontId="49" fillId="0" borderId="11" xfId="0" applyFont="1" applyBorder="1" applyAlignment="1">
      <alignment vertical="center"/>
    </xf>
    <xf numFmtId="167" fontId="65" fillId="0" borderId="11" xfId="1" applyNumberFormat="1" applyFont="1" applyBorder="1" applyAlignment="1">
      <alignment vertical="center"/>
    </xf>
    <xf numFmtId="167" fontId="65" fillId="0" borderId="11" xfId="1" applyNumberFormat="1" applyFont="1" applyBorder="1" applyAlignment="1">
      <alignment horizontal="center" vertical="center"/>
    </xf>
    <xf numFmtId="0" fontId="49" fillId="0" borderId="7" xfId="0" applyFont="1" applyBorder="1" applyAlignment="1">
      <alignment horizontal="center" vertical="center"/>
    </xf>
    <xf numFmtId="0" fontId="49" fillId="0" borderId="8" xfId="0" applyFont="1" applyBorder="1" applyAlignment="1">
      <alignment vertical="center"/>
    </xf>
    <xf numFmtId="167" fontId="65" fillId="0" borderId="8" xfId="1" applyNumberFormat="1" applyFont="1" applyBorder="1" applyAlignment="1">
      <alignment vertical="center"/>
    </xf>
    <xf numFmtId="167" fontId="65" fillId="0" borderId="8" xfId="1" applyNumberFormat="1" applyFont="1" applyBorder="1" applyAlignment="1">
      <alignment horizontal="center" vertical="center"/>
    </xf>
    <xf numFmtId="167" fontId="66" fillId="0" borderId="3" xfId="0" applyNumberFormat="1" applyFont="1" applyBorder="1" applyAlignment="1">
      <alignment vertical="center"/>
    </xf>
    <xf numFmtId="0" fontId="67" fillId="0" borderId="13" xfId="0" applyFont="1" applyBorder="1"/>
    <xf numFmtId="0" fontId="67" fillId="0" borderId="0" xfId="0" applyFont="1"/>
    <xf numFmtId="0" fontId="67" fillId="0" borderId="8" xfId="0" applyFont="1" applyBorder="1"/>
    <xf numFmtId="0" fontId="68" fillId="0" borderId="0" xfId="0" applyFont="1" applyAlignment="1">
      <alignment vertical="center"/>
    </xf>
    <xf numFmtId="0" fontId="68" fillId="0" borderId="16" xfId="0" applyFont="1" applyBorder="1" applyAlignment="1">
      <alignment vertical="center"/>
    </xf>
    <xf numFmtId="0" fontId="69" fillId="0" borderId="13" xfId="0" applyFont="1" applyBorder="1"/>
    <xf numFmtId="0" fontId="69" fillId="0" borderId="14" xfId="0" applyFont="1" applyBorder="1"/>
    <xf numFmtId="0" fontId="70" fillId="0" borderId="14" xfId="0" applyFont="1" applyBorder="1"/>
    <xf numFmtId="0" fontId="71" fillId="0" borderId="0" xfId="0" applyFont="1" applyAlignment="1">
      <alignment vertical="center"/>
    </xf>
    <xf numFmtId="0" fontId="69" fillId="0" borderId="16" xfId="0" applyFont="1" applyBorder="1" applyAlignment="1">
      <alignment vertical="center"/>
    </xf>
    <xf numFmtId="0" fontId="69" fillId="0" borderId="0" xfId="0" applyFont="1" applyAlignment="1">
      <alignment vertical="center"/>
    </xf>
    <xf numFmtId="0" fontId="69" fillId="0" borderId="15" xfId="0" applyFont="1" applyBorder="1"/>
    <xf numFmtId="0" fontId="72" fillId="0" borderId="13" xfId="0" applyFont="1" applyBorder="1" applyAlignment="1">
      <alignment vertical="center"/>
    </xf>
    <xf numFmtId="0" fontId="72" fillId="0" borderId="0" xfId="0" applyFont="1" applyAlignment="1">
      <alignment horizontal="center" vertical="center"/>
    </xf>
    <xf numFmtId="0" fontId="72" fillId="0" borderId="0" xfId="0" applyFont="1" applyAlignment="1">
      <alignment vertical="center"/>
    </xf>
    <xf numFmtId="0" fontId="73" fillId="0" borderId="0" xfId="0" applyFont="1" applyAlignment="1">
      <alignment vertical="center"/>
    </xf>
    <xf numFmtId="0" fontId="72" fillId="0" borderId="16" xfId="0" applyFont="1" applyBorder="1" applyAlignment="1">
      <alignment vertical="center"/>
    </xf>
    <xf numFmtId="0" fontId="69" fillId="0" borderId="13" xfId="0" applyFont="1" applyBorder="1" applyAlignment="1">
      <alignment vertical="center"/>
    </xf>
    <xf numFmtId="0" fontId="73" fillId="0" borderId="0" xfId="0" applyFont="1" applyAlignment="1">
      <alignment horizontal="center" vertical="center"/>
    </xf>
    <xf numFmtId="0" fontId="73" fillId="0" borderId="16" xfId="0" applyFont="1" applyBorder="1" applyAlignment="1">
      <alignment vertical="center"/>
    </xf>
    <xf numFmtId="0" fontId="67" fillId="13" borderId="1" xfId="0" applyFont="1" applyFill="1" applyBorder="1" applyAlignment="1">
      <alignment horizontal="center" vertical="top"/>
    </xf>
    <xf numFmtId="0" fontId="68" fillId="0" borderId="0" xfId="0" applyFont="1" applyAlignment="1">
      <alignment vertical="center" wrapText="1"/>
    </xf>
    <xf numFmtId="0" fontId="74" fillId="0" borderId="0" xfId="0" applyFont="1" applyAlignment="1">
      <alignment horizontal="center" vertical="top"/>
    </xf>
    <xf numFmtId="0" fontId="76" fillId="0" borderId="0" xfId="0" applyFont="1" applyAlignment="1">
      <alignment vertical="center"/>
    </xf>
    <xf numFmtId="169" fontId="78" fillId="0" borderId="3" xfId="0" applyNumberFormat="1" applyFont="1" applyBorder="1" applyAlignment="1">
      <alignment horizontal="center" vertical="center"/>
    </xf>
    <xf numFmtId="0" fontId="68" fillId="0" borderId="16" xfId="0" applyFont="1" applyBorder="1" applyAlignment="1">
      <alignment horizontal="center" vertical="center"/>
    </xf>
    <xf numFmtId="0" fontId="76" fillId="0" borderId="0" xfId="0" applyFont="1" applyAlignment="1">
      <alignment horizontal="left" vertical="center"/>
    </xf>
    <xf numFmtId="169" fontId="78" fillId="0" borderId="2" xfId="0" applyNumberFormat="1" applyFont="1" applyBorder="1" applyAlignment="1">
      <alignment horizontal="center" vertical="center"/>
    </xf>
    <xf numFmtId="0" fontId="67" fillId="0" borderId="13" xfId="0" applyFont="1" applyBorder="1" applyAlignment="1">
      <alignment vertical="top" wrapText="1"/>
    </xf>
    <xf numFmtId="0" fontId="67" fillId="0" borderId="0" xfId="0" applyFont="1" applyAlignment="1">
      <alignment vertical="top" wrapText="1"/>
    </xf>
    <xf numFmtId="0" fontId="74" fillId="0" borderId="0" xfId="0" applyFont="1" applyAlignment="1">
      <alignment vertical="center"/>
    </xf>
    <xf numFmtId="0" fontId="74" fillId="0" borderId="16" xfId="0" applyFont="1" applyBorder="1" applyAlignment="1">
      <alignment vertical="center"/>
    </xf>
    <xf numFmtId="0" fontId="74" fillId="0" borderId="13" xfId="0" applyFont="1" applyBorder="1" applyAlignment="1">
      <alignment vertical="top" wrapText="1"/>
    </xf>
    <xf numFmtId="0" fontId="74" fillId="0" borderId="0" xfId="0" applyFont="1" applyAlignment="1">
      <alignment vertical="top" wrapText="1"/>
    </xf>
    <xf numFmtId="0" fontId="83" fillId="13" borderId="13" xfId="0" applyFont="1" applyFill="1" applyBorder="1" applyAlignment="1">
      <alignment vertical="top" wrapText="1"/>
    </xf>
    <xf numFmtId="169" fontId="83" fillId="13" borderId="16" xfId="0" applyNumberFormat="1" applyFont="1" applyFill="1" applyBorder="1" applyAlignment="1">
      <alignment vertical="top" wrapText="1"/>
    </xf>
    <xf numFmtId="0" fontId="83" fillId="13" borderId="16" xfId="0" applyFont="1" applyFill="1" applyBorder="1" applyAlignment="1">
      <alignment vertical="top" wrapText="1"/>
    </xf>
    <xf numFmtId="0" fontId="83" fillId="13" borderId="10" xfId="0" applyFont="1" applyFill="1" applyBorder="1" applyAlignment="1">
      <alignment vertical="top" wrapText="1"/>
    </xf>
    <xf numFmtId="0" fontId="83" fillId="13" borderId="12" xfId="0" applyFont="1" applyFill="1" applyBorder="1" applyAlignment="1">
      <alignment vertical="top" wrapText="1"/>
    </xf>
    <xf numFmtId="0" fontId="67" fillId="13" borderId="24" xfId="0" applyFont="1" applyFill="1" applyBorder="1" applyAlignment="1">
      <alignment horizontal="center" vertical="top" wrapText="1"/>
    </xf>
    <xf numFmtId="0" fontId="84" fillId="13" borderId="5" xfId="0" applyFont="1" applyFill="1" applyBorder="1" applyAlignment="1">
      <alignment horizontal="center" vertical="top" wrapText="1"/>
    </xf>
    <xf numFmtId="0" fontId="84" fillId="13" borderId="24" xfId="0" applyFont="1" applyFill="1" applyBorder="1" applyAlignment="1">
      <alignment horizontal="center" vertical="top" wrapText="1"/>
    </xf>
    <xf numFmtId="0" fontId="84" fillId="13" borderId="13" xfId="0" applyFont="1" applyFill="1" applyBorder="1" applyAlignment="1">
      <alignment horizontal="center" vertical="top" wrapText="1"/>
    </xf>
    <xf numFmtId="0" fontId="84" fillId="0" borderId="13" xfId="0" applyFont="1" applyBorder="1" applyAlignment="1">
      <alignment horizontal="center" vertical="top" wrapText="1"/>
    </xf>
    <xf numFmtId="0" fontId="84" fillId="0" borderId="0" xfId="0" applyFont="1" applyAlignment="1">
      <alignment vertical="top" wrapText="1"/>
    </xf>
    <xf numFmtId="0" fontId="85" fillId="0" borderId="0" xfId="0" applyFont="1" applyAlignment="1">
      <alignment horizontal="center" vertical="center"/>
    </xf>
    <xf numFmtId="177" fontId="86" fillId="0" borderId="1" xfId="0" applyNumberFormat="1" applyFont="1" applyBorder="1" applyAlignment="1">
      <alignment vertical="center" wrapText="1"/>
    </xf>
    <xf numFmtId="177" fontId="73" fillId="0" borderId="13" xfId="0" applyNumberFormat="1" applyFont="1" applyBorder="1" applyAlignment="1">
      <alignment vertical="center" wrapText="1"/>
    </xf>
    <xf numFmtId="0" fontId="76" fillId="0" borderId="0" xfId="0" applyFont="1" applyAlignment="1">
      <alignment vertical="center" wrapText="1"/>
    </xf>
    <xf numFmtId="0" fontId="67" fillId="0" borderId="16" xfId="0" applyFont="1" applyBorder="1" applyAlignment="1">
      <alignment vertical="center"/>
    </xf>
    <xf numFmtId="0" fontId="83" fillId="0" borderId="5" xfId="0" applyFont="1" applyBorder="1" applyAlignment="1">
      <alignment horizontal="center" vertical="center" wrapText="1"/>
    </xf>
    <xf numFmtId="0" fontId="83" fillId="0" borderId="17" xfId="0" applyFont="1" applyBorder="1" applyAlignment="1">
      <alignment horizontal="center" vertical="center" wrapText="1"/>
    </xf>
    <xf numFmtId="0" fontId="83" fillId="0" borderId="21" xfId="0" applyFont="1" applyBorder="1" applyAlignment="1">
      <alignment vertical="center"/>
    </xf>
    <xf numFmtId="0" fontId="77" fillId="14" borderId="21" xfId="0" quotePrefix="1" applyFont="1" applyFill="1" applyBorder="1" applyAlignment="1">
      <alignment horizontal="center" vertical="center" wrapText="1"/>
    </xf>
    <xf numFmtId="0" fontId="77" fillId="14" borderId="80" xfId="0" applyFont="1" applyFill="1" applyBorder="1" applyAlignment="1">
      <alignment horizontal="center" vertical="center" wrapText="1"/>
    </xf>
    <xf numFmtId="0" fontId="77" fillId="14" borderId="22" xfId="0" applyFont="1" applyFill="1" applyBorder="1" applyAlignment="1">
      <alignment horizontal="center" vertical="center" wrapText="1"/>
    </xf>
    <xf numFmtId="0" fontId="83" fillId="14" borderId="17" xfId="0" applyFont="1" applyFill="1" applyBorder="1" applyAlignment="1">
      <alignment horizontal="center" vertical="center" wrapText="1"/>
    </xf>
    <xf numFmtId="177" fontId="68" fillId="0" borderId="13" xfId="0" applyNumberFormat="1" applyFont="1" applyBorder="1" applyAlignment="1">
      <alignment vertical="center" wrapText="1"/>
    </xf>
    <xf numFmtId="177" fontId="68" fillId="0" borderId="0" xfId="0" applyNumberFormat="1" applyFont="1" applyAlignment="1">
      <alignment vertical="center" wrapText="1"/>
    </xf>
    <xf numFmtId="177" fontId="67" fillId="0" borderId="13" xfId="0" applyNumberFormat="1" applyFont="1" applyBorder="1" applyAlignment="1">
      <alignment vertical="center" wrapText="1"/>
    </xf>
    <xf numFmtId="177" fontId="67" fillId="0" borderId="0" xfId="0" applyNumberFormat="1" applyFont="1" applyAlignment="1">
      <alignment vertical="center" wrapText="1"/>
    </xf>
    <xf numFmtId="0" fontId="68" fillId="0" borderId="0" xfId="0" quotePrefix="1" applyFont="1" applyAlignment="1">
      <alignment vertical="center" wrapText="1"/>
    </xf>
    <xf numFmtId="0" fontId="87" fillId="0" borderId="16" xfId="0" applyFont="1" applyBorder="1" applyAlignment="1">
      <alignment horizontal="center" vertical="center"/>
    </xf>
    <xf numFmtId="0" fontId="73" fillId="0" borderId="13" xfId="0" applyFont="1" applyBorder="1" applyAlignment="1">
      <alignment vertical="center"/>
    </xf>
    <xf numFmtId="0" fontId="74" fillId="0" borderId="0" xfId="0" quotePrefix="1" applyFont="1" applyAlignment="1">
      <alignment vertical="center" wrapText="1"/>
    </xf>
    <xf numFmtId="0" fontId="87" fillId="0" borderId="0" xfId="0" applyFont="1" applyAlignment="1">
      <alignment horizontal="left" vertical="center"/>
    </xf>
    <xf numFmtId="0" fontId="87" fillId="0" borderId="16" xfId="0" applyFont="1" applyBorder="1" applyAlignment="1">
      <alignment horizontal="left" vertical="center"/>
    </xf>
    <xf numFmtId="0" fontId="73" fillId="0" borderId="19" xfId="0" applyFont="1" applyBorder="1" applyAlignment="1">
      <alignment vertical="center"/>
    </xf>
    <xf numFmtId="0" fontId="73" fillId="0" borderId="61" xfId="0" applyFont="1" applyBorder="1" applyAlignment="1">
      <alignment horizontal="center" vertical="center"/>
    </xf>
    <xf numFmtId="0" fontId="73" fillId="0" borderId="61" xfId="0" applyFont="1" applyBorder="1" applyAlignment="1">
      <alignment horizontal="left" vertical="center"/>
    </xf>
    <xf numFmtId="0" fontId="73" fillId="0" borderId="61" xfId="0" applyFont="1" applyBorder="1" applyAlignment="1">
      <alignment vertical="center"/>
    </xf>
    <xf numFmtId="16" fontId="87" fillId="0" borderId="61" xfId="0" applyNumberFormat="1" applyFont="1" applyBorder="1" applyAlignment="1">
      <alignment horizontal="left" vertical="center"/>
    </xf>
    <xf numFmtId="16" fontId="87" fillId="0" borderId="20" xfId="0" applyNumberFormat="1" applyFont="1" applyBorder="1" applyAlignment="1">
      <alignment horizontal="left" vertical="center"/>
    </xf>
    <xf numFmtId="0" fontId="69" fillId="0" borderId="65" xfId="0" applyFont="1" applyBorder="1"/>
    <xf numFmtId="0" fontId="90" fillId="0" borderId="0" xfId="0" applyFont="1" applyAlignment="1">
      <alignment horizontal="center" vertical="center" wrapText="1"/>
    </xf>
    <xf numFmtId="0" fontId="83" fillId="0" borderId="80" xfId="0" applyFont="1" applyBorder="1" applyAlignment="1">
      <alignment horizontal="left" vertical="center"/>
    </xf>
    <xf numFmtId="0" fontId="83" fillId="0" borderId="22" xfId="0" applyFont="1" applyBorder="1" applyAlignment="1">
      <alignment horizontal="left" vertical="center"/>
    </xf>
    <xf numFmtId="167" fontId="66" fillId="0" borderId="1" xfId="1" applyNumberFormat="1" applyFont="1" applyFill="1" applyBorder="1" applyAlignment="1">
      <alignment vertical="center"/>
    </xf>
    <xf numFmtId="0" fontId="78" fillId="0" borderId="1" xfId="0" applyFont="1" applyBorder="1" applyAlignment="1">
      <alignment horizontal="center" vertical="center"/>
    </xf>
    <xf numFmtId="167" fontId="66" fillId="0" borderId="12" xfId="0" applyNumberFormat="1" applyFont="1" applyBorder="1" applyAlignment="1">
      <alignment horizontal="left" vertical="center"/>
    </xf>
    <xf numFmtId="0" fontId="78" fillId="0" borderId="6" xfId="0" applyFont="1" applyBorder="1" applyAlignment="1">
      <alignment horizontal="center" vertical="center"/>
    </xf>
    <xf numFmtId="169" fontId="78" fillId="0" borderId="10" xfId="0" applyNumberFormat="1" applyFont="1" applyBorder="1" applyAlignment="1">
      <alignment horizontal="center" vertical="center"/>
    </xf>
    <xf numFmtId="169" fontId="78" fillId="0" borderId="11" xfId="0" applyNumberFormat="1" applyFont="1" applyBorder="1" applyAlignment="1">
      <alignment horizontal="center" vertical="center"/>
    </xf>
    <xf numFmtId="0" fontId="83" fillId="0" borderId="0" xfId="0" applyFont="1" applyAlignment="1">
      <alignment horizontal="left" vertical="center"/>
    </xf>
    <xf numFmtId="0" fontId="83" fillId="0" borderId="16" xfId="0" applyFont="1" applyBorder="1" applyAlignment="1">
      <alignment horizontal="left" vertical="center"/>
    </xf>
    <xf numFmtId="0" fontId="77" fillId="14" borderId="13" xfId="0" quotePrefix="1" applyFont="1" applyFill="1" applyBorder="1" applyAlignment="1">
      <alignment horizontal="center" vertical="center" wrapText="1"/>
    </xf>
    <xf numFmtId="0" fontId="77" fillId="14" borderId="0" xfId="0" applyFont="1" applyFill="1" applyAlignment="1">
      <alignment horizontal="center" vertical="center" wrapText="1"/>
    </xf>
    <xf numFmtId="0" fontId="77" fillId="14" borderId="16" xfId="0" applyFont="1" applyFill="1" applyBorder="1" applyAlignment="1">
      <alignment horizontal="center" vertical="center" wrapText="1"/>
    </xf>
    <xf numFmtId="0" fontId="83" fillId="0" borderId="10" xfId="0" applyFont="1" applyBorder="1" applyAlignment="1">
      <alignment vertical="center"/>
    </xf>
    <xf numFmtId="0" fontId="83" fillId="0" borderId="6" xfId="0" applyFont="1" applyBorder="1" applyAlignment="1">
      <alignment horizontal="center" vertical="center" wrapText="1"/>
    </xf>
    <xf numFmtId="0" fontId="83" fillId="14" borderId="6" xfId="0" applyFont="1" applyFill="1" applyBorder="1" applyAlignment="1">
      <alignment horizontal="center" vertical="center" wrapText="1"/>
    </xf>
    <xf numFmtId="177" fontId="86" fillId="0" borderId="17" xfId="0" applyNumberFormat="1" applyFont="1" applyBorder="1" applyAlignment="1">
      <alignment vertical="center" wrapText="1"/>
    </xf>
    <xf numFmtId="0" fontId="92" fillId="0" borderId="1" xfId="0" applyFont="1" applyBorder="1" applyAlignment="1">
      <alignment horizontal="center" vertical="center" wrapText="1"/>
    </xf>
    <xf numFmtId="0" fontId="92" fillId="0" borderId="3" xfId="0" applyFont="1" applyBorder="1" applyAlignment="1">
      <alignment vertical="center"/>
    </xf>
    <xf numFmtId="0" fontId="92" fillId="0" borderId="2" xfId="0" applyFont="1" applyBorder="1" applyAlignment="1">
      <alignment vertical="center"/>
    </xf>
    <xf numFmtId="0" fontId="92" fillId="0" borderId="4" xfId="0" applyFont="1" applyBorder="1" applyAlignment="1">
      <alignment vertical="center"/>
    </xf>
    <xf numFmtId="0" fontId="93" fillId="14" borderId="3" xfId="0" quotePrefix="1" applyFont="1" applyFill="1" applyBorder="1" applyAlignment="1">
      <alignment horizontal="center" vertical="center" wrapText="1"/>
    </xf>
    <xf numFmtId="0" fontId="93" fillId="14" borderId="2" xfId="0" applyFont="1" applyFill="1" applyBorder="1" applyAlignment="1">
      <alignment horizontal="center" vertical="center" wrapText="1"/>
    </xf>
    <xf numFmtId="0" fontId="93" fillId="14" borderId="4" xfId="0" applyFont="1" applyFill="1" applyBorder="1" applyAlignment="1">
      <alignment horizontal="center" vertical="center" wrapText="1"/>
    </xf>
    <xf numFmtId="0" fontId="92" fillId="14" borderId="1" xfId="0" applyFont="1" applyFill="1" applyBorder="1" applyAlignment="1">
      <alignment horizontal="center" vertical="center" wrapText="1"/>
    </xf>
    <xf numFmtId="0" fontId="92" fillId="0" borderId="5" xfId="0" applyFont="1" applyBorder="1" applyAlignment="1">
      <alignment horizontal="center" vertical="center" wrapText="1"/>
    </xf>
    <xf numFmtId="0" fontId="92" fillId="0" borderId="8" xfId="0" applyFont="1" applyBorder="1" applyAlignment="1">
      <alignment horizontal="left" vertical="center"/>
    </xf>
    <xf numFmtId="0" fontId="92" fillId="0" borderId="9" xfId="0" applyFont="1" applyBorder="1" applyAlignment="1">
      <alignment horizontal="left" vertical="center"/>
    </xf>
    <xf numFmtId="0" fontId="93" fillId="14" borderId="7" xfId="0" quotePrefix="1" applyFont="1" applyFill="1" applyBorder="1" applyAlignment="1">
      <alignment horizontal="center" vertical="center" wrapText="1"/>
    </xf>
    <xf numFmtId="0" fontId="93" fillId="14" borderId="8" xfId="0" applyFont="1" applyFill="1" applyBorder="1" applyAlignment="1">
      <alignment horizontal="center" vertical="center" wrapText="1"/>
    </xf>
    <xf numFmtId="0" fontId="93" fillId="14" borderId="9" xfId="0" applyFont="1" applyFill="1" applyBorder="1" applyAlignment="1">
      <alignment horizontal="center" vertical="center" wrapText="1"/>
    </xf>
    <xf numFmtId="0" fontId="92" fillId="0" borderId="2" xfId="0" applyFont="1" applyBorder="1" applyAlignment="1">
      <alignment horizontal="left" vertical="center"/>
    </xf>
    <xf numFmtId="0" fontId="92" fillId="0" borderId="4" xfId="0" applyFont="1" applyBorder="1" applyAlignment="1">
      <alignment horizontal="left" vertical="center"/>
    </xf>
    <xf numFmtId="177" fontId="91" fillId="0" borderId="1" xfId="0" applyNumberFormat="1" applyFont="1" applyBorder="1" applyAlignment="1">
      <alignment vertical="center" wrapText="1"/>
    </xf>
    <xf numFmtId="0" fontId="92" fillId="0" borderId="1" xfId="0" applyFont="1" applyBorder="1" applyAlignment="1">
      <alignment horizontal="center" vertical="center"/>
    </xf>
    <xf numFmtId="169" fontId="92" fillId="0" borderId="3" xfId="0" applyNumberFormat="1" applyFont="1" applyBorder="1" applyAlignment="1">
      <alignment horizontal="center" vertical="center"/>
    </xf>
    <xf numFmtId="169" fontId="92" fillId="0" borderId="8" xfId="0" applyNumberFormat="1" applyFont="1" applyBorder="1" applyAlignment="1">
      <alignment horizontal="center" vertical="center"/>
    </xf>
    <xf numFmtId="169" fontId="92" fillId="0" borderId="2" xfId="0" applyNumberFormat="1" applyFont="1" applyBorder="1" applyAlignment="1">
      <alignment horizontal="center" vertical="center"/>
    </xf>
    <xf numFmtId="0" fontId="92" fillId="0" borderId="17" xfId="0" applyFont="1" applyBorder="1" applyAlignment="1">
      <alignment horizontal="center" vertical="center"/>
    </xf>
    <xf numFmtId="169" fontId="92" fillId="0" borderId="21" xfId="0" applyNumberFormat="1" applyFont="1" applyBorder="1" applyAlignment="1">
      <alignment horizontal="center" vertical="center"/>
    </xf>
    <xf numFmtId="169" fontId="92" fillId="0" borderId="80" xfId="0" applyNumberFormat="1" applyFont="1" applyBorder="1" applyAlignment="1">
      <alignment horizontal="center" vertical="center"/>
    </xf>
    <xf numFmtId="0" fontId="82" fillId="14" borderId="6" xfId="0" applyFont="1" applyFill="1" applyBorder="1" applyAlignment="1">
      <alignment horizontal="center"/>
    </xf>
    <xf numFmtId="0" fontId="82" fillId="14" borderId="6" xfId="0" applyFont="1" applyFill="1" applyBorder="1" applyAlignment="1">
      <alignment horizontal="center" vertical="center"/>
    </xf>
    <xf numFmtId="0" fontId="82" fillId="14" borderId="1" xfId="0" applyFont="1" applyFill="1" applyBorder="1" applyAlignment="1">
      <alignment horizontal="center"/>
    </xf>
    <xf numFmtId="0" fontId="4" fillId="0" borderId="2" xfId="0" applyFont="1" applyBorder="1" applyAlignment="1">
      <alignment horizontal="center" vertical="center"/>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1"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6" fillId="10" borderId="21" xfId="0" applyFont="1" applyFill="1" applyBorder="1" applyAlignment="1">
      <alignment horizontal="center" vertical="center"/>
    </xf>
    <xf numFmtId="0" fontId="6" fillId="10" borderId="22" xfId="0" applyFont="1" applyFill="1" applyBorder="1" applyAlignment="1">
      <alignment horizontal="center" vertical="center"/>
    </xf>
    <xf numFmtId="0" fontId="6" fillId="10" borderId="3" xfId="0" applyFont="1" applyFill="1" applyBorder="1" applyAlignment="1">
      <alignment horizontal="center" vertical="center"/>
    </xf>
    <xf numFmtId="0" fontId="6" fillId="10" borderId="2" xfId="0" applyFont="1" applyFill="1" applyBorder="1" applyAlignment="1">
      <alignment horizontal="center" vertical="center"/>
    </xf>
    <xf numFmtId="0" fontId="6" fillId="10" borderId="4" xfId="0" applyFont="1" applyFill="1" applyBorder="1" applyAlignment="1">
      <alignment horizontal="center" vertical="center"/>
    </xf>
    <xf numFmtId="0" fontId="6" fillId="10" borderId="7" xfId="0" applyFont="1" applyFill="1" applyBorder="1" applyAlignment="1">
      <alignment horizontal="center" vertical="center"/>
    </xf>
    <xf numFmtId="0" fontId="6" fillId="10" borderId="9" xfId="0" applyFont="1" applyFill="1" applyBorder="1" applyAlignment="1">
      <alignment horizontal="center" vertical="center"/>
    </xf>
    <xf numFmtId="0" fontId="6" fillId="10" borderId="19"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5" xfId="0" applyFont="1" applyFill="1" applyBorder="1" applyAlignment="1">
      <alignment horizontal="center" vertical="center"/>
    </xf>
    <xf numFmtId="0" fontId="6" fillId="10"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0" fontId="39" fillId="0" borderId="9" xfId="0" applyFont="1" applyBorder="1" applyAlignment="1">
      <alignment horizontal="center" vertical="center"/>
    </xf>
    <xf numFmtId="0" fontId="39" fillId="0" borderId="13" xfId="0" applyFont="1" applyBorder="1" applyAlignment="1">
      <alignment horizontal="center" vertical="center"/>
    </xf>
    <xf numFmtId="0" fontId="39" fillId="0" borderId="0" xfId="0" applyFont="1" applyAlignment="1">
      <alignment horizontal="center" vertical="center"/>
    </xf>
    <xf numFmtId="0" fontId="39" fillId="0" borderId="16" xfId="0" applyFont="1" applyBorder="1" applyAlignment="1">
      <alignment horizontal="center" vertical="center"/>
    </xf>
    <xf numFmtId="0" fontId="39" fillId="0" borderId="10" xfId="0" applyFont="1" applyBorder="1" applyAlignment="1">
      <alignment horizontal="center" vertical="center"/>
    </xf>
    <xf numFmtId="0" fontId="39" fillId="0" borderId="11" xfId="0" applyFont="1" applyBorder="1" applyAlignment="1">
      <alignment horizontal="center" vertical="center"/>
    </xf>
    <xf numFmtId="0" fontId="39" fillId="0" borderId="12" xfId="0" applyFont="1" applyBorder="1" applyAlignment="1">
      <alignment horizontal="center" vertical="center"/>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0" borderId="25" xfId="0" applyFont="1" applyFill="1" applyBorder="1" applyAlignment="1">
      <alignment horizontal="center" vertical="center"/>
    </xf>
    <xf numFmtId="0" fontId="6" fillId="10" borderId="26" xfId="0" applyFont="1" applyFill="1" applyBorder="1" applyAlignment="1">
      <alignment horizontal="center" vertical="center"/>
    </xf>
    <xf numFmtId="0" fontId="6" fillId="10" borderId="7"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4" fillId="0" borderId="81" xfId="0" applyFont="1" applyBorder="1" applyAlignment="1">
      <alignment horizontal="center" vertical="center"/>
    </xf>
    <xf numFmtId="0" fontId="6" fillId="10" borderId="8" xfId="0" applyFont="1" applyFill="1" applyBorder="1" applyAlignment="1">
      <alignment horizontal="center" vertical="center"/>
    </xf>
    <xf numFmtId="0" fontId="6" fillId="10" borderId="61" xfId="0" applyFont="1" applyFill="1" applyBorder="1" applyAlignment="1">
      <alignment horizontal="center" vertical="center"/>
    </xf>
    <xf numFmtId="0" fontId="6" fillId="0" borderId="0" xfId="0" applyFont="1" applyAlignment="1">
      <alignment horizontal="center" vertical="top"/>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20" fontId="51" fillId="0" borderId="10" xfId="0" applyNumberFormat="1" applyFont="1" applyBorder="1" applyAlignment="1">
      <alignment horizontal="center" vertical="center"/>
    </xf>
    <xf numFmtId="0" fontId="51" fillId="0" borderId="12" xfId="0" applyFont="1" applyBorder="1" applyAlignment="1">
      <alignment horizontal="center" vertical="center"/>
    </xf>
    <xf numFmtId="0" fontId="51" fillId="0" borderId="6" xfId="0" applyFont="1" applyBorder="1" applyAlignment="1">
      <alignment horizontal="center" vertical="center"/>
    </xf>
    <xf numFmtId="0" fontId="6" fillId="10" borderId="21" xfId="0" applyFont="1" applyFill="1" applyBorder="1" applyAlignment="1">
      <alignment horizontal="center" vertical="center" wrapText="1"/>
    </xf>
    <xf numFmtId="0" fontId="6" fillId="10" borderId="22"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17" xfId="0" applyFont="1" applyFill="1" applyBorder="1" applyAlignment="1">
      <alignment horizontal="center" vertical="center" wrapText="1"/>
    </xf>
    <xf numFmtId="178" fontId="4" fillId="0" borderId="74" xfId="0" applyNumberFormat="1" applyFont="1" applyBorder="1" applyAlignment="1">
      <alignment horizontal="center" vertical="center"/>
    </xf>
    <xf numFmtId="178" fontId="4" fillId="0" borderId="75" xfId="0" applyNumberFormat="1" applyFont="1" applyBorder="1" applyAlignment="1">
      <alignment horizontal="center" vertical="center"/>
    </xf>
    <xf numFmtId="0" fontId="6" fillId="10" borderId="17" xfId="0" applyFont="1" applyFill="1" applyBorder="1" applyAlignment="1">
      <alignment horizontal="center" vertical="center"/>
    </xf>
    <xf numFmtId="0" fontId="6" fillId="10" borderId="23" xfId="0" applyFont="1" applyFill="1" applyBorder="1" applyAlignment="1">
      <alignment horizontal="center" vertical="center"/>
    </xf>
    <xf numFmtId="0" fontId="6" fillId="10" borderId="2" xfId="0" applyFont="1" applyFill="1" applyBorder="1" applyAlignment="1">
      <alignment horizontal="center" vertical="center"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10" fillId="2" borderId="1" xfId="0" applyFont="1" applyFill="1" applyBorder="1" applyAlignment="1">
      <alignment horizontal="left" vertical="top" wrapText="1"/>
    </xf>
    <xf numFmtId="0" fontId="10" fillId="2" borderId="1" xfId="0" applyFont="1" applyFill="1" applyBorder="1" applyAlignment="1">
      <alignment horizontal="left" vertical="top"/>
    </xf>
    <xf numFmtId="0" fontId="42" fillId="2" borderId="3" xfId="0" applyFont="1" applyFill="1" applyBorder="1" applyAlignment="1">
      <alignment horizontal="center" vertical="top"/>
    </xf>
    <xf numFmtId="0" fontId="42" fillId="2" borderId="2" xfId="0" applyFont="1" applyFill="1" applyBorder="1" applyAlignment="1">
      <alignment horizontal="center" vertical="top"/>
    </xf>
    <xf numFmtId="0" fontId="42" fillId="2" borderId="4" xfId="0" applyFont="1" applyFill="1" applyBorder="1" applyAlignment="1">
      <alignment horizontal="center" vertical="top"/>
    </xf>
    <xf numFmtId="0" fontId="10" fillId="3" borderId="1" xfId="0" applyFont="1" applyFill="1" applyBorder="1" applyAlignment="1">
      <alignment horizontal="center" vertical="center"/>
    </xf>
    <xf numFmtId="0" fontId="42" fillId="2" borderId="3" xfId="0" applyFont="1" applyFill="1" applyBorder="1" applyAlignment="1">
      <alignment horizontal="center" vertical="top" wrapText="1"/>
    </xf>
    <xf numFmtId="0" fontId="42" fillId="2" borderId="2" xfId="0" applyFont="1" applyFill="1" applyBorder="1" applyAlignment="1">
      <alignment horizontal="center" vertical="top" wrapText="1"/>
    </xf>
    <xf numFmtId="0" fontId="42"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51" fillId="0" borderId="10" xfId="0" applyFont="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6" fillId="10" borderId="5" xfId="0" applyFont="1" applyFill="1" applyBorder="1" applyAlignment="1">
      <alignment horizontal="center" vertical="center" wrapText="1"/>
    </xf>
    <xf numFmtId="0" fontId="6" fillId="10" borderId="18" xfId="0" applyFont="1" applyFill="1" applyBorder="1" applyAlignment="1">
      <alignment horizontal="center" vertical="center" wrapText="1"/>
    </xf>
    <xf numFmtId="20" fontId="51" fillId="0" borderId="12" xfId="0" applyNumberFormat="1" applyFont="1" applyBorder="1" applyAlignment="1">
      <alignment horizontal="center" vertical="center"/>
    </xf>
    <xf numFmtId="0" fontId="42" fillId="2" borderId="1" xfId="0" applyFont="1" applyFill="1" applyBorder="1" applyAlignment="1">
      <alignment horizontal="center" vertical="top"/>
    </xf>
    <xf numFmtId="0" fontId="42" fillId="2" borderId="1" xfId="0" applyFont="1" applyFill="1" applyBorder="1" applyAlignment="1">
      <alignment horizontal="center" vertical="top" wrapText="1"/>
    </xf>
    <xf numFmtId="0" fontId="6" fillId="10" borderId="19" xfId="0" applyFont="1" applyFill="1" applyBorder="1" applyAlignment="1">
      <alignment horizontal="center" vertical="center" wrapText="1"/>
    </xf>
    <xf numFmtId="0" fontId="6" fillId="10" borderId="20" xfId="0" applyFont="1" applyFill="1" applyBorder="1" applyAlignment="1">
      <alignment horizontal="center" vertical="center" wrapText="1"/>
    </xf>
    <xf numFmtId="178" fontId="4" fillId="0" borderId="25" xfId="0" applyNumberFormat="1" applyFont="1" applyBorder="1" applyAlignment="1">
      <alignment horizontal="center" vertical="center"/>
    </xf>
    <xf numFmtId="178" fontId="4" fillId="0" borderId="26" xfId="0" applyNumberFormat="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5" fillId="0" borderId="7" xfId="0" applyFont="1" applyBorder="1" applyAlignment="1">
      <alignment horizontal="left" vertical="top" wrapText="1"/>
    </xf>
    <xf numFmtId="0" fontId="45" fillId="0" borderId="9" xfId="0" applyFont="1" applyBorder="1" applyAlignment="1">
      <alignment horizontal="left" vertical="top"/>
    </xf>
    <xf numFmtId="0" fontId="45" fillId="0" borderId="13" xfId="0" applyFont="1" applyBorder="1" applyAlignment="1">
      <alignment horizontal="left" vertical="top"/>
    </xf>
    <xf numFmtId="0" fontId="45" fillId="0" borderId="16" xfId="0" applyFont="1" applyBorder="1" applyAlignment="1">
      <alignment horizontal="left" vertical="top"/>
    </xf>
    <xf numFmtId="0" fontId="45" fillId="0" borderId="10" xfId="0" applyFont="1" applyBorder="1" applyAlignment="1">
      <alignment horizontal="left" vertical="top"/>
    </xf>
    <xf numFmtId="0" fontId="45" fillId="0" borderId="12" xfId="0" applyFont="1" applyBorder="1" applyAlignment="1">
      <alignment horizontal="left" vertical="top"/>
    </xf>
    <xf numFmtId="0" fontId="45" fillId="0" borderId="3" xfId="0" applyFont="1" applyBorder="1" applyAlignment="1">
      <alignment horizontal="center" vertical="center"/>
    </xf>
    <xf numFmtId="0" fontId="45" fillId="0" borderId="4" xfId="0" applyFont="1" applyBorder="1" applyAlignment="1">
      <alignment horizontal="center" vertical="center"/>
    </xf>
    <xf numFmtId="166" fontId="51" fillId="0" borderId="1" xfId="0" applyNumberFormat="1" applyFont="1" applyBorder="1" applyAlignment="1">
      <alignment horizontal="center" vertical="center"/>
    </xf>
    <xf numFmtId="0" fontId="51" fillId="0" borderId="1" xfId="0" applyFont="1" applyBorder="1" applyAlignment="1">
      <alignment horizontal="center" vertical="center"/>
    </xf>
    <xf numFmtId="0" fontId="4" fillId="0" borderId="3" xfId="0" applyFont="1" applyBorder="1" applyAlignment="1">
      <alignment horizontal="center" vertical="center"/>
    </xf>
    <xf numFmtId="0" fontId="45"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43" fillId="2" borderId="3" xfId="0" applyFont="1" applyFill="1" applyBorder="1" applyAlignment="1">
      <alignment vertical="center"/>
    </xf>
    <xf numFmtId="0" fontId="43" fillId="2" borderId="2" xfId="0" applyFont="1" applyFill="1" applyBorder="1" applyAlignment="1">
      <alignment vertical="center"/>
    </xf>
    <xf numFmtId="0" fontId="43" fillId="2" borderId="4" xfId="0" applyFont="1" applyFill="1" applyBorder="1" applyAlignment="1">
      <alignment vertical="center"/>
    </xf>
    <xf numFmtId="0" fontId="5" fillId="0" borderId="72" xfId="0" applyFont="1" applyBorder="1" applyAlignment="1">
      <alignment horizontal="left" vertical="center"/>
    </xf>
    <xf numFmtId="0" fontId="5" fillId="0" borderId="71"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6" fillId="0" borderId="7" xfId="0" applyFont="1" applyBorder="1" applyAlignment="1">
      <alignment horizontal="left" vertical="top" wrapText="1"/>
    </xf>
    <xf numFmtId="0" fontId="46" fillId="0" borderId="8" xfId="0" applyFont="1" applyBorder="1" applyAlignment="1">
      <alignment horizontal="left" vertical="top"/>
    </xf>
    <xf numFmtId="0" fontId="46" fillId="0" borderId="9" xfId="0" applyFont="1" applyBorder="1" applyAlignment="1">
      <alignment horizontal="left" vertical="top"/>
    </xf>
    <xf numFmtId="0" fontId="46" fillId="0" borderId="13" xfId="0" applyFont="1" applyBorder="1" applyAlignment="1">
      <alignment horizontal="left" vertical="top"/>
    </xf>
    <xf numFmtId="0" fontId="46" fillId="0" borderId="0" xfId="0" applyFont="1" applyAlignment="1">
      <alignment horizontal="left" vertical="top"/>
    </xf>
    <xf numFmtId="0" fontId="46" fillId="0" borderId="16" xfId="0" applyFont="1" applyBorder="1" applyAlignment="1">
      <alignment horizontal="left" vertical="top"/>
    </xf>
    <xf numFmtId="0" fontId="46" fillId="0" borderId="10" xfId="0" applyFont="1" applyBorder="1" applyAlignment="1">
      <alignment horizontal="left" vertical="top"/>
    </xf>
    <xf numFmtId="0" fontId="46" fillId="0" borderId="11" xfId="0" applyFont="1" applyBorder="1" applyAlignment="1">
      <alignment horizontal="left" vertical="top"/>
    </xf>
    <xf numFmtId="0" fontId="46" fillId="0" borderId="12" xfId="0" applyFont="1" applyBorder="1" applyAlignment="1">
      <alignment horizontal="left" vertical="top"/>
    </xf>
    <xf numFmtId="16" fontId="3" fillId="0" borderId="3" xfId="0" applyNumberFormat="1" applyFont="1" applyBorder="1" applyAlignment="1">
      <alignment horizontal="center" vertical="center"/>
    </xf>
    <xf numFmtId="0" fontId="55" fillId="0" borderId="13" xfId="0" applyFont="1" applyBorder="1" applyAlignment="1">
      <alignment horizontal="center" vertical="center"/>
    </xf>
    <xf numFmtId="0" fontId="55" fillId="0" borderId="0" xfId="0" applyFont="1" applyAlignment="1">
      <alignment horizontal="center" vertical="center"/>
    </xf>
    <xf numFmtId="0" fontId="55"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43"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40" fillId="0" borderId="7" xfId="0" applyFont="1" applyBorder="1"/>
    <xf numFmtId="0" fontId="40" fillId="0" borderId="8" xfId="0" applyFont="1" applyBorder="1"/>
    <xf numFmtId="0" fontId="40" fillId="0" borderId="9" xfId="0" applyFont="1" applyBorder="1"/>
    <xf numFmtId="0" fontId="10" fillId="3" borderId="1" xfId="0" applyFont="1" applyFill="1" applyBorder="1" applyAlignment="1">
      <alignment horizontal="center" vertical="top"/>
    </xf>
    <xf numFmtId="0" fontId="43" fillId="2" borderId="1" xfId="0" applyFont="1" applyFill="1" applyBorder="1" applyAlignment="1">
      <alignment horizontal="left" vertical="center"/>
    </xf>
    <xf numFmtId="0" fontId="4" fillId="0" borderId="1" xfId="0" applyFont="1" applyBorder="1" applyAlignment="1">
      <alignment vertical="center"/>
    </xf>
    <xf numFmtId="0" fontId="43" fillId="2" borderId="1" xfId="0" applyFont="1" applyFill="1" applyBorder="1" applyAlignment="1">
      <alignment horizontal="left" vertical="top"/>
    </xf>
    <xf numFmtId="0" fontId="10" fillId="2" borderId="1" xfId="0" applyFont="1" applyFill="1" applyBorder="1" applyAlignment="1">
      <alignment horizontal="center" vertical="top"/>
    </xf>
    <xf numFmtId="0" fontId="43" fillId="10" borderId="1" xfId="0" applyFont="1" applyFill="1" applyBorder="1" applyAlignment="1">
      <alignment horizontal="center" vertical="center"/>
    </xf>
    <xf numFmtId="0" fontId="62" fillId="0" borderId="6" xfId="0" applyFont="1" applyBorder="1" applyAlignment="1">
      <alignment horizontal="center" vertical="center"/>
    </xf>
    <xf numFmtId="0" fontId="56" fillId="0" borderId="1" xfId="0" applyFont="1" applyBorder="1" applyAlignment="1">
      <alignment horizontal="center" vertical="center"/>
    </xf>
    <xf numFmtId="0" fontId="4" fillId="0" borderId="1" xfId="0" applyFont="1" applyBorder="1" applyAlignment="1">
      <alignment horizontal="center" vertical="center"/>
    </xf>
    <xf numFmtId="0" fontId="51" fillId="0" borderId="6" xfId="0" applyFont="1" applyBorder="1" applyAlignment="1">
      <alignment vertical="center"/>
    </xf>
    <xf numFmtId="0" fontId="51" fillId="0" borderId="6" xfId="0" applyFont="1" applyBorder="1" applyAlignment="1">
      <alignment horizontal="left" vertical="center"/>
    </xf>
    <xf numFmtId="0" fontId="48" fillId="3" borderId="1" xfId="0" applyFont="1" applyFill="1" applyBorder="1" applyAlignment="1">
      <alignment horizontal="center" vertical="center"/>
    </xf>
    <xf numFmtId="0" fontId="48" fillId="3" borderId="72" xfId="0" applyFont="1" applyFill="1" applyBorder="1" applyAlignment="1">
      <alignment horizontal="center" vertical="center"/>
    </xf>
    <xf numFmtId="0" fontId="48" fillId="3" borderId="71" xfId="0" applyFont="1" applyFill="1" applyBorder="1" applyAlignment="1">
      <alignment horizontal="center" vertical="center"/>
    </xf>
    <xf numFmtId="0" fontId="48" fillId="3" borderId="73" xfId="0" applyFont="1" applyFill="1" applyBorder="1" applyAlignment="1">
      <alignment horizontal="center" vertical="center"/>
    </xf>
    <xf numFmtId="166" fontId="51" fillId="4" borderId="1" xfId="0" applyNumberFormat="1" applyFont="1" applyFill="1" applyBorder="1" applyAlignment="1">
      <alignment horizontal="center" vertical="center"/>
    </xf>
    <xf numFmtId="167" fontId="65" fillId="0" borderId="6" xfId="0" applyNumberFormat="1" applyFont="1" applyBorder="1" applyAlignment="1">
      <alignment horizontal="center" vertical="center"/>
    </xf>
    <xf numFmtId="0" fontId="65" fillId="0" borderId="6" xfId="0" applyFont="1" applyBorder="1" applyAlignment="1">
      <alignment horizontal="center" vertical="center"/>
    </xf>
    <xf numFmtId="0" fontId="65" fillId="0" borderId="1" xfId="0" applyFont="1" applyBorder="1" applyAlignment="1">
      <alignment horizontal="left" vertical="center"/>
    </xf>
    <xf numFmtId="1" fontId="65" fillId="0" borderId="1" xfId="0" applyNumberFormat="1" applyFont="1" applyBorder="1" applyAlignment="1">
      <alignment horizontal="left" vertical="center"/>
    </xf>
    <xf numFmtId="0" fontId="5" fillId="13" borderId="3" xfId="0" applyFont="1" applyFill="1" applyBorder="1" applyAlignment="1">
      <alignment horizontal="center" vertical="center"/>
    </xf>
    <xf numFmtId="0" fontId="5" fillId="13" borderId="2" xfId="0" applyFont="1" applyFill="1" applyBorder="1" applyAlignment="1">
      <alignment horizontal="center" vertical="center"/>
    </xf>
    <xf numFmtId="0" fontId="5" fillId="13" borderId="4" xfId="0" applyFont="1" applyFill="1" applyBorder="1" applyAlignment="1">
      <alignment horizontal="center" vertical="center"/>
    </xf>
    <xf numFmtId="0" fontId="5" fillId="13" borderId="3"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49" fillId="0" borderId="3" xfId="0" applyFont="1" applyBorder="1" applyAlignment="1">
      <alignment vertical="center"/>
    </xf>
    <xf numFmtId="0" fontId="49" fillId="0" borderId="2" xfId="0" applyFont="1" applyBorder="1" applyAlignment="1">
      <alignment vertical="center"/>
    </xf>
    <xf numFmtId="0" fontId="49" fillId="0" borderId="4" xfId="0" applyFont="1" applyBorder="1" applyAlignment="1">
      <alignment vertical="center"/>
    </xf>
    <xf numFmtId="0" fontId="5" fillId="0" borderId="74" xfId="0" applyFont="1" applyBorder="1" applyAlignment="1">
      <alignment horizontal="left" vertical="center"/>
    </xf>
    <xf numFmtId="0" fontId="5" fillId="0" borderId="81" xfId="0" applyFont="1" applyBorder="1" applyAlignment="1">
      <alignment horizontal="left" vertical="center"/>
    </xf>
    <xf numFmtId="0" fontId="5" fillId="0" borderId="75" xfId="0" applyFont="1" applyBorder="1" applyAlignment="1">
      <alignment horizontal="left" vertical="center"/>
    </xf>
    <xf numFmtId="0" fontId="49" fillId="0" borderId="21" xfId="0" applyFont="1" applyBorder="1" applyAlignment="1">
      <alignment vertical="center"/>
    </xf>
    <xf numFmtId="0" fontId="49" fillId="0" borderId="80" xfId="0" applyFont="1" applyBorder="1" applyAlignment="1">
      <alignment vertical="center"/>
    </xf>
    <xf numFmtId="0" fontId="49" fillId="0" borderId="22" xfId="0" applyFont="1" applyBorder="1" applyAlignment="1">
      <alignment vertical="center"/>
    </xf>
    <xf numFmtId="168" fontId="49" fillId="0" borderId="3" xfId="0" applyNumberFormat="1" applyFont="1" applyBorder="1" applyAlignment="1">
      <alignment horizontal="left" vertical="center"/>
    </xf>
    <xf numFmtId="168" fontId="49" fillId="0" borderId="2" xfId="0" applyNumberFormat="1" applyFont="1" applyBorder="1" applyAlignment="1">
      <alignment horizontal="left" vertical="center"/>
    </xf>
    <xf numFmtId="168" fontId="49" fillId="0" borderId="4" xfId="0" applyNumberFormat="1" applyFont="1" applyBorder="1" applyAlignment="1">
      <alignment horizontal="left" vertical="center"/>
    </xf>
    <xf numFmtId="168" fontId="49" fillId="0" borderId="21" xfId="0" applyNumberFormat="1" applyFont="1" applyBorder="1" applyAlignment="1">
      <alignment horizontal="left" vertical="center"/>
    </xf>
    <xf numFmtId="168" fontId="49" fillId="0" borderId="80" xfId="0" applyNumberFormat="1" applyFont="1" applyBorder="1" applyAlignment="1">
      <alignment horizontal="left" vertical="center"/>
    </xf>
    <xf numFmtId="168" fontId="49" fillId="0" borderId="22" xfId="0" applyNumberFormat="1" applyFont="1" applyBorder="1" applyAlignment="1">
      <alignment horizontal="left" vertical="center"/>
    </xf>
    <xf numFmtId="0" fontId="5" fillId="0" borderId="6" xfId="0" applyFont="1" applyBorder="1" applyAlignment="1">
      <alignment horizontal="center" vertical="center"/>
    </xf>
    <xf numFmtId="0" fontId="5" fillId="13" borderId="1" xfId="0" applyFont="1" applyFill="1" applyBorder="1" applyAlignment="1">
      <alignment horizontal="center" vertical="center"/>
    </xf>
    <xf numFmtId="168" fontId="49" fillId="0" borderId="1" xfId="0" applyNumberFormat="1" applyFont="1" applyBorder="1" applyAlignment="1">
      <alignment horizontal="left" vertical="center"/>
    </xf>
    <xf numFmtId="0" fontId="5" fillId="13" borderId="7" xfId="0" applyFont="1" applyFill="1" applyBorder="1" applyAlignment="1">
      <alignment horizontal="center" vertical="top"/>
    </xf>
    <xf numFmtId="0" fontId="5" fillId="13" borderId="8" xfId="0" applyFont="1" applyFill="1" applyBorder="1" applyAlignment="1">
      <alignment horizontal="center" vertical="top"/>
    </xf>
    <xf numFmtId="0" fontId="5" fillId="13" borderId="9" xfId="0" applyFont="1" applyFill="1" applyBorder="1" applyAlignment="1">
      <alignment horizontal="center" vertical="top"/>
    </xf>
    <xf numFmtId="0" fontId="5" fillId="13" borderId="19" xfId="0" applyFont="1" applyFill="1" applyBorder="1" applyAlignment="1">
      <alignment horizontal="center" vertical="top"/>
    </xf>
    <xf numFmtId="0" fontId="5" fillId="13" borderId="61" xfId="0" applyFont="1" applyFill="1" applyBorder="1" applyAlignment="1">
      <alignment horizontal="center" vertical="top"/>
    </xf>
    <xf numFmtId="0" fontId="5" fillId="13" borderId="20" xfId="0" applyFont="1" applyFill="1" applyBorder="1" applyAlignment="1">
      <alignment horizontal="center" vertical="top"/>
    </xf>
    <xf numFmtId="0" fontId="51" fillId="0" borderId="85" xfId="0" applyFont="1" applyBorder="1" applyAlignment="1">
      <alignment horizontal="center" vertical="center" wrapText="1"/>
    </xf>
    <xf numFmtId="0" fontId="5" fillId="13" borderId="21" xfId="0" applyFont="1" applyFill="1" applyBorder="1" applyAlignment="1">
      <alignment horizontal="center" vertical="top"/>
    </xf>
    <xf numFmtId="0" fontId="5" fillId="13" borderId="22" xfId="0" applyFont="1" applyFill="1" applyBorder="1" applyAlignment="1">
      <alignment horizontal="center" vertical="top"/>
    </xf>
    <xf numFmtId="179" fontId="6" fillId="15" borderId="1" xfId="0" applyNumberFormat="1" applyFont="1" applyFill="1" applyBorder="1" applyAlignment="1">
      <alignment horizontal="center" vertical="center"/>
    </xf>
    <xf numFmtId="0" fontId="5" fillId="15" borderId="3" xfId="0" applyFont="1" applyFill="1" applyBorder="1" applyAlignment="1">
      <alignment horizontal="center" vertical="center"/>
    </xf>
    <xf numFmtId="0" fontId="5" fillId="15" borderId="2" xfId="0" applyFont="1" applyFill="1" applyBorder="1" applyAlignment="1">
      <alignment horizontal="center" vertical="center"/>
    </xf>
    <xf numFmtId="0" fontId="5" fillId="15" borderId="4" xfId="0" applyFont="1" applyFill="1" applyBorder="1" applyAlignment="1">
      <alignment horizontal="center" vertical="center"/>
    </xf>
    <xf numFmtId="167" fontId="66" fillId="0" borderId="4" xfId="0" applyNumberFormat="1" applyFont="1" applyBorder="1" applyAlignment="1">
      <alignment horizontal="left" vertical="center"/>
    </xf>
    <xf numFmtId="0" fontId="5" fillId="0" borderId="74" xfId="0" applyFont="1" applyBorder="1" applyAlignment="1">
      <alignment horizontal="center" vertical="center"/>
    </xf>
    <xf numFmtId="0" fontId="5" fillId="0" borderId="81" xfId="0" applyFont="1" applyBorder="1" applyAlignment="1">
      <alignment horizontal="center" vertical="center"/>
    </xf>
    <xf numFmtId="0" fontId="5" fillId="0" borderId="75" xfId="0" applyFont="1" applyBorder="1" applyAlignment="1">
      <alignment horizontal="center" vertical="center"/>
    </xf>
    <xf numFmtId="0" fontId="55" fillId="4" borderId="82" xfId="0" applyFont="1" applyFill="1" applyBorder="1" applyAlignment="1">
      <alignment horizontal="left" vertical="center" wrapText="1"/>
    </xf>
    <xf numFmtId="0" fontId="55" fillId="4" borderId="83" xfId="0" applyFont="1" applyFill="1" applyBorder="1" applyAlignment="1">
      <alignment horizontal="left" vertical="center" wrapText="1"/>
    </xf>
    <xf numFmtId="0" fontId="55" fillId="4" borderId="84" xfId="0" applyFont="1" applyFill="1" applyBorder="1" applyAlignment="1">
      <alignment horizontal="left" vertical="center" wrapText="1"/>
    </xf>
    <xf numFmtId="0" fontId="55" fillId="4" borderId="13" xfId="0" applyFont="1" applyFill="1" applyBorder="1" applyAlignment="1">
      <alignment horizontal="left" vertical="center" wrapText="1"/>
    </xf>
    <xf numFmtId="0" fontId="55" fillId="4" borderId="0" xfId="0" applyFont="1" applyFill="1" applyAlignment="1">
      <alignment horizontal="left" vertical="center" wrapText="1"/>
    </xf>
    <xf numFmtId="0" fontId="55" fillId="4" borderId="16" xfId="0" applyFont="1" applyFill="1" applyBorder="1" applyAlignment="1">
      <alignment horizontal="left" vertical="center" wrapText="1"/>
    </xf>
    <xf numFmtId="0" fontId="65" fillId="0" borderId="81" xfId="0" applyFont="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13" borderId="5" xfId="0" applyFont="1" applyFill="1" applyBorder="1" applyAlignment="1">
      <alignment horizontal="center" vertical="top"/>
    </xf>
    <xf numFmtId="0" fontId="5" fillId="13" borderId="18" xfId="0" applyFont="1" applyFill="1" applyBorder="1" applyAlignment="1">
      <alignment horizontal="center" vertical="top"/>
    </xf>
    <xf numFmtId="0" fontId="5" fillId="13" borderId="3" xfId="0" applyFont="1" applyFill="1" applyBorder="1" applyAlignment="1">
      <alignment horizontal="center" vertical="top"/>
    </xf>
    <xf numFmtId="0" fontId="5" fillId="13" borderId="2" xfId="0" applyFont="1" applyFill="1" applyBorder="1" applyAlignment="1">
      <alignment horizontal="center" vertical="top"/>
    </xf>
    <xf numFmtId="0" fontId="5" fillId="13" borderId="4" xfId="0" applyFont="1" applyFill="1" applyBorder="1" applyAlignment="1">
      <alignment horizontal="center" vertical="top"/>
    </xf>
    <xf numFmtId="0" fontId="2" fillId="0" borderId="1" xfId="0" applyFont="1" applyBorder="1" applyAlignment="1">
      <alignment horizontal="center" vertical="center"/>
    </xf>
    <xf numFmtId="0" fontId="54" fillId="0" borderId="13" xfId="0" applyFont="1" applyBorder="1" applyAlignment="1">
      <alignment horizontal="left" vertical="top" wrapText="1"/>
    </xf>
    <xf numFmtId="0" fontId="54" fillId="0" borderId="0" xfId="0" applyFont="1" applyAlignment="1">
      <alignment horizontal="left" vertical="top"/>
    </xf>
    <xf numFmtId="0" fontId="54" fillId="0" borderId="16" xfId="0" applyFont="1" applyBorder="1" applyAlignment="1">
      <alignment horizontal="left" vertical="top"/>
    </xf>
    <xf numFmtId="0" fontId="54" fillId="0" borderId="13" xfId="0" applyFont="1" applyBorder="1" applyAlignment="1">
      <alignment horizontal="left" vertical="top"/>
    </xf>
    <xf numFmtId="0" fontId="54" fillId="0" borderId="10" xfId="0" applyFont="1" applyBorder="1" applyAlignment="1">
      <alignment horizontal="left" vertical="top"/>
    </xf>
    <xf numFmtId="0" fontId="54" fillId="0" borderId="11" xfId="0" applyFont="1" applyBorder="1" applyAlignment="1">
      <alignment horizontal="left" vertical="top"/>
    </xf>
    <xf numFmtId="0" fontId="54"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53" fillId="0" borderId="7" xfId="0" applyFont="1" applyBorder="1" applyAlignment="1">
      <alignment horizontal="center" vertical="center"/>
    </xf>
    <xf numFmtId="0" fontId="53" fillId="0" borderId="8" xfId="0" applyFont="1" applyBorder="1" applyAlignment="1">
      <alignment horizontal="center" vertical="center"/>
    </xf>
    <xf numFmtId="0" fontId="53" fillId="0" borderId="9" xfId="0" applyFont="1" applyBorder="1" applyAlignment="1">
      <alignment horizontal="center" vertical="center"/>
    </xf>
    <xf numFmtId="0" fontId="53" fillId="0" borderId="13" xfId="0" applyFont="1" applyBorder="1" applyAlignment="1">
      <alignment horizontal="center" vertical="center"/>
    </xf>
    <xf numFmtId="0" fontId="53" fillId="0" borderId="0" xfId="0" applyFont="1" applyAlignment="1">
      <alignment horizontal="center" vertical="center"/>
    </xf>
    <xf numFmtId="0" fontId="53" fillId="0" borderId="16" xfId="0" applyFont="1" applyBorder="1" applyAlignment="1">
      <alignment horizontal="center" vertical="center"/>
    </xf>
    <xf numFmtId="0" fontId="55" fillId="4" borderId="82" xfId="0" applyFont="1" applyFill="1" applyBorder="1" applyAlignment="1">
      <alignment horizontal="left" vertical="center"/>
    </xf>
    <xf numFmtId="0" fontId="55" fillId="4" borderId="83"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79" fontId="65" fillId="0" borderId="74" xfId="0" applyNumberFormat="1" applyFont="1" applyBorder="1" applyAlignment="1">
      <alignment horizontal="center" vertical="center"/>
    </xf>
    <xf numFmtId="179" fontId="65" fillId="0" borderId="75" xfId="0" applyNumberFormat="1" applyFont="1" applyBorder="1" applyAlignment="1">
      <alignment horizontal="center" vertical="center"/>
    </xf>
    <xf numFmtId="167" fontId="66" fillId="0" borderId="5" xfId="1" applyNumberFormat="1" applyFont="1" applyFill="1" applyBorder="1" applyAlignment="1">
      <alignment horizontal="center" vertical="center"/>
    </xf>
    <xf numFmtId="167" fontId="66" fillId="0" borderId="24" xfId="1" applyNumberFormat="1" applyFont="1" applyFill="1" applyBorder="1" applyAlignment="1">
      <alignment horizontal="center" vertical="center"/>
    </xf>
    <xf numFmtId="167" fontId="66" fillId="0" borderId="6" xfId="1" applyNumberFormat="1" applyFont="1" applyFill="1" applyBorder="1" applyAlignment="1">
      <alignment horizontal="center" vertical="center"/>
    </xf>
    <xf numFmtId="177" fontId="78" fillId="0" borderId="10" xfId="0" applyNumberFormat="1" applyFont="1" applyBorder="1" applyAlignment="1">
      <alignment horizontal="center" vertical="center" wrapText="1"/>
    </xf>
    <xf numFmtId="177" fontId="78" fillId="0" borderId="12" xfId="0" applyNumberFormat="1" applyFont="1" applyBorder="1" applyAlignment="1">
      <alignment horizontal="center" vertical="center" wrapText="1"/>
    </xf>
    <xf numFmtId="177" fontId="78" fillId="0" borderId="21" xfId="0" applyNumberFormat="1" applyFont="1" applyBorder="1" applyAlignment="1">
      <alignment horizontal="center" vertical="center" wrapText="1"/>
    </xf>
    <xf numFmtId="177" fontId="78" fillId="0" borderId="22" xfId="0" applyNumberFormat="1" applyFont="1" applyBorder="1" applyAlignment="1">
      <alignment horizontal="center" vertical="center" wrapText="1"/>
    </xf>
    <xf numFmtId="0" fontId="83" fillId="14" borderId="5" xfId="0" applyFont="1" applyFill="1" applyBorder="1" applyAlignment="1">
      <alignment horizontal="center" vertical="center" wrapText="1"/>
    </xf>
    <xf numFmtId="0" fontId="83" fillId="14" borderId="18" xfId="0" applyFont="1" applyFill="1" applyBorder="1" applyAlignment="1">
      <alignment horizontal="center" vertical="center" wrapText="1"/>
    </xf>
    <xf numFmtId="177" fontId="86" fillId="0" borderId="5" xfId="0" applyNumberFormat="1" applyFont="1" applyBorder="1" applyAlignment="1">
      <alignment horizontal="center" vertical="center" wrapText="1"/>
    </xf>
    <xf numFmtId="177" fontId="86" fillId="0" borderId="18" xfId="0" applyNumberFormat="1" applyFont="1" applyBorder="1" applyAlignment="1">
      <alignment horizontal="center" vertical="center" wrapText="1"/>
    </xf>
    <xf numFmtId="177" fontId="92" fillId="0" borderId="3" xfId="0" applyNumberFormat="1" applyFont="1" applyBorder="1" applyAlignment="1">
      <alignment horizontal="center" vertical="center" wrapText="1"/>
    </xf>
    <xf numFmtId="177" fontId="92" fillId="0" borderId="4" xfId="0" applyNumberFormat="1" applyFont="1" applyBorder="1" applyAlignment="1">
      <alignment horizontal="center" vertical="center" wrapText="1"/>
    </xf>
    <xf numFmtId="177" fontId="91" fillId="0" borderId="5" xfId="0" applyNumberFormat="1" applyFont="1" applyBorder="1" applyAlignment="1">
      <alignment horizontal="center" vertical="center" wrapText="1"/>
    </xf>
    <xf numFmtId="177" fontId="91" fillId="0" borderId="24" xfId="0" applyNumberFormat="1" applyFont="1" applyBorder="1" applyAlignment="1">
      <alignment horizontal="center" vertical="center" wrapText="1"/>
    </xf>
    <xf numFmtId="177" fontId="91" fillId="0" borderId="6" xfId="0" applyNumberFormat="1" applyFont="1" applyBorder="1" applyAlignment="1">
      <alignment horizontal="center" vertical="center" wrapText="1"/>
    </xf>
    <xf numFmtId="0" fontId="79" fillId="0" borderId="11" xfId="0" applyFont="1" applyBorder="1" applyAlignment="1">
      <alignment horizontal="center" vertical="center"/>
    </xf>
    <xf numFmtId="0" fontId="78" fillId="0" borderId="6" xfId="0" applyFont="1" applyBorder="1" applyAlignment="1">
      <alignment horizontal="center" vertical="center"/>
    </xf>
    <xf numFmtId="0" fontId="78" fillId="0" borderId="6" xfId="0" applyFont="1" applyBorder="1" applyAlignment="1">
      <alignment horizontal="left" vertical="center"/>
    </xf>
    <xf numFmtId="0" fontId="79" fillId="0" borderId="2" xfId="0"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pplyAlignment="1">
      <alignment horizontal="left" vertical="center"/>
    </xf>
    <xf numFmtId="0" fontId="94" fillId="0" borderId="80" xfId="0" applyFont="1" applyBorder="1" applyAlignment="1">
      <alignment horizontal="center" vertical="center"/>
    </xf>
    <xf numFmtId="0" fontId="92" fillId="0" borderId="17" xfId="0" applyFont="1" applyBorder="1" applyAlignment="1">
      <alignment horizontal="center" vertical="center"/>
    </xf>
    <xf numFmtId="0" fontId="92" fillId="0" borderId="17" xfId="0" applyFont="1" applyBorder="1" applyAlignment="1">
      <alignment horizontal="left" vertical="center"/>
    </xf>
    <xf numFmtId="0" fontId="68" fillId="13" borderId="7" xfId="0" applyFont="1" applyFill="1" applyBorder="1" applyAlignment="1">
      <alignment horizontal="center" vertical="center" wrapText="1"/>
    </xf>
    <xf numFmtId="0" fontId="68" fillId="13" borderId="8" xfId="0" applyFont="1" applyFill="1" applyBorder="1" applyAlignment="1">
      <alignment horizontal="center" vertical="center" wrapText="1"/>
    </xf>
    <xf numFmtId="0" fontId="68" fillId="13" borderId="9" xfId="0" applyFont="1" applyFill="1" applyBorder="1" applyAlignment="1">
      <alignment horizontal="center" vertical="center" wrapText="1"/>
    </xf>
    <xf numFmtId="0" fontId="68" fillId="13" borderId="13" xfId="0" applyFont="1" applyFill="1" applyBorder="1" applyAlignment="1">
      <alignment horizontal="center" vertical="center" wrapText="1"/>
    </xf>
    <xf numFmtId="0" fontId="68" fillId="13" borderId="0" xfId="0" applyFont="1" applyFill="1" applyAlignment="1">
      <alignment horizontal="center" vertical="center" wrapText="1"/>
    </xf>
    <xf numFmtId="0" fontId="68" fillId="13" borderId="16" xfId="0" applyFont="1" applyFill="1" applyBorder="1" applyAlignment="1">
      <alignment horizontal="center" vertical="center" wrapText="1"/>
    </xf>
    <xf numFmtId="0" fontId="68" fillId="13" borderId="10" xfId="0" applyFont="1" applyFill="1" applyBorder="1" applyAlignment="1">
      <alignment horizontal="center" vertical="center" wrapText="1"/>
    </xf>
    <xf numFmtId="0" fontId="68" fillId="13" borderId="11" xfId="0" applyFont="1" applyFill="1" applyBorder="1" applyAlignment="1">
      <alignment horizontal="center" vertical="center" wrapText="1"/>
    </xf>
    <xf numFmtId="0" fontId="68" fillId="13" borderId="12" xfId="0" applyFont="1" applyFill="1" applyBorder="1" applyAlignment="1">
      <alignment horizontal="center" vertical="center" wrapText="1"/>
    </xf>
    <xf numFmtId="0" fontId="82" fillId="14" borderId="7" xfId="0" applyFont="1" applyFill="1" applyBorder="1" applyAlignment="1">
      <alignment horizontal="center"/>
    </xf>
    <xf numFmtId="0" fontId="82" fillId="14" borderId="8" xfId="0" applyFont="1" applyFill="1" applyBorder="1" applyAlignment="1">
      <alignment horizontal="center"/>
    </xf>
    <xf numFmtId="0" fontId="82" fillId="14" borderId="9" xfId="0" applyFont="1" applyFill="1" applyBorder="1" applyAlignment="1">
      <alignment horizontal="center"/>
    </xf>
    <xf numFmtId="0" fontId="82" fillId="14" borderId="13" xfId="0" applyFont="1" applyFill="1" applyBorder="1" applyAlignment="1">
      <alignment horizontal="center"/>
    </xf>
    <xf numFmtId="0" fontId="82" fillId="14" borderId="0" xfId="0" applyFont="1" applyFill="1" applyAlignment="1">
      <alignment horizontal="center"/>
    </xf>
    <xf numFmtId="0" fontId="82" fillId="14" borderId="16" xfId="0" applyFont="1" applyFill="1" applyBorder="1" applyAlignment="1">
      <alignment horizontal="center"/>
    </xf>
    <xf numFmtId="0" fontId="82" fillId="14" borderId="10" xfId="0" applyFont="1" applyFill="1" applyBorder="1" applyAlignment="1">
      <alignment horizontal="center"/>
    </xf>
    <xf numFmtId="0" fontId="82" fillId="14" borderId="11" xfId="0" applyFont="1" applyFill="1" applyBorder="1" applyAlignment="1">
      <alignment horizontal="center"/>
    </xf>
    <xf numFmtId="0" fontId="82" fillId="14" borderId="12" xfId="0" applyFont="1" applyFill="1" applyBorder="1" applyAlignment="1">
      <alignment horizontal="center"/>
    </xf>
    <xf numFmtId="178" fontId="0" fillId="0" borderId="3" xfId="0" applyNumberFormat="1" applyBorder="1" applyAlignment="1">
      <alignment horizontal="center" vertical="center"/>
    </xf>
    <xf numFmtId="178" fontId="0" fillId="0" borderId="2" xfId="0" applyNumberFormat="1" applyBorder="1" applyAlignment="1">
      <alignment horizontal="center" vertical="center"/>
    </xf>
    <xf numFmtId="178" fontId="0" fillId="0" borderId="4" xfId="0" applyNumberFormat="1" applyBorder="1" applyAlignment="1">
      <alignment horizontal="center" vertical="center"/>
    </xf>
    <xf numFmtId="0" fontId="80" fillId="0" borderId="6" xfId="0" applyFont="1" applyBorder="1" applyAlignment="1">
      <alignment horizontal="left" vertical="center" wrapText="1"/>
    </xf>
    <xf numFmtId="177" fontId="80" fillId="0" borderId="6" xfId="0" applyNumberFormat="1" applyFont="1" applyBorder="1" applyAlignment="1">
      <alignment horizontal="center" vertical="center" wrapText="1"/>
    </xf>
    <xf numFmtId="177" fontId="80" fillId="0" borderId="10" xfId="0" applyNumberFormat="1" applyFont="1" applyBorder="1" applyAlignment="1">
      <alignment horizontal="center" vertical="center" wrapText="1"/>
    </xf>
    <xf numFmtId="0" fontId="70" fillId="0" borderId="1" xfId="0" applyFont="1" applyBorder="1" applyAlignment="1">
      <alignment horizontal="left" vertical="center" wrapText="1"/>
    </xf>
    <xf numFmtId="0" fontId="88" fillId="0" borderId="7" xfId="0" quotePrefix="1" applyFont="1" applyBorder="1" applyAlignment="1">
      <alignment horizontal="left" vertical="center" wrapText="1"/>
    </xf>
    <xf numFmtId="0" fontId="68" fillId="0" borderId="8" xfId="0" quotePrefix="1" applyFont="1" applyBorder="1" applyAlignment="1">
      <alignment horizontal="left" vertical="center" wrapText="1"/>
    </xf>
    <xf numFmtId="0" fontId="68" fillId="0" borderId="9" xfId="0" quotePrefix="1" applyFont="1" applyBorder="1" applyAlignment="1">
      <alignment horizontal="left" vertical="center" wrapText="1"/>
    </xf>
    <xf numFmtId="0" fontId="68" fillId="0" borderId="13" xfId="0" quotePrefix="1" applyFont="1" applyBorder="1" applyAlignment="1">
      <alignment horizontal="left" vertical="center" wrapText="1"/>
    </xf>
    <xf numFmtId="0" fontId="68" fillId="0" borderId="0" xfId="0" quotePrefix="1" applyFont="1" applyAlignment="1">
      <alignment horizontal="left" vertical="center" wrapText="1"/>
    </xf>
    <xf numFmtId="0" fontId="68" fillId="0" borderId="16" xfId="0" quotePrefix="1" applyFont="1" applyBorder="1" applyAlignment="1">
      <alignment horizontal="left" vertical="center" wrapText="1"/>
    </xf>
    <xf numFmtId="0" fontId="68" fillId="0" borderId="10" xfId="0" quotePrefix="1" applyFont="1" applyBorder="1" applyAlignment="1">
      <alignment horizontal="left" vertical="center" wrapText="1"/>
    </xf>
    <xf numFmtId="0" fontId="68" fillId="0" borderId="11" xfId="0" quotePrefix="1" applyFont="1" applyBorder="1" applyAlignment="1">
      <alignment horizontal="left" vertical="center" wrapText="1"/>
    </xf>
    <xf numFmtId="0" fontId="68" fillId="0" borderId="12" xfId="0" quotePrefix="1" applyFont="1" applyBorder="1" applyAlignment="1">
      <alignment horizontal="left" vertical="center" wrapText="1"/>
    </xf>
    <xf numFmtId="177" fontId="70" fillId="0" borderId="3" xfId="0" applyNumberFormat="1" applyFont="1" applyBorder="1" applyAlignment="1">
      <alignment horizontal="center" vertical="center" wrapText="1"/>
    </xf>
    <xf numFmtId="177" fontId="70" fillId="0" borderId="2" xfId="0" applyNumberFormat="1" applyFont="1" applyBorder="1" applyAlignment="1">
      <alignment horizontal="center" vertical="center" wrapText="1"/>
    </xf>
    <xf numFmtId="177" fontId="70" fillId="0" borderId="4" xfId="0" applyNumberFormat="1" applyFont="1" applyBorder="1" applyAlignment="1">
      <alignment horizontal="center"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8" fontId="0" fillId="0" borderId="74" xfId="0" applyNumberFormat="1" applyBorder="1" applyAlignment="1">
      <alignment horizontal="center" vertical="center"/>
    </xf>
    <xf numFmtId="178" fontId="0" fillId="0" borderId="81" xfId="0" applyNumberFormat="1" applyBorder="1" applyAlignment="1">
      <alignment horizontal="center" vertical="center"/>
    </xf>
    <xf numFmtId="178" fontId="0" fillId="0" borderId="75" xfId="0" applyNumberFormat="1" applyBorder="1" applyAlignment="1">
      <alignment horizontal="center" vertical="center"/>
    </xf>
    <xf numFmtId="0" fontId="81" fillId="0" borderId="13" xfId="0" applyFont="1" applyBorder="1" applyAlignment="1">
      <alignment horizontal="left" vertical="top"/>
    </xf>
    <xf numFmtId="0" fontId="81" fillId="0" borderId="0" xfId="0" applyFont="1" applyAlignment="1">
      <alignment horizontal="left" vertical="top"/>
    </xf>
    <xf numFmtId="0" fontId="81" fillId="0" borderId="16" xfId="0" applyFont="1" applyBorder="1" applyAlignment="1">
      <alignment horizontal="left" vertical="top"/>
    </xf>
    <xf numFmtId="0" fontId="81" fillId="0" borderId="10" xfId="0" applyFont="1" applyBorder="1" applyAlignment="1">
      <alignment horizontal="left" vertical="top"/>
    </xf>
    <xf numFmtId="0" fontId="81" fillId="0" borderId="11" xfId="0" applyFont="1" applyBorder="1" applyAlignment="1">
      <alignment horizontal="left" vertical="top"/>
    </xf>
    <xf numFmtId="0" fontId="81" fillId="0" borderId="12" xfId="0" applyFont="1" applyBorder="1" applyAlignment="1">
      <alignment horizontal="left" vertical="top"/>
    </xf>
    <xf numFmtId="0" fontId="93" fillId="14" borderId="3" xfId="0" quotePrefix="1" applyFont="1" applyFill="1" applyBorder="1" applyAlignment="1">
      <alignment horizontal="center" vertical="center" wrapText="1"/>
    </xf>
    <xf numFmtId="0" fontId="93" fillId="14" borderId="2" xfId="0" applyFont="1" applyFill="1" applyBorder="1" applyAlignment="1">
      <alignment horizontal="center" vertical="center" wrapText="1"/>
    </xf>
    <xf numFmtId="0" fontId="93" fillId="14" borderId="4" xfId="0" applyFont="1" applyFill="1" applyBorder="1" applyAlignment="1">
      <alignment horizontal="center" vertical="center" wrapText="1"/>
    </xf>
    <xf numFmtId="0" fontId="67" fillId="13" borderId="13" xfId="0" applyFont="1" applyFill="1" applyBorder="1" applyAlignment="1">
      <alignment horizontal="center" vertical="top"/>
    </xf>
    <xf numFmtId="0" fontId="67" fillId="13" borderId="0" xfId="0" applyFont="1" applyFill="1" applyAlignment="1">
      <alignment horizontal="center" vertical="top"/>
    </xf>
    <xf numFmtId="0" fontId="67" fillId="13" borderId="16" xfId="0" applyFont="1" applyFill="1" applyBorder="1" applyAlignment="1">
      <alignment horizontal="center" vertical="top"/>
    </xf>
    <xf numFmtId="0" fontId="67" fillId="13" borderId="5" xfId="0" applyFont="1" applyFill="1" applyBorder="1" applyAlignment="1">
      <alignment horizontal="center" vertical="top" wrapText="1"/>
    </xf>
    <xf numFmtId="0" fontId="67" fillId="13" borderId="24" xfId="0" applyFont="1" applyFill="1" applyBorder="1" applyAlignment="1">
      <alignment horizontal="center" vertical="top" wrapText="1"/>
    </xf>
    <xf numFmtId="0" fontId="67" fillId="13" borderId="6" xfId="0" applyFont="1" applyFill="1" applyBorder="1" applyAlignment="1">
      <alignment horizontal="center" vertical="top" wrapText="1"/>
    </xf>
    <xf numFmtId="0" fontId="67" fillId="13" borderId="7" xfId="0" applyFont="1" applyFill="1" applyBorder="1" applyAlignment="1">
      <alignment horizontal="center" vertical="top" wrapText="1"/>
    </xf>
    <xf numFmtId="0" fontId="67" fillId="13" borderId="8" xfId="0" applyFont="1" applyFill="1" applyBorder="1" applyAlignment="1">
      <alignment horizontal="center" vertical="top" wrapText="1"/>
    </xf>
    <xf numFmtId="0" fontId="67" fillId="13" borderId="9" xfId="0" applyFont="1" applyFill="1" applyBorder="1" applyAlignment="1">
      <alignment horizontal="center" vertical="top" wrapText="1"/>
    </xf>
    <xf numFmtId="0" fontId="67" fillId="13" borderId="13" xfId="0" applyFont="1" applyFill="1" applyBorder="1" applyAlignment="1">
      <alignment horizontal="center" vertical="top" wrapText="1"/>
    </xf>
    <xf numFmtId="0" fontId="67" fillId="13" borderId="0" xfId="0" applyFont="1" applyFill="1" applyAlignment="1">
      <alignment horizontal="center" vertical="top" wrapText="1"/>
    </xf>
    <xf numFmtId="0" fontId="67" fillId="13" borderId="16" xfId="0" applyFont="1" applyFill="1" applyBorder="1" applyAlignment="1">
      <alignment horizontal="center" vertical="top" wrapText="1"/>
    </xf>
    <xf numFmtId="0" fontId="67" fillId="13" borderId="10" xfId="0" applyFont="1" applyFill="1" applyBorder="1" applyAlignment="1">
      <alignment horizontal="center" vertical="top" wrapText="1"/>
    </xf>
    <xf numFmtId="0" fontId="67" fillId="13" borderId="11" xfId="0" applyFont="1" applyFill="1" applyBorder="1" applyAlignment="1">
      <alignment horizontal="center" vertical="top" wrapText="1"/>
    </xf>
    <xf numFmtId="0" fontId="67" fillId="13" borderId="12" xfId="0" applyFont="1" applyFill="1" applyBorder="1" applyAlignment="1">
      <alignment horizontal="center" vertical="top" wrapText="1"/>
    </xf>
    <xf numFmtId="0" fontId="67" fillId="13" borderId="7" xfId="0" applyFont="1" applyFill="1" applyBorder="1" applyAlignment="1">
      <alignment horizontal="center" vertical="top"/>
    </xf>
    <xf numFmtId="0" fontId="67" fillId="13" borderId="9" xfId="0" applyFont="1" applyFill="1" applyBorder="1" applyAlignment="1">
      <alignment horizontal="center" vertical="top"/>
    </xf>
    <xf numFmtId="0" fontId="67" fillId="13" borderId="10" xfId="0" applyFont="1" applyFill="1" applyBorder="1" applyAlignment="1">
      <alignment horizontal="center" vertical="top"/>
    </xf>
    <xf numFmtId="0" fontId="67" fillId="13" borderId="12" xfId="0" applyFont="1" applyFill="1" applyBorder="1" applyAlignment="1">
      <alignment horizontal="center" vertical="top"/>
    </xf>
    <xf numFmtId="0" fontId="74" fillId="0" borderId="16" xfId="0" applyFont="1" applyBorder="1" applyAlignment="1">
      <alignment horizontal="center" vertical="center" wrapText="1"/>
    </xf>
    <xf numFmtId="0" fontId="75" fillId="13" borderId="5" xfId="0" applyFont="1" applyFill="1" applyBorder="1" applyAlignment="1">
      <alignment horizontal="center" vertical="top" wrapText="1"/>
    </xf>
    <xf numFmtId="0" fontId="75" fillId="13" borderId="24" xfId="0" applyFont="1" applyFill="1" applyBorder="1" applyAlignment="1">
      <alignment horizontal="center" vertical="top" wrapText="1"/>
    </xf>
    <xf numFmtId="0" fontId="75" fillId="13" borderId="6" xfId="0" applyFont="1" applyFill="1" applyBorder="1" applyAlignment="1">
      <alignment horizontal="center" vertical="top" wrapText="1"/>
    </xf>
    <xf numFmtId="0" fontId="68" fillId="13" borderId="7" xfId="0" applyFont="1" applyFill="1" applyBorder="1" applyAlignment="1">
      <alignment horizontal="center" vertical="top"/>
    </xf>
    <xf numFmtId="0" fontId="68" fillId="13" borderId="9" xfId="0" applyFont="1" applyFill="1" applyBorder="1" applyAlignment="1">
      <alignment horizontal="center" vertical="top"/>
    </xf>
    <xf numFmtId="0" fontId="68" fillId="13" borderId="13" xfId="0" applyFont="1" applyFill="1" applyBorder="1" applyAlignment="1">
      <alignment horizontal="center" vertical="top"/>
    </xf>
    <xf numFmtId="0" fontId="68" fillId="13" borderId="16" xfId="0" applyFont="1" applyFill="1" applyBorder="1" applyAlignment="1">
      <alignment horizontal="center" vertical="top"/>
    </xf>
    <xf numFmtId="0" fontId="68" fillId="13" borderId="10" xfId="0" applyFont="1" applyFill="1" applyBorder="1" applyAlignment="1">
      <alignment horizontal="center" vertical="top"/>
    </xf>
    <xf numFmtId="0" fontId="68" fillId="13" borderId="12" xfId="0" applyFont="1" applyFill="1" applyBorder="1" applyAlignment="1">
      <alignment horizontal="center" vertical="top"/>
    </xf>
    <xf numFmtId="0" fontId="68" fillId="13" borderId="5" xfId="0" applyFont="1" applyFill="1" applyBorder="1" applyAlignment="1">
      <alignment horizontal="center" vertical="top"/>
    </xf>
    <xf numFmtId="0" fontId="68" fillId="13" borderId="24" xfId="0" applyFont="1" applyFill="1" applyBorder="1" applyAlignment="1">
      <alignment horizontal="center" vertical="top"/>
    </xf>
    <xf numFmtId="0" fontId="68" fillId="13" borderId="6" xfId="0" applyFont="1" applyFill="1" applyBorder="1" applyAlignment="1">
      <alignment horizontal="center" vertical="top"/>
    </xf>
    <xf numFmtId="0" fontId="67" fillId="13" borderId="3" xfId="0" applyFont="1" applyFill="1" applyBorder="1" applyAlignment="1">
      <alignment horizontal="center" vertical="top"/>
    </xf>
    <xf numFmtId="0" fontId="67" fillId="13" borderId="4" xfId="0" applyFont="1" applyFill="1" applyBorder="1" applyAlignment="1">
      <alignment horizontal="center" vertical="top"/>
    </xf>
    <xf numFmtId="0" fontId="92" fillId="14" borderId="5" xfId="0" applyFont="1" applyFill="1" applyBorder="1" applyAlignment="1">
      <alignment horizontal="center" vertical="center" wrapText="1"/>
    </xf>
    <xf numFmtId="0" fontId="92" fillId="14" borderId="24" xfId="0" applyFont="1" applyFill="1" applyBorder="1" applyAlignment="1">
      <alignment horizontal="center" vertical="center" wrapText="1"/>
    </xf>
    <xf numFmtId="0" fontId="92" fillId="14" borderId="6" xfId="0" applyFont="1" applyFill="1" applyBorder="1" applyAlignment="1">
      <alignment horizontal="center" vertical="center" wrapText="1"/>
    </xf>
    <xf numFmtId="0" fontId="93" fillId="14" borderId="7" xfId="0" applyFont="1" applyFill="1" applyBorder="1" applyAlignment="1">
      <alignment horizontal="center" vertical="center"/>
    </xf>
    <xf numFmtId="0" fontId="93" fillId="14" borderId="8" xfId="0" applyFont="1" applyFill="1" applyBorder="1" applyAlignment="1">
      <alignment horizontal="center" vertical="center"/>
    </xf>
    <xf numFmtId="0" fontId="93" fillId="14" borderId="9" xfId="0" applyFont="1" applyFill="1" applyBorder="1" applyAlignment="1">
      <alignment horizontal="center" vertical="center"/>
    </xf>
    <xf numFmtId="0" fontId="93" fillId="14" borderId="13" xfId="0" applyFont="1" applyFill="1" applyBorder="1" applyAlignment="1">
      <alignment horizontal="center" vertical="center"/>
    </xf>
    <xf numFmtId="0" fontId="93" fillId="14" borderId="0" xfId="0" applyFont="1" applyFill="1" applyAlignment="1">
      <alignment horizontal="center" vertical="center"/>
    </xf>
    <xf numFmtId="0" fontId="93" fillId="14" borderId="16" xfId="0" applyFont="1" applyFill="1" applyBorder="1" applyAlignment="1">
      <alignment horizontal="center" vertical="center"/>
    </xf>
    <xf numFmtId="0" fontId="93" fillId="14" borderId="19" xfId="0" applyFont="1" applyFill="1" applyBorder="1" applyAlignment="1">
      <alignment horizontal="center" vertical="center"/>
    </xf>
    <xf numFmtId="0" fontId="93" fillId="14" borderId="61" xfId="0" applyFont="1" applyFill="1" applyBorder="1" applyAlignment="1">
      <alignment horizontal="center" vertical="center"/>
    </xf>
    <xf numFmtId="0" fontId="93" fillId="14" borderId="20" xfId="0" applyFont="1" applyFill="1" applyBorder="1" applyAlignment="1">
      <alignment horizontal="center" vertical="center"/>
    </xf>
    <xf numFmtId="0" fontId="82" fillId="14" borderId="86" xfId="0" applyFont="1" applyFill="1" applyBorder="1" applyAlignment="1">
      <alignment horizontal="center"/>
    </xf>
    <xf numFmtId="0" fontId="82" fillId="14" borderId="6" xfId="0" applyFont="1" applyFill="1"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94" fillId="0" borderId="8" xfId="0" applyFont="1" applyBorder="1" applyAlignment="1">
      <alignment horizontal="center" vertical="center"/>
    </xf>
    <xf numFmtId="0" fontId="92" fillId="0" borderId="7" xfId="0" applyFont="1" applyBorder="1" applyAlignment="1">
      <alignment horizontal="center" vertical="center"/>
    </xf>
    <xf numFmtId="0" fontId="92" fillId="0" borderId="9" xfId="0" applyFont="1" applyBorder="1" applyAlignment="1">
      <alignment horizontal="center" vertical="center"/>
    </xf>
    <xf numFmtId="0" fontId="92" fillId="0" borderId="7" xfId="0" applyFont="1" applyBorder="1" applyAlignment="1">
      <alignment horizontal="left" vertical="center"/>
    </xf>
    <xf numFmtId="0" fontId="92" fillId="0" borderId="8" xfId="0" applyFont="1" applyBorder="1" applyAlignment="1">
      <alignment horizontal="left" vertical="center"/>
    </xf>
    <xf numFmtId="0" fontId="92" fillId="0" borderId="9" xfId="0" applyFont="1" applyBorder="1" applyAlignment="1">
      <alignment horizontal="left" vertical="center"/>
    </xf>
    <xf numFmtId="0" fontId="67" fillId="13" borderId="8" xfId="0" applyFont="1" applyFill="1" applyBorder="1" applyAlignment="1">
      <alignment horizontal="center" vertical="top"/>
    </xf>
    <xf numFmtId="0" fontId="67" fillId="13" borderId="11" xfId="0" applyFont="1" applyFill="1" applyBorder="1" applyAlignment="1">
      <alignment horizontal="center" vertical="top"/>
    </xf>
    <xf numFmtId="0" fontId="84" fillId="13" borderId="7" xfId="0" applyFont="1" applyFill="1" applyBorder="1" applyAlignment="1">
      <alignment horizontal="center" vertical="top" wrapText="1"/>
    </xf>
    <xf numFmtId="0" fontId="84" fillId="13" borderId="9" xfId="0" applyFont="1" applyFill="1" applyBorder="1" applyAlignment="1">
      <alignment horizontal="center" vertical="top" wrapText="1"/>
    </xf>
    <xf numFmtId="0" fontId="68" fillId="13" borderId="13" xfId="0" applyFont="1" applyFill="1" applyBorder="1" applyAlignment="1">
      <alignment horizontal="center" vertical="top" wrapText="1"/>
    </xf>
    <xf numFmtId="0" fontId="68" fillId="13" borderId="16" xfId="0" applyFont="1" applyFill="1" applyBorder="1" applyAlignment="1">
      <alignment horizontal="center" vertical="top" wrapText="1"/>
    </xf>
    <xf numFmtId="0" fontId="82" fillId="13" borderId="13" xfId="0" applyFont="1" applyFill="1" applyBorder="1" applyAlignment="1">
      <alignment horizontal="center" vertical="top" wrapText="1"/>
    </xf>
    <xf numFmtId="0" fontId="82" fillId="13" borderId="0" xfId="0" applyFont="1" applyFill="1" applyAlignment="1">
      <alignment horizontal="center" vertical="top" wrapText="1"/>
    </xf>
    <xf numFmtId="0" fontId="82" fillId="13" borderId="10" xfId="0" applyFont="1" applyFill="1" applyBorder="1" applyAlignment="1">
      <alignment horizontal="center" vertical="top" wrapText="1"/>
    </xf>
    <xf numFmtId="0" fontId="82" fillId="13" borderId="11" xfId="0" applyFont="1" applyFill="1" applyBorder="1" applyAlignment="1">
      <alignment horizontal="center" vertical="top" wrapText="1"/>
    </xf>
    <xf numFmtId="0" fontId="94" fillId="0" borderId="2" xfId="0" applyFont="1" applyBorder="1" applyAlignment="1">
      <alignment horizontal="center" vertical="center"/>
    </xf>
    <xf numFmtId="0" fontId="92" fillId="0" borderId="3" xfId="0" applyFont="1" applyBorder="1" applyAlignment="1">
      <alignment horizontal="center" vertical="center"/>
    </xf>
    <xf numFmtId="0" fontId="92" fillId="0" borderId="4" xfId="0" applyFont="1" applyBorder="1" applyAlignment="1">
      <alignment horizontal="center" vertical="center"/>
    </xf>
    <xf numFmtId="0" fontId="92" fillId="0" borderId="3" xfId="0" applyFont="1" applyBorder="1" applyAlignment="1">
      <alignment horizontal="left" vertical="center"/>
    </xf>
    <xf numFmtId="0" fontId="92" fillId="0" borderId="2" xfId="0" applyFont="1" applyBorder="1" applyAlignment="1">
      <alignment horizontal="left" vertical="center"/>
    </xf>
    <xf numFmtId="0" fontId="92" fillId="0" borderId="4" xfId="0" applyFont="1" applyBorder="1" applyAlignment="1">
      <alignment horizontal="left" vertical="center"/>
    </xf>
    <xf numFmtId="0" fontId="2" fillId="0" borderId="6" xfId="0" applyFont="1" applyBorder="1" applyAlignment="1">
      <alignment horizontal="center"/>
    </xf>
    <xf numFmtId="0" fontId="16" fillId="0" borderId="40" xfId="0" applyFont="1" applyBorder="1" applyAlignment="1">
      <alignment horizontal="left" vertical="center"/>
    </xf>
    <xf numFmtId="0" fontId="16" fillId="0" borderId="47" xfId="0" applyFont="1" applyBorder="1" applyAlignment="1">
      <alignment horizontal="left" vertical="center"/>
    </xf>
    <xf numFmtId="0" fontId="16" fillId="0" borderId="53" xfId="0" applyFont="1" applyBorder="1" applyAlignment="1">
      <alignment horizontal="left" vertical="center"/>
    </xf>
    <xf numFmtId="170" fontId="16" fillId="0" borderId="41" xfId="0" applyNumberFormat="1" applyFont="1" applyBorder="1" applyAlignment="1">
      <alignment horizontal="center" vertical="center" wrapText="1"/>
    </xf>
    <xf numFmtId="170" fontId="16" fillId="0" borderId="24" xfId="0" applyNumberFormat="1" applyFont="1" applyBorder="1" applyAlignment="1">
      <alignment horizontal="center" vertical="center" wrapText="1"/>
    </xf>
    <xf numFmtId="170" fontId="16" fillId="0" borderId="48" xfId="0" applyNumberFormat="1" applyFont="1" applyBorder="1" applyAlignment="1">
      <alignment horizontal="center" vertical="center" wrapText="1"/>
    </xf>
    <xf numFmtId="170" fontId="28" fillId="0" borderId="44" xfId="0" applyNumberFormat="1" applyFont="1" applyBorder="1" applyAlignment="1">
      <alignment horizontal="center" vertical="center" wrapText="1"/>
    </xf>
    <xf numFmtId="170" fontId="28" fillId="0" borderId="1" xfId="0" applyNumberFormat="1" applyFont="1" applyBorder="1" applyAlignment="1">
      <alignment horizontal="center" vertical="center" wrapText="1"/>
    </xf>
    <xf numFmtId="173" fontId="16" fillId="0" borderId="41" xfId="0" quotePrefix="1" applyNumberFormat="1" applyFont="1" applyBorder="1" applyAlignment="1">
      <alignment horizontal="center" vertical="center"/>
    </xf>
    <xf numFmtId="173" fontId="16" fillId="0" borderId="24" xfId="0" quotePrefix="1" applyNumberFormat="1" applyFont="1" applyBorder="1" applyAlignment="1">
      <alignment horizontal="center" vertical="center"/>
    </xf>
    <xf numFmtId="173" fontId="29" fillId="0" borderId="41" xfId="0" quotePrefix="1" applyNumberFormat="1" applyFont="1" applyBorder="1" applyAlignment="1">
      <alignment horizontal="center" vertical="center"/>
    </xf>
    <xf numFmtId="173" fontId="29" fillId="0" borderId="24" xfId="0" quotePrefix="1" applyNumberFormat="1" applyFont="1" applyBorder="1" applyAlignment="1">
      <alignment horizontal="center" vertical="center"/>
    </xf>
    <xf numFmtId="173" fontId="16" fillId="0" borderId="50" xfId="0" quotePrefix="1" applyNumberFormat="1" applyFont="1" applyBorder="1" applyAlignment="1">
      <alignment horizontal="center" vertical="center"/>
    </xf>
    <xf numFmtId="173" fontId="16" fillId="0" borderId="13" xfId="0" quotePrefix="1" applyNumberFormat="1" applyFont="1" applyBorder="1" applyAlignment="1">
      <alignment horizontal="center" vertical="center"/>
    </xf>
    <xf numFmtId="173" fontId="16" fillId="0" borderId="41" xfId="0" quotePrefix="1" applyNumberFormat="1" applyFont="1" applyBorder="1" applyAlignment="1">
      <alignment horizontal="center"/>
    </xf>
    <xf numFmtId="173" fontId="16" fillId="0" borderId="24" xfId="0" quotePrefix="1" applyNumberFormat="1" applyFont="1" applyBorder="1" applyAlignment="1">
      <alignment horizontal="center"/>
    </xf>
    <xf numFmtId="173" fontId="16" fillId="0" borderId="48" xfId="0" quotePrefix="1" applyNumberFormat="1" applyFont="1" applyBorder="1" applyAlignment="1">
      <alignment horizontal="center"/>
    </xf>
    <xf numFmtId="174" fontId="16" fillId="0" borderId="41" xfId="0" quotePrefix="1" applyNumberFormat="1" applyFont="1" applyBorder="1" applyAlignment="1">
      <alignment horizontal="center"/>
    </xf>
    <xf numFmtId="174" fontId="16" fillId="0" borderId="24" xfId="0" quotePrefix="1" applyNumberFormat="1" applyFont="1" applyBorder="1" applyAlignment="1">
      <alignment horizontal="center"/>
    </xf>
    <xf numFmtId="174" fontId="16" fillId="0" borderId="48" xfId="0" quotePrefix="1" applyNumberFormat="1" applyFont="1" applyBorder="1" applyAlignment="1">
      <alignment horizontal="center"/>
    </xf>
    <xf numFmtId="173" fontId="16" fillId="0" borderId="54" xfId="0" applyNumberFormat="1" applyFont="1" applyBorder="1" applyAlignment="1">
      <alignment horizontal="center" vertical="center"/>
    </xf>
    <xf numFmtId="173" fontId="16" fillId="0" borderId="55" xfId="0" applyNumberFormat="1" applyFont="1" applyBorder="1" applyAlignment="1">
      <alignment horizontal="center" vertical="center"/>
    </xf>
    <xf numFmtId="174" fontId="34" fillId="0" borderId="24" xfId="0" quotePrefix="1" applyNumberFormat="1" applyFont="1" applyBorder="1" applyAlignment="1">
      <alignment horizontal="center" wrapText="1"/>
    </xf>
    <xf numFmtId="173" fontId="34" fillId="0" borderId="50" xfId="0" quotePrefix="1" applyNumberFormat="1" applyFont="1" applyBorder="1" applyAlignment="1">
      <alignment horizontal="center" vertical="center"/>
    </xf>
    <xf numFmtId="173" fontId="34" fillId="0" borderId="57" xfId="0" quotePrefix="1" applyNumberFormat="1" applyFont="1" applyBorder="1" applyAlignment="1">
      <alignment horizontal="center" vertical="center"/>
    </xf>
    <xf numFmtId="173" fontId="34" fillId="0" borderId="10" xfId="0" quotePrefix="1" applyNumberFormat="1" applyFont="1" applyBorder="1" applyAlignment="1">
      <alignment horizontal="center" vertical="center"/>
    </xf>
    <xf numFmtId="173" fontId="34" fillId="0" borderId="12" xfId="0" quotePrefix="1" applyNumberFormat="1" applyFont="1" applyBorder="1" applyAlignment="1">
      <alignment horizontal="center" vertical="center"/>
    </xf>
    <xf numFmtId="173" fontId="34" fillId="0" borderId="55" xfId="0" applyNumberFormat="1" applyFont="1" applyBorder="1" applyAlignment="1">
      <alignment horizontal="center" vertical="center"/>
    </xf>
    <xf numFmtId="173" fontId="34" fillId="0" borderId="59" xfId="0" applyNumberFormat="1" applyFont="1" applyBorder="1" applyAlignment="1">
      <alignment horizontal="center" vertical="center"/>
    </xf>
    <xf numFmtId="173" fontId="34" fillId="0" borderId="60" xfId="0" applyNumberFormat="1" applyFont="1" applyBorder="1" applyAlignment="1">
      <alignment horizontal="center" vertical="center"/>
    </xf>
    <xf numFmtId="173" fontId="34" fillId="0" borderId="29" xfId="0" quotePrefix="1" applyNumberFormat="1" applyFont="1" applyBorder="1" applyAlignment="1">
      <alignment horizontal="center" vertical="center"/>
    </xf>
    <xf numFmtId="173" fontId="34" fillId="0" borderId="11" xfId="0" quotePrefix="1" applyNumberFormat="1" applyFont="1" applyBorder="1" applyAlignment="1">
      <alignment horizontal="center" vertical="center"/>
    </xf>
    <xf numFmtId="173" fontId="34" fillId="0" borderId="41" xfId="0" quotePrefix="1" applyNumberFormat="1" applyFont="1" applyBorder="1" applyAlignment="1">
      <alignment horizontal="center"/>
    </xf>
    <xf numFmtId="173" fontId="34" fillId="0" borderId="24" xfId="0" quotePrefix="1" applyNumberFormat="1" applyFont="1" applyBorder="1" applyAlignment="1">
      <alignment horizontal="center"/>
    </xf>
    <xf numFmtId="173" fontId="34" fillId="0" borderId="48" xfId="0" quotePrefix="1" applyNumberFormat="1" applyFont="1" applyBorder="1" applyAlignment="1">
      <alignment horizontal="center"/>
    </xf>
    <xf numFmtId="174" fontId="34" fillId="0" borderId="24" xfId="0" quotePrefix="1" applyNumberFormat="1" applyFont="1" applyBorder="1" applyAlignment="1">
      <alignment horizontal="center"/>
    </xf>
    <xf numFmtId="174" fontId="34" fillId="0" borderId="48" xfId="0" quotePrefix="1" applyNumberFormat="1" applyFont="1" applyBorder="1" applyAlignment="1">
      <alignment horizontal="center"/>
    </xf>
    <xf numFmtId="0" fontId="34" fillId="0" borderId="40" xfId="0" applyFont="1" applyBorder="1" applyAlignment="1">
      <alignment horizontal="center" vertical="center"/>
    </xf>
    <xf numFmtId="0" fontId="34" fillId="0" borderId="47" xfId="0" applyFont="1" applyBorder="1" applyAlignment="1">
      <alignment horizontal="center" vertical="center"/>
    </xf>
    <xf numFmtId="0" fontId="34" fillId="0" borderId="53" xfId="0" applyFont="1" applyBorder="1" applyAlignment="1">
      <alignment horizontal="center" vertical="center"/>
    </xf>
    <xf numFmtId="170" fontId="34" fillId="0" borderId="41" xfId="0" applyNumberFormat="1" applyFont="1" applyBorder="1" applyAlignment="1">
      <alignment horizontal="center" vertical="center" wrapText="1"/>
    </xf>
    <xf numFmtId="170" fontId="34" fillId="0" borderId="24" xfId="0" applyNumberFormat="1" applyFont="1" applyBorder="1" applyAlignment="1">
      <alignment horizontal="center" vertical="center" wrapText="1"/>
    </xf>
    <xf numFmtId="170" fontId="34" fillId="0" borderId="48" xfId="0" applyNumberFormat="1" applyFont="1" applyBorder="1" applyAlignment="1">
      <alignment horizontal="center" vertical="center" wrapText="1"/>
    </xf>
    <xf numFmtId="170" fontId="36" fillId="0" borderId="44" xfId="0" applyNumberFormat="1" applyFont="1" applyBorder="1" applyAlignment="1">
      <alignment horizontal="center" vertical="center" wrapText="1"/>
    </xf>
    <xf numFmtId="170" fontId="36" fillId="0" borderId="1" xfId="0" applyNumberFormat="1" applyFont="1" applyBorder="1" applyAlignment="1">
      <alignment horizontal="center" vertical="center" wrapText="1"/>
    </xf>
    <xf numFmtId="0" fontId="16" fillId="0" borderId="40" xfId="0" applyFont="1" applyBorder="1" applyAlignment="1">
      <alignment horizontal="center" vertical="center"/>
    </xf>
    <xf numFmtId="0" fontId="16" fillId="0" borderId="47" xfId="0" applyFont="1" applyBorder="1" applyAlignment="1">
      <alignment horizontal="center" vertical="center"/>
    </xf>
    <xf numFmtId="0" fontId="16" fillId="0" borderId="53" xfId="0" applyFont="1" applyBorder="1" applyAlignment="1">
      <alignment horizontal="center" vertical="center"/>
    </xf>
    <xf numFmtId="0" fontId="15" fillId="0" borderId="58" xfId="0" applyFont="1" applyBorder="1" applyAlignment="1">
      <alignment horizontal="center" vertical="center"/>
    </xf>
    <xf numFmtId="0" fontId="15" fillId="0" borderId="59" xfId="0" applyFont="1" applyBorder="1" applyAlignment="1">
      <alignment horizontal="center" vertical="center"/>
    </xf>
    <xf numFmtId="0" fontId="15" fillId="0" borderId="60" xfId="0" applyFont="1" applyBorder="1" applyAlignment="1">
      <alignment horizontal="center" vertical="center"/>
    </xf>
    <xf numFmtId="174" fontId="34" fillId="0" borderId="41" xfId="0" quotePrefix="1" applyNumberFormat="1" applyFont="1" applyBorder="1" applyAlignment="1">
      <alignment horizontal="center"/>
    </xf>
    <xf numFmtId="0" fontId="33" fillId="0" borderId="28" xfId="0" applyFont="1" applyBorder="1" applyAlignment="1">
      <alignment horizontal="center" vertical="center"/>
    </xf>
    <xf numFmtId="0" fontId="33" fillId="0" borderId="29" xfId="0" applyFont="1" applyBorder="1" applyAlignment="1">
      <alignment horizontal="center" vertical="center"/>
    </xf>
    <xf numFmtId="0" fontId="33" fillId="0" borderId="57" xfId="0" applyFont="1" applyBorder="1" applyAlignment="1">
      <alignment horizontal="center" vertical="center"/>
    </xf>
    <xf numFmtId="0" fontId="21" fillId="7" borderId="46" xfId="0" applyFont="1" applyFill="1" applyBorder="1" applyAlignment="1">
      <alignment horizontal="center" vertical="center" wrapText="1"/>
    </xf>
    <xf numFmtId="0" fontId="21" fillId="7" borderId="49" xfId="0" applyFont="1" applyFill="1" applyBorder="1" applyAlignment="1">
      <alignment horizontal="center" vertical="center" wrapText="1"/>
    </xf>
    <xf numFmtId="0" fontId="21" fillId="7" borderId="40" xfId="0" applyFont="1" applyFill="1" applyBorder="1" applyAlignment="1">
      <alignment horizontal="center" vertical="center" wrapText="1"/>
    </xf>
    <xf numFmtId="0" fontId="21" fillId="7" borderId="47" xfId="0" applyFont="1" applyFill="1" applyBorder="1" applyAlignment="1">
      <alignment horizontal="center" vertical="center" wrapText="1"/>
    </xf>
    <xf numFmtId="170" fontId="21" fillId="7" borderId="41" xfId="0" applyNumberFormat="1" applyFont="1" applyFill="1" applyBorder="1" applyAlignment="1">
      <alignment horizontal="center" vertical="center" wrapText="1"/>
    </xf>
    <xf numFmtId="170" fontId="21" fillId="7" borderId="48" xfId="0" applyNumberFormat="1" applyFont="1" applyFill="1" applyBorder="1" applyAlignment="1">
      <alignment horizontal="center" vertical="center" wrapText="1"/>
    </xf>
    <xf numFmtId="170" fontId="21" fillId="7" borderId="24" xfId="0" applyNumberFormat="1" applyFont="1" applyFill="1" applyBorder="1" applyAlignment="1">
      <alignment horizontal="center" vertical="center" wrapText="1"/>
    </xf>
    <xf numFmtId="0" fontId="21" fillId="7" borderId="42" xfId="0" applyFont="1" applyFill="1" applyBorder="1" applyAlignment="1">
      <alignment horizontal="center" vertical="center" wrapText="1"/>
    </xf>
    <xf numFmtId="0" fontId="21" fillId="7" borderId="43" xfId="0" applyFont="1" applyFill="1" applyBorder="1" applyAlignment="1">
      <alignment horizontal="center" vertical="center" wrapText="1"/>
    </xf>
    <xf numFmtId="171" fontId="19" fillId="4" borderId="38" xfId="2" applyNumberFormat="1" applyFont="1" applyFill="1" applyBorder="1" applyAlignment="1">
      <alignment horizontal="center" vertical="center"/>
    </xf>
    <xf numFmtId="171" fontId="19" fillId="4" borderId="39" xfId="2" applyNumberFormat="1" applyFont="1" applyFill="1" applyBorder="1" applyAlignment="1">
      <alignment horizontal="center" vertical="center"/>
    </xf>
    <xf numFmtId="0" fontId="23" fillId="0" borderId="37" xfId="0" applyFont="1" applyBorder="1" applyAlignment="1">
      <alignment horizontal="center" vertical="center"/>
    </xf>
    <xf numFmtId="0" fontId="23" fillId="0" borderId="38" xfId="0" applyFont="1" applyBorder="1" applyAlignment="1">
      <alignment horizontal="center" vertical="center"/>
    </xf>
    <xf numFmtId="0" fontId="23" fillId="0" borderId="39" xfId="0" applyFont="1" applyBorder="1" applyAlignment="1">
      <alignment horizontal="center" vertical="center"/>
    </xf>
    <xf numFmtId="172" fontId="15" fillId="6" borderId="38" xfId="0" applyNumberFormat="1" applyFont="1" applyFill="1" applyBorder="1" applyAlignment="1">
      <alignment horizontal="center" vertical="center"/>
    </xf>
    <xf numFmtId="172" fontId="15" fillId="6" borderId="39" xfId="0" applyNumberFormat="1" applyFont="1" applyFill="1" applyBorder="1" applyAlignment="1">
      <alignment horizontal="center" vertical="center"/>
    </xf>
    <xf numFmtId="0" fontId="21" fillId="7" borderId="42" xfId="0" applyFont="1" applyFill="1" applyBorder="1" applyAlignment="1">
      <alignment horizontal="center" vertical="center"/>
    </xf>
    <xf numFmtId="0" fontId="21" fillId="7" borderId="45" xfId="0" applyFont="1" applyFill="1" applyBorder="1" applyAlignment="1">
      <alignment horizontal="center" vertical="center"/>
    </xf>
    <xf numFmtId="0" fontId="21" fillId="7" borderId="43" xfId="0" applyFont="1" applyFill="1" applyBorder="1" applyAlignment="1">
      <alignment horizontal="center" vertical="center"/>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4" fillId="0" borderId="4" xfId="0" applyFont="1" applyBorder="1" applyAlignment="1">
      <alignment horizontal="center" vertical="center"/>
    </xf>
    <xf numFmtId="166" fontId="4" fillId="0" borderId="7"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3" fillId="0" borderId="0" xfId="0" applyFont="1" applyAlignment="1">
      <alignment horizontal="left" vertical="center"/>
    </xf>
    <xf numFmtId="0" fontId="4" fillId="0" borderId="13"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0" xfId="0" applyFont="1" applyAlignment="1">
      <alignment horizontal="center" vertical="center" wrapText="1"/>
    </xf>
    <xf numFmtId="0" fontId="4" fillId="0" borderId="11" xfId="0" applyFont="1" applyBorder="1" applyAlignment="1">
      <alignment horizontal="center" vertical="center"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78</xdr:row>
      <xdr:rowOff>126999</xdr:rowOff>
    </xdr:from>
    <xdr:to>
      <xdr:col>6</xdr:col>
      <xdr:colOff>952500</xdr:colOff>
      <xdr:row>83</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23</xdr:col>
      <xdr:colOff>0</xdr:colOff>
      <xdr:row>23</xdr:row>
      <xdr:rowOff>0</xdr:rowOff>
    </xdr:from>
    <xdr:to>
      <xdr:col>34</xdr:col>
      <xdr:colOff>319727</xdr:colOff>
      <xdr:row>34</xdr:row>
      <xdr:rowOff>85106</xdr:rowOff>
    </xdr:to>
    <xdr:pic>
      <xdr:nvPicPr>
        <xdr:cNvPr id="3" name="Picture 2">
          <a:extLst>
            <a:ext uri="{FF2B5EF4-FFF2-40B4-BE49-F238E27FC236}">
              <a16:creationId xmlns:a16="http://schemas.microsoft.com/office/drawing/2014/main" id="{936D3DE1-601A-4E17-A510-032A43C4F55A}"/>
            </a:ext>
          </a:extLst>
        </xdr:cNvPr>
        <xdr:cNvPicPr>
          <a:picLocks noChangeAspect="1"/>
        </xdr:cNvPicPr>
      </xdr:nvPicPr>
      <xdr:blipFill>
        <a:blip xmlns:r="http://schemas.openxmlformats.org/officeDocument/2006/relationships" r:embed="rId2"/>
        <a:stretch>
          <a:fillRect/>
        </a:stretch>
      </xdr:blipFill>
      <xdr:spPr>
        <a:xfrm>
          <a:off x="14308667" y="5143500"/>
          <a:ext cx="8373644" cy="31436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118</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55</xdr:row>
      <xdr:rowOff>14552</xdr:rowOff>
    </xdr:from>
    <xdr:to>
      <xdr:col>7</xdr:col>
      <xdr:colOff>424658</xdr:colOff>
      <xdr:row>58</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90"/>
  <sheetViews>
    <sheetView showGridLines="0" topLeftCell="A49" zoomScale="90" zoomScaleNormal="90" workbookViewId="0">
      <selection activeCell="K17" sqref="K17"/>
    </sheetView>
  </sheetViews>
  <sheetFormatPr defaultRowHeight="1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c r="U1" s="17" t="s">
        <v>157</v>
      </c>
    </row>
    <row r="2" spans="2:26" ht="15" customHeight="1">
      <c r="B2" s="154" t="s">
        <v>0</v>
      </c>
      <c r="C2" s="94"/>
      <c r="D2" s="94"/>
      <c r="E2" s="94"/>
      <c r="F2" s="94"/>
      <c r="G2" s="155"/>
      <c r="H2" s="156" t="s">
        <v>99</v>
      </c>
      <c r="I2" s="145" t="s">
        <v>100</v>
      </c>
      <c r="J2" s="146" t="s">
        <v>195</v>
      </c>
      <c r="K2" s="146"/>
      <c r="L2" s="146"/>
      <c r="M2" s="147"/>
      <c r="N2" s="487" t="s">
        <v>105</v>
      </c>
      <c r="O2" s="488"/>
      <c r="P2" s="487" t="s">
        <v>104</v>
      </c>
      <c r="Q2" s="488"/>
      <c r="R2" s="487" t="s">
        <v>91</v>
      </c>
      <c r="S2" s="488"/>
      <c r="T2" s="487" t="s">
        <v>90</v>
      </c>
      <c r="U2" s="488"/>
    </row>
    <row r="3" spans="2:26" ht="15" customHeight="1">
      <c r="B3" s="513" t="s">
        <v>96</v>
      </c>
      <c r="C3" s="514"/>
      <c r="D3" s="514"/>
      <c r="E3" s="514"/>
      <c r="F3" s="514"/>
      <c r="G3" s="514"/>
      <c r="H3" s="515"/>
      <c r="I3" s="148" t="s">
        <v>101</v>
      </c>
      <c r="J3" s="149" t="s">
        <v>107</v>
      </c>
      <c r="K3" s="149"/>
      <c r="L3" s="149"/>
      <c r="M3" s="150"/>
      <c r="N3" s="502" t="s">
        <v>199</v>
      </c>
      <c r="O3" s="503"/>
      <c r="P3" s="503"/>
      <c r="Q3" s="503"/>
      <c r="R3" s="503"/>
      <c r="S3" s="503"/>
      <c r="T3" s="503"/>
      <c r="U3" s="504"/>
    </row>
    <row r="4" spans="2:26" ht="15" customHeight="1">
      <c r="B4" s="516"/>
      <c r="C4" s="517"/>
      <c r="D4" s="517"/>
      <c r="E4" s="517"/>
      <c r="F4" s="517"/>
      <c r="G4" s="517"/>
      <c r="H4" s="518"/>
      <c r="I4" s="148" t="s">
        <v>5</v>
      </c>
      <c r="J4" s="149" t="s">
        <v>108</v>
      </c>
      <c r="K4" s="149"/>
      <c r="L4" s="149"/>
      <c r="M4" s="150"/>
      <c r="N4" s="505"/>
      <c r="O4" s="506"/>
      <c r="P4" s="506"/>
      <c r="Q4" s="506"/>
      <c r="R4" s="506"/>
      <c r="S4" s="506"/>
      <c r="T4" s="506"/>
      <c r="U4" s="507"/>
    </row>
    <row r="5" spans="2:26" ht="15" customHeight="1">
      <c r="B5" s="516"/>
      <c r="C5" s="517"/>
      <c r="D5" s="517"/>
      <c r="E5" s="517"/>
      <c r="F5" s="517"/>
      <c r="G5" s="517"/>
      <c r="H5" s="518"/>
      <c r="I5" s="148" t="s">
        <v>102</v>
      </c>
      <c r="J5" s="149" t="s">
        <v>109</v>
      </c>
      <c r="K5" s="149"/>
      <c r="L5" s="149"/>
      <c r="M5" s="150"/>
      <c r="N5" s="508"/>
      <c r="O5" s="509"/>
      <c r="P5" s="509"/>
      <c r="Q5" s="509"/>
      <c r="R5" s="509"/>
      <c r="S5" s="509"/>
      <c r="T5" s="509"/>
      <c r="U5" s="510"/>
    </row>
    <row r="6" spans="2:26" ht="15" customHeight="1">
      <c r="B6" s="519"/>
      <c r="C6" s="520"/>
      <c r="D6" s="520"/>
      <c r="E6" s="520"/>
      <c r="F6" s="520"/>
      <c r="G6" s="520"/>
      <c r="H6" s="521"/>
      <c r="I6" s="151" t="s">
        <v>103</v>
      </c>
      <c r="J6" s="152" t="s">
        <v>213</v>
      </c>
      <c r="K6" s="152"/>
      <c r="L6" s="152"/>
      <c r="M6" s="153"/>
      <c r="N6" s="487" t="s">
        <v>106</v>
      </c>
      <c r="O6" s="488"/>
      <c r="P6" s="487" t="s">
        <v>94</v>
      </c>
      <c r="Q6" s="488"/>
      <c r="R6" s="487" t="s">
        <v>93</v>
      </c>
      <c r="S6" s="488"/>
      <c r="T6" s="487" t="s">
        <v>92</v>
      </c>
      <c r="U6" s="488"/>
    </row>
    <row r="7" spans="2:26" ht="15" customHeight="1">
      <c r="B7" s="128"/>
      <c r="U7" s="95"/>
    </row>
    <row r="8" spans="2:26" s="5" customFormat="1" ht="21.95" customHeight="1">
      <c r="B8" s="129" t="s">
        <v>8</v>
      </c>
      <c r="C8" s="120"/>
      <c r="D8" s="120"/>
      <c r="E8" s="120"/>
      <c r="F8" s="120"/>
      <c r="G8" s="122" t="s">
        <v>303</v>
      </c>
      <c r="H8" s="6"/>
      <c r="I8" s="6"/>
      <c r="J8" s="6"/>
      <c r="U8" s="97"/>
    </row>
    <row r="9" spans="2:26" s="5" customFormat="1" ht="21.95" customHeight="1">
      <c r="B9" s="130" t="s">
        <v>9</v>
      </c>
      <c r="C9" s="121"/>
      <c r="D9" s="121"/>
      <c r="E9" s="121"/>
      <c r="F9" s="121"/>
      <c r="G9" s="123" t="s">
        <v>304</v>
      </c>
      <c r="H9" s="7"/>
      <c r="I9" s="7"/>
      <c r="J9" s="7"/>
      <c r="U9" s="97"/>
    </row>
    <row r="10" spans="2:26" s="5" customFormat="1" ht="15" customHeight="1">
      <c r="B10" s="96"/>
      <c r="C10" s="102"/>
      <c r="D10" s="102"/>
      <c r="E10" s="102"/>
      <c r="F10" s="102"/>
      <c r="G10" s="15"/>
      <c r="U10" s="97"/>
    </row>
    <row r="11" spans="2:26" ht="24.95" customHeight="1">
      <c r="B11" s="131" t="s">
        <v>110</v>
      </c>
      <c r="U11" s="95"/>
    </row>
    <row r="12" spans="2:26" s="8" customFormat="1" ht="24.95" customHeight="1">
      <c r="B12" s="116" t="s">
        <v>1</v>
      </c>
      <c r="C12" s="526" t="s">
        <v>5</v>
      </c>
      <c r="D12" s="527"/>
      <c r="E12" s="527"/>
      <c r="F12" s="528"/>
      <c r="G12" s="522" t="s">
        <v>4</v>
      </c>
      <c r="H12" s="523"/>
      <c r="I12" s="522" t="s">
        <v>98</v>
      </c>
      <c r="J12" s="546"/>
      <c r="K12" s="522" t="s">
        <v>2</v>
      </c>
      <c r="L12" s="523"/>
      <c r="M12" s="567" t="s">
        <v>3</v>
      </c>
      <c r="N12" s="567"/>
      <c r="O12" s="567"/>
      <c r="P12" s="567"/>
      <c r="Q12" s="567"/>
      <c r="R12" s="92"/>
      <c r="S12" s="92"/>
      <c r="T12" s="92"/>
      <c r="U12" s="98"/>
      <c r="V12" s="92"/>
      <c r="W12" s="92"/>
      <c r="X12" s="92"/>
      <c r="Y12" s="532"/>
      <c r="Z12" s="532"/>
    </row>
    <row r="13" spans="2:26" ht="24.95" customHeight="1">
      <c r="B13" s="18">
        <v>1</v>
      </c>
      <c r="C13" s="277">
        <v>45264</v>
      </c>
      <c r="D13" s="483" t="s">
        <v>6</v>
      </c>
      <c r="E13" s="483"/>
      <c r="F13" s="278">
        <v>45268</v>
      </c>
      <c r="G13" s="484" t="s">
        <v>292</v>
      </c>
      <c r="H13" s="485"/>
      <c r="I13" s="484" t="s">
        <v>241</v>
      </c>
      <c r="J13" s="485"/>
      <c r="K13" s="343">
        <v>2412</v>
      </c>
      <c r="L13" s="344"/>
      <c r="M13" s="279" t="s">
        <v>294</v>
      </c>
      <c r="N13" s="280"/>
      <c r="O13" s="280"/>
      <c r="P13" s="280"/>
      <c r="Q13" s="281"/>
      <c r="U13" s="95"/>
    </row>
    <row r="14" spans="2:26" ht="24.95" customHeight="1">
      <c r="B14" s="18">
        <v>2</v>
      </c>
      <c r="C14" s="277">
        <f>+C13</f>
        <v>45264</v>
      </c>
      <c r="D14" s="483" t="s">
        <v>6</v>
      </c>
      <c r="E14" s="483"/>
      <c r="F14" s="278">
        <f>+F13</f>
        <v>45268</v>
      </c>
      <c r="G14" s="484" t="s">
        <v>293</v>
      </c>
      <c r="H14" s="485"/>
      <c r="I14" s="484" t="s">
        <v>241</v>
      </c>
      <c r="J14" s="486"/>
      <c r="K14" s="343">
        <v>1158</v>
      </c>
      <c r="L14" s="344"/>
      <c r="M14" s="279" t="s">
        <v>295</v>
      </c>
      <c r="N14" s="280"/>
      <c r="O14" s="280"/>
      <c r="P14" s="280"/>
      <c r="Q14" s="281"/>
      <c r="U14" s="95"/>
    </row>
    <row r="15" spans="2:26" ht="24.95" customHeight="1">
      <c r="B15" s="18">
        <v>3</v>
      </c>
      <c r="C15" s="277">
        <f>+C14</f>
        <v>45264</v>
      </c>
      <c r="D15" s="483" t="s">
        <v>6</v>
      </c>
      <c r="E15" s="483"/>
      <c r="F15" s="278">
        <f>+F14</f>
        <v>45268</v>
      </c>
      <c r="G15" s="484" t="s">
        <v>283</v>
      </c>
      <c r="H15" s="485"/>
      <c r="I15" s="484" t="s">
        <v>289</v>
      </c>
      <c r="J15" s="486"/>
      <c r="K15" s="343">
        <v>1651</v>
      </c>
      <c r="L15" s="344"/>
      <c r="M15" s="279" t="s">
        <v>296</v>
      </c>
      <c r="N15" s="280"/>
      <c r="O15" s="280"/>
      <c r="P15" s="280"/>
      <c r="Q15" s="281"/>
      <c r="U15" s="95"/>
    </row>
    <row r="16" spans="2:26" ht="24.95" customHeight="1">
      <c r="B16" s="18">
        <v>4</v>
      </c>
      <c r="C16" s="277">
        <f t="shared" ref="C16:C17" si="0">+C15</f>
        <v>45264</v>
      </c>
      <c r="D16" s="483" t="s">
        <v>6</v>
      </c>
      <c r="E16" s="483"/>
      <c r="F16" s="278">
        <f t="shared" ref="F16:F17" si="1">+F15</f>
        <v>45268</v>
      </c>
      <c r="G16" s="484" t="s">
        <v>283</v>
      </c>
      <c r="H16" s="485"/>
      <c r="I16" s="484" t="s">
        <v>305</v>
      </c>
      <c r="J16" s="486"/>
      <c r="K16" s="343">
        <v>27106</v>
      </c>
      <c r="L16" s="344"/>
      <c r="M16" s="279" t="s">
        <v>308</v>
      </c>
      <c r="N16" s="280"/>
      <c r="O16" s="280"/>
      <c r="P16" s="280"/>
      <c r="Q16" s="281"/>
      <c r="U16" s="95"/>
    </row>
    <row r="17" spans="2:23" ht="24.95" customHeight="1">
      <c r="B17" s="18">
        <v>5</v>
      </c>
      <c r="C17" s="277">
        <f t="shared" si="0"/>
        <v>45264</v>
      </c>
      <c r="D17" s="483" t="s">
        <v>6</v>
      </c>
      <c r="E17" s="483"/>
      <c r="F17" s="278">
        <f t="shared" si="1"/>
        <v>45268</v>
      </c>
      <c r="G17" s="484" t="s">
        <v>283</v>
      </c>
      <c r="H17" s="485"/>
      <c r="I17" s="484" t="s">
        <v>306</v>
      </c>
      <c r="J17" s="486"/>
      <c r="K17" s="343">
        <v>20205</v>
      </c>
      <c r="L17" s="344"/>
      <c r="M17" s="279" t="s">
        <v>307</v>
      </c>
      <c r="N17" s="280"/>
      <c r="O17" s="280"/>
      <c r="P17" s="280"/>
      <c r="Q17" s="281"/>
      <c r="U17" s="95"/>
    </row>
    <row r="18" spans="2:23" ht="15" customHeight="1">
      <c r="B18" s="11"/>
      <c r="U18" s="95"/>
    </row>
    <row r="19" spans="2:23" ht="20.100000000000001" customHeight="1">
      <c r="B19" s="131" t="s">
        <v>144</v>
      </c>
      <c r="U19" s="95"/>
    </row>
    <row r="20" spans="2:23" ht="20.100000000000001" customHeight="1">
      <c r="B20" s="132" t="s">
        <v>114</v>
      </c>
      <c r="K20" s="99" t="s">
        <v>115</v>
      </c>
      <c r="L20" s="99"/>
      <c r="U20" s="95"/>
    </row>
    <row r="21" spans="2:23" s="3" customFormat="1" ht="20.100000000000001" customHeight="1" thickBot="1">
      <c r="B21" s="544" t="s">
        <v>1</v>
      </c>
      <c r="C21" s="491" t="s">
        <v>5</v>
      </c>
      <c r="D21" s="492"/>
      <c r="E21" s="522" t="s">
        <v>191</v>
      </c>
      <c r="F21" s="546"/>
      <c r="G21" s="523"/>
      <c r="H21" s="522" t="s">
        <v>97</v>
      </c>
      <c r="I21" s="523"/>
      <c r="J21" s="5"/>
      <c r="K21" s="500" t="s">
        <v>1</v>
      </c>
      <c r="L21" s="496" t="s">
        <v>5</v>
      </c>
      <c r="M21" s="497"/>
      <c r="N21" s="493" t="s">
        <v>13</v>
      </c>
      <c r="O21" s="494"/>
      <c r="P21" s="494"/>
      <c r="Q21" s="495"/>
      <c r="R21" s="493" t="s">
        <v>97</v>
      </c>
      <c r="S21" s="494"/>
      <c r="T21" s="494"/>
      <c r="U21" s="495"/>
      <c r="V21" s="9"/>
      <c r="W21" s="9"/>
    </row>
    <row r="22" spans="2:23" s="3" customFormat="1" ht="20.100000000000001" customHeight="1" thickTop="1" thickBot="1">
      <c r="B22" s="545"/>
      <c r="C22" s="524"/>
      <c r="D22" s="525"/>
      <c r="E22" s="538" t="s">
        <v>36</v>
      </c>
      <c r="F22" s="539"/>
      <c r="G22" s="118" t="s">
        <v>37</v>
      </c>
      <c r="H22" s="117" t="s">
        <v>36</v>
      </c>
      <c r="I22" s="113" t="s">
        <v>37</v>
      </c>
      <c r="J22" s="5"/>
      <c r="K22" s="501"/>
      <c r="L22" s="498"/>
      <c r="M22" s="499"/>
      <c r="N22" s="491" t="s">
        <v>36</v>
      </c>
      <c r="O22" s="492"/>
      <c r="P22" s="491" t="s">
        <v>37</v>
      </c>
      <c r="Q22" s="492"/>
      <c r="R22" s="491" t="s">
        <v>36</v>
      </c>
      <c r="S22" s="492"/>
      <c r="T22" s="491" t="s">
        <v>37</v>
      </c>
      <c r="U22" s="492"/>
      <c r="V22" s="9"/>
      <c r="W22" s="9"/>
    </row>
    <row r="23" spans="2:23" ht="24.95" customHeight="1" thickTop="1" thickBot="1">
      <c r="B23" s="119">
        <v>1</v>
      </c>
      <c r="C23" s="533" t="s">
        <v>7</v>
      </c>
      <c r="D23" s="534"/>
      <c r="E23" s="489"/>
      <c r="F23" s="490"/>
      <c r="G23" s="225"/>
      <c r="H23" s="217"/>
      <c r="I23" s="119"/>
      <c r="J23" s="15"/>
      <c r="K23" s="119">
        <v>1</v>
      </c>
      <c r="L23" s="574"/>
      <c r="M23" s="575"/>
      <c r="N23" s="511"/>
      <c r="O23" s="512"/>
      <c r="P23" s="562"/>
      <c r="Q23" s="563"/>
      <c r="R23" s="562"/>
      <c r="S23" s="563"/>
      <c r="T23" s="562"/>
      <c r="U23" s="563"/>
      <c r="V23" s="9"/>
      <c r="W23" s="9"/>
    </row>
    <row r="24" spans="2:23" ht="24.95" customHeight="1" thickTop="1" thickBot="1">
      <c r="B24" s="119">
        <v>2</v>
      </c>
      <c r="C24" s="533" t="s">
        <v>7</v>
      </c>
      <c r="D24" s="534"/>
      <c r="E24" s="489"/>
      <c r="F24" s="490"/>
      <c r="G24" s="225"/>
      <c r="H24" s="217"/>
      <c r="I24" s="119"/>
      <c r="J24" s="15"/>
      <c r="K24" s="114">
        <v>2</v>
      </c>
      <c r="L24" s="542"/>
      <c r="M24" s="543"/>
      <c r="N24" s="562"/>
      <c r="O24" s="563"/>
      <c r="P24" s="547"/>
      <c r="Q24" s="548"/>
      <c r="R24" s="547"/>
      <c r="S24" s="548"/>
      <c r="T24" s="547"/>
      <c r="U24" s="548"/>
    </row>
    <row r="25" spans="2:23" ht="15" customHeight="1" thickTop="1">
      <c r="B25" s="11"/>
      <c r="U25" s="95"/>
    </row>
    <row r="26" spans="2:23" ht="20.100000000000001" customHeight="1">
      <c r="B26" s="96" t="s">
        <v>116</v>
      </c>
      <c r="C26" s="16"/>
      <c r="D26" s="16"/>
      <c r="E26" s="16"/>
      <c r="F26" s="16"/>
      <c r="G26" s="15"/>
      <c r="H26" s="15"/>
      <c r="I26" s="15"/>
      <c r="J26" s="15"/>
      <c r="K26" s="15"/>
      <c r="L26" s="15"/>
      <c r="M26" s="15"/>
      <c r="N26" s="15"/>
      <c r="O26" s="15"/>
      <c r="P26" s="15"/>
      <c r="Q26" s="15"/>
      <c r="R26" s="15"/>
      <c r="S26" s="15"/>
      <c r="T26" s="15"/>
      <c r="U26" s="133"/>
    </row>
    <row r="27" spans="2:23" s="3" customFormat="1" ht="20.100000000000001" customHeight="1">
      <c r="B27" s="500" t="s">
        <v>1</v>
      </c>
      <c r="C27" s="496" t="s">
        <v>5</v>
      </c>
      <c r="D27" s="530"/>
      <c r="E27" s="530"/>
      <c r="F27" s="497"/>
      <c r="G27" s="526" t="s">
        <v>14</v>
      </c>
      <c r="H27" s="528"/>
      <c r="I27" s="567" t="s">
        <v>112</v>
      </c>
      <c r="J27" s="522" t="s">
        <v>15</v>
      </c>
      <c r="K27" s="546"/>
      <c r="L27" s="546"/>
      <c r="M27" s="523"/>
      <c r="N27" s="540" t="s">
        <v>111</v>
      </c>
      <c r="O27" s="540"/>
      <c r="P27" s="540"/>
      <c r="Q27" s="540"/>
      <c r="R27" s="540"/>
      <c r="S27" s="540"/>
      <c r="T27" s="540"/>
      <c r="U27" s="540"/>
      <c r="V27" s="9"/>
      <c r="W27" s="9"/>
    </row>
    <row r="28" spans="2:23" s="3" customFormat="1" ht="20.100000000000001" customHeight="1" thickBot="1">
      <c r="B28" s="501"/>
      <c r="C28" s="498"/>
      <c r="D28" s="531"/>
      <c r="E28" s="531"/>
      <c r="F28" s="499"/>
      <c r="G28" s="572"/>
      <c r="H28" s="573"/>
      <c r="I28" s="568"/>
      <c r="J28" s="538" t="s">
        <v>17</v>
      </c>
      <c r="K28" s="539"/>
      <c r="L28" s="538" t="s">
        <v>16</v>
      </c>
      <c r="M28" s="539"/>
      <c r="N28" s="541"/>
      <c r="O28" s="541"/>
      <c r="P28" s="541"/>
      <c r="Q28" s="541"/>
      <c r="R28" s="541"/>
      <c r="S28" s="541"/>
      <c r="T28" s="541"/>
      <c r="U28" s="541"/>
      <c r="V28" s="9"/>
      <c r="W28" s="9"/>
    </row>
    <row r="29" spans="2:23" ht="50.1" customHeight="1" thickTop="1">
      <c r="B29" s="114">
        <v>1</v>
      </c>
      <c r="C29" s="274">
        <f>+C13</f>
        <v>45264</v>
      </c>
      <c r="D29" s="529" t="s">
        <v>6</v>
      </c>
      <c r="E29" s="529"/>
      <c r="F29" s="275">
        <f>+F13</f>
        <v>45268</v>
      </c>
      <c r="G29" s="561" t="s">
        <v>279</v>
      </c>
      <c r="H29" s="536"/>
      <c r="I29" s="276" t="s">
        <v>297</v>
      </c>
      <c r="J29" s="535" t="s">
        <v>284</v>
      </c>
      <c r="K29" s="569"/>
      <c r="L29" s="535">
        <v>0.58333333333333337</v>
      </c>
      <c r="M29" s="536"/>
      <c r="N29" s="537" t="s">
        <v>7</v>
      </c>
      <c r="O29" s="537"/>
      <c r="P29" s="537"/>
      <c r="Q29" s="537"/>
      <c r="R29" s="537"/>
      <c r="S29" s="537"/>
      <c r="T29" s="537"/>
      <c r="U29" s="537"/>
      <c r="V29" s="9"/>
      <c r="W29" s="9"/>
    </row>
    <row r="30" spans="2:23" ht="24.95" customHeight="1">
      <c r="B30" s="134" t="s">
        <v>143</v>
      </c>
      <c r="C30" s="16"/>
      <c r="D30" s="16"/>
      <c r="E30" s="16"/>
      <c r="F30" s="16"/>
      <c r="G30" s="15"/>
      <c r="H30" s="15"/>
      <c r="I30" s="15"/>
      <c r="J30" s="15"/>
      <c r="K30" s="15"/>
      <c r="L30" s="15"/>
      <c r="M30" s="15"/>
      <c r="N30" s="15"/>
      <c r="O30" s="15"/>
      <c r="U30" s="95"/>
    </row>
    <row r="31" spans="2:23" s="10" customFormat="1" ht="20.100000000000001" customHeight="1">
      <c r="B31" s="104" t="s">
        <v>120</v>
      </c>
      <c r="C31" s="554" t="s">
        <v>165</v>
      </c>
      <c r="D31" s="554"/>
      <c r="E31" s="554"/>
      <c r="F31" s="554"/>
      <c r="G31" s="554"/>
      <c r="H31" s="554"/>
      <c r="I31" s="554"/>
      <c r="J31" s="564" t="s">
        <v>121</v>
      </c>
      <c r="K31" s="565"/>
      <c r="L31" s="566"/>
      <c r="M31" s="564" t="s">
        <v>122</v>
      </c>
      <c r="N31" s="565"/>
      <c r="O31" s="566"/>
      <c r="P31" s="554" t="s">
        <v>33</v>
      </c>
      <c r="Q31" s="554"/>
      <c r="R31" s="554"/>
      <c r="U31" s="100"/>
    </row>
    <row r="32" spans="2:23" s="103" customFormat="1" ht="17.100000000000001" customHeight="1">
      <c r="B32" s="115">
        <v>1</v>
      </c>
      <c r="C32" s="550" t="s">
        <v>18</v>
      </c>
      <c r="D32" s="550"/>
      <c r="E32" s="550"/>
      <c r="F32" s="550"/>
      <c r="G32" s="550"/>
      <c r="H32" s="550"/>
      <c r="I32" s="550"/>
      <c r="J32" s="551" t="s">
        <v>30</v>
      </c>
      <c r="K32" s="552"/>
      <c r="L32" s="553"/>
      <c r="M32" s="551" t="s">
        <v>30</v>
      </c>
      <c r="N32" s="552"/>
      <c r="O32" s="553"/>
      <c r="P32" s="570" t="s">
        <v>30</v>
      </c>
      <c r="Q32" s="570"/>
      <c r="R32" s="570"/>
      <c r="U32" s="135"/>
    </row>
    <row r="33" spans="2:21" s="103" customFormat="1" ht="17.100000000000001" customHeight="1">
      <c r="B33" s="115">
        <v>2</v>
      </c>
      <c r="C33" s="550" t="s">
        <v>19</v>
      </c>
      <c r="D33" s="550"/>
      <c r="E33" s="550"/>
      <c r="F33" s="550"/>
      <c r="G33" s="550"/>
      <c r="H33" s="550"/>
      <c r="I33" s="550"/>
      <c r="J33" s="551" t="s">
        <v>30</v>
      </c>
      <c r="K33" s="552"/>
      <c r="L33" s="553"/>
      <c r="M33" s="551" t="s">
        <v>30</v>
      </c>
      <c r="N33" s="552"/>
      <c r="O33" s="553"/>
      <c r="P33" s="570" t="s">
        <v>30</v>
      </c>
      <c r="Q33" s="570"/>
      <c r="R33" s="570"/>
      <c r="U33" s="135"/>
    </row>
    <row r="34" spans="2:21" s="103" customFormat="1" ht="17.100000000000001" customHeight="1">
      <c r="B34" s="115">
        <v>3</v>
      </c>
      <c r="C34" s="549" t="s">
        <v>160</v>
      </c>
      <c r="D34" s="549"/>
      <c r="E34" s="549"/>
      <c r="F34" s="549"/>
      <c r="G34" s="549"/>
      <c r="H34" s="549"/>
      <c r="I34" s="549"/>
      <c r="J34" s="551" t="s">
        <v>30</v>
      </c>
      <c r="K34" s="552"/>
      <c r="L34" s="553"/>
      <c r="M34" s="551" t="s">
        <v>30</v>
      </c>
      <c r="N34" s="552"/>
      <c r="O34" s="553"/>
      <c r="P34" s="570" t="s">
        <v>30</v>
      </c>
      <c r="Q34" s="570"/>
      <c r="R34" s="570"/>
      <c r="U34" s="135"/>
    </row>
    <row r="35" spans="2:21" s="103" customFormat="1" ht="17.100000000000001" customHeight="1">
      <c r="B35" s="115">
        <v>4</v>
      </c>
      <c r="C35" s="550" t="s">
        <v>20</v>
      </c>
      <c r="D35" s="550"/>
      <c r="E35" s="550"/>
      <c r="F35" s="550"/>
      <c r="G35" s="550"/>
      <c r="H35" s="550"/>
      <c r="I35" s="550"/>
      <c r="J35" s="551" t="s">
        <v>30</v>
      </c>
      <c r="K35" s="552"/>
      <c r="L35" s="553"/>
      <c r="M35" s="551" t="s">
        <v>30</v>
      </c>
      <c r="N35" s="552"/>
      <c r="O35" s="553"/>
      <c r="P35" s="570" t="s">
        <v>30</v>
      </c>
      <c r="Q35" s="570"/>
      <c r="R35" s="570"/>
      <c r="U35" s="135"/>
    </row>
    <row r="36" spans="2:21" s="103" customFormat="1" ht="17.100000000000001" customHeight="1">
      <c r="B36" s="115">
        <v>5</v>
      </c>
      <c r="C36" s="550" t="s">
        <v>21</v>
      </c>
      <c r="D36" s="550"/>
      <c r="E36" s="550"/>
      <c r="F36" s="550"/>
      <c r="G36" s="550"/>
      <c r="H36" s="550"/>
      <c r="I36" s="550"/>
      <c r="J36" s="551" t="s">
        <v>30</v>
      </c>
      <c r="K36" s="552"/>
      <c r="L36" s="553"/>
      <c r="M36" s="551" t="s">
        <v>30</v>
      </c>
      <c r="N36" s="552"/>
      <c r="O36" s="553"/>
      <c r="P36" s="570" t="s">
        <v>30</v>
      </c>
      <c r="Q36" s="570"/>
      <c r="R36" s="570"/>
      <c r="U36" s="135"/>
    </row>
    <row r="37" spans="2:21" s="103" customFormat="1" ht="17.100000000000001" customHeight="1">
      <c r="B37" s="115">
        <v>6</v>
      </c>
      <c r="C37" s="549" t="s">
        <v>161</v>
      </c>
      <c r="D37" s="549"/>
      <c r="E37" s="549"/>
      <c r="F37" s="549"/>
      <c r="G37" s="549"/>
      <c r="H37" s="549"/>
      <c r="I37" s="549"/>
      <c r="J37" s="551" t="s">
        <v>30</v>
      </c>
      <c r="K37" s="552"/>
      <c r="L37" s="553"/>
      <c r="M37" s="551" t="s">
        <v>30</v>
      </c>
      <c r="N37" s="552"/>
      <c r="O37" s="553"/>
      <c r="P37" s="570" t="s">
        <v>30</v>
      </c>
      <c r="Q37" s="570"/>
      <c r="R37" s="570"/>
      <c r="U37" s="135"/>
    </row>
    <row r="38" spans="2:21" s="103" customFormat="1" ht="35.1" customHeight="1">
      <c r="B38" s="115">
        <v>7</v>
      </c>
      <c r="C38" s="550" t="s">
        <v>22</v>
      </c>
      <c r="D38" s="550"/>
      <c r="E38" s="550"/>
      <c r="F38" s="550"/>
      <c r="G38" s="550"/>
      <c r="H38" s="550"/>
      <c r="I38" s="550"/>
      <c r="J38" s="555" t="s">
        <v>162</v>
      </c>
      <c r="K38" s="556"/>
      <c r="L38" s="557"/>
      <c r="M38" s="555" t="s">
        <v>163</v>
      </c>
      <c r="N38" s="556"/>
      <c r="O38" s="557"/>
      <c r="P38" s="571" t="s">
        <v>163</v>
      </c>
      <c r="Q38" s="571"/>
      <c r="R38" s="571"/>
      <c r="U38" s="135"/>
    </row>
    <row r="39" spans="2:21" s="103" customFormat="1" ht="35.1" customHeight="1">
      <c r="B39" s="115">
        <v>8</v>
      </c>
      <c r="C39" s="550" t="s">
        <v>23</v>
      </c>
      <c r="D39" s="550"/>
      <c r="E39" s="550"/>
      <c r="F39" s="550"/>
      <c r="G39" s="550"/>
      <c r="H39" s="550"/>
      <c r="I39" s="550"/>
      <c r="J39" s="558" t="s">
        <v>31</v>
      </c>
      <c r="K39" s="559"/>
      <c r="L39" s="560"/>
      <c r="M39" s="555" t="s">
        <v>164</v>
      </c>
      <c r="N39" s="556"/>
      <c r="O39" s="557"/>
      <c r="P39" s="571" t="s">
        <v>164</v>
      </c>
      <c r="Q39" s="571"/>
      <c r="R39" s="571"/>
      <c r="U39" s="135"/>
    </row>
    <row r="40" spans="2:21" s="103" customFormat="1" ht="17.100000000000001" customHeight="1">
      <c r="B40" s="115">
        <v>9</v>
      </c>
      <c r="C40" s="550" t="s">
        <v>24</v>
      </c>
      <c r="D40" s="550"/>
      <c r="E40" s="550"/>
      <c r="F40" s="550"/>
      <c r="G40" s="550"/>
      <c r="H40" s="550"/>
      <c r="I40" s="550"/>
      <c r="J40" s="558" t="s">
        <v>31</v>
      </c>
      <c r="K40" s="559"/>
      <c r="L40" s="560"/>
      <c r="M40" s="558" t="s">
        <v>31</v>
      </c>
      <c r="N40" s="559"/>
      <c r="O40" s="560"/>
      <c r="P40" s="636" t="s">
        <v>31</v>
      </c>
      <c r="Q40" s="636"/>
      <c r="R40" s="636"/>
      <c r="U40" s="135"/>
    </row>
    <row r="41" spans="2:21" s="103" customFormat="1" ht="17.100000000000001" customHeight="1">
      <c r="B41" s="115">
        <v>10</v>
      </c>
      <c r="C41" s="550" t="s">
        <v>25</v>
      </c>
      <c r="D41" s="550"/>
      <c r="E41" s="550"/>
      <c r="F41" s="550"/>
      <c r="G41" s="550"/>
      <c r="H41" s="550"/>
      <c r="I41" s="550"/>
      <c r="J41" s="558" t="s">
        <v>31</v>
      </c>
      <c r="K41" s="559"/>
      <c r="L41" s="560"/>
      <c r="M41" s="558" t="s">
        <v>31</v>
      </c>
      <c r="N41" s="559"/>
      <c r="O41" s="560"/>
      <c r="P41" s="636" t="s">
        <v>31</v>
      </c>
      <c r="Q41" s="636"/>
      <c r="R41" s="636"/>
      <c r="U41" s="135"/>
    </row>
    <row r="42" spans="2:21" s="103" customFormat="1" ht="17.100000000000001" customHeight="1">
      <c r="B42" s="115">
        <v>11</v>
      </c>
      <c r="C42" s="550" t="s">
        <v>26</v>
      </c>
      <c r="D42" s="550"/>
      <c r="E42" s="550"/>
      <c r="F42" s="550"/>
      <c r="G42" s="550"/>
      <c r="H42" s="550"/>
      <c r="I42" s="550"/>
      <c r="J42" s="558" t="s">
        <v>31</v>
      </c>
      <c r="K42" s="559"/>
      <c r="L42" s="560"/>
      <c r="M42" s="558" t="s">
        <v>31</v>
      </c>
      <c r="N42" s="559"/>
      <c r="O42" s="560"/>
      <c r="P42" s="636" t="s">
        <v>31</v>
      </c>
      <c r="Q42" s="636"/>
      <c r="R42" s="636"/>
      <c r="U42" s="135"/>
    </row>
    <row r="43" spans="2:21" s="103" customFormat="1" ht="17.100000000000001" customHeight="1">
      <c r="B43" s="115">
        <v>12</v>
      </c>
      <c r="C43" s="550" t="s">
        <v>27</v>
      </c>
      <c r="D43" s="550"/>
      <c r="E43" s="550"/>
      <c r="F43" s="550"/>
      <c r="G43" s="550"/>
      <c r="H43" s="550"/>
      <c r="I43" s="550"/>
      <c r="J43" s="558" t="s">
        <v>31</v>
      </c>
      <c r="K43" s="559"/>
      <c r="L43" s="560"/>
      <c r="M43" s="558" t="s">
        <v>31</v>
      </c>
      <c r="N43" s="559"/>
      <c r="O43" s="560"/>
      <c r="P43" s="636" t="s">
        <v>31</v>
      </c>
      <c r="Q43" s="636"/>
      <c r="R43" s="636"/>
      <c r="U43" s="135"/>
    </row>
    <row r="44" spans="2:21" s="103" customFormat="1" ht="17.100000000000001" customHeight="1">
      <c r="B44" s="115">
        <v>13</v>
      </c>
      <c r="C44" s="550" t="s">
        <v>28</v>
      </c>
      <c r="D44" s="550"/>
      <c r="E44" s="550"/>
      <c r="F44" s="550"/>
      <c r="G44" s="550"/>
      <c r="H44" s="550"/>
      <c r="I44" s="550"/>
      <c r="J44" s="558" t="s">
        <v>32</v>
      </c>
      <c r="K44" s="559"/>
      <c r="L44" s="560"/>
      <c r="M44" s="558" t="s">
        <v>32</v>
      </c>
      <c r="N44" s="559"/>
      <c r="O44" s="560"/>
      <c r="P44" s="636" t="s">
        <v>32</v>
      </c>
      <c r="Q44" s="636"/>
      <c r="R44" s="636"/>
      <c r="U44" s="135"/>
    </row>
    <row r="45" spans="2:21" s="103" customFormat="1" ht="17.100000000000001" customHeight="1">
      <c r="B45" s="115">
        <v>14</v>
      </c>
      <c r="C45" s="550" t="s">
        <v>29</v>
      </c>
      <c r="D45" s="550"/>
      <c r="E45" s="550"/>
      <c r="F45" s="550"/>
      <c r="G45" s="550"/>
      <c r="H45" s="550"/>
      <c r="I45" s="550"/>
      <c r="J45" s="558" t="s">
        <v>31</v>
      </c>
      <c r="K45" s="559"/>
      <c r="L45" s="560"/>
      <c r="M45" s="558" t="s">
        <v>31</v>
      </c>
      <c r="N45" s="559"/>
      <c r="O45" s="560"/>
      <c r="P45" s="636" t="s">
        <v>31</v>
      </c>
      <c r="Q45" s="636"/>
      <c r="R45" s="636"/>
      <c r="U45" s="135"/>
    </row>
    <row r="46" spans="2:21" ht="24.95" customHeight="1">
      <c r="B46" s="134" t="s">
        <v>192</v>
      </c>
      <c r="C46" s="16"/>
      <c r="D46" s="16"/>
      <c r="E46" s="16"/>
      <c r="F46" s="16"/>
      <c r="G46" s="15"/>
      <c r="H46" s="15"/>
      <c r="I46" s="15"/>
      <c r="J46" s="15"/>
      <c r="K46" s="15"/>
      <c r="L46" s="15"/>
      <c r="M46" s="15"/>
      <c r="N46" s="15"/>
      <c r="O46" s="15"/>
      <c r="U46" s="95"/>
    </row>
    <row r="47" spans="2:21" s="107" customFormat="1" ht="17.100000000000001" customHeight="1">
      <c r="B47" s="554" t="s">
        <v>57</v>
      </c>
      <c r="C47" s="554"/>
      <c r="D47" s="554" t="s">
        <v>135</v>
      </c>
      <c r="E47" s="554"/>
      <c r="F47" s="554"/>
      <c r="G47" s="554"/>
      <c r="H47" s="632" t="s">
        <v>140</v>
      </c>
      <c r="I47" s="632"/>
      <c r="J47" s="632"/>
      <c r="K47" s="632" t="s">
        <v>141</v>
      </c>
      <c r="L47" s="632"/>
      <c r="M47" s="632"/>
      <c r="N47" s="632"/>
      <c r="O47" s="632"/>
      <c r="U47" s="136"/>
    </row>
    <row r="48" spans="2:21" s="14" customFormat="1" ht="17.100000000000001" customHeight="1">
      <c r="B48" s="633" t="s">
        <v>136</v>
      </c>
      <c r="C48" s="633"/>
      <c r="D48" s="633" t="s">
        <v>138</v>
      </c>
      <c r="E48" s="633"/>
      <c r="F48" s="633"/>
      <c r="G48" s="633"/>
      <c r="H48" s="635" t="s">
        <v>138</v>
      </c>
      <c r="I48" s="635"/>
      <c r="J48" s="635"/>
      <c r="K48" s="635" t="s">
        <v>142</v>
      </c>
      <c r="L48" s="635"/>
      <c r="M48" s="635"/>
      <c r="N48" s="635"/>
      <c r="O48" s="635"/>
      <c r="U48" s="137"/>
    </row>
    <row r="49" spans="2:21" s="14" customFormat="1" ht="17.100000000000001" customHeight="1">
      <c r="B49" s="633" t="s">
        <v>137</v>
      </c>
      <c r="C49" s="633"/>
      <c r="D49" s="633" t="s">
        <v>139</v>
      </c>
      <c r="E49" s="633"/>
      <c r="F49" s="633"/>
      <c r="G49" s="633"/>
      <c r="H49" s="635" t="s">
        <v>138</v>
      </c>
      <c r="I49" s="635"/>
      <c r="J49" s="635"/>
      <c r="K49" s="635" t="s">
        <v>138</v>
      </c>
      <c r="L49" s="635"/>
      <c r="M49" s="635"/>
      <c r="N49" s="635"/>
      <c r="O49" s="635"/>
      <c r="U49" s="137"/>
    </row>
    <row r="50" spans="2:21" s="103" customFormat="1" ht="15" customHeight="1">
      <c r="B50" s="112"/>
      <c r="C50" s="106"/>
      <c r="D50" s="106"/>
      <c r="E50" s="106"/>
      <c r="F50" s="106"/>
      <c r="G50" s="106"/>
      <c r="H50" s="106"/>
      <c r="I50" s="106"/>
      <c r="J50" s="105"/>
      <c r="K50" s="105"/>
      <c r="L50" s="105"/>
      <c r="M50" s="105"/>
      <c r="N50" s="105"/>
      <c r="O50" s="105"/>
      <c r="U50" s="135"/>
    </row>
    <row r="51" spans="2:21" ht="20.100000000000001" customHeight="1">
      <c r="B51" s="131" t="s">
        <v>113</v>
      </c>
      <c r="U51" s="95"/>
    </row>
    <row r="52" spans="2:21" s="102" customFormat="1" ht="20.100000000000001" customHeight="1">
      <c r="B52" s="500" t="s">
        <v>1</v>
      </c>
      <c r="C52" s="496" t="s">
        <v>86</v>
      </c>
      <c r="D52" s="530"/>
      <c r="E52" s="530"/>
      <c r="F52" s="497"/>
      <c r="G52" s="496" t="s">
        <v>87</v>
      </c>
      <c r="H52" s="530"/>
      <c r="I52" s="530"/>
      <c r="J52" s="530"/>
      <c r="K52" s="497"/>
      <c r="L52" s="637" t="s">
        <v>159</v>
      </c>
      <c r="M52" s="637"/>
      <c r="N52" s="637"/>
      <c r="O52" s="637"/>
      <c r="P52" s="637"/>
      <c r="Q52" s="637"/>
      <c r="R52" s="637"/>
      <c r="S52" s="637"/>
      <c r="U52" s="138"/>
    </row>
    <row r="53" spans="2:21" s="102" customFormat="1" ht="20.100000000000001" customHeight="1" thickBot="1">
      <c r="B53" s="501"/>
      <c r="C53" s="498"/>
      <c r="D53" s="531"/>
      <c r="E53" s="531"/>
      <c r="F53" s="499"/>
      <c r="G53" s="498"/>
      <c r="H53" s="531"/>
      <c r="I53" s="531"/>
      <c r="J53" s="531"/>
      <c r="K53" s="499"/>
      <c r="L53" s="544" t="s">
        <v>117</v>
      </c>
      <c r="M53" s="544"/>
      <c r="N53" s="544" t="s">
        <v>118</v>
      </c>
      <c r="O53" s="544"/>
      <c r="P53" s="544" t="s">
        <v>119</v>
      </c>
      <c r="Q53" s="544"/>
      <c r="R53" s="544" t="s">
        <v>154</v>
      </c>
      <c r="S53" s="544"/>
      <c r="U53" s="138"/>
    </row>
    <row r="54" spans="2:21" ht="24.95" customHeight="1" thickTop="1">
      <c r="B54" s="114">
        <v>1</v>
      </c>
      <c r="C54" s="642" t="s">
        <v>302</v>
      </c>
      <c r="D54" s="642"/>
      <c r="E54" s="642"/>
      <c r="F54" s="642"/>
      <c r="G54" s="641"/>
      <c r="H54" s="641"/>
      <c r="I54" s="641"/>
      <c r="J54" s="641"/>
      <c r="K54" s="641"/>
      <c r="L54" s="638" t="s">
        <v>120</v>
      </c>
      <c r="M54" s="638"/>
      <c r="N54" s="638" t="s">
        <v>216</v>
      </c>
      <c r="O54" s="638"/>
      <c r="P54" s="638" t="s">
        <v>216</v>
      </c>
      <c r="Q54" s="638"/>
      <c r="R54" s="638" t="s">
        <v>120</v>
      </c>
      <c r="S54" s="638"/>
      <c r="U54" s="95"/>
    </row>
    <row r="55" spans="2:21" ht="24.95" customHeight="1">
      <c r="B55" s="18">
        <v>2</v>
      </c>
      <c r="C55" s="640"/>
      <c r="D55" s="640"/>
      <c r="E55" s="640"/>
      <c r="F55" s="640"/>
      <c r="G55" s="634"/>
      <c r="H55" s="634"/>
      <c r="I55" s="634"/>
      <c r="J55" s="634"/>
      <c r="K55" s="634"/>
      <c r="L55" s="639"/>
      <c r="M55" s="639"/>
      <c r="N55" s="639"/>
      <c r="O55" s="639"/>
      <c r="P55" s="639"/>
      <c r="Q55" s="639"/>
      <c r="R55" s="639"/>
      <c r="S55" s="639"/>
      <c r="U55" s="95"/>
    </row>
    <row r="56" spans="2:21" ht="24.95" customHeight="1">
      <c r="B56" s="134" t="s">
        <v>193</v>
      </c>
      <c r="U56" s="95"/>
    </row>
    <row r="57" spans="2:21" s="103" customFormat="1" ht="20.100000000000001" customHeight="1">
      <c r="B57" s="564" t="s">
        <v>124</v>
      </c>
      <c r="C57" s="566"/>
      <c r="D57" s="564" t="s">
        <v>123</v>
      </c>
      <c r="E57" s="565"/>
      <c r="F57" s="565"/>
      <c r="G57" s="566"/>
      <c r="H57" s="554" t="s">
        <v>153</v>
      </c>
      <c r="I57" s="554"/>
      <c r="J57" s="554"/>
      <c r="K57" s="554"/>
      <c r="L57" s="105"/>
      <c r="M57" s="105"/>
      <c r="N57" s="105"/>
      <c r="O57" s="105"/>
      <c r="P57" s="105"/>
      <c r="Q57" s="105"/>
      <c r="U57" s="135"/>
    </row>
    <row r="58" spans="2:21" s="103" customFormat="1" ht="17.100000000000001" customHeight="1">
      <c r="B58" s="607" t="s">
        <v>125</v>
      </c>
      <c r="C58" s="608"/>
      <c r="D58" s="600" t="s">
        <v>132</v>
      </c>
      <c r="E58" s="601"/>
      <c r="F58" s="601"/>
      <c r="G58" s="602"/>
      <c r="H58" s="625" t="s">
        <v>158</v>
      </c>
      <c r="I58" s="625"/>
      <c r="J58" s="625"/>
      <c r="K58" s="625"/>
      <c r="L58" s="105"/>
      <c r="M58" s="105"/>
      <c r="N58" s="105"/>
      <c r="O58" s="626" t="s">
        <v>156</v>
      </c>
      <c r="P58" s="627"/>
      <c r="Q58" s="628"/>
      <c r="U58" s="135"/>
    </row>
    <row r="59" spans="2:21" s="103" customFormat="1" ht="17.100000000000001" customHeight="1">
      <c r="B59" s="607" t="s">
        <v>126</v>
      </c>
      <c r="C59" s="608"/>
      <c r="D59" s="600" t="s">
        <v>132</v>
      </c>
      <c r="E59" s="601"/>
      <c r="F59" s="601"/>
      <c r="G59" s="602"/>
      <c r="H59" s="625"/>
      <c r="I59" s="625"/>
      <c r="J59" s="625"/>
      <c r="K59" s="625"/>
      <c r="L59" s="105"/>
      <c r="M59" s="105"/>
      <c r="N59" s="105"/>
      <c r="O59" s="629"/>
      <c r="P59" s="630"/>
      <c r="Q59" s="631"/>
      <c r="U59" s="135"/>
    </row>
    <row r="60" spans="2:21" s="103" customFormat="1" ht="17.100000000000001" customHeight="1">
      <c r="B60" s="607" t="s">
        <v>127</v>
      </c>
      <c r="C60" s="608"/>
      <c r="D60" s="600" t="s">
        <v>132</v>
      </c>
      <c r="E60" s="601"/>
      <c r="F60" s="601"/>
      <c r="G60" s="602"/>
      <c r="H60" s="625"/>
      <c r="I60" s="625"/>
      <c r="J60" s="625"/>
      <c r="K60" s="625"/>
      <c r="L60" s="105"/>
      <c r="M60" s="105"/>
      <c r="N60" s="105"/>
      <c r="O60" s="619" t="s">
        <v>298</v>
      </c>
      <c r="P60" s="620"/>
      <c r="Q60" s="621"/>
      <c r="U60" s="135"/>
    </row>
    <row r="61" spans="2:21" s="103" customFormat="1" ht="17.100000000000001" customHeight="1">
      <c r="B61" s="607" t="s">
        <v>128</v>
      </c>
      <c r="C61" s="608"/>
      <c r="D61" s="600" t="s">
        <v>133</v>
      </c>
      <c r="E61" s="601"/>
      <c r="F61" s="601"/>
      <c r="G61" s="602"/>
      <c r="H61" s="625"/>
      <c r="I61" s="625"/>
      <c r="J61" s="625"/>
      <c r="K61" s="625"/>
      <c r="L61" s="105"/>
      <c r="M61" s="105"/>
      <c r="N61" s="105"/>
      <c r="O61" s="622"/>
      <c r="P61" s="623"/>
      <c r="Q61" s="624"/>
      <c r="U61" s="135"/>
    </row>
    <row r="62" spans="2:21" s="103" customFormat="1" ht="17.100000000000001" customHeight="1">
      <c r="B62" s="607" t="s">
        <v>129</v>
      </c>
      <c r="C62" s="608"/>
      <c r="D62" s="600" t="s">
        <v>133</v>
      </c>
      <c r="E62" s="601"/>
      <c r="F62" s="601"/>
      <c r="G62" s="602"/>
      <c r="H62" s="625"/>
      <c r="I62" s="625"/>
      <c r="J62" s="625"/>
      <c r="K62" s="625"/>
      <c r="L62" s="105"/>
      <c r="M62" s="105"/>
      <c r="N62" s="105"/>
      <c r="O62" s="158" t="s">
        <v>155</v>
      </c>
      <c r="P62" s="189" t="str">
        <f>+O60</f>
        <v>NDP</v>
      </c>
      <c r="Q62" s="159"/>
      <c r="U62" s="135"/>
    </row>
    <row r="63" spans="2:21" s="103" customFormat="1" ht="17.100000000000001" customHeight="1">
      <c r="B63" s="607" t="s">
        <v>130</v>
      </c>
      <c r="C63" s="608"/>
      <c r="D63" s="600" t="s">
        <v>134</v>
      </c>
      <c r="E63" s="601"/>
      <c r="F63" s="601"/>
      <c r="G63" s="602"/>
      <c r="H63" s="625"/>
      <c r="I63" s="625"/>
      <c r="J63" s="625"/>
      <c r="K63" s="625"/>
      <c r="L63" s="105"/>
      <c r="M63" s="105"/>
      <c r="N63" s="105"/>
      <c r="O63" s="158" t="s">
        <v>196</v>
      </c>
      <c r="P63" s="282">
        <v>45253</v>
      </c>
      <c r="Q63" s="188"/>
      <c r="U63" s="135"/>
    </row>
    <row r="64" spans="2:21" s="103" customFormat="1" ht="17.100000000000001" customHeight="1">
      <c r="B64" s="607" t="s">
        <v>131</v>
      </c>
      <c r="C64" s="608"/>
      <c r="D64" s="600" t="s">
        <v>134</v>
      </c>
      <c r="E64" s="601"/>
      <c r="F64" s="601"/>
      <c r="G64" s="602"/>
      <c r="H64" s="625"/>
      <c r="I64" s="625"/>
      <c r="J64" s="625"/>
      <c r="K64" s="625"/>
      <c r="L64" s="105"/>
      <c r="M64" s="105"/>
      <c r="N64" s="105"/>
      <c r="O64" s="105"/>
      <c r="P64" s="105"/>
      <c r="U64" s="135"/>
    </row>
    <row r="65" spans="2:21" s="103" customFormat="1" ht="9.9499999999999993" customHeight="1" thickBot="1">
      <c r="B65" s="139"/>
      <c r="C65" s="124"/>
      <c r="D65" s="124"/>
      <c r="E65" s="124"/>
      <c r="F65" s="124"/>
      <c r="G65" s="125"/>
      <c r="H65" s="125"/>
      <c r="I65" s="125"/>
      <c r="J65" s="125"/>
      <c r="K65" s="125"/>
      <c r="L65" s="126"/>
      <c r="M65" s="126"/>
      <c r="N65" s="126"/>
      <c r="O65" s="126"/>
      <c r="P65" s="126"/>
      <c r="Q65" s="126"/>
      <c r="R65" s="127"/>
      <c r="S65" s="127"/>
      <c r="T65" s="127"/>
      <c r="U65" s="140"/>
    </row>
    <row r="66" spans="2:21" s="15" customFormat="1" ht="17.100000000000001" customHeight="1" thickTop="1">
      <c r="B66" s="603" t="s">
        <v>178</v>
      </c>
      <c r="C66" s="604"/>
      <c r="D66" s="604"/>
      <c r="E66" s="604"/>
      <c r="F66" s="604"/>
      <c r="G66" s="604"/>
      <c r="H66" s="604"/>
      <c r="I66" s="604"/>
      <c r="J66" s="141"/>
      <c r="K66" s="141"/>
      <c r="L66" s="142"/>
      <c r="M66" s="142"/>
      <c r="N66" s="142"/>
      <c r="O66" s="142"/>
      <c r="P66" s="142"/>
      <c r="Q66" s="142"/>
      <c r="R66" s="644" t="s">
        <v>187</v>
      </c>
      <c r="S66" s="645"/>
      <c r="T66" s="645"/>
      <c r="U66" s="646"/>
    </row>
    <row r="67" spans="2:21" s="15" customFormat="1" ht="17.100000000000001" customHeight="1">
      <c r="B67" s="605"/>
      <c r="C67" s="606"/>
      <c r="D67" s="606"/>
      <c r="E67" s="606"/>
      <c r="F67" s="606"/>
      <c r="G67" s="606"/>
      <c r="H67" s="606"/>
      <c r="I67" s="606"/>
      <c r="J67" s="141"/>
      <c r="K67" s="141"/>
      <c r="L67" s="142"/>
      <c r="M67" s="142"/>
      <c r="N67" s="142"/>
      <c r="O67" s="142"/>
      <c r="P67" s="142"/>
      <c r="Q67" s="142"/>
      <c r="R67" s="643" t="s">
        <v>179</v>
      </c>
      <c r="S67" s="643"/>
      <c r="T67" s="643"/>
      <c r="U67" s="643"/>
    </row>
    <row r="68" spans="2:21" s="102" customFormat="1" ht="17.100000000000001" customHeight="1">
      <c r="B68" s="144" t="s">
        <v>166</v>
      </c>
      <c r="C68" s="597" t="s">
        <v>167</v>
      </c>
      <c r="D68" s="598"/>
      <c r="E68" s="598"/>
      <c r="F68" s="598"/>
      <c r="G68" s="598"/>
      <c r="H68" s="598"/>
      <c r="I68" s="598"/>
      <c r="J68" s="598"/>
      <c r="K68" s="599"/>
      <c r="L68" s="144" t="s">
        <v>174</v>
      </c>
      <c r="M68" s="597" t="s">
        <v>180</v>
      </c>
      <c r="N68" s="598"/>
      <c r="O68" s="598"/>
      <c r="P68" s="598"/>
      <c r="Q68" s="599"/>
      <c r="R68" s="643" t="s">
        <v>189</v>
      </c>
      <c r="S68" s="643"/>
      <c r="T68" s="643" t="s">
        <v>190</v>
      </c>
      <c r="U68" s="643"/>
    </row>
    <row r="69" spans="2:21" s="15" customFormat="1" ht="17.100000000000001" customHeight="1">
      <c r="B69" s="18">
        <v>1</v>
      </c>
      <c r="C69" s="581" t="s">
        <v>168</v>
      </c>
      <c r="D69" s="582"/>
      <c r="E69" s="582"/>
      <c r="F69" s="582"/>
      <c r="G69" s="582"/>
      <c r="H69" s="582"/>
      <c r="I69" s="582"/>
      <c r="J69" s="582"/>
      <c r="K69" s="583"/>
      <c r="L69" s="18" t="s">
        <v>175</v>
      </c>
      <c r="M69" s="594" t="s">
        <v>183</v>
      </c>
      <c r="N69" s="483"/>
      <c r="O69" s="483"/>
      <c r="P69" s="483"/>
      <c r="Q69" s="483"/>
      <c r="R69" s="592">
        <f>+C13-15</f>
        <v>45249</v>
      </c>
      <c r="S69" s="593"/>
      <c r="T69" s="592"/>
      <c r="U69" s="592"/>
    </row>
    <row r="70" spans="2:21" s="15" customFormat="1" ht="17.100000000000001" customHeight="1">
      <c r="B70" s="18">
        <v>2</v>
      </c>
      <c r="C70" s="581" t="s">
        <v>169</v>
      </c>
      <c r="D70" s="582"/>
      <c r="E70" s="582"/>
      <c r="F70" s="582"/>
      <c r="G70" s="582"/>
      <c r="H70" s="582"/>
      <c r="I70" s="582"/>
      <c r="J70" s="582"/>
      <c r="K70" s="583"/>
      <c r="L70" s="18" t="s">
        <v>176</v>
      </c>
      <c r="M70" s="594" t="s">
        <v>182</v>
      </c>
      <c r="N70" s="483"/>
      <c r="O70" s="483"/>
      <c r="P70" s="483"/>
      <c r="Q70" s="483"/>
      <c r="R70" s="592">
        <f>+C13-13</f>
        <v>45251</v>
      </c>
      <c r="S70" s="593"/>
      <c r="T70" s="592"/>
      <c r="U70" s="592"/>
    </row>
    <row r="71" spans="2:21" s="15" customFormat="1" ht="17.100000000000001" customHeight="1">
      <c r="B71" s="18">
        <v>3</v>
      </c>
      <c r="C71" s="581" t="s">
        <v>194</v>
      </c>
      <c r="D71" s="582"/>
      <c r="E71" s="582"/>
      <c r="F71" s="582"/>
      <c r="G71" s="582"/>
      <c r="H71" s="582"/>
      <c r="I71" s="582"/>
      <c r="J71" s="582"/>
      <c r="K71" s="583"/>
      <c r="L71" s="18" t="s">
        <v>175</v>
      </c>
      <c r="M71" s="594" t="s">
        <v>181</v>
      </c>
      <c r="N71" s="483"/>
      <c r="O71" s="483"/>
      <c r="P71" s="483"/>
      <c r="Q71" s="483"/>
      <c r="R71" s="592">
        <f>+C13-10</f>
        <v>45254</v>
      </c>
      <c r="S71" s="593"/>
      <c r="T71" s="592"/>
      <c r="U71" s="592"/>
    </row>
    <row r="72" spans="2:21" s="15" customFormat="1" ht="17.100000000000001" customHeight="1">
      <c r="B72" s="18">
        <v>4</v>
      </c>
      <c r="C72" s="581" t="s">
        <v>170</v>
      </c>
      <c r="D72" s="582"/>
      <c r="E72" s="582"/>
      <c r="F72" s="582"/>
      <c r="G72" s="582"/>
      <c r="H72" s="582"/>
      <c r="I72" s="582"/>
      <c r="J72" s="582"/>
      <c r="K72" s="583"/>
      <c r="L72" s="18" t="s">
        <v>176</v>
      </c>
      <c r="M72" s="594" t="s">
        <v>186</v>
      </c>
      <c r="N72" s="483"/>
      <c r="O72" s="483"/>
      <c r="P72" s="483"/>
      <c r="Q72" s="483"/>
      <c r="R72" s="592">
        <f>+C13-8</f>
        <v>45256</v>
      </c>
      <c r="S72" s="593"/>
      <c r="T72" s="592"/>
      <c r="U72" s="592"/>
    </row>
    <row r="73" spans="2:21" s="15" customFormat="1" ht="17.100000000000001" customHeight="1">
      <c r="B73" s="18">
        <v>5</v>
      </c>
      <c r="C73" s="581" t="s">
        <v>171</v>
      </c>
      <c r="D73" s="582"/>
      <c r="E73" s="582"/>
      <c r="F73" s="582"/>
      <c r="G73" s="582"/>
      <c r="H73" s="582"/>
      <c r="I73" s="582"/>
      <c r="J73" s="582"/>
      <c r="K73" s="583"/>
      <c r="L73" s="18" t="s">
        <v>175</v>
      </c>
      <c r="M73" s="594" t="s">
        <v>232</v>
      </c>
      <c r="N73" s="483"/>
      <c r="O73" s="483"/>
      <c r="P73" s="483"/>
      <c r="Q73" s="483"/>
      <c r="R73" s="647">
        <v>45257</v>
      </c>
      <c r="S73" s="647"/>
      <c r="T73" s="592"/>
      <c r="U73" s="592"/>
    </row>
    <row r="74" spans="2:21" s="15" customFormat="1" ht="17.100000000000001" customHeight="1">
      <c r="B74" s="18">
        <v>6</v>
      </c>
      <c r="C74" s="581" t="s">
        <v>172</v>
      </c>
      <c r="D74" s="582"/>
      <c r="E74" s="582"/>
      <c r="F74" s="582"/>
      <c r="G74" s="582"/>
      <c r="H74" s="582"/>
      <c r="I74" s="582"/>
      <c r="J74" s="582"/>
      <c r="K74" s="583"/>
      <c r="L74" s="18" t="s">
        <v>175</v>
      </c>
      <c r="M74" s="594" t="s">
        <v>197</v>
      </c>
      <c r="N74" s="483"/>
      <c r="O74" s="483"/>
      <c r="P74" s="483"/>
      <c r="Q74" s="483"/>
      <c r="R74" s="592">
        <f>+R72+7</f>
        <v>45263</v>
      </c>
      <c r="S74" s="593"/>
      <c r="T74" s="592"/>
      <c r="U74" s="592"/>
    </row>
    <row r="75" spans="2:21" s="15" customFormat="1" ht="17.100000000000001" customHeight="1">
      <c r="B75" s="18">
        <v>7</v>
      </c>
      <c r="C75" s="581" t="s">
        <v>177</v>
      </c>
      <c r="D75" s="582"/>
      <c r="E75" s="582"/>
      <c r="F75" s="582"/>
      <c r="G75" s="582"/>
      <c r="H75" s="582"/>
      <c r="I75" s="582"/>
      <c r="J75" s="582"/>
      <c r="K75" s="583"/>
      <c r="L75" s="18" t="s">
        <v>176</v>
      </c>
      <c r="M75" s="594" t="s">
        <v>185</v>
      </c>
      <c r="N75" s="483"/>
      <c r="O75" s="483"/>
      <c r="P75" s="483"/>
      <c r="Q75" s="483"/>
      <c r="R75" s="592">
        <f>+C13-7</f>
        <v>45257</v>
      </c>
      <c r="S75" s="593"/>
      <c r="T75" s="592"/>
      <c r="U75" s="592"/>
    </row>
    <row r="76" spans="2:21" s="15" customFormat="1" ht="17.100000000000001" customHeight="1">
      <c r="B76" s="18">
        <v>8</v>
      </c>
      <c r="C76" s="581" t="s">
        <v>173</v>
      </c>
      <c r="D76" s="582"/>
      <c r="E76" s="582"/>
      <c r="F76" s="582"/>
      <c r="G76" s="582"/>
      <c r="H76" s="582"/>
      <c r="I76" s="582"/>
      <c r="J76" s="582"/>
      <c r="K76" s="583"/>
      <c r="L76" s="18" t="s">
        <v>176</v>
      </c>
      <c r="M76" s="594" t="s">
        <v>184</v>
      </c>
      <c r="N76" s="483"/>
      <c r="O76" s="483"/>
      <c r="P76" s="483"/>
      <c r="Q76" s="483"/>
      <c r="R76" s="592">
        <f>+C13-1</f>
        <v>45263</v>
      </c>
      <c r="S76" s="593"/>
      <c r="T76" s="592"/>
      <c r="U76" s="592"/>
    </row>
    <row r="77" spans="2:21" s="15" customFormat="1" ht="17.100000000000001" customHeight="1">
      <c r="B77" s="18">
        <v>9</v>
      </c>
      <c r="C77" s="581" t="s">
        <v>188</v>
      </c>
      <c r="D77" s="582"/>
      <c r="E77" s="582"/>
      <c r="F77" s="582"/>
      <c r="G77" s="582"/>
      <c r="H77" s="582"/>
      <c r="I77" s="582"/>
      <c r="J77" s="582"/>
      <c r="K77" s="583"/>
      <c r="L77" s="18" t="s">
        <v>176</v>
      </c>
      <c r="M77" s="594" t="s">
        <v>184</v>
      </c>
      <c r="N77" s="483"/>
      <c r="O77" s="483"/>
      <c r="P77" s="483"/>
      <c r="Q77" s="483"/>
      <c r="R77" s="592">
        <f>+C13-1</f>
        <v>45263</v>
      </c>
      <c r="S77" s="593"/>
      <c r="T77" s="592"/>
      <c r="U77" s="592"/>
    </row>
    <row r="78" spans="2:21" s="15" customFormat="1" ht="17.100000000000001" customHeight="1">
      <c r="B78" s="143"/>
      <c r="C78" s="141"/>
      <c r="D78" s="141"/>
      <c r="E78" s="141"/>
      <c r="F78" s="141"/>
      <c r="G78" s="141"/>
      <c r="H78" s="141"/>
      <c r="I78" s="141"/>
      <c r="J78" s="141"/>
      <c r="K78" s="141"/>
      <c r="L78" s="142"/>
      <c r="M78" s="142"/>
      <c r="N78" s="142"/>
      <c r="O78" s="142"/>
      <c r="P78" s="142"/>
      <c r="Q78" s="142"/>
      <c r="U78" s="133"/>
    </row>
    <row r="79" spans="2:21" s="14" customFormat="1" ht="15" customHeight="1">
      <c r="B79" s="609" t="s">
        <v>151</v>
      </c>
      <c r="C79" s="610"/>
      <c r="D79" s="610"/>
      <c r="E79" s="610"/>
      <c r="F79" s="611"/>
      <c r="G79" s="578"/>
      <c r="H79" s="584" t="s">
        <v>152</v>
      </c>
      <c r="I79" s="585"/>
      <c r="J79" s="101"/>
      <c r="K79" s="576"/>
      <c r="L79" s="596"/>
      <c r="M79" s="596"/>
      <c r="N79" s="577"/>
      <c r="O79" s="576"/>
      <c r="P79" s="577"/>
      <c r="Q79" s="101"/>
      <c r="R79" s="101"/>
      <c r="S79" s="576"/>
      <c r="T79" s="577"/>
      <c r="U79" s="101"/>
    </row>
    <row r="80" spans="2:21" s="14" customFormat="1" ht="15" customHeight="1">
      <c r="B80" s="612"/>
      <c r="C80" s="613"/>
      <c r="D80" s="613"/>
      <c r="E80" s="613"/>
      <c r="F80" s="614"/>
      <c r="G80" s="579"/>
      <c r="H80" s="586"/>
      <c r="I80" s="587"/>
      <c r="J80" s="101"/>
      <c r="K80" s="576"/>
      <c r="L80" s="596"/>
      <c r="M80" s="596"/>
      <c r="N80" s="577"/>
      <c r="O80" s="576"/>
      <c r="P80" s="577"/>
      <c r="Q80" s="101"/>
      <c r="R80" s="101"/>
      <c r="S80" s="576"/>
      <c r="T80" s="577"/>
      <c r="U80" s="101"/>
    </row>
    <row r="81" spans="2:21" s="14" customFormat="1" ht="15" customHeight="1">
      <c r="B81" s="612"/>
      <c r="C81" s="613"/>
      <c r="D81" s="613"/>
      <c r="E81" s="613"/>
      <c r="F81" s="614"/>
      <c r="G81" s="579"/>
      <c r="H81" s="586"/>
      <c r="I81" s="587"/>
      <c r="J81" s="101"/>
      <c r="K81" s="109"/>
      <c r="L81" s="110"/>
      <c r="M81" s="110"/>
      <c r="N81" s="111"/>
      <c r="O81" s="109"/>
      <c r="P81" s="111"/>
      <c r="Q81" s="101"/>
      <c r="R81" s="101"/>
      <c r="S81" s="109"/>
      <c r="T81" s="111"/>
      <c r="U81" s="101"/>
    </row>
    <row r="82" spans="2:21" s="14" customFormat="1" ht="15" customHeight="1">
      <c r="B82" s="612"/>
      <c r="C82" s="613"/>
      <c r="D82" s="613"/>
      <c r="E82" s="613"/>
      <c r="F82" s="614"/>
      <c r="G82" s="579"/>
      <c r="H82" s="586"/>
      <c r="I82" s="587"/>
      <c r="J82" s="101"/>
      <c r="K82" s="576"/>
      <c r="L82" s="596"/>
      <c r="M82" s="596"/>
      <c r="N82" s="577"/>
      <c r="O82" s="576"/>
      <c r="P82" s="577"/>
      <c r="Q82" s="101"/>
      <c r="R82" s="101"/>
      <c r="S82" s="576"/>
      <c r="T82" s="577"/>
      <c r="U82" s="101"/>
    </row>
    <row r="83" spans="2:21" s="14" customFormat="1" ht="15" customHeight="1">
      <c r="B83" s="612"/>
      <c r="C83" s="613"/>
      <c r="D83" s="613"/>
      <c r="E83" s="613"/>
      <c r="F83" s="614"/>
      <c r="G83" s="579"/>
      <c r="H83" s="586"/>
      <c r="I83" s="587"/>
      <c r="J83" s="101">
        <v>0</v>
      </c>
      <c r="K83" s="576" t="s">
        <v>150</v>
      </c>
      <c r="L83" s="596"/>
      <c r="M83" s="596"/>
      <c r="N83" s="577"/>
      <c r="O83" s="618">
        <v>45112</v>
      </c>
      <c r="P83" s="577"/>
      <c r="Q83" s="101" t="s">
        <v>92</v>
      </c>
      <c r="R83" s="101" t="s">
        <v>7</v>
      </c>
      <c r="S83" s="576" t="s">
        <v>7</v>
      </c>
      <c r="T83" s="577"/>
      <c r="U83" s="101" t="s">
        <v>7</v>
      </c>
    </row>
    <row r="84" spans="2:21" s="3" customFormat="1" ht="15" customHeight="1">
      <c r="B84" s="615"/>
      <c r="C84" s="616"/>
      <c r="D84" s="616"/>
      <c r="E84" s="616"/>
      <c r="F84" s="617"/>
      <c r="G84" s="580"/>
      <c r="H84" s="588"/>
      <c r="I84" s="589"/>
      <c r="J84" s="108" t="s">
        <v>149</v>
      </c>
      <c r="K84" s="590" t="s">
        <v>148</v>
      </c>
      <c r="L84" s="595"/>
      <c r="M84" s="595"/>
      <c r="N84" s="591"/>
      <c r="O84" s="590" t="s">
        <v>5</v>
      </c>
      <c r="P84" s="591"/>
      <c r="Q84" s="108" t="s">
        <v>145</v>
      </c>
      <c r="R84" s="108" t="s">
        <v>146</v>
      </c>
      <c r="S84" s="590" t="s">
        <v>147</v>
      </c>
      <c r="T84" s="591"/>
      <c r="U84" s="108" t="s">
        <v>145</v>
      </c>
    </row>
    <row r="85" spans="2:21" ht="20.100000000000001" customHeight="1"/>
    <row r="86" spans="2:21" ht="20.100000000000001" customHeight="1"/>
    <row r="87" spans="2:21" ht="20.100000000000001" customHeight="1"/>
    <row r="88" spans="2:21" ht="20.100000000000001" customHeight="1"/>
    <row r="89" spans="2:21" ht="20.100000000000001" customHeight="1"/>
    <row r="90" spans="2:21" ht="20.100000000000001" customHeight="1"/>
  </sheetData>
  <mergeCells count="246">
    <mergeCell ref="T75:U75"/>
    <mergeCell ref="T76:U76"/>
    <mergeCell ref="M74:Q74"/>
    <mergeCell ref="M75:Q75"/>
    <mergeCell ref="M76:Q76"/>
    <mergeCell ref="R69:S69"/>
    <mergeCell ref="R70:S70"/>
    <mergeCell ref="R71:S71"/>
    <mergeCell ref="R72:S72"/>
    <mergeCell ref="M69:Q69"/>
    <mergeCell ref="M70:Q70"/>
    <mergeCell ref="R73:S73"/>
    <mergeCell ref="R74:S74"/>
    <mergeCell ref="R75:S75"/>
    <mergeCell ref="R76:S76"/>
    <mergeCell ref="M73:Q73"/>
    <mergeCell ref="T69:U69"/>
    <mergeCell ref="T70:U70"/>
    <mergeCell ref="T71:U71"/>
    <mergeCell ref="T72:U72"/>
    <mergeCell ref="T73:U73"/>
    <mergeCell ref="T74:U74"/>
    <mergeCell ref="R67:U67"/>
    <mergeCell ref="R66:U66"/>
    <mergeCell ref="C69:K69"/>
    <mergeCell ref="R68:S68"/>
    <mergeCell ref="T68:U68"/>
    <mergeCell ref="P53:Q53"/>
    <mergeCell ref="D58:G58"/>
    <mergeCell ref="D59:G59"/>
    <mergeCell ref="B63:C63"/>
    <mergeCell ref="P54:Q54"/>
    <mergeCell ref="P55:Q55"/>
    <mergeCell ref="R53:S53"/>
    <mergeCell ref="R54:S54"/>
    <mergeCell ref="R55:S55"/>
    <mergeCell ref="B52:B53"/>
    <mergeCell ref="C52:F53"/>
    <mergeCell ref="G52:K53"/>
    <mergeCell ref="L53:M53"/>
    <mergeCell ref="N53:O53"/>
    <mergeCell ref="M43:O43"/>
    <mergeCell ref="C42:I42"/>
    <mergeCell ref="J42:L42"/>
    <mergeCell ref="M44:O44"/>
    <mergeCell ref="C45:I45"/>
    <mergeCell ref="C54:F54"/>
    <mergeCell ref="H47:J47"/>
    <mergeCell ref="H48:J48"/>
    <mergeCell ref="H49:J49"/>
    <mergeCell ref="J44:L44"/>
    <mergeCell ref="J45:L45"/>
    <mergeCell ref="P41:R41"/>
    <mergeCell ref="P42:R42"/>
    <mergeCell ref="P43:R43"/>
    <mergeCell ref="P44:R44"/>
    <mergeCell ref="P45:R45"/>
    <mergeCell ref="P40:R40"/>
    <mergeCell ref="B62:C62"/>
    <mergeCell ref="B47:C47"/>
    <mergeCell ref="M39:O39"/>
    <mergeCell ref="J40:L40"/>
    <mergeCell ref="J41:L41"/>
    <mergeCell ref="H57:K57"/>
    <mergeCell ref="C40:I40"/>
    <mergeCell ref="C41:I41"/>
    <mergeCell ref="M45:O45"/>
    <mergeCell ref="C43:I43"/>
    <mergeCell ref="L52:S52"/>
    <mergeCell ref="L54:M54"/>
    <mergeCell ref="L55:M55"/>
    <mergeCell ref="N54:O54"/>
    <mergeCell ref="N55:O55"/>
    <mergeCell ref="C55:F55"/>
    <mergeCell ref="K49:O49"/>
    <mergeCell ref="G54:K54"/>
    <mergeCell ref="M40:O40"/>
    <mergeCell ref="M41:O41"/>
    <mergeCell ref="M42:O42"/>
    <mergeCell ref="K47:O47"/>
    <mergeCell ref="J43:L43"/>
    <mergeCell ref="C74:K74"/>
    <mergeCell ref="C75:K75"/>
    <mergeCell ref="C71:K71"/>
    <mergeCell ref="C72:K72"/>
    <mergeCell ref="M68:Q68"/>
    <mergeCell ref="M71:Q71"/>
    <mergeCell ref="M72:Q72"/>
    <mergeCell ref="D62:G62"/>
    <mergeCell ref="D63:G63"/>
    <mergeCell ref="D64:G64"/>
    <mergeCell ref="D60:G60"/>
    <mergeCell ref="B48:C48"/>
    <mergeCell ref="B49:C49"/>
    <mergeCell ref="D47:G47"/>
    <mergeCell ref="D48:G48"/>
    <mergeCell ref="D49:G49"/>
    <mergeCell ref="G55:K55"/>
    <mergeCell ref="C44:I44"/>
    <mergeCell ref="K48:O48"/>
    <mergeCell ref="C76:K76"/>
    <mergeCell ref="C68:K68"/>
    <mergeCell ref="O80:P80"/>
    <mergeCell ref="C73:K73"/>
    <mergeCell ref="D61:G61"/>
    <mergeCell ref="B66:I67"/>
    <mergeCell ref="C70:K70"/>
    <mergeCell ref="B57:C57"/>
    <mergeCell ref="B58:C58"/>
    <mergeCell ref="B59:C59"/>
    <mergeCell ref="B60:C60"/>
    <mergeCell ref="B61:C61"/>
    <mergeCell ref="B79:F84"/>
    <mergeCell ref="O82:P82"/>
    <mergeCell ref="O83:P83"/>
    <mergeCell ref="O84:P84"/>
    <mergeCell ref="O79:P79"/>
    <mergeCell ref="O60:Q60"/>
    <mergeCell ref="O61:Q61"/>
    <mergeCell ref="H58:K64"/>
    <mergeCell ref="B64:C64"/>
    <mergeCell ref="O58:Q58"/>
    <mergeCell ref="O59:Q59"/>
    <mergeCell ref="D57:G57"/>
    <mergeCell ref="S79:T79"/>
    <mergeCell ref="S80:T80"/>
    <mergeCell ref="S82:T82"/>
    <mergeCell ref="S83:T83"/>
    <mergeCell ref="G79:G84"/>
    <mergeCell ref="C77:K77"/>
    <mergeCell ref="H79:I84"/>
    <mergeCell ref="S84:T84"/>
    <mergeCell ref="T77:U77"/>
    <mergeCell ref="R77:S77"/>
    <mergeCell ref="M77:Q77"/>
    <mergeCell ref="K84:N84"/>
    <mergeCell ref="K79:N79"/>
    <mergeCell ref="K80:N80"/>
    <mergeCell ref="K82:N82"/>
    <mergeCell ref="K83:N83"/>
    <mergeCell ref="T22:U22"/>
    <mergeCell ref="T23:U23"/>
    <mergeCell ref="R23:S23"/>
    <mergeCell ref="M35:O35"/>
    <mergeCell ref="M36:O36"/>
    <mergeCell ref="J31:L31"/>
    <mergeCell ref="I12:J12"/>
    <mergeCell ref="P32:R32"/>
    <mergeCell ref="P33:R33"/>
    <mergeCell ref="P34:R34"/>
    <mergeCell ref="P35:R35"/>
    <mergeCell ref="L23:M23"/>
    <mergeCell ref="I14:J14"/>
    <mergeCell ref="P39:R39"/>
    <mergeCell ref="C35:I35"/>
    <mergeCell ref="C36:I36"/>
    <mergeCell ref="J32:L32"/>
    <mergeCell ref="J33:L33"/>
    <mergeCell ref="P31:R31"/>
    <mergeCell ref="K12:L12"/>
    <mergeCell ref="M12:Q12"/>
    <mergeCell ref="I13:J13"/>
    <mergeCell ref="J36:L36"/>
    <mergeCell ref="P36:R36"/>
    <mergeCell ref="D14:E14"/>
    <mergeCell ref="G14:H14"/>
    <mergeCell ref="M37:O37"/>
    <mergeCell ref="M38:O38"/>
    <mergeCell ref="G29:H29"/>
    <mergeCell ref="P23:Q23"/>
    <mergeCell ref="N24:O24"/>
    <mergeCell ref="M31:O31"/>
    <mergeCell ref="M32:O32"/>
    <mergeCell ref="M33:O33"/>
    <mergeCell ref="M34:O34"/>
    <mergeCell ref="I27:I28"/>
    <mergeCell ref="J28:K28"/>
    <mergeCell ref="J27:M27"/>
    <mergeCell ref="J29:K29"/>
    <mergeCell ref="P37:R37"/>
    <mergeCell ref="P38:R38"/>
    <mergeCell ref="P24:Q24"/>
    <mergeCell ref="G27:H28"/>
    <mergeCell ref="D15:E15"/>
    <mergeCell ref="G15:H15"/>
    <mergeCell ref="I15:J15"/>
    <mergeCell ref="C37:I37"/>
    <mergeCell ref="C38:I38"/>
    <mergeCell ref="C39:I39"/>
    <mergeCell ref="J34:L34"/>
    <mergeCell ref="J35:L35"/>
    <mergeCell ref="C31:I31"/>
    <mergeCell ref="C32:I32"/>
    <mergeCell ref="C33:I33"/>
    <mergeCell ref="C34:I34"/>
    <mergeCell ref="J37:L37"/>
    <mergeCell ref="J38:L38"/>
    <mergeCell ref="J39:L39"/>
    <mergeCell ref="D16:E16"/>
    <mergeCell ref="G16:H16"/>
    <mergeCell ref="I16:J16"/>
    <mergeCell ref="D13:E13"/>
    <mergeCell ref="C12:F12"/>
    <mergeCell ref="D29:E29"/>
    <mergeCell ref="B27:B28"/>
    <mergeCell ref="C27:F28"/>
    <mergeCell ref="Y12:Z12"/>
    <mergeCell ref="C24:D24"/>
    <mergeCell ref="E24:F24"/>
    <mergeCell ref="C23:D23"/>
    <mergeCell ref="L29:M29"/>
    <mergeCell ref="N29:U29"/>
    <mergeCell ref="L28:M28"/>
    <mergeCell ref="N27:U28"/>
    <mergeCell ref="L24:M24"/>
    <mergeCell ref="B21:B22"/>
    <mergeCell ref="E22:F22"/>
    <mergeCell ref="E21:G21"/>
    <mergeCell ref="H21:I21"/>
    <mergeCell ref="G13:H13"/>
    <mergeCell ref="T24:U24"/>
    <mergeCell ref="R24:S24"/>
    <mergeCell ref="D17:E17"/>
    <mergeCell ref="G17:H17"/>
    <mergeCell ref="I17:J17"/>
    <mergeCell ref="T2:U2"/>
    <mergeCell ref="R6:S6"/>
    <mergeCell ref="R2:S2"/>
    <mergeCell ref="P6:Q6"/>
    <mergeCell ref="P2:Q2"/>
    <mergeCell ref="E23:F23"/>
    <mergeCell ref="N6:O6"/>
    <mergeCell ref="R22:S22"/>
    <mergeCell ref="R21:U21"/>
    <mergeCell ref="P22:Q22"/>
    <mergeCell ref="L21:M22"/>
    <mergeCell ref="K21:K22"/>
    <mergeCell ref="T6:U6"/>
    <mergeCell ref="N3:U5"/>
    <mergeCell ref="N2:O2"/>
    <mergeCell ref="N22:O22"/>
    <mergeCell ref="N21:Q21"/>
    <mergeCell ref="N23:O23"/>
    <mergeCell ref="B3:H6"/>
    <mergeCell ref="G12:H12"/>
    <mergeCell ref="C21:D22"/>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T124"/>
  <sheetViews>
    <sheetView showGridLines="0" view="pageBreakPreview" topLeftCell="A87" zoomScale="60" zoomScaleNormal="85" workbookViewId="0">
      <selection activeCell="T115" sqref="T115"/>
    </sheetView>
  </sheetViews>
  <sheetFormatPr defaultRowHeight="15"/>
  <cols>
    <col min="1" max="1" width="1.7109375" style="1" customWidth="1"/>
    <col min="2" max="2" width="5.7109375" style="1" customWidth="1"/>
    <col min="3" max="6" width="14.7109375" style="2" customWidth="1"/>
    <col min="7" max="8" width="14.7109375" style="1" customWidth="1"/>
    <col min="9" max="9" width="16.140625" style="1" customWidth="1"/>
    <col min="10" max="16" width="14.7109375" style="1" customWidth="1"/>
    <col min="17" max="17" width="1.7109375" style="1" customWidth="1"/>
    <col min="18" max="47" width="15.7109375" style="1" customWidth="1"/>
    <col min="48" max="16384" width="9.140625" style="1"/>
  </cols>
  <sheetData>
    <row r="1" spans="2:16">
      <c r="P1" s="180" t="s">
        <v>157</v>
      </c>
    </row>
    <row r="2" spans="2:16" ht="15" customHeight="1">
      <c r="B2" s="168" t="s">
        <v>39</v>
      </c>
      <c r="C2" s="157"/>
      <c r="D2" s="157"/>
      <c r="E2" s="157"/>
      <c r="F2" s="157"/>
      <c r="G2" s="169"/>
      <c r="H2" s="169"/>
      <c r="I2" s="170" t="s">
        <v>99</v>
      </c>
      <c r="J2" s="172" t="s">
        <v>100</v>
      </c>
      <c r="K2" s="172" t="s">
        <v>205</v>
      </c>
      <c r="L2" s="173"/>
      <c r="M2" s="4" t="s">
        <v>105</v>
      </c>
      <c r="N2" s="4" t="s">
        <v>104</v>
      </c>
      <c r="O2" s="4" t="s">
        <v>91</v>
      </c>
      <c r="P2" s="4" t="s">
        <v>90</v>
      </c>
    </row>
    <row r="3" spans="2:16" ht="15" customHeight="1">
      <c r="B3" s="723" t="s">
        <v>206</v>
      </c>
      <c r="C3" s="724"/>
      <c r="D3" s="724"/>
      <c r="E3" s="724"/>
      <c r="F3" s="724"/>
      <c r="G3" s="724"/>
      <c r="H3" s="724"/>
      <c r="I3" s="725"/>
      <c r="J3" s="175" t="s">
        <v>5</v>
      </c>
      <c r="K3" s="175" t="s">
        <v>233</v>
      </c>
      <c r="L3" s="176"/>
      <c r="M3" s="502" t="s">
        <v>199</v>
      </c>
      <c r="N3" s="503"/>
      <c r="O3" s="503"/>
      <c r="P3" s="504"/>
    </row>
    <row r="4" spans="2:16" ht="15" customHeight="1">
      <c r="B4" s="726"/>
      <c r="C4" s="727"/>
      <c r="D4" s="727"/>
      <c r="E4" s="727"/>
      <c r="F4" s="727"/>
      <c r="G4" s="727"/>
      <c r="H4" s="727"/>
      <c r="I4" s="728"/>
      <c r="J4" s="175" t="s">
        <v>101</v>
      </c>
      <c r="K4" s="175" t="s">
        <v>204</v>
      </c>
      <c r="L4" s="176"/>
      <c r="M4" s="505"/>
      <c r="N4" s="506"/>
      <c r="O4" s="506"/>
      <c r="P4" s="507"/>
    </row>
    <row r="5" spans="2:16" ht="15" customHeight="1">
      <c r="B5" s="726"/>
      <c r="C5" s="727"/>
      <c r="D5" s="727"/>
      <c r="E5" s="727"/>
      <c r="F5" s="727"/>
      <c r="G5" s="727"/>
      <c r="H5" s="727"/>
      <c r="I5" s="728"/>
      <c r="J5" s="175" t="s">
        <v>200</v>
      </c>
      <c r="K5" s="175" t="s">
        <v>273</v>
      </c>
      <c r="L5" s="176"/>
      <c r="M5" s="508"/>
      <c r="N5" s="509"/>
      <c r="O5" s="509"/>
      <c r="P5" s="510"/>
    </row>
    <row r="6" spans="2:16" ht="15" customHeight="1">
      <c r="B6" s="726"/>
      <c r="C6" s="727"/>
      <c r="D6" s="727"/>
      <c r="E6" s="727"/>
      <c r="F6" s="727"/>
      <c r="G6" s="727"/>
      <c r="H6" s="727"/>
      <c r="I6" s="728"/>
      <c r="J6" s="192" t="s">
        <v>103</v>
      </c>
      <c r="K6" s="192" t="s">
        <v>234</v>
      </c>
      <c r="L6" s="193"/>
      <c r="M6" s="194" t="s">
        <v>106</v>
      </c>
      <c r="N6" s="194" t="s">
        <v>94</v>
      </c>
      <c r="O6" s="194" t="s">
        <v>93</v>
      </c>
      <c r="P6" s="194" t="s">
        <v>219</v>
      </c>
    </row>
    <row r="7" spans="2:16" ht="9.9499999999999993" customHeight="1">
      <c r="B7" s="184"/>
      <c r="C7" s="94"/>
      <c r="D7" s="94"/>
      <c r="E7" s="94"/>
      <c r="F7" s="94"/>
      <c r="G7" s="155"/>
      <c r="H7" s="155"/>
      <c r="I7" s="155"/>
      <c r="J7" s="155"/>
      <c r="K7" s="155"/>
      <c r="L7" s="155"/>
      <c r="M7" s="155"/>
      <c r="N7" s="155"/>
      <c r="O7" s="155"/>
      <c r="P7" s="160"/>
    </row>
    <row r="8" spans="2:16" ht="24.95" customHeight="1">
      <c r="B8" s="187" t="s">
        <v>220</v>
      </c>
      <c r="F8" s="2" t="str">
        <f>+'TAHAP 1'!G9</f>
        <v>: KOMPARE DATA IDL &amp; DATA HR</v>
      </c>
      <c r="P8" s="95"/>
    </row>
    <row r="9" spans="2:16" ht="9.9499999999999993" customHeight="1" thickBot="1">
      <c r="B9" s="195"/>
      <c r="C9" s="196"/>
      <c r="D9" s="196"/>
      <c r="E9" s="196"/>
      <c r="F9" s="196"/>
      <c r="G9" s="197"/>
      <c r="H9" s="197"/>
      <c r="I9" s="197"/>
      <c r="J9" s="197"/>
      <c r="K9" s="197"/>
      <c r="L9" s="197"/>
      <c r="M9" s="197"/>
      <c r="N9" s="197"/>
      <c r="O9" s="197"/>
      <c r="P9" s="198"/>
    </row>
    <row r="10" spans="2:16" ht="24.95" customHeight="1" thickTop="1">
      <c r="B10" s="729" t="s">
        <v>236</v>
      </c>
      <c r="C10" s="730"/>
      <c r="D10" s="730"/>
      <c r="M10" s="731"/>
      <c r="N10" s="731"/>
      <c r="O10" s="731"/>
      <c r="P10" s="732"/>
    </row>
    <row r="11" spans="2:16" s="200" customFormat="1" ht="20.100000000000001" customHeight="1">
      <c r="B11" s="285" t="s">
        <v>202</v>
      </c>
      <c r="C11" s="218"/>
      <c r="D11" s="218"/>
      <c r="E11" s="218"/>
      <c r="F11" s="218"/>
      <c r="M11" s="262"/>
      <c r="N11" s="262"/>
      <c r="P11" s="201"/>
    </row>
    <row r="12" spans="2:16" s="200" customFormat="1" ht="15" customHeight="1">
      <c r="B12" s="286" t="s">
        <v>124</v>
      </c>
      <c r="C12" s="287"/>
      <c r="D12" s="287"/>
      <c r="E12" s="288"/>
      <c r="F12" s="289" t="s">
        <v>11</v>
      </c>
      <c r="G12" s="290" t="s">
        <v>118</v>
      </c>
      <c r="H12" s="290" t="s">
        <v>264</v>
      </c>
      <c r="I12" s="289" t="s">
        <v>265</v>
      </c>
      <c r="M12" s="262"/>
      <c r="N12" s="262"/>
      <c r="P12" s="201"/>
    </row>
    <row r="13" spans="2:16" s="200" customFormat="1" ht="15" customHeight="1">
      <c r="B13" s="291" t="s">
        <v>125</v>
      </c>
      <c r="C13" s="292"/>
      <c r="D13" s="292"/>
      <c r="E13" s="293"/>
      <c r="F13" s="294">
        <v>30000</v>
      </c>
      <c r="G13" s="295">
        <v>12500</v>
      </c>
      <c r="H13" s="295">
        <v>20000</v>
      </c>
      <c r="I13" s="294">
        <v>20000</v>
      </c>
      <c r="M13" s="262"/>
      <c r="N13" s="262"/>
      <c r="P13" s="201"/>
    </row>
    <row r="14" spans="2:16" s="200" customFormat="1" ht="15" customHeight="1">
      <c r="B14" s="291" t="s">
        <v>126</v>
      </c>
      <c r="C14" s="292"/>
      <c r="D14" s="292"/>
      <c r="E14" s="293"/>
      <c r="F14" s="294">
        <v>30000</v>
      </c>
      <c r="G14" s="295">
        <v>12500</v>
      </c>
      <c r="H14" s="295">
        <v>20000</v>
      </c>
      <c r="I14" s="294">
        <v>20000</v>
      </c>
      <c r="P14" s="201"/>
    </row>
    <row r="15" spans="2:16" s="200" customFormat="1" ht="15" customHeight="1">
      <c r="B15" s="291" t="s">
        <v>127</v>
      </c>
      <c r="C15" s="292"/>
      <c r="D15" s="292"/>
      <c r="E15" s="293"/>
      <c r="F15" s="294">
        <v>35000</v>
      </c>
      <c r="G15" s="295">
        <v>12500</v>
      </c>
      <c r="H15" s="295">
        <v>20000</v>
      </c>
      <c r="I15" s="294">
        <v>20000</v>
      </c>
      <c r="P15" s="201"/>
    </row>
    <row r="16" spans="2:16" s="200" customFormat="1" ht="15" customHeight="1">
      <c r="B16" s="291" t="s">
        <v>128</v>
      </c>
      <c r="C16" s="292"/>
      <c r="D16" s="292"/>
      <c r="E16" s="293"/>
      <c r="F16" s="294">
        <v>40000</v>
      </c>
      <c r="G16" s="295">
        <v>12500</v>
      </c>
      <c r="H16" s="295">
        <v>27500</v>
      </c>
      <c r="I16" s="294">
        <v>27500</v>
      </c>
      <c r="P16" s="201"/>
    </row>
    <row r="17" spans="2:16" s="200" customFormat="1" ht="15" customHeight="1">
      <c r="B17" s="291" t="s">
        <v>129</v>
      </c>
      <c r="C17" s="292"/>
      <c r="D17" s="292"/>
      <c r="E17" s="293"/>
      <c r="F17" s="294">
        <v>50000</v>
      </c>
      <c r="G17" s="295">
        <v>22500</v>
      </c>
      <c r="H17" s="295">
        <v>30000</v>
      </c>
      <c r="I17" s="294">
        <v>30000</v>
      </c>
      <c r="P17" s="201"/>
    </row>
    <row r="18" spans="2:16" s="200" customFormat="1" ht="15" customHeight="1">
      <c r="B18" s="291" t="s">
        <v>130</v>
      </c>
      <c r="C18" s="292"/>
      <c r="D18" s="292"/>
      <c r="E18" s="293"/>
      <c r="F18" s="294">
        <v>60000</v>
      </c>
      <c r="G18" s="295">
        <v>22500</v>
      </c>
      <c r="H18" s="295">
        <v>50000</v>
      </c>
      <c r="I18" s="294">
        <v>50000</v>
      </c>
      <c r="P18" s="201"/>
    </row>
    <row r="19" spans="2:16" s="200" customFormat="1" ht="15" customHeight="1">
      <c r="B19" s="291" t="s">
        <v>131</v>
      </c>
      <c r="C19" s="292"/>
      <c r="D19" s="292"/>
      <c r="E19" s="293"/>
      <c r="F19" s="294">
        <v>70000</v>
      </c>
      <c r="G19" s="295">
        <v>22500</v>
      </c>
      <c r="H19" s="295">
        <v>60000</v>
      </c>
      <c r="I19" s="294">
        <v>60000</v>
      </c>
      <c r="P19" s="201"/>
    </row>
    <row r="20" spans="2:16" s="200" customFormat="1" ht="20.100000000000001" customHeight="1">
      <c r="B20" s="185"/>
      <c r="C20" s="186"/>
      <c r="D20" s="186"/>
      <c r="E20" s="218"/>
      <c r="F20" s="218"/>
      <c r="P20" s="201"/>
    </row>
    <row r="21" spans="2:16" s="200" customFormat="1" ht="20.100000000000001" customHeight="1">
      <c r="B21" s="253"/>
      <c r="C21" s="255" t="s">
        <v>263</v>
      </c>
      <c r="D21" s="254" t="s">
        <v>10</v>
      </c>
      <c r="E21" s="254" t="s">
        <v>129</v>
      </c>
      <c r="F21" s="254"/>
      <c r="G21" s="254"/>
      <c r="H21" s="254"/>
      <c r="I21" s="254"/>
      <c r="J21" s="254"/>
      <c r="P21" s="201"/>
    </row>
    <row r="22" spans="2:16" s="211" customFormat="1" ht="17.100000000000001" customHeight="1">
      <c r="B22" s="215" t="s">
        <v>35</v>
      </c>
      <c r="C22" s="673" t="s">
        <v>5</v>
      </c>
      <c r="D22" s="673"/>
      <c r="E22" s="673"/>
      <c r="F22" s="215" t="str">
        <f>+$F$12</f>
        <v>UANG SAKU</v>
      </c>
      <c r="G22" s="215" t="str">
        <f>+$G$12</f>
        <v>BREAKFAST</v>
      </c>
      <c r="H22" s="215" t="str">
        <f>+$H$12</f>
        <v>LUNCH</v>
      </c>
      <c r="I22" s="215" t="str">
        <f>+$I$12</f>
        <v>DINNER</v>
      </c>
      <c r="J22" s="215" t="s">
        <v>45</v>
      </c>
      <c r="P22" s="216"/>
    </row>
    <row r="23" spans="2:16" s="200" customFormat="1" ht="17.100000000000001" customHeight="1">
      <c r="B23" s="210">
        <v>1</v>
      </c>
      <c r="C23" s="674">
        <f>+'TAHAP 1'!$C$13</f>
        <v>45264</v>
      </c>
      <c r="D23" s="674"/>
      <c r="E23" s="674"/>
      <c r="F23" s="326">
        <v>50000</v>
      </c>
      <c r="G23" s="326">
        <v>0</v>
      </c>
      <c r="H23" s="326">
        <v>30000</v>
      </c>
      <c r="I23" s="326">
        <v>30000</v>
      </c>
      <c r="J23" s="315">
        <f>SUM(F23:I23)</f>
        <v>110000</v>
      </c>
      <c r="P23" s="201"/>
    </row>
    <row r="24" spans="2:16" s="200" customFormat="1" ht="17.100000000000001" customHeight="1">
      <c r="B24" s="210">
        <v>2</v>
      </c>
      <c r="C24" s="666">
        <f>+C23+1</f>
        <v>45265</v>
      </c>
      <c r="D24" s="667"/>
      <c r="E24" s="668"/>
      <c r="F24" s="326">
        <v>50000</v>
      </c>
      <c r="G24" s="326" t="s">
        <v>300</v>
      </c>
      <c r="H24" s="326" t="s">
        <v>299</v>
      </c>
      <c r="I24" s="326">
        <v>30000</v>
      </c>
      <c r="J24" s="315">
        <f t="shared" ref="J24:J27" si="0">SUM(F24:I24)</f>
        <v>80000</v>
      </c>
      <c r="P24" s="201"/>
    </row>
    <row r="25" spans="2:16" s="200" customFormat="1" ht="17.100000000000001" customHeight="1">
      <c r="B25" s="210">
        <v>3</v>
      </c>
      <c r="C25" s="666">
        <f t="shared" ref="C25:C27" si="1">+C24+1</f>
        <v>45266</v>
      </c>
      <c r="D25" s="667"/>
      <c r="E25" s="668"/>
      <c r="F25" s="326">
        <v>50000</v>
      </c>
      <c r="G25" s="326" t="s">
        <v>300</v>
      </c>
      <c r="H25" s="326" t="s">
        <v>299</v>
      </c>
      <c r="I25" s="326">
        <v>30000</v>
      </c>
      <c r="J25" s="315">
        <f t="shared" si="0"/>
        <v>80000</v>
      </c>
      <c r="P25" s="201"/>
    </row>
    <row r="26" spans="2:16" s="200" customFormat="1" ht="17.100000000000001" customHeight="1">
      <c r="B26" s="210">
        <v>4</v>
      </c>
      <c r="C26" s="666">
        <f t="shared" si="1"/>
        <v>45267</v>
      </c>
      <c r="D26" s="667"/>
      <c r="E26" s="668"/>
      <c r="F26" s="326">
        <v>50000</v>
      </c>
      <c r="G26" s="326" t="s">
        <v>300</v>
      </c>
      <c r="H26" s="326" t="s">
        <v>299</v>
      </c>
      <c r="I26" s="326">
        <v>30000</v>
      </c>
      <c r="J26" s="315">
        <f t="shared" si="0"/>
        <v>80000</v>
      </c>
      <c r="P26" s="201"/>
    </row>
    <row r="27" spans="2:16" s="200" customFormat="1" ht="17.100000000000001" customHeight="1" thickBot="1">
      <c r="B27" s="224">
        <v>5</v>
      </c>
      <c r="C27" s="669">
        <f t="shared" si="1"/>
        <v>45268</v>
      </c>
      <c r="D27" s="670"/>
      <c r="E27" s="671"/>
      <c r="F27" s="342">
        <v>50000</v>
      </c>
      <c r="G27" s="342" t="s">
        <v>300</v>
      </c>
      <c r="H27" s="342">
        <v>30000</v>
      </c>
      <c r="I27" s="342">
        <v>30000</v>
      </c>
      <c r="J27" s="319">
        <f t="shared" si="0"/>
        <v>110000</v>
      </c>
      <c r="P27" s="201"/>
    </row>
    <row r="28" spans="2:16" s="200" customFormat="1" ht="16.5" customHeight="1" thickTop="1">
      <c r="B28" s="672" t="s">
        <v>12</v>
      </c>
      <c r="C28" s="672"/>
      <c r="D28" s="672"/>
      <c r="E28" s="672"/>
      <c r="F28" s="327">
        <f>SUM(F23:F27)</f>
        <v>250000</v>
      </c>
      <c r="G28" s="648">
        <f>SUM(G23:I27)</f>
        <v>210000</v>
      </c>
      <c r="H28" s="649"/>
      <c r="I28" s="649"/>
      <c r="J28" s="328">
        <f>SUM(J23:J27)</f>
        <v>460000</v>
      </c>
      <c r="P28" s="201"/>
    </row>
    <row r="29" spans="2:16" s="15" customFormat="1" ht="20.100000000000001" customHeight="1">
      <c r="B29" s="185"/>
      <c r="C29" s="186"/>
      <c r="D29" s="186"/>
      <c r="E29" s="186"/>
      <c r="F29" s="186"/>
      <c r="G29" s="186"/>
      <c r="H29" s="186"/>
      <c r="I29" s="186"/>
      <c r="J29" s="186"/>
      <c r="K29" s="202"/>
      <c r="L29" s="203"/>
      <c r="M29" s="203"/>
      <c r="N29" s="203"/>
      <c r="O29" s="203"/>
      <c r="P29" s="204"/>
    </row>
    <row r="30" spans="2:16" s="200" customFormat="1" ht="20.100000000000001" customHeight="1">
      <c r="B30" s="253"/>
      <c r="C30" s="255" t="s">
        <v>263</v>
      </c>
      <c r="D30" s="254" t="s">
        <v>10</v>
      </c>
      <c r="E30" s="254" t="s">
        <v>128</v>
      </c>
      <c r="F30" s="254"/>
      <c r="G30" s="254"/>
      <c r="H30" s="254"/>
      <c r="I30" s="254"/>
      <c r="J30" s="254"/>
      <c r="P30" s="201"/>
    </row>
    <row r="31" spans="2:16" s="211" customFormat="1" ht="17.100000000000001" customHeight="1">
      <c r="B31" s="215" t="s">
        <v>35</v>
      </c>
      <c r="C31" s="673" t="s">
        <v>5</v>
      </c>
      <c r="D31" s="673"/>
      <c r="E31" s="673"/>
      <c r="F31" s="215" t="str">
        <f>+$F$12</f>
        <v>UANG SAKU</v>
      </c>
      <c r="G31" s="215" t="str">
        <f>+$G$12</f>
        <v>BREAKFAST</v>
      </c>
      <c r="H31" s="215" t="str">
        <f>+$H$12</f>
        <v>LUNCH</v>
      </c>
      <c r="I31" s="215" t="str">
        <f>+$I$12</f>
        <v>DINNER</v>
      </c>
      <c r="J31" s="215" t="s">
        <v>45</v>
      </c>
      <c r="P31" s="216"/>
    </row>
    <row r="32" spans="2:16" s="200" customFormat="1" ht="17.100000000000001" customHeight="1">
      <c r="B32" s="210">
        <v>1</v>
      </c>
      <c r="C32" s="674">
        <f>+'TAHAP 1'!$C$13</f>
        <v>45264</v>
      </c>
      <c r="D32" s="674"/>
      <c r="E32" s="674"/>
      <c r="F32" s="326">
        <f>VLOOKUP($E$30,B13:$I$19,5,0)</f>
        <v>40000</v>
      </c>
      <c r="G32" s="326">
        <v>0</v>
      </c>
      <c r="H32" s="326">
        <f>VLOOKUP($E$30,B13:$I$19,7,0)</f>
        <v>27500</v>
      </c>
      <c r="I32" s="326">
        <f>VLOOKUP($E$30,B13:$I$19,8,0)</f>
        <v>27500</v>
      </c>
      <c r="J32" s="315">
        <f>SUM(F32:I32)</f>
        <v>95000</v>
      </c>
      <c r="P32" s="201"/>
    </row>
    <row r="33" spans="2:16" s="200" customFormat="1" ht="17.100000000000001" customHeight="1">
      <c r="B33" s="210">
        <v>2</v>
      </c>
      <c r="C33" s="666">
        <f>+C32+1</f>
        <v>45265</v>
      </c>
      <c r="D33" s="667"/>
      <c r="E33" s="668"/>
      <c r="F33" s="326">
        <v>40000</v>
      </c>
      <c r="G33" s="326" t="s">
        <v>300</v>
      </c>
      <c r="H33" s="326" t="s">
        <v>299</v>
      </c>
      <c r="I33" s="326">
        <f>VLOOKUP($E$30,B14:$I$19,8,0)</f>
        <v>27500</v>
      </c>
      <c r="J33" s="315">
        <f t="shared" ref="J33:J36" si="2">SUM(F33:I33)</f>
        <v>67500</v>
      </c>
      <c r="P33" s="201"/>
    </row>
    <row r="34" spans="2:16" s="200" customFormat="1" ht="17.100000000000001" customHeight="1">
      <c r="B34" s="210">
        <v>3</v>
      </c>
      <c r="C34" s="666">
        <f t="shared" ref="C34:C36" si="3">+C33+1</f>
        <v>45266</v>
      </c>
      <c r="D34" s="667"/>
      <c r="E34" s="668"/>
      <c r="F34" s="326">
        <v>40000</v>
      </c>
      <c r="G34" s="326" t="s">
        <v>300</v>
      </c>
      <c r="H34" s="326" t="s">
        <v>299</v>
      </c>
      <c r="I34" s="326">
        <f>VLOOKUP($E$30,B15:$I$19,8,0)</f>
        <v>27500</v>
      </c>
      <c r="J34" s="315">
        <f t="shared" si="2"/>
        <v>67500</v>
      </c>
      <c r="P34" s="201"/>
    </row>
    <row r="35" spans="2:16" s="200" customFormat="1" ht="17.100000000000001" customHeight="1">
      <c r="B35" s="210">
        <v>4</v>
      </c>
      <c r="C35" s="666">
        <f t="shared" si="3"/>
        <v>45267</v>
      </c>
      <c r="D35" s="667"/>
      <c r="E35" s="668"/>
      <c r="F35" s="326">
        <v>40000</v>
      </c>
      <c r="G35" s="326" t="s">
        <v>300</v>
      </c>
      <c r="H35" s="326" t="s">
        <v>299</v>
      </c>
      <c r="I35" s="326">
        <f>VLOOKUP($E$30,B16:$I$19,8,0)</f>
        <v>27500</v>
      </c>
      <c r="J35" s="315">
        <f t="shared" si="2"/>
        <v>67500</v>
      </c>
      <c r="P35" s="201"/>
    </row>
    <row r="36" spans="2:16" s="200" customFormat="1" ht="17.100000000000001" customHeight="1" thickBot="1">
      <c r="B36" s="224">
        <v>5</v>
      </c>
      <c r="C36" s="669">
        <f t="shared" si="3"/>
        <v>45268</v>
      </c>
      <c r="D36" s="670"/>
      <c r="E36" s="671"/>
      <c r="F36" s="342">
        <v>40000</v>
      </c>
      <c r="G36" s="342" t="s">
        <v>300</v>
      </c>
      <c r="H36" s="342">
        <v>27500</v>
      </c>
      <c r="I36" s="342">
        <v>27500</v>
      </c>
      <c r="J36" s="319">
        <f t="shared" si="2"/>
        <v>95000</v>
      </c>
      <c r="P36" s="201"/>
    </row>
    <row r="37" spans="2:16" s="200" customFormat="1" ht="16.5" customHeight="1" thickTop="1">
      <c r="B37" s="672" t="s">
        <v>12</v>
      </c>
      <c r="C37" s="672"/>
      <c r="D37" s="672"/>
      <c r="E37" s="672"/>
      <c r="F37" s="327">
        <f>SUM(F32:F36)</f>
        <v>200000</v>
      </c>
      <c r="G37" s="648">
        <f>SUM(G32:I36)</f>
        <v>192500</v>
      </c>
      <c r="H37" s="649"/>
      <c r="I37" s="649"/>
      <c r="J37" s="328">
        <f>SUM(J32:J36)</f>
        <v>392500</v>
      </c>
      <c r="P37" s="201"/>
    </row>
    <row r="38" spans="2:16" s="15" customFormat="1" ht="20.100000000000001" customHeight="1">
      <c r="B38" s="185"/>
      <c r="C38" s="186"/>
      <c r="D38" s="186"/>
      <c r="E38" s="186"/>
      <c r="F38" s="186"/>
      <c r="G38" s="186"/>
      <c r="H38" s="186"/>
      <c r="I38" s="186"/>
      <c r="J38" s="186"/>
      <c r="K38" s="202"/>
      <c r="L38" s="203"/>
      <c r="M38" s="203"/>
      <c r="N38" s="203"/>
      <c r="O38" s="203"/>
      <c r="P38" s="204"/>
    </row>
    <row r="39" spans="2:16" s="200" customFormat="1" ht="20.100000000000001" customHeight="1">
      <c r="B39" s="253"/>
      <c r="C39" s="255" t="s">
        <v>263</v>
      </c>
      <c r="D39" s="254" t="s">
        <v>10</v>
      </c>
      <c r="E39" s="254" t="s">
        <v>126</v>
      </c>
      <c r="F39" s="254"/>
      <c r="G39" s="254"/>
      <c r="H39" s="254"/>
      <c r="I39" s="254"/>
      <c r="J39" s="254"/>
      <c r="P39" s="201"/>
    </row>
    <row r="40" spans="2:16" s="211" customFormat="1" ht="17.100000000000001" customHeight="1">
      <c r="B40" s="215" t="s">
        <v>35</v>
      </c>
      <c r="C40" s="673" t="s">
        <v>5</v>
      </c>
      <c r="D40" s="673"/>
      <c r="E40" s="673"/>
      <c r="F40" s="215" t="str">
        <f>+$F$12</f>
        <v>UANG SAKU</v>
      </c>
      <c r="G40" s="215" t="str">
        <f>+$G$12</f>
        <v>BREAKFAST</v>
      </c>
      <c r="H40" s="215" t="str">
        <f>+$H$12</f>
        <v>LUNCH</v>
      </c>
      <c r="I40" s="215" t="str">
        <f>+$I$12</f>
        <v>DINNER</v>
      </c>
      <c r="J40" s="215" t="s">
        <v>45</v>
      </c>
      <c r="P40" s="216"/>
    </row>
    <row r="41" spans="2:16" s="200" customFormat="1" ht="17.100000000000001" customHeight="1">
      <c r="B41" s="210">
        <v>1</v>
      </c>
      <c r="C41" s="674">
        <f>+'TAHAP 1'!$C$13</f>
        <v>45264</v>
      </c>
      <c r="D41" s="674"/>
      <c r="E41" s="674"/>
      <c r="F41" s="326">
        <v>30000</v>
      </c>
      <c r="G41" s="326">
        <v>0</v>
      </c>
      <c r="H41" s="326">
        <v>20000</v>
      </c>
      <c r="I41" s="326">
        <v>20000</v>
      </c>
      <c r="J41" s="315">
        <f>SUM(F41:I41)</f>
        <v>70000</v>
      </c>
      <c r="P41" s="201"/>
    </row>
    <row r="42" spans="2:16" s="200" customFormat="1" ht="17.100000000000001" customHeight="1">
      <c r="B42" s="210">
        <v>2</v>
      </c>
      <c r="C42" s="666">
        <f>+C41+1</f>
        <v>45265</v>
      </c>
      <c r="D42" s="667"/>
      <c r="E42" s="668"/>
      <c r="F42" s="326">
        <v>30000</v>
      </c>
      <c r="G42" s="326" t="s">
        <v>300</v>
      </c>
      <c r="H42" s="326" t="s">
        <v>299</v>
      </c>
      <c r="I42" s="326">
        <v>20000</v>
      </c>
      <c r="J42" s="315">
        <f t="shared" ref="J42:J45" si="4">SUM(F42:I42)</f>
        <v>50000</v>
      </c>
      <c r="P42" s="201"/>
    </row>
    <row r="43" spans="2:16" s="200" customFormat="1" ht="17.100000000000001" customHeight="1">
      <c r="B43" s="210">
        <v>3</v>
      </c>
      <c r="C43" s="666">
        <f t="shared" ref="C43:C45" si="5">+C42+1</f>
        <v>45266</v>
      </c>
      <c r="D43" s="667"/>
      <c r="E43" s="668"/>
      <c r="F43" s="326">
        <v>30000</v>
      </c>
      <c r="G43" s="326" t="s">
        <v>300</v>
      </c>
      <c r="H43" s="326" t="s">
        <v>299</v>
      </c>
      <c r="I43" s="326">
        <v>20000</v>
      </c>
      <c r="J43" s="315">
        <f t="shared" si="4"/>
        <v>50000</v>
      </c>
      <c r="P43" s="201"/>
    </row>
    <row r="44" spans="2:16" s="200" customFormat="1" ht="17.100000000000001" customHeight="1">
      <c r="B44" s="210">
        <v>4</v>
      </c>
      <c r="C44" s="666">
        <f t="shared" si="5"/>
        <v>45267</v>
      </c>
      <c r="D44" s="667"/>
      <c r="E44" s="668"/>
      <c r="F44" s="326">
        <v>30000</v>
      </c>
      <c r="G44" s="326" t="s">
        <v>300</v>
      </c>
      <c r="H44" s="326" t="s">
        <v>299</v>
      </c>
      <c r="I44" s="326">
        <v>20000</v>
      </c>
      <c r="J44" s="315">
        <f t="shared" si="4"/>
        <v>50000</v>
      </c>
      <c r="P44" s="201"/>
    </row>
    <row r="45" spans="2:16" s="200" customFormat="1" ht="17.100000000000001" customHeight="1" thickBot="1">
      <c r="B45" s="224">
        <v>5</v>
      </c>
      <c r="C45" s="669">
        <f t="shared" si="5"/>
        <v>45268</v>
      </c>
      <c r="D45" s="670"/>
      <c r="E45" s="671"/>
      <c r="F45" s="342">
        <v>30000</v>
      </c>
      <c r="G45" s="342" t="s">
        <v>300</v>
      </c>
      <c r="H45" s="342">
        <v>20000</v>
      </c>
      <c r="I45" s="342">
        <v>20000</v>
      </c>
      <c r="J45" s="319">
        <f t="shared" si="4"/>
        <v>70000</v>
      </c>
      <c r="P45" s="201"/>
    </row>
    <row r="46" spans="2:16" s="200" customFormat="1" ht="16.5" customHeight="1" thickTop="1">
      <c r="B46" s="672" t="s">
        <v>12</v>
      </c>
      <c r="C46" s="672"/>
      <c r="D46" s="672"/>
      <c r="E46" s="672"/>
      <c r="F46" s="327">
        <f>SUM(F41:F45)</f>
        <v>150000</v>
      </c>
      <c r="G46" s="648">
        <f>SUM(G41:I45)</f>
        <v>140000</v>
      </c>
      <c r="H46" s="649"/>
      <c r="I46" s="649"/>
      <c r="J46" s="328">
        <f>SUM(J41:J45)</f>
        <v>290000</v>
      </c>
      <c r="P46" s="201"/>
    </row>
    <row r="47" spans="2:16" s="15" customFormat="1" ht="20.100000000000001" customHeight="1">
      <c r="B47" s="185"/>
      <c r="C47" s="186"/>
      <c r="D47" s="186"/>
      <c r="E47" s="186"/>
      <c r="F47" s="186"/>
      <c r="G47" s="186"/>
      <c r="H47" s="186"/>
      <c r="I47" s="186"/>
      <c r="J47" s="186"/>
      <c r="K47" s="202"/>
      <c r="L47" s="203"/>
      <c r="M47" s="203"/>
      <c r="N47" s="203"/>
      <c r="O47" s="203"/>
      <c r="P47" s="204"/>
    </row>
    <row r="48" spans="2:16" s="15" customFormat="1" ht="20.100000000000001" customHeight="1">
      <c r="B48" s="226" t="s">
        <v>229</v>
      </c>
      <c r="C48" s="186"/>
      <c r="D48" s="186"/>
      <c r="E48" s="186"/>
      <c r="F48" s="186"/>
      <c r="G48" s="186"/>
      <c r="H48" s="186"/>
      <c r="I48" s="186"/>
      <c r="J48" s="186"/>
      <c r="K48" s="202"/>
      <c r="L48" s="203"/>
      <c r="M48" s="203"/>
      <c r="N48" s="203"/>
      <c r="O48" s="203"/>
      <c r="P48" s="204"/>
    </row>
    <row r="49" spans="2:16" s="200" customFormat="1" ht="24.95" customHeight="1">
      <c r="B49" s="300" t="s">
        <v>35</v>
      </c>
      <c r="C49" s="685" t="s">
        <v>3</v>
      </c>
      <c r="D49" s="686"/>
      <c r="E49" s="686"/>
      <c r="F49" s="687"/>
      <c r="G49" s="300" t="s">
        <v>221</v>
      </c>
      <c r="H49" s="687" t="s">
        <v>229</v>
      </c>
      <c r="I49" s="186"/>
      <c r="J49" s="186"/>
      <c r="K49" s="219"/>
      <c r="L49" s="211"/>
      <c r="M49" s="211"/>
      <c r="P49" s="216"/>
    </row>
    <row r="50" spans="2:16" s="200" customFormat="1" ht="20.100000000000001" customHeight="1">
      <c r="B50" s="210">
        <v>1</v>
      </c>
      <c r="C50" s="650" t="str">
        <f>+'TAHAP 1'!M13</f>
        <v>NUNING DIAN PERTIWI</v>
      </c>
      <c r="D50" s="650"/>
      <c r="E50" s="650"/>
      <c r="F50" s="650"/>
      <c r="G50" s="324" t="s">
        <v>128</v>
      </c>
      <c r="H50" s="688">
        <f>+J37</f>
        <v>392500</v>
      </c>
      <c r="I50" s="186"/>
      <c r="J50" s="186"/>
      <c r="K50" s="296"/>
      <c r="L50" s="211"/>
      <c r="M50" s="211"/>
      <c r="P50" s="216"/>
    </row>
    <row r="51" spans="2:16" s="200" customFormat="1" ht="20.100000000000001" customHeight="1">
      <c r="B51" s="210">
        <v>2</v>
      </c>
      <c r="C51" s="650" t="str">
        <f>+'TAHAP 1'!M14</f>
        <v>DARMUJI</v>
      </c>
      <c r="D51" s="650"/>
      <c r="E51" s="650"/>
      <c r="F51" s="650"/>
      <c r="G51" s="324" t="s">
        <v>128</v>
      </c>
      <c r="H51" s="341">
        <f>+J37</f>
        <v>392500</v>
      </c>
      <c r="I51" s="186"/>
      <c r="J51" s="186"/>
      <c r="K51" s="296"/>
      <c r="L51" s="211"/>
      <c r="M51" s="211"/>
      <c r="P51" s="216"/>
    </row>
    <row r="52" spans="2:16" s="200" customFormat="1" ht="20.100000000000001" customHeight="1">
      <c r="B52" s="210">
        <v>3</v>
      </c>
      <c r="C52" s="650" t="str">
        <f>+'TAHAP 1'!M15</f>
        <v>AHMAD MUBARAK</v>
      </c>
      <c r="D52" s="650"/>
      <c r="E52" s="650"/>
      <c r="F52" s="650"/>
      <c r="G52" s="324" t="s">
        <v>128</v>
      </c>
      <c r="H52" s="341">
        <f>+J37</f>
        <v>392500</v>
      </c>
      <c r="I52" s="186"/>
      <c r="J52" s="186"/>
      <c r="K52" s="296"/>
      <c r="L52" s="211"/>
      <c r="M52" s="211"/>
      <c r="P52" s="216"/>
    </row>
    <row r="53" spans="2:16" s="200" customFormat="1" ht="20.100000000000001" customHeight="1">
      <c r="B53" s="210">
        <v>4</v>
      </c>
      <c r="C53" s="650" t="str">
        <f>+'TAHAP 1'!M16</f>
        <v>YUICHIRO SUZUKI</v>
      </c>
      <c r="D53" s="650"/>
      <c r="E53" s="650"/>
      <c r="F53" s="650"/>
      <c r="G53" s="324" t="s">
        <v>129</v>
      </c>
      <c r="H53" s="443">
        <f>+J28</f>
        <v>460000</v>
      </c>
      <c r="I53" s="186"/>
      <c r="J53" s="186"/>
      <c r="K53" s="296"/>
      <c r="L53" s="211"/>
      <c r="M53" s="211"/>
      <c r="P53" s="216"/>
    </row>
    <row r="54" spans="2:16" s="200" customFormat="1" ht="20.100000000000001" customHeight="1" thickBot="1">
      <c r="B54" s="210">
        <v>5</v>
      </c>
      <c r="C54" s="650" t="str">
        <f>+'TAHAP 1'!M17</f>
        <v>ERWIN DWI PAMUNGKAS</v>
      </c>
      <c r="D54" s="650"/>
      <c r="E54" s="650"/>
      <c r="F54" s="650"/>
      <c r="G54" s="324" t="s">
        <v>126</v>
      </c>
      <c r="H54" s="443">
        <f>+J46</f>
        <v>290000</v>
      </c>
      <c r="I54" s="186"/>
      <c r="J54" s="186"/>
      <c r="K54" s="296"/>
      <c r="L54" s="211"/>
      <c r="M54" s="211"/>
      <c r="P54" s="216"/>
    </row>
    <row r="55" spans="2:16" s="200" customFormat="1" ht="24.95" customHeight="1" thickTop="1">
      <c r="B55" s="689" t="s">
        <v>12</v>
      </c>
      <c r="C55" s="690"/>
      <c r="D55" s="690"/>
      <c r="E55" s="690"/>
      <c r="F55" s="690"/>
      <c r="G55" s="691"/>
      <c r="H55" s="325">
        <f>SUM(H50:H52)</f>
        <v>1177500</v>
      </c>
      <c r="I55" s="186"/>
      <c r="J55" s="186"/>
      <c r="K55" s="219"/>
      <c r="L55" s="211"/>
      <c r="M55" s="211"/>
      <c r="P55" s="216"/>
    </row>
    <row r="56" spans="2:16" s="200" customFormat="1" ht="24.95" customHeight="1">
      <c r="B56" s="283"/>
      <c r="C56" s="211"/>
      <c r="D56" s="211"/>
      <c r="E56" s="211"/>
      <c r="F56" s="211"/>
      <c r="G56" s="211"/>
      <c r="H56" s="259"/>
      <c r="I56" s="186"/>
      <c r="J56" s="186"/>
      <c r="K56" s="219"/>
      <c r="L56" s="211"/>
      <c r="M56" s="211"/>
      <c r="P56" s="216"/>
    </row>
    <row r="57" spans="2:16" s="200" customFormat="1" ht="24.95" customHeight="1">
      <c r="B57" s="283"/>
      <c r="C57" s="211"/>
      <c r="D57" s="211"/>
      <c r="E57" s="211"/>
      <c r="F57" s="211"/>
      <c r="G57" s="211"/>
      <c r="H57" s="259"/>
      <c r="I57" s="186"/>
      <c r="J57" s="186"/>
      <c r="K57" s="219"/>
      <c r="L57" s="211"/>
      <c r="M57" s="211"/>
      <c r="P57" s="216"/>
    </row>
    <row r="58" spans="2:16" s="200" customFormat="1" ht="20.100000000000001" customHeight="1" thickBot="1">
      <c r="B58" s="205"/>
      <c r="C58" s="206"/>
      <c r="D58" s="206"/>
      <c r="E58" s="297"/>
      <c r="F58" s="297"/>
      <c r="G58" s="297"/>
      <c r="H58" s="297"/>
      <c r="I58" s="298"/>
      <c r="J58" s="222"/>
      <c r="K58" s="222"/>
      <c r="L58" s="222"/>
      <c r="M58" s="222"/>
      <c r="N58" s="222"/>
      <c r="O58" s="222"/>
      <c r="P58" s="299"/>
    </row>
    <row r="59" spans="2:16" s="200" customFormat="1" ht="20.100000000000001" customHeight="1" thickTop="1">
      <c r="B59" s="692" t="s">
        <v>237</v>
      </c>
      <c r="C59" s="693"/>
      <c r="D59" s="693"/>
      <c r="E59" s="693"/>
      <c r="F59" s="693"/>
      <c r="G59" s="693"/>
      <c r="H59" s="693"/>
      <c r="I59" s="693"/>
      <c r="J59" s="693"/>
      <c r="K59" s="693"/>
      <c r="L59" s="693"/>
      <c r="M59" s="693"/>
      <c r="N59" s="693"/>
      <c r="O59" s="693"/>
      <c r="P59" s="694"/>
    </row>
    <row r="60" spans="2:16" s="200" customFormat="1" ht="20.100000000000001" customHeight="1">
      <c r="B60" s="695"/>
      <c r="C60" s="696"/>
      <c r="D60" s="696"/>
      <c r="E60" s="696"/>
      <c r="F60" s="696"/>
      <c r="G60" s="696"/>
      <c r="H60" s="696"/>
      <c r="I60" s="696"/>
      <c r="J60" s="696"/>
      <c r="K60" s="696"/>
      <c r="L60" s="696"/>
      <c r="M60" s="696"/>
      <c r="N60" s="696"/>
      <c r="O60" s="696"/>
      <c r="P60" s="697"/>
    </row>
    <row r="61" spans="2:16" s="200" customFormat="1" ht="24.95" customHeight="1">
      <c r="B61" s="223" t="s">
        <v>315</v>
      </c>
      <c r="C61" s="199"/>
      <c r="D61" s="199"/>
      <c r="E61" s="218"/>
      <c r="F61" s="218"/>
      <c r="P61" s="201"/>
    </row>
    <row r="62" spans="2:16" s="200" customFormat="1" ht="24.95" hidden="1" customHeight="1">
      <c r="B62" s="260"/>
      <c r="C62" s="186"/>
      <c r="D62" s="186"/>
      <c r="E62" s="218"/>
      <c r="F62" s="218"/>
      <c r="P62" s="201"/>
    </row>
    <row r="63" spans="2:16" s="200" customFormat="1" ht="20.100000000000001" hidden="1" customHeight="1">
      <c r="B63" s="273"/>
      <c r="C63" s="186"/>
      <c r="D63" s="186"/>
      <c r="E63" s="218"/>
      <c r="F63" s="218"/>
      <c r="P63" s="201"/>
    </row>
    <row r="64" spans="2:16" s="200" customFormat="1" ht="20.100000000000001" hidden="1" customHeight="1">
      <c r="B64" s="273"/>
      <c r="C64" s="186"/>
      <c r="D64" s="186"/>
      <c r="E64" s="218"/>
      <c r="F64" s="218"/>
      <c r="P64" s="201"/>
    </row>
    <row r="65" spans="2:16" s="200" customFormat="1" ht="9.9499999999999993" customHeight="1">
      <c r="B65" s="185"/>
      <c r="C65" s="218"/>
      <c r="D65" s="218"/>
      <c r="E65" s="218"/>
      <c r="F65" s="218"/>
      <c r="P65" s="201"/>
    </row>
    <row r="66" spans="2:16" s="99" customFormat="1" ht="24.95" customHeight="1">
      <c r="B66" s="215" t="s">
        <v>35</v>
      </c>
      <c r="C66" s="652" t="s">
        <v>53</v>
      </c>
      <c r="D66" s="653"/>
      <c r="E66" s="654"/>
      <c r="F66" s="251" t="s">
        <v>43</v>
      </c>
      <c r="G66" s="215" t="s">
        <v>44</v>
      </c>
      <c r="H66" s="655" t="s">
        <v>266</v>
      </c>
      <c r="I66" s="656"/>
      <c r="P66" s="167"/>
    </row>
    <row r="67" spans="2:16" s="200" customFormat="1" ht="17.100000000000001" customHeight="1" thickBot="1">
      <c r="B67" s="210">
        <v>1</v>
      </c>
      <c r="C67" s="657" t="s">
        <v>46</v>
      </c>
      <c r="D67" s="658"/>
      <c r="E67" s="659"/>
      <c r="F67" s="315">
        <v>500000</v>
      </c>
      <c r="G67" s="316">
        <v>5</v>
      </c>
      <c r="H67" s="317"/>
      <c r="I67" s="353">
        <f>+F67*G67</f>
        <v>2500000</v>
      </c>
      <c r="P67" s="201"/>
    </row>
    <row r="68" spans="2:16" s="200" customFormat="1" ht="24.95" customHeight="1" thickTop="1">
      <c r="B68" s="660" t="s">
        <v>285</v>
      </c>
      <c r="C68" s="661"/>
      <c r="D68" s="661"/>
      <c r="E68" s="661"/>
      <c r="F68" s="661"/>
      <c r="G68" s="662"/>
      <c r="H68" s="354"/>
      <c r="I68" s="325">
        <f>SUM(I61:I67)</f>
        <v>2500000</v>
      </c>
      <c r="O68" s="99"/>
      <c r="P68" s="167"/>
    </row>
    <row r="69" spans="2:16" s="200" customFormat="1" ht="17.100000000000001" customHeight="1">
      <c r="B69" s="359"/>
      <c r="C69" s="360"/>
      <c r="D69" s="360"/>
      <c r="E69" s="360"/>
      <c r="F69" s="361"/>
      <c r="G69" s="361"/>
      <c r="H69" s="362"/>
      <c r="I69" s="362"/>
      <c r="P69" s="201"/>
    </row>
    <row r="70" spans="2:16" s="200" customFormat="1" ht="17.100000000000001" customHeight="1">
      <c r="B70" s="355"/>
      <c r="C70" s="356"/>
      <c r="D70" s="356"/>
      <c r="E70" s="356"/>
      <c r="F70" s="357"/>
      <c r="G70" s="357"/>
      <c r="H70" s="358"/>
      <c r="I70" s="358"/>
      <c r="P70" s="201"/>
    </row>
    <row r="71" spans="2:16" s="99" customFormat="1" ht="24.95" customHeight="1">
      <c r="B71" s="215" t="s">
        <v>35</v>
      </c>
      <c r="C71" s="652" t="s">
        <v>53</v>
      </c>
      <c r="D71" s="653"/>
      <c r="E71" s="654"/>
      <c r="F71" s="251" t="s">
        <v>43</v>
      </c>
      <c r="G71" s="215" t="s">
        <v>44</v>
      </c>
      <c r="H71" s="655" t="s">
        <v>266</v>
      </c>
      <c r="I71" s="656"/>
      <c r="P71" s="167"/>
    </row>
    <row r="72" spans="2:16" s="200" customFormat="1" ht="17.100000000000001" customHeight="1">
      <c r="B72" s="210">
        <v>1</v>
      </c>
      <c r="C72" s="657" t="s">
        <v>54</v>
      </c>
      <c r="D72" s="658"/>
      <c r="E72" s="659"/>
      <c r="F72" s="315">
        <v>0</v>
      </c>
      <c r="G72" s="316">
        <v>0</v>
      </c>
      <c r="H72" s="317"/>
      <c r="I72" s="318">
        <f t="shared" ref="I72:I78" si="6">+F72*G72</f>
        <v>0</v>
      </c>
      <c r="P72" s="201"/>
    </row>
    <row r="73" spans="2:16" s="200" customFormat="1" ht="17.100000000000001" customHeight="1">
      <c r="B73" s="210">
        <v>2</v>
      </c>
      <c r="C73" s="256" t="s">
        <v>51</v>
      </c>
      <c r="D73" s="257"/>
      <c r="E73" s="258"/>
      <c r="F73" s="315">
        <v>100000</v>
      </c>
      <c r="G73" s="316">
        <v>5</v>
      </c>
      <c r="H73" s="317"/>
      <c r="I73" s="318">
        <f t="shared" si="6"/>
        <v>500000</v>
      </c>
      <c r="P73" s="201"/>
    </row>
    <row r="74" spans="2:16" s="200" customFormat="1" ht="17.100000000000001" customHeight="1">
      <c r="B74" s="210">
        <v>3</v>
      </c>
      <c r="C74" s="256" t="s">
        <v>52</v>
      </c>
      <c r="D74" s="257"/>
      <c r="E74" s="258"/>
      <c r="F74" s="315">
        <v>150000</v>
      </c>
      <c r="G74" s="316">
        <v>4</v>
      </c>
      <c r="H74" s="317"/>
      <c r="I74" s="318">
        <f t="shared" si="6"/>
        <v>600000</v>
      </c>
      <c r="P74" s="201"/>
    </row>
    <row r="75" spans="2:16" s="200" customFormat="1" ht="17.100000000000001" customHeight="1">
      <c r="B75" s="210">
        <v>4</v>
      </c>
      <c r="C75" s="256" t="s">
        <v>50</v>
      </c>
      <c r="D75" s="257"/>
      <c r="E75" s="258"/>
      <c r="F75" s="315">
        <v>300000</v>
      </c>
      <c r="G75" s="316">
        <v>5</v>
      </c>
      <c r="H75" s="317"/>
      <c r="I75" s="318">
        <f t="shared" si="6"/>
        <v>1500000</v>
      </c>
      <c r="P75" s="201"/>
    </row>
    <row r="76" spans="2:16" s="200" customFormat="1" ht="17.100000000000001" customHeight="1">
      <c r="B76" s="210">
        <v>5</v>
      </c>
      <c r="C76" s="657" t="s">
        <v>47</v>
      </c>
      <c r="D76" s="658"/>
      <c r="E76" s="659"/>
      <c r="F76" s="315">
        <v>400000</v>
      </c>
      <c r="G76" s="316">
        <v>5</v>
      </c>
      <c r="H76" s="317"/>
      <c r="I76" s="318">
        <f t="shared" si="6"/>
        <v>2000000</v>
      </c>
      <c r="P76" s="201"/>
    </row>
    <row r="77" spans="2:16" s="200" customFormat="1" ht="17.100000000000001" customHeight="1">
      <c r="B77" s="210">
        <v>6</v>
      </c>
      <c r="C77" s="657" t="s">
        <v>48</v>
      </c>
      <c r="D77" s="658"/>
      <c r="E77" s="659"/>
      <c r="F77" s="315">
        <v>600000</v>
      </c>
      <c r="G77" s="316">
        <v>2</v>
      </c>
      <c r="H77" s="317"/>
      <c r="I77" s="318">
        <f t="shared" si="6"/>
        <v>1200000</v>
      </c>
      <c r="P77" s="201"/>
    </row>
    <row r="78" spans="2:16" s="200" customFormat="1" ht="17.100000000000001" customHeight="1" thickBot="1">
      <c r="B78" s="224">
        <v>7</v>
      </c>
      <c r="C78" s="663" t="s">
        <v>49</v>
      </c>
      <c r="D78" s="664"/>
      <c r="E78" s="665"/>
      <c r="F78" s="319">
        <v>40000</v>
      </c>
      <c r="G78" s="320">
        <v>5</v>
      </c>
      <c r="H78" s="321"/>
      <c r="I78" s="322">
        <f t="shared" si="6"/>
        <v>200000</v>
      </c>
      <c r="P78" s="201"/>
    </row>
    <row r="79" spans="2:16" s="200" customFormat="1" ht="24.95" customHeight="1" thickTop="1">
      <c r="B79" s="660" t="s">
        <v>286</v>
      </c>
      <c r="C79" s="661"/>
      <c r="D79" s="661"/>
      <c r="E79" s="661"/>
      <c r="F79" s="661"/>
      <c r="G79" s="662"/>
      <c r="H79" s="354"/>
      <c r="I79" s="325">
        <f>SUM(I72:I78)</f>
        <v>6000000</v>
      </c>
      <c r="O79" s="99"/>
      <c r="P79" s="167"/>
    </row>
    <row r="80" spans="2:16" s="200" customFormat="1" ht="20.100000000000001" customHeight="1">
      <c r="B80" s="185"/>
      <c r="C80" s="186"/>
      <c r="D80" s="186"/>
      <c r="E80" s="186"/>
      <c r="F80" s="186"/>
      <c r="G80" s="186"/>
      <c r="H80" s="99"/>
      <c r="I80" s="259"/>
      <c r="J80" s="186"/>
      <c r="K80" s="219"/>
      <c r="L80" s="211"/>
      <c r="M80" s="211"/>
      <c r="P80" s="201"/>
    </row>
    <row r="81" spans="2:16" s="200" customFormat="1" ht="20.100000000000001" customHeight="1">
      <c r="B81" s="185"/>
      <c r="C81" s="186"/>
      <c r="D81" s="186"/>
      <c r="E81" s="186"/>
      <c r="F81" s="186"/>
      <c r="G81" s="186"/>
      <c r="H81" s="363"/>
      <c r="I81" s="323">
        <f>+I79+I68</f>
        <v>8500000</v>
      </c>
      <c r="J81" s="186"/>
      <c r="K81" s="219"/>
      <c r="L81" s="211"/>
      <c r="M81" s="211"/>
      <c r="P81" s="201"/>
    </row>
    <row r="82" spans="2:16" s="200" customFormat="1" ht="20.100000000000001" customHeight="1">
      <c r="B82" s="185"/>
      <c r="C82" s="186"/>
      <c r="D82" s="186"/>
      <c r="E82" s="186"/>
      <c r="F82" s="186"/>
      <c r="G82" s="186"/>
      <c r="J82" s="186"/>
      <c r="K82" s="219"/>
      <c r="L82" s="211"/>
      <c r="M82" s="211"/>
      <c r="O82" s="301"/>
      <c r="P82" s="268"/>
    </row>
    <row r="83" spans="2:16" s="200" customFormat="1" ht="24.95" customHeight="1">
      <c r="B83" s="223" t="s">
        <v>316</v>
      </c>
      <c r="C83" s="199"/>
      <c r="D83" s="199"/>
      <c r="E83" s="218"/>
      <c r="F83" s="218"/>
      <c r="P83" s="201"/>
    </row>
    <row r="84" spans="2:16" s="200" customFormat="1" ht="24.95" hidden="1" customHeight="1">
      <c r="B84" s="260"/>
      <c r="C84" s="186"/>
      <c r="D84" s="186"/>
      <c r="E84" s="218"/>
      <c r="F84" s="218"/>
      <c r="P84" s="201"/>
    </row>
    <row r="85" spans="2:16" s="200" customFormat="1" ht="20.100000000000001" hidden="1" customHeight="1">
      <c r="B85" s="273"/>
      <c r="C85" s="186"/>
      <c r="D85" s="186"/>
      <c r="E85" s="218"/>
      <c r="F85" s="218"/>
      <c r="P85" s="201"/>
    </row>
    <row r="86" spans="2:16" s="200" customFormat="1" ht="20.100000000000001" hidden="1" customHeight="1">
      <c r="B86" s="273"/>
      <c r="C86" s="186"/>
      <c r="D86" s="186"/>
      <c r="E86" s="218"/>
      <c r="F86" s="218"/>
      <c r="P86" s="201"/>
    </row>
    <row r="87" spans="2:16" s="200" customFormat="1" ht="9.9499999999999993" customHeight="1">
      <c r="B87" s="185"/>
      <c r="C87" s="218"/>
      <c r="D87" s="218"/>
      <c r="E87" s="218"/>
      <c r="F87" s="218"/>
      <c r="P87" s="201"/>
    </row>
    <row r="88" spans="2:16" s="99" customFormat="1" ht="24.95" customHeight="1">
      <c r="B88" s="215" t="s">
        <v>35</v>
      </c>
      <c r="C88" s="652" t="s">
        <v>53</v>
      </c>
      <c r="D88" s="653"/>
      <c r="E88" s="654"/>
      <c r="F88" s="251" t="s">
        <v>43</v>
      </c>
      <c r="G88" s="215" t="s">
        <v>44</v>
      </c>
      <c r="H88" s="655" t="s">
        <v>266</v>
      </c>
      <c r="I88" s="656"/>
      <c r="P88" s="167"/>
    </row>
    <row r="89" spans="2:16" s="200" customFormat="1" ht="17.100000000000001" customHeight="1" thickBot="1">
      <c r="B89" s="210">
        <v>1</v>
      </c>
      <c r="C89" s="657" t="s">
        <v>317</v>
      </c>
      <c r="D89" s="658"/>
      <c r="E89" s="659"/>
      <c r="F89" s="315">
        <v>1050000</v>
      </c>
      <c r="G89" s="316">
        <v>5</v>
      </c>
      <c r="H89" s="317"/>
      <c r="I89" s="353">
        <f>+F89*G89</f>
        <v>5250000</v>
      </c>
      <c r="P89" s="201"/>
    </row>
    <row r="90" spans="2:16" s="200" customFormat="1" ht="24.95" customHeight="1" thickTop="1">
      <c r="B90" s="660" t="s">
        <v>285</v>
      </c>
      <c r="C90" s="661"/>
      <c r="D90" s="661"/>
      <c r="E90" s="661"/>
      <c r="F90" s="661"/>
      <c r="G90" s="662"/>
      <c r="H90" s="354"/>
      <c r="I90" s="325">
        <f>SUM(I83:I89)</f>
        <v>5250000</v>
      </c>
      <c r="O90" s="99"/>
      <c r="P90" s="167"/>
    </row>
    <row r="91" spans="2:16" s="200" customFormat="1" ht="17.100000000000001" customHeight="1">
      <c r="B91" s="359"/>
      <c r="C91" s="360"/>
      <c r="D91" s="360"/>
      <c r="E91" s="360"/>
      <c r="F91" s="361"/>
      <c r="G91" s="361"/>
      <c r="H91" s="362"/>
      <c r="I91" s="362"/>
      <c r="P91" s="201"/>
    </row>
    <row r="92" spans="2:16" s="200" customFormat="1" ht="17.100000000000001" customHeight="1">
      <c r="B92" s="355"/>
      <c r="C92" s="356"/>
      <c r="D92" s="356"/>
      <c r="E92" s="356"/>
      <c r="F92" s="357"/>
      <c r="G92" s="357"/>
      <c r="H92" s="358"/>
      <c r="I92" s="358"/>
      <c r="P92" s="201"/>
    </row>
    <row r="93" spans="2:16" s="99" customFormat="1" ht="24.95" customHeight="1">
      <c r="B93" s="215" t="s">
        <v>35</v>
      </c>
      <c r="C93" s="652" t="s">
        <v>53</v>
      </c>
      <c r="D93" s="653"/>
      <c r="E93" s="654"/>
      <c r="F93" s="251" t="s">
        <v>43</v>
      </c>
      <c r="G93" s="215" t="s">
        <v>44</v>
      </c>
      <c r="H93" s="655" t="s">
        <v>266</v>
      </c>
      <c r="I93" s="656"/>
      <c r="P93" s="167"/>
    </row>
    <row r="94" spans="2:16" s="200" customFormat="1" ht="17.100000000000001" customHeight="1">
      <c r="B94" s="210">
        <v>1</v>
      </c>
      <c r="C94" s="657" t="s">
        <v>54</v>
      </c>
      <c r="D94" s="658"/>
      <c r="E94" s="659"/>
      <c r="F94" s="315">
        <v>0</v>
      </c>
      <c r="G94" s="316">
        <v>0</v>
      </c>
      <c r="H94" s="317"/>
      <c r="I94" s="318">
        <f t="shared" ref="I94:I100" si="7">+F94*G94</f>
        <v>0</v>
      </c>
      <c r="P94" s="201"/>
    </row>
    <row r="95" spans="2:16" s="200" customFormat="1" ht="17.100000000000001" customHeight="1">
      <c r="B95" s="210">
        <v>2</v>
      </c>
      <c r="C95" s="256" t="s">
        <v>51</v>
      </c>
      <c r="D95" s="257"/>
      <c r="E95" s="258"/>
      <c r="F95" s="315">
        <v>100000</v>
      </c>
      <c r="G95" s="316">
        <v>5</v>
      </c>
      <c r="H95" s="317"/>
      <c r="I95" s="318">
        <f t="shared" si="7"/>
        <v>500000</v>
      </c>
      <c r="P95" s="201"/>
    </row>
    <row r="96" spans="2:16" s="200" customFormat="1" ht="17.100000000000001" customHeight="1">
      <c r="B96" s="210">
        <v>3</v>
      </c>
      <c r="C96" s="256" t="s">
        <v>52</v>
      </c>
      <c r="D96" s="257"/>
      <c r="E96" s="258"/>
      <c r="F96" s="315">
        <v>150000</v>
      </c>
      <c r="G96" s="316">
        <v>4</v>
      </c>
      <c r="H96" s="317"/>
      <c r="I96" s="318">
        <f t="shared" si="7"/>
        <v>600000</v>
      </c>
      <c r="P96" s="201"/>
    </row>
    <row r="97" spans="2:17" s="200" customFormat="1" ht="17.100000000000001" customHeight="1">
      <c r="B97" s="210">
        <v>4</v>
      </c>
      <c r="C97" s="256" t="s">
        <v>50</v>
      </c>
      <c r="D97" s="257"/>
      <c r="E97" s="258"/>
      <c r="F97" s="315">
        <v>300000</v>
      </c>
      <c r="G97" s="316">
        <v>5</v>
      </c>
      <c r="H97" s="317"/>
      <c r="I97" s="318">
        <f t="shared" si="7"/>
        <v>1500000</v>
      </c>
      <c r="P97" s="201"/>
    </row>
    <row r="98" spans="2:17" s="200" customFormat="1" ht="17.100000000000001" customHeight="1">
      <c r="B98" s="210">
        <v>5</v>
      </c>
      <c r="C98" s="657" t="s">
        <v>47</v>
      </c>
      <c r="D98" s="658"/>
      <c r="E98" s="659"/>
      <c r="F98" s="315">
        <v>400000</v>
      </c>
      <c r="G98" s="316">
        <v>5</v>
      </c>
      <c r="H98" s="317"/>
      <c r="I98" s="318">
        <f t="shared" si="7"/>
        <v>2000000</v>
      </c>
      <c r="P98" s="201"/>
    </row>
    <row r="99" spans="2:17" s="200" customFormat="1" ht="17.100000000000001" customHeight="1">
      <c r="B99" s="210">
        <v>6</v>
      </c>
      <c r="C99" s="657" t="s">
        <v>48</v>
      </c>
      <c r="D99" s="658"/>
      <c r="E99" s="659"/>
      <c r="F99" s="315">
        <v>600000</v>
      </c>
      <c r="G99" s="316">
        <v>2</v>
      </c>
      <c r="H99" s="317"/>
      <c r="I99" s="318">
        <f t="shared" si="7"/>
        <v>1200000</v>
      </c>
      <c r="P99" s="201"/>
    </row>
    <row r="100" spans="2:17" s="200" customFormat="1" ht="17.100000000000001" customHeight="1" thickBot="1">
      <c r="B100" s="224">
        <v>7</v>
      </c>
      <c r="C100" s="663" t="s">
        <v>49</v>
      </c>
      <c r="D100" s="664"/>
      <c r="E100" s="665"/>
      <c r="F100" s="319">
        <v>40000</v>
      </c>
      <c r="G100" s="320">
        <v>5</v>
      </c>
      <c r="H100" s="321"/>
      <c r="I100" s="322">
        <f t="shared" si="7"/>
        <v>200000</v>
      </c>
      <c r="P100" s="201"/>
    </row>
    <row r="101" spans="2:17" s="200" customFormat="1" ht="24.95" customHeight="1" thickTop="1">
      <c r="B101" s="660" t="s">
        <v>286</v>
      </c>
      <c r="C101" s="661"/>
      <c r="D101" s="661"/>
      <c r="E101" s="661"/>
      <c r="F101" s="661"/>
      <c r="G101" s="662"/>
      <c r="H101" s="354"/>
      <c r="I101" s="325">
        <f>SUM(I94:I100)</f>
        <v>6000000</v>
      </c>
      <c r="O101" s="99"/>
      <c r="P101" s="167"/>
    </row>
    <row r="102" spans="2:17" s="200" customFormat="1" ht="20.100000000000001" customHeight="1">
      <c r="B102" s="185"/>
      <c r="C102" s="186"/>
      <c r="D102" s="186"/>
      <c r="E102" s="186"/>
      <c r="F102" s="186"/>
      <c r="G102" s="186"/>
      <c r="H102" s="99"/>
      <c r="I102" s="259"/>
      <c r="J102" s="186"/>
      <c r="K102" s="219"/>
      <c r="L102" s="211"/>
      <c r="M102" s="211"/>
      <c r="P102" s="201"/>
    </row>
    <row r="103" spans="2:17" s="200" customFormat="1" ht="20.100000000000001" customHeight="1">
      <c r="B103" s="185"/>
      <c r="C103" s="186"/>
      <c r="D103" s="186"/>
      <c r="E103" s="186"/>
      <c r="F103" s="186"/>
      <c r="G103" s="186"/>
      <c r="H103" s="363"/>
      <c r="I103" s="323">
        <f>+I101+I90</f>
        <v>11250000</v>
      </c>
      <c r="J103" s="186"/>
      <c r="K103" s="219"/>
      <c r="L103" s="211"/>
      <c r="M103" s="211"/>
      <c r="P103" s="201"/>
    </row>
    <row r="104" spans="2:17" s="200" customFormat="1" ht="20.100000000000001" customHeight="1">
      <c r="B104" s="185"/>
      <c r="C104" s="186"/>
      <c r="D104" s="186"/>
      <c r="E104" s="186"/>
      <c r="F104" s="186"/>
      <c r="G104" s="186"/>
      <c r="J104" s="186"/>
      <c r="K104" s="219"/>
      <c r="L104" s="211"/>
      <c r="M104" s="211"/>
      <c r="O104" s="301"/>
      <c r="P104" s="268"/>
    </row>
    <row r="105" spans="2:17" s="200" customFormat="1" ht="24.95" customHeight="1">
      <c r="B105" s="269" t="s">
        <v>113</v>
      </c>
      <c r="C105" s="270"/>
      <c r="D105" s="270"/>
      <c r="E105" s="271"/>
      <c r="F105" s="271"/>
      <c r="G105" s="271"/>
      <c r="H105" s="271"/>
      <c r="I105" s="271"/>
      <c r="J105" s="271"/>
      <c r="K105" s="272"/>
      <c r="L105" s="272"/>
      <c r="M105" s="308"/>
      <c r="N105" s="308"/>
      <c r="O105" s="308"/>
      <c r="P105" s="309"/>
      <c r="Q105" s="263"/>
    </row>
    <row r="106" spans="2:17" s="261" customFormat="1" ht="20.100000000000001" customHeight="1">
      <c r="B106" s="701" t="s">
        <v>1</v>
      </c>
      <c r="C106" s="703" t="s">
        <v>267</v>
      </c>
      <c r="D106" s="704"/>
      <c r="E106" s="704"/>
      <c r="F106" s="705"/>
      <c r="G106" s="675" t="s">
        <v>86</v>
      </c>
      <c r="H106" s="676"/>
      <c r="I106" s="676"/>
      <c r="J106" s="677"/>
      <c r="K106" s="675" t="s">
        <v>268</v>
      </c>
      <c r="L106" s="677"/>
      <c r="M106" s="675" t="s">
        <v>43</v>
      </c>
      <c r="N106" s="677"/>
      <c r="O106" s="699"/>
      <c r="P106" s="700"/>
      <c r="Q106" s="699"/>
    </row>
    <row r="107" spans="2:17" s="261" customFormat="1" ht="20.100000000000001" customHeight="1" thickBot="1">
      <c r="B107" s="702"/>
      <c r="C107" s="682" t="s">
        <v>269</v>
      </c>
      <c r="D107" s="683"/>
      <c r="E107" s="682" t="s">
        <v>270</v>
      </c>
      <c r="F107" s="683"/>
      <c r="G107" s="678"/>
      <c r="H107" s="679"/>
      <c r="I107" s="679"/>
      <c r="J107" s="680"/>
      <c r="K107" s="678"/>
      <c r="L107" s="680"/>
      <c r="M107" s="678"/>
      <c r="N107" s="680"/>
      <c r="O107" s="699"/>
      <c r="P107" s="700"/>
      <c r="Q107" s="699"/>
    </row>
    <row r="108" spans="2:17" s="218" customFormat="1" ht="99.95" customHeight="1" thickTop="1">
      <c r="B108" s="313">
        <v>1</v>
      </c>
      <c r="C108" s="733">
        <f>+'TAHAP 1'!C13</f>
        <v>45264</v>
      </c>
      <c r="D108" s="734"/>
      <c r="E108" s="733">
        <f>+'TAHAP 1'!F13</f>
        <v>45268</v>
      </c>
      <c r="F108" s="734"/>
      <c r="G108" s="681" t="s">
        <v>301</v>
      </c>
      <c r="H108" s="681"/>
      <c r="I108" s="681"/>
      <c r="J108" s="681"/>
      <c r="K108" s="698" t="s">
        <v>314</v>
      </c>
      <c r="L108" s="698"/>
      <c r="M108" s="312"/>
      <c r="N108" s="314">
        <v>851000</v>
      </c>
      <c r="O108" s="310"/>
      <c r="P108" s="311"/>
      <c r="Q108" s="307"/>
    </row>
    <row r="109" spans="2:17" s="218" customFormat="1" ht="20.100000000000001" customHeight="1">
      <c r="B109" s="303"/>
      <c r="C109" s="304"/>
      <c r="D109" s="304"/>
      <c r="E109" s="304"/>
      <c r="F109" s="304"/>
      <c r="G109" s="438" t="str">
        <f>+G108</f>
        <v>FAIRFIELD BY MARRIOTT SURABAYA
Jalan Mayjend Sungkono No 178, Surabaya City Center, Surabaya, 60225, Indonesia. 
CI/CO : 04 - 08 Dec (04 Malam)
Guest Room : IDR 851.000/room/night include breakfast</v>
      </c>
      <c r="H109" s="284"/>
      <c r="I109" s="284"/>
      <c r="J109" s="284"/>
      <c r="K109" s="284"/>
      <c r="L109" s="284"/>
      <c r="M109" s="284"/>
      <c r="N109" s="305"/>
      <c r="O109" s="305"/>
      <c r="P109" s="306"/>
      <c r="Q109" s="302"/>
    </row>
    <row r="110" spans="2:17" s="218" customFormat="1" ht="20.100000000000001" customHeight="1">
      <c r="B110" s="303"/>
      <c r="C110" s="304"/>
      <c r="D110" s="304"/>
      <c r="E110" s="304"/>
      <c r="F110" s="304"/>
      <c r="G110" s="284"/>
      <c r="H110" s="284"/>
      <c r="I110" s="284"/>
      <c r="J110" s="284"/>
      <c r="K110" s="284"/>
      <c r="L110" s="284"/>
      <c r="M110" s="284"/>
      <c r="N110" s="305"/>
      <c r="O110" s="305"/>
      <c r="P110" s="306"/>
      <c r="Q110" s="302"/>
    </row>
    <row r="111" spans="2:17" s="218" customFormat="1" ht="30" customHeight="1">
      <c r="B111" s="303"/>
      <c r="C111" s="684" t="s">
        <v>3</v>
      </c>
      <c r="D111" s="684"/>
      <c r="E111" s="346" t="s">
        <v>282</v>
      </c>
      <c r="F111" s="346" t="s">
        <v>280</v>
      </c>
      <c r="G111" s="346" t="s">
        <v>281</v>
      </c>
      <c r="H111" s="346" t="s">
        <v>282</v>
      </c>
      <c r="I111" s="346" t="s">
        <v>119</v>
      </c>
      <c r="J111" s="347" t="s">
        <v>45</v>
      </c>
      <c r="K111" s="347" t="s">
        <v>45</v>
      </c>
      <c r="L111" s="284"/>
      <c r="M111" s="284"/>
      <c r="N111" s="305"/>
      <c r="O111" s="506"/>
      <c r="P111" s="507"/>
      <c r="Q111" s="307"/>
    </row>
    <row r="112" spans="2:17" s="218" customFormat="1" ht="30" customHeight="1">
      <c r="B112" s="303"/>
      <c r="C112" s="651" t="str">
        <f>+C50</f>
        <v>NUNING DIAN PERTIWI</v>
      </c>
      <c r="D112" s="651"/>
      <c r="E112" s="352" t="str">
        <f>+$K$108</f>
        <v>Guest Room</v>
      </c>
      <c r="F112" s="324">
        <v>1</v>
      </c>
      <c r="G112" s="324">
        <v>4</v>
      </c>
      <c r="H112" s="345">
        <f>+N108</f>
        <v>851000</v>
      </c>
      <c r="I112" s="345">
        <v>70000</v>
      </c>
      <c r="J112" s="441">
        <f>+F112*G112*(H112+I112)</f>
        <v>3684000</v>
      </c>
      <c r="K112" s="735">
        <f>SUM(J112:J116)</f>
        <v>18420000</v>
      </c>
      <c r="L112" s="284"/>
      <c r="M112" s="284"/>
      <c r="N112" s="305"/>
      <c r="O112" s="200"/>
      <c r="P112" s="201"/>
      <c r="Q112" s="307"/>
    </row>
    <row r="113" spans="2:20" s="218" customFormat="1" ht="30" customHeight="1">
      <c r="B113" s="303"/>
      <c r="C113" s="651" t="str">
        <f>+C51</f>
        <v>DARMUJI</v>
      </c>
      <c r="D113" s="651"/>
      <c r="E113" s="352" t="str">
        <f t="shared" ref="E113:E116" si="8">+$K$108</f>
        <v>Guest Room</v>
      </c>
      <c r="F113" s="324">
        <v>1</v>
      </c>
      <c r="G113" s="324">
        <v>4</v>
      </c>
      <c r="H113" s="345">
        <f>+N108</f>
        <v>851000</v>
      </c>
      <c r="I113" s="345">
        <v>70000</v>
      </c>
      <c r="J113" s="441">
        <f t="shared" ref="J113:J114" si="9">+F113*G113*(H113+I113)</f>
        <v>3684000</v>
      </c>
      <c r="K113" s="736"/>
      <c r="L113" s="284"/>
      <c r="M113" s="284"/>
      <c r="N113" s="305"/>
      <c r="O113" s="200"/>
      <c r="P113" s="201"/>
      <c r="Q113" s="307"/>
    </row>
    <row r="114" spans="2:20" s="218" customFormat="1" ht="30" customHeight="1">
      <c r="B114" s="303"/>
      <c r="C114" s="651" t="str">
        <f>+C52</f>
        <v>AHMAD MUBARAK</v>
      </c>
      <c r="D114" s="651"/>
      <c r="E114" s="352" t="str">
        <f t="shared" si="8"/>
        <v>Guest Room</v>
      </c>
      <c r="F114" s="324">
        <v>1</v>
      </c>
      <c r="G114" s="324">
        <v>4</v>
      </c>
      <c r="H114" s="345">
        <f>+N108</f>
        <v>851000</v>
      </c>
      <c r="I114" s="345">
        <v>70000</v>
      </c>
      <c r="J114" s="441">
        <f t="shared" si="9"/>
        <v>3684000</v>
      </c>
      <c r="K114" s="736"/>
      <c r="L114" s="284"/>
      <c r="M114" s="284"/>
      <c r="N114" s="305"/>
      <c r="O114" s="200"/>
      <c r="P114" s="201"/>
      <c r="Q114" s="307"/>
    </row>
    <row r="115" spans="2:20" s="218" customFormat="1" ht="30" customHeight="1">
      <c r="B115" s="303"/>
      <c r="C115" s="651" t="str">
        <f t="shared" ref="C115:C116" si="10">+C53</f>
        <v>YUICHIRO SUZUKI</v>
      </c>
      <c r="D115" s="651"/>
      <c r="E115" s="352" t="str">
        <f t="shared" si="8"/>
        <v>Guest Room</v>
      </c>
      <c r="F115" s="324">
        <v>1</v>
      </c>
      <c r="G115" s="324">
        <v>4</v>
      </c>
      <c r="H115" s="345">
        <f>+N108</f>
        <v>851000</v>
      </c>
      <c r="I115" s="345">
        <v>70000</v>
      </c>
      <c r="J115" s="441">
        <f t="shared" ref="J115:J116" si="11">+F115*G115*(H115+I115)</f>
        <v>3684000</v>
      </c>
      <c r="K115" s="736"/>
      <c r="L115" s="284"/>
      <c r="M115" s="284"/>
      <c r="N115" s="305"/>
      <c r="O115" s="200"/>
      <c r="P115" s="201"/>
      <c r="Q115" s="307"/>
    </row>
    <row r="116" spans="2:20" s="218" customFormat="1" ht="30" customHeight="1">
      <c r="B116" s="303"/>
      <c r="C116" s="651" t="str">
        <f t="shared" si="10"/>
        <v>ERWIN DWI PAMUNGKAS</v>
      </c>
      <c r="D116" s="651"/>
      <c r="E116" s="352" t="str">
        <f t="shared" si="8"/>
        <v>Guest Room</v>
      </c>
      <c r="F116" s="324">
        <v>1</v>
      </c>
      <c r="G116" s="324">
        <v>4</v>
      </c>
      <c r="H116" s="345">
        <f>+N108</f>
        <v>851000</v>
      </c>
      <c r="I116" s="345">
        <v>70000</v>
      </c>
      <c r="J116" s="441">
        <f t="shared" si="11"/>
        <v>3684000</v>
      </c>
      <c r="K116" s="737"/>
      <c r="L116" s="284"/>
      <c r="M116" s="284"/>
      <c r="N116" s="305"/>
      <c r="O116" s="200"/>
      <c r="P116" s="201"/>
      <c r="Q116" s="307"/>
    </row>
    <row r="117" spans="2:20" s="16" customFormat="1" ht="20.100000000000001" customHeight="1">
      <c r="B117" s="264"/>
      <c r="C117" s="265"/>
      <c r="D117" s="265"/>
      <c r="E117" s="265"/>
      <c r="F117" s="265"/>
      <c r="G117" s="252"/>
      <c r="H117" s="252"/>
      <c r="I117" s="252"/>
      <c r="J117" s="252"/>
      <c r="K117" s="252"/>
      <c r="L117" s="252"/>
      <c r="M117" s="266"/>
      <c r="N117" s="267"/>
      <c r="O117" s="349"/>
      <c r="P117" s="268"/>
      <c r="Q117" s="348"/>
    </row>
    <row r="118" spans="2:20" s="200" customFormat="1" ht="20.100000000000001" customHeight="1" thickBot="1">
      <c r="B118" s="207"/>
      <c r="C118" s="208"/>
      <c r="D118" s="208"/>
      <c r="E118" s="220"/>
      <c r="F118" s="220"/>
      <c r="G118" s="220"/>
      <c r="H118" s="220"/>
      <c r="I118" s="220"/>
      <c r="J118" s="220"/>
      <c r="K118" s="221"/>
      <c r="L118" s="221"/>
      <c r="M118" s="222"/>
      <c r="N118" s="222"/>
      <c r="O118" s="350"/>
      <c r="P118" s="351"/>
      <c r="S118" s="262"/>
      <c r="T118" s="262"/>
    </row>
    <row r="119" spans="2:20" ht="15" customHeight="1" thickTop="1">
      <c r="B119" s="707" t="s">
        <v>151</v>
      </c>
      <c r="C119" s="708"/>
      <c r="D119" s="708"/>
      <c r="E119" s="708"/>
      <c r="F119" s="709"/>
      <c r="G119" s="714"/>
      <c r="H119" s="716" t="s">
        <v>201</v>
      </c>
      <c r="I119" s="717"/>
      <c r="J119" s="722" t="s">
        <v>212</v>
      </c>
      <c r="K119" s="722"/>
      <c r="L119" s="212">
        <v>45118</v>
      </c>
      <c r="M119" s="182" t="s">
        <v>92</v>
      </c>
      <c r="N119" s="182"/>
      <c r="O119" s="183"/>
      <c r="P119" s="182"/>
    </row>
    <row r="120" spans="2:20" ht="15" customHeight="1">
      <c r="B120" s="710"/>
      <c r="C120" s="708"/>
      <c r="D120" s="708"/>
      <c r="E120" s="708"/>
      <c r="F120" s="709"/>
      <c r="G120" s="714"/>
      <c r="H120" s="718"/>
      <c r="I120" s="719"/>
      <c r="J120" s="722" t="s">
        <v>209</v>
      </c>
      <c r="K120" s="722"/>
      <c r="L120" s="213">
        <v>44702</v>
      </c>
      <c r="M120" s="4" t="s">
        <v>92</v>
      </c>
      <c r="N120" s="4"/>
      <c r="O120" s="181"/>
      <c r="P120" s="4"/>
    </row>
    <row r="121" spans="2:20" ht="15" customHeight="1">
      <c r="B121" s="710"/>
      <c r="C121" s="708"/>
      <c r="D121" s="708"/>
      <c r="E121" s="708"/>
      <c r="F121" s="709"/>
      <c r="G121" s="714"/>
      <c r="H121" s="718"/>
      <c r="I121" s="719"/>
      <c r="J121" s="722" t="s">
        <v>208</v>
      </c>
      <c r="K121" s="722"/>
      <c r="L121" s="213">
        <v>44314</v>
      </c>
      <c r="M121" s="4" t="s">
        <v>92</v>
      </c>
      <c r="N121" s="4">
        <v>3</v>
      </c>
      <c r="O121" s="181">
        <f>+L119</f>
        <v>45118</v>
      </c>
      <c r="P121" s="4" t="s">
        <v>94</v>
      </c>
    </row>
    <row r="122" spans="2:20" ht="15" customHeight="1">
      <c r="B122" s="710"/>
      <c r="C122" s="708"/>
      <c r="D122" s="708"/>
      <c r="E122" s="708"/>
      <c r="F122" s="709"/>
      <c r="G122" s="714"/>
      <c r="H122" s="718"/>
      <c r="I122" s="719"/>
      <c r="J122" s="722" t="s">
        <v>207</v>
      </c>
      <c r="K122" s="722"/>
      <c r="L122" s="213">
        <v>44147</v>
      </c>
      <c r="M122" s="4" t="s">
        <v>92</v>
      </c>
      <c r="N122" s="4">
        <v>2</v>
      </c>
      <c r="O122" s="181">
        <v>44702</v>
      </c>
      <c r="P122" s="4" t="s">
        <v>211</v>
      </c>
    </row>
    <row r="123" spans="2:20" ht="15" customHeight="1">
      <c r="B123" s="710"/>
      <c r="C123" s="708"/>
      <c r="D123" s="708"/>
      <c r="E123" s="708"/>
      <c r="F123" s="709"/>
      <c r="G123" s="714"/>
      <c r="H123" s="718"/>
      <c r="I123" s="719"/>
      <c r="J123" s="722" t="s">
        <v>150</v>
      </c>
      <c r="K123" s="722"/>
      <c r="L123" s="213">
        <v>45113</v>
      </c>
      <c r="M123" s="4" t="s">
        <v>210</v>
      </c>
      <c r="N123" s="4">
        <v>1</v>
      </c>
      <c r="O123" s="181">
        <v>44314</v>
      </c>
      <c r="P123" s="4" t="s">
        <v>94</v>
      </c>
    </row>
    <row r="124" spans="2:20" s="3" customFormat="1" ht="15" customHeight="1">
      <c r="B124" s="711"/>
      <c r="C124" s="712"/>
      <c r="D124" s="712"/>
      <c r="E124" s="712"/>
      <c r="F124" s="713"/>
      <c r="G124" s="715"/>
      <c r="H124" s="720"/>
      <c r="I124" s="721"/>
      <c r="J124" s="706" t="s">
        <v>148</v>
      </c>
      <c r="K124" s="706"/>
      <c r="L124" s="93" t="s">
        <v>5</v>
      </c>
      <c r="M124" s="93" t="s">
        <v>145</v>
      </c>
      <c r="N124" s="93" t="s">
        <v>146</v>
      </c>
      <c r="O124" s="93" t="s">
        <v>147</v>
      </c>
      <c r="P124" s="93" t="s">
        <v>145</v>
      </c>
    </row>
  </sheetData>
  <mergeCells count="91">
    <mergeCell ref="C108:D108"/>
    <mergeCell ref="E108:F108"/>
    <mergeCell ref="C71:E71"/>
    <mergeCell ref="H71:I71"/>
    <mergeCell ref="K112:K116"/>
    <mergeCell ref="B3:I6"/>
    <mergeCell ref="M3:P5"/>
    <mergeCell ref="B10:D10"/>
    <mergeCell ref="M10:N10"/>
    <mergeCell ref="O10:P10"/>
    <mergeCell ref="J124:K124"/>
    <mergeCell ref="B119:F124"/>
    <mergeCell ref="G119:G124"/>
    <mergeCell ref="H119:I124"/>
    <mergeCell ref="J119:K119"/>
    <mergeCell ref="J120:K120"/>
    <mergeCell ref="J121:K121"/>
    <mergeCell ref="J122:K122"/>
    <mergeCell ref="J123:K123"/>
    <mergeCell ref="B79:G79"/>
    <mergeCell ref="M106:N107"/>
    <mergeCell ref="C78:E78"/>
    <mergeCell ref="C66:E66"/>
    <mergeCell ref="C67:E67"/>
    <mergeCell ref="C72:E72"/>
    <mergeCell ref="C77:E77"/>
    <mergeCell ref="Q106:Q107"/>
    <mergeCell ref="O106:P107"/>
    <mergeCell ref="K106:L107"/>
    <mergeCell ref="B106:B107"/>
    <mergeCell ref="C106:F106"/>
    <mergeCell ref="C49:F49"/>
    <mergeCell ref="H49"/>
    <mergeCell ref="C50:F50"/>
    <mergeCell ref="H50"/>
    <mergeCell ref="C51:F51"/>
    <mergeCell ref="C52:F52"/>
    <mergeCell ref="B68:G68"/>
    <mergeCell ref="C113:D113"/>
    <mergeCell ref="C114:D114"/>
    <mergeCell ref="C76:E76"/>
    <mergeCell ref="G106:J107"/>
    <mergeCell ref="C112:D112"/>
    <mergeCell ref="G108:J108"/>
    <mergeCell ref="E107:F107"/>
    <mergeCell ref="C107:D107"/>
    <mergeCell ref="C111:D111"/>
    <mergeCell ref="B55:G55"/>
    <mergeCell ref="B59:P60"/>
    <mergeCell ref="O111:P111"/>
    <mergeCell ref="K108:L108"/>
    <mergeCell ref="H66:I66"/>
    <mergeCell ref="C22:E22"/>
    <mergeCell ref="C23:E23"/>
    <mergeCell ref="C24:E24"/>
    <mergeCell ref="C25:E25"/>
    <mergeCell ref="C26:E26"/>
    <mergeCell ref="C27:E27"/>
    <mergeCell ref="B28:E28"/>
    <mergeCell ref="G28:I28"/>
    <mergeCell ref="C40:E40"/>
    <mergeCell ref="C41:E41"/>
    <mergeCell ref="C31:E31"/>
    <mergeCell ref="B37:E37"/>
    <mergeCell ref="G37:I37"/>
    <mergeCell ref="C32:E32"/>
    <mergeCell ref="C33:E33"/>
    <mergeCell ref="C34:E34"/>
    <mergeCell ref="C35:E35"/>
    <mergeCell ref="C36:E36"/>
    <mergeCell ref="C42:E42"/>
    <mergeCell ref="C43:E43"/>
    <mergeCell ref="C44:E44"/>
    <mergeCell ref="C45:E45"/>
    <mergeCell ref="B46:E46"/>
    <mergeCell ref="G46:I46"/>
    <mergeCell ref="C53:F53"/>
    <mergeCell ref="C54:F54"/>
    <mergeCell ref="C115:D115"/>
    <mergeCell ref="C116:D116"/>
    <mergeCell ref="C88:E88"/>
    <mergeCell ref="H88:I88"/>
    <mergeCell ref="C89:E89"/>
    <mergeCell ref="B90:G90"/>
    <mergeCell ref="C93:E93"/>
    <mergeCell ref="H93:I93"/>
    <mergeCell ref="C94:E94"/>
    <mergeCell ref="C98:E98"/>
    <mergeCell ref="C99:E99"/>
    <mergeCell ref="C100:E100"/>
    <mergeCell ref="B101:G101"/>
  </mergeCells>
  <pageMargins left="0" right="0" top="0" bottom="0" header="0" footer="0"/>
  <pageSetup paperSize="9" scale="46" orientation="portrait" r:id="rId1"/>
  <rowBreaks count="1" manualBreakCount="1">
    <brk id="104"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B62"/>
  <sheetViews>
    <sheetView showGridLines="0" tabSelected="1" topLeftCell="A16" zoomScale="80" zoomScaleNormal="80" workbookViewId="0">
      <selection activeCell="S55" sqref="S55"/>
    </sheetView>
  </sheetViews>
  <sheetFormatPr defaultRowHeight="15"/>
  <cols>
    <col min="1" max="1" width="1.7109375" style="1" customWidth="1"/>
    <col min="2" max="2" width="6.7109375" style="1" customWidth="1"/>
    <col min="3" max="3" width="14.7109375" style="2" customWidth="1"/>
    <col min="4" max="5" width="2.7109375" style="2" customWidth="1"/>
    <col min="6" max="6" width="14.7109375" style="2" customWidth="1"/>
    <col min="7" max="13" width="7.7109375" style="1" customWidth="1"/>
    <col min="14" max="14" width="14.7109375" style="1" customWidth="1"/>
    <col min="15" max="15" width="15.7109375" style="1" customWidth="1"/>
    <col min="16" max="19" width="14.7109375" style="1" customWidth="1"/>
    <col min="20" max="23" width="7.7109375" style="1" customWidth="1"/>
    <col min="24" max="24" width="1.7109375" style="1" customWidth="1"/>
    <col min="25" max="54" width="15.7109375" style="1" customWidth="1"/>
    <col min="55" max="16384" width="9.140625" style="1"/>
  </cols>
  <sheetData>
    <row r="1" spans="2:23">
      <c r="W1" s="180" t="s">
        <v>157</v>
      </c>
    </row>
    <row r="2" spans="2:23" ht="20.100000000000001" customHeight="1">
      <c r="B2" s="168" t="s">
        <v>0</v>
      </c>
      <c r="C2" s="157"/>
      <c r="D2" s="157"/>
      <c r="E2" s="157"/>
      <c r="F2" s="157"/>
      <c r="G2" s="169"/>
      <c r="H2" s="169"/>
      <c r="I2" s="169"/>
      <c r="J2" s="169"/>
      <c r="K2" s="170" t="s">
        <v>99</v>
      </c>
      <c r="L2" s="171" t="s">
        <v>100</v>
      </c>
      <c r="M2" s="172"/>
      <c r="N2" s="172" t="s">
        <v>205</v>
      </c>
      <c r="O2" s="172"/>
      <c r="P2" s="172"/>
      <c r="Q2" s="173"/>
      <c r="R2" s="4" t="s">
        <v>105</v>
      </c>
      <c r="S2" s="4" t="s">
        <v>104</v>
      </c>
      <c r="T2" s="487" t="s">
        <v>91</v>
      </c>
      <c r="U2" s="488"/>
      <c r="V2" s="487" t="s">
        <v>90</v>
      </c>
      <c r="W2" s="488"/>
    </row>
    <row r="3" spans="2:23" ht="20.100000000000001" customHeight="1">
      <c r="B3" s="874" t="s">
        <v>206</v>
      </c>
      <c r="C3" s="875"/>
      <c r="D3" s="875"/>
      <c r="E3" s="875"/>
      <c r="F3" s="875"/>
      <c r="G3" s="875"/>
      <c r="H3" s="875"/>
      <c r="I3" s="875"/>
      <c r="J3" s="875"/>
      <c r="K3" s="876"/>
      <c r="L3" s="174" t="s">
        <v>5</v>
      </c>
      <c r="M3" s="175"/>
      <c r="N3" s="175" t="s">
        <v>233</v>
      </c>
      <c r="O3" s="175"/>
      <c r="P3" s="175"/>
      <c r="Q3" s="176"/>
      <c r="R3" s="502" t="s">
        <v>199</v>
      </c>
      <c r="S3" s="503"/>
      <c r="T3" s="503"/>
      <c r="U3" s="503"/>
      <c r="V3" s="503"/>
      <c r="W3" s="504"/>
    </row>
    <row r="4" spans="2:23" ht="20.100000000000001" customHeight="1">
      <c r="B4" s="877"/>
      <c r="C4" s="878"/>
      <c r="D4" s="878"/>
      <c r="E4" s="878"/>
      <c r="F4" s="878"/>
      <c r="G4" s="878"/>
      <c r="H4" s="878"/>
      <c r="I4" s="878"/>
      <c r="J4" s="878"/>
      <c r="K4" s="879"/>
      <c r="L4" s="174" t="s">
        <v>101</v>
      </c>
      <c r="M4" s="175"/>
      <c r="N4" s="175" t="s">
        <v>204</v>
      </c>
      <c r="O4" s="175"/>
      <c r="P4" s="175"/>
      <c r="Q4" s="176"/>
      <c r="R4" s="505"/>
      <c r="S4" s="506"/>
      <c r="T4" s="506"/>
      <c r="U4" s="506"/>
      <c r="V4" s="506"/>
      <c r="W4" s="507"/>
    </row>
    <row r="5" spans="2:23" ht="20.100000000000001" customHeight="1">
      <c r="B5" s="877"/>
      <c r="C5" s="878"/>
      <c r="D5" s="878"/>
      <c r="E5" s="878"/>
      <c r="F5" s="878"/>
      <c r="G5" s="878"/>
      <c r="H5" s="878"/>
      <c r="I5" s="878"/>
      <c r="J5" s="878"/>
      <c r="K5" s="879"/>
      <c r="L5" s="174" t="s">
        <v>200</v>
      </c>
      <c r="M5" s="175"/>
      <c r="N5" s="175" t="s">
        <v>203</v>
      </c>
      <c r="O5" s="175"/>
      <c r="P5" s="175"/>
      <c r="Q5" s="176"/>
      <c r="R5" s="508"/>
      <c r="S5" s="509"/>
      <c r="T5" s="509"/>
      <c r="U5" s="509"/>
      <c r="V5" s="509"/>
      <c r="W5" s="510"/>
    </row>
    <row r="6" spans="2:23" ht="20.100000000000001" customHeight="1">
      <c r="B6" s="880"/>
      <c r="C6" s="881"/>
      <c r="D6" s="881"/>
      <c r="E6" s="881"/>
      <c r="F6" s="881"/>
      <c r="G6" s="881"/>
      <c r="H6" s="881"/>
      <c r="I6" s="881"/>
      <c r="J6" s="881"/>
      <c r="K6" s="882"/>
      <c r="L6" s="177" t="s">
        <v>103</v>
      </c>
      <c r="M6" s="178"/>
      <c r="N6" s="178" t="s">
        <v>234</v>
      </c>
      <c r="O6" s="178"/>
      <c r="P6" s="178"/>
      <c r="Q6" s="179"/>
      <c r="R6" s="4" t="s">
        <v>106</v>
      </c>
      <c r="S6" s="4" t="s">
        <v>94</v>
      </c>
      <c r="T6" s="487" t="s">
        <v>93</v>
      </c>
      <c r="U6" s="488"/>
      <c r="V6" s="487" t="s">
        <v>92</v>
      </c>
      <c r="W6" s="488"/>
    </row>
    <row r="7" spans="2:23" s="367" customFormat="1" ht="15" customHeight="1">
      <c r="B7" s="364"/>
      <c r="C7" s="365"/>
      <c r="D7" s="365"/>
      <c r="E7" s="365"/>
      <c r="F7" s="366"/>
      <c r="G7" s="366"/>
      <c r="H7" s="366"/>
      <c r="I7" s="366"/>
      <c r="W7" s="368"/>
    </row>
    <row r="8" spans="2:23" s="367" customFormat="1" ht="15" customHeight="1">
      <c r="B8" s="364"/>
      <c r="C8" s="365"/>
      <c r="D8" s="365"/>
      <c r="E8" s="365"/>
      <c r="F8" s="365"/>
      <c r="G8" s="365"/>
      <c r="H8" s="365"/>
      <c r="I8" s="365"/>
      <c r="W8" s="368"/>
    </row>
    <row r="9" spans="2:23" s="374" customFormat="1" ht="39.950000000000003" customHeight="1">
      <c r="B9" s="369" t="s">
        <v>8</v>
      </c>
      <c r="C9" s="370"/>
      <c r="D9" s="370"/>
      <c r="E9" s="370"/>
      <c r="F9" s="370"/>
      <c r="G9" s="370"/>
      <c r="H9" s="370"/>
      <c r="I9" s="371" t="str">
        <f>+'TAHAP 1'!G8</f>
        <v>: JAI &amp; SAI</v>
      </c>
      <c r="J9" s="370"/>
      <c r="K9" s="370"/>
      <c r="L9" s="370"/>
      <c r="M9" s="370"/>
      <c r="N9" s="370"/>
      <c r="O9" s="370"/>
      <c r="P9" s="372"/>
      <c r="Q9" s="372"/>
      <c r="R9" s="372"/>
      <c r="S9" s="372"/>
      <c r="T9" s="372"/>
      <c r="U9" s="372"/>
      <c r="V9" s="372"/>
      <c r="W9" s="373"/>
    </row>
    <row r="10" spans="2:23" s="374" customFormat="1" ht="39.950000000000003" customHeight="1">
      <c r="B10" s="437" t="s">
        <v>9</v>
      </c>
      <c r="C10" s="375"/>
      <c r="D10" s="375"/>
      <c r="E10" s="375"/>
      <c r="F10" s="375"/>
      <c r="G10" s="375"/>
      <c r="H10" s="375"/>
      <c r="I10" s="371" t="str">
        <f>+'TAHAP 1'!G9</f>
        <v>: KOMPARE DATA IDL &amp; DATA HR</v>
      </c>
      <c r="J10" s="375"/>
      <c r="K10" s="375"/>
      <c r="L10" s="375"/>
      <c r="M10" s="375"/>
      <c r="N10" s="375"/>
      <c r="O10" s="375"/>
      <c r="P10" s="372"/>
      <c r="Q10" s="372"/>
      <c r="R10" s="372"/>
      <c r="S10" s="372"/>
      <c r="T10" s="372"/>
      <c r="U10" s="372"/>
      <c r="V10" s="372"/>
      <c r="W10" s="373"/>
    </row>
    <row r="11" spans="2:23" s="378" customFormat="1" ht="20.100000000000001" customHeight="1">
      <c r="B11" s="376"/>
      <c r="C11" s="377"/>
      <c r="D11" s="377"/>
      <c r="E11" s="377"/>
      <c r="F11" s="377"/>
      <c r="N11" s="379"/>
      <c r="O11" s="379"/>
      <c r="P11" s="379"/>
      <c r="Q11" s="379"/>
      <c r="R11" s="379"/>
      <c r="S11" s="379"/>
      <c r="T11" s="379"/>
      <c r="U11" s="379"/>
      <c r="V11" s="379"/>
      <c r="W11" s="380"/>
    </row>
    <row r="12" spans="2:23" s="378" customFormat="1" ht="20.100000000000001" customHeight="1">
      <c r="B12" s="376"/>
      <c r="C12" s="377"/>
      <c r="D12" s="377"/>
      <c r="E12" s="377"/>
      <c r="F12" s="377"/>
      <c r="N12" s="379"/>
      <c r="O12" s="379"/>
      <c r="P12" s="379"/>
      <c r="Q12" s="379"/>
      <c r="R12" s="379"/>
      <c r="S12" s="379"/>
      <c r="T12" s="379"/>
      <c r="U12" s="379"/>
      <c r="V12" s="379"/>
      <c r="W12" s="380"/>
    </row>
    <row r="13" spans="2:23" s="378" customFormat="1" ht="20.100000000000001" customHeight="1">
      <c r="B13" s="376"/>
      <c r="C13" s="377"/>
      <c r="D13" s="377"/>
      <c r="E13" s="377"/>
      <c r="F13" s="377"/>
      <c r="N13" s="379"/>
      <c r="O13" s="379"/>
      <c r="P13" s="379"/>
      <c r="Q13" s="379"/>
      <c r="R13" s="379"/>
      <c r="S13" s="379"/>
      <c r="T13" s="379"/>
      <c r="U13" s="379"/>
      <c r="V13" s="379"/>
      <c r="W13" s="380"/>
    </row>
    <row r="14" spans="2:23" s="379" customFormat="1" ht="24.95" customHeight="1">
      <c r="B14" s="381" t="s">
        <v>223</v>
      </c>
      <c r="C14" s="382"/>
      <c r="D14" s="382"/>
      <c r="E14" s="382"/>
      <c r="F14" s="382"/>
      <c r="W14" s="383"/>
    </row>
    <row r="15" spans="2:23" s="386" customFormat="1" ht="24.95" customHeight="1">
      <c r="B15" s="829" t="s">
        <v>1</v>
      </c>
      <c r="C15" s="832" t="s">
        <v>5</v>
      </c>
      <c r="D15" s="833"/>
      <c r="E15" s="833"/>
      <c r="F15" s="834"/>
      <c r="G15" s="832" t="s">
        <v>4</v>
      </c>
      <c r="H15" s="834"/>
      <c r="I15" s="832" t="s">
        <v>98</v>
      </c>
      <c r="J15" s="834"/>
      <c r="K15" s="841" t="s">
        <v>2</v>
      </c>
      <c r="L15" s="842"/>
      <c r="M15" s="841" t="s">
        <v>3</v>
      </c>
      <c r="N15" s="889"/>
      <c r="O15" s="842"/>
      <c r="P15" s="384">
        <v>1</v>
      </c>
      <c r="Q15" s="384">
        <v>2</v>
      </c>
      <c r="R15" s="384">
        <v>3</v>
      </c>
      <c r="S15" s="384">
        <v>4</v>
      </c>
      <c r="T15" s="858">
        <v>5</v>
      </c>
      <c r="U15" s="859"/>
      <c r="V15" s="385"/>
      <c r="W15" s="845"/>
    </row>
    <row r="16" spans="2:23" s="386" customFormat="1" ht="16.5" customHeight="1">
      <c r="B16" s="830"/>
      <c r="C16" s="835"/>
      <c r="D16" s="836"/>
      <c r="E16" s="836"/>
      <c r="F16" s="837"/>
      <c r="G16" s="835"/>
      <c r="H16" s="837"/>
      <c r="I16" s="835"/>
      <c r="J16" s="837"/>
      <c r="K16" s="826"/>
      <c r="L16" s="828"/>
      <c r="M16" s="826"/>
      <c r="N16" s="827"/>
      <c r="O16" s="828"/>
      <c r="P16" s="846" t="s">
        <v>235</v>
      </c>
      <c r="Q16" s="855" t="s">
        <v>241</v>
      </c>
      <c r="R16" s="855" t="s">
        <v>289</v>
      </c>
      <c r="S16" s="855" t="s">
        <v>224</v>
      </c>
      <c r="T16" s="849" t="s">
        <v>225</v>
      </c>
      <c r="U16" s="850"/>
      <c r="V16" s="385"/>
      <c r="W16" s="845"/>
    </row>
    <row r="17" spans="2:28" s="386" customFormat="1" ht="16.5" customHeight="1">
      <c r="B17" s="830"/>
      <c r="C17" s="835"/>
      <c r="D17" s="836"/>
      <c r="E17" s="836"/>
      <c r="F17" s="837"/>
      <c r="G17" s="835"/>
      <c r="H17" s="837"/>
      <c r="I17" s="835"/>
      <c r="J17" s="837"/>
      <c r="K17" s="826"/>
      <c r="L17" s="828"/>
      <c r="M17" s="826"/>
      <c r="N17" s="827"/>
      <c r="O17" s="828"/>
      <c r="P17" s="847"/>
      <c r="Q17" s="856"/>
      <c r="R17" s="856"/>
      <c r="S17" s="856"/>
      <c r="T17" s="851"/>
      <c r="U17" s="852"/>
      <c r="V17" s="385"/>
      <c r="W17" s="845"/>
    </row>
    <row r="18" spans="2:28" s="386" customFormat="1" ht="17.100000000000001" customHeight="1">
      <c r="B18" s="831"/>
      <c r="C18" s="838"/>
      <c r="D18" s="839"/>
      <c r="E18" s="839"/>
      <c r="F18" s="840"/>
      <c r="G18" s="838"/>
      <c r="H18" s="840"/>
      <c r="I18" s="838"/>
      <c r="J18" s="840"/>
      <c r="K18" s="843"/>
      <c r="L18" s="844"/>
      <c r="M18" s="843"/>
      <c r="N18" s="890"/>
      <c r="O18" s="844"/>
      <c r="P18" s="848"/>
      <c r="Q18" s="857"/>
      <c r="R18" s="857"/>
      <c r="S18" s="857"/>
      <c r="T18" s="853"/>
      <c r="U18" s="854"/>
      <c r="V18" s="385"/>
      <c r="W18" s="845"/>
    </row>
    <row r="19" spans="2:28" s="387" customFormat="1" ht="84.95" customHeight="1">
      <c r="B19" s="473">
        <v>1</v>
      </c>
      <c r="C19" s="474">
        <f>+'TAHAP 1'!C13</f>
        <v>45264</v>
      </c>
      <c r="D19" s="883" t="s">
        <v>6</v>
      </c>
      <c r="E19" s="883"/>
      <c r="F19" s="475">
        <f>+'TAHAP 1'!E13:F13</f>
        <v>45268</v>
      </c>
      <c r="G19" s="884" t="str">
        <f>+'TAHAP 1'!G13:H13</f>
        <v>PGA / PED</v>
      </c>
      <c r="H19" s="885"/>
      <c r="I19" s="884" t="str">
        <f>+'TAHAP 1'!I13:J13</f>
        <v>SPV</v>
      </c>
      <c r="J19" s="885"/>
      <c r="K19" s="884">
        <f>+'TAHAP 1'!K13:L13</f>
        <v>2412</v>
      </c>
      <c r="L19" s="885"/>
      <c r="M19" s="886" t="str">
        <f>+'TAHAP 1'!M13</f>
        <v>NUNING DIAN PERTIWI</v>
      </c>
      <c r="N19" s="887"/>
      <c r="O19" s="888"/>
      <c r="P19" s="863" t="s">
        <v>309</v>
      </c>
      <c r="Q19" s="864"/>
      <c r="R19" s="864"/>
      <c r="S19" s="864"/>
      <c r="T19" s="864"/>
      <c r="U19" s="865"/>
      <c r="V19" s="367"/>
      <c r="W19" s="389"/>
      <c r="Y19" s="390" t="str">
        <f>+G19</f>
        <v>PGA / PED</v>
      </c>
      <c r="Z19" s="390" t="str">
        <f>+I19</f>
        <v>SPV</v>
      </c>
      <c r="AA19" s="390">
        <f>+K19</f>
        <v>2412</v>
      </c>
      <c r="AB19" s="390" t="str">
        <f>+M19</f>
        <v>NUNING DIAN PERTIWI</v>
      </c>
    </row>
    <row r="20" spans="2:28" s="387" customFormat="1" ht="84.95" customHeight="1">
      <c r="B20" s="473">
        <v>2</v>
      </c>
      <c r="C20" s="474">
        <f>+'TAHAP 1'!C14</f>
        <v>45264</v>
      </c>
      <c r="D20" s="899" t="s">
        <v>6</v>
      </c>
      <c r="E20" s="899"/>
      <c r="F20" s="476">
        <f>+'TAHAP 1'!E14:F14</f>
        <v>45268</v>
      </c>
      <c r="G20" s="900" t="str">
        <f>+'TAHAP 1'!G14:H14</f>
        <v>PGA / QS</v>
      </c>
      <c r="H20" s="901"/>
      <c r="I20" s="900" t="str">
        <f>+'TAHAP 1'!I14:J14</f>
        <v>SPV</v>
      </c>
      <c r="J20" s="901"/>
      <c r="K20" s="900">
        <f>+'TAHAP 1'!K14:L14</f>
        <v>1158</v>
      </c>
      <c r="L20" s="901"/>
      <c r="M20" s="902" t="str">
        <f>+'TAHAP 1'!M14</f>
        <v>DARMUJI</v>
      </c>
      <c r="N20" s="903"/>
      <c r="O20" s="904"/>
      <c r="P20" s="866"/>
      <c r="Q20" s="867"/>
      <c r="R20" s="867"/>
      <c r="S20" s="867"/>
      <c r="T20" s="867"/>
      <c r="U20" s="868"/>
      <c r="V20" s="367"/>
      <c r="W20" s="389"/>
      <c r="Y20" s="390" t="str">
        <f>+G20</f>
        <v>PGA / QS</v>
      </c>
      <c r="Z20" s="390" t="str">
        <f>+I20</f>
        <v>SPV</v>
      </c>
      <c r="AA20" s="390">
        <f t="shared" ref="AA20" si="0">+K20</f>
        <v>1158</v>
      </c>
      <c r="AB20" s="390" t="str">
        <f t="shared" ref="AB20" si="1">+M20</f>
        <v>DARMUJI</v>
      </c>
    </row>
    <row r="21" spans="2:28" s="387" customFormat="1" ht="84.95" customHeight="1" thickBot="1">
      <c r="B21" s="477">
        <v>3</v>
      </c>
      <c r="C21" s="478">
        <f>+'TAHAP 1'!C15</f>
        <v>45264</v>
      </c>
      <c r="D21" s="757" t="s">
        <v>6</v>
      </c>
      <c r="E21" s="757"/>
      <c r="F21" s="479">
        <f>+'TAHAP 1'!E15:F15</f>
        <v>45268</v>
      </c>
      <c r="G21" s="758" t="str">
        <f>+'TAHAP 1'!G15:H15</f>
        <v>PRD</v>
      </c>
      <c r="H21" s="758"/>
      <c r="I21" s="758" t="str">
        <f>+'TAHAP 1'!I15:J15</f>
        <v>MGR</v>
      </c>
      <c r="J21" s="758"/>
      <c r="K21" s="758">
        <f>+'TAHAP 1'!K15:L15</f>
        <v>1651</v>
      </c>
      <c r="L21" s="758"/>
      <c r="M21" s="759" t="str">
        <f>+'TAHAP 1'!M15</f>
        <v>AHMAD MUBARAK</v>
      </c>
      <c r="N21" s="759"/>
      <c r="O21" s="759"/>
      <c r="P21" s="869"/>
      <c r="Q21" s="870"/>
      <c r="R21" s="870"/>
      <c r="S21" s="870"/>
      <c r="T21" s="870"/>
      <c r="U21" s="871"/>
      <c r="V21" s="367"/>
      <c r="W21" s="389"/>
      <c r="Y21" s="390" t="str">
        <f>+G21</f>
        <v>PRD</v>
      </c>
      <c r="Z21" s="390" t="str">
        <f>+I21</f>
        <v>MGR</v>
      </c>
      <c r="AA21" s="390">
        <f t="shared" ref="AA21" si="2">+K21</f>
        <v>1651</v>
      </c>
      <c r="AB21" s="390" t="str">
        <f t="shared" ref="AB21" si="3">+M21</f>
        <v>AHMAD MUBARAK</v>
      </c>
    </row>
    <row r="22" spans="2:28" s="387" customFormat="1" ht="84.95" customHeight="1" thickTop="1">
      <c r="B22" s="444">
        <v>3</v>
      </c>
      <c r="C22" s="445">
        <f>+'TAHAP 1'!C16</f>
        <v>45264</v>
      </c>
      <c r="D22" s="751" t="s">
        <v>6</v>
      </c>
      <c r="E22" s="751"/>
      <c r="F22" s="446">
        <f>+'TAHAP 1'!E16:F16</f>
        <v>45268</v>
      </c>
      <c r="G22" s="752" t="str">
        <f>+'TAHAP 1'!G16:H16</f>
        <v>PRD</v>
      </c>
      <c r="H22" s="752"/>
      <c r="I22" s="752" t="str">
        <f>+'TAHAP 1'!I16:J16</f>
        <v>SMGR</v>
      </c>
      <c r="J22" s="752"/>
      <c r="K22" s="752">
        <f>+'TAHAP 1'!K16:L16</f>
        <v>27106</v>
      </c>
      <c r="L22" s="752"/>
      <c r="M22" s="753" t="str">
        <f>+'TAHAP 1'!M16</f>
        <v>YUICHIRO SUZUKI</v>
      </c>
      <c r="N22" s="753"/>
      <c r="O22" s="753"/>
      <c r="P22" s="480" t="s">
        <v>310</v>
      </c>
      <c r="Q22" s="481" t="s">
        <v>7</v>
      </c>
      <c r="R22" s="481" t="s">
        <v>7</v>
      </c>
      <c r="S22" s="872" t="s">
        <v>313</v>
      </c>
      <c r="T22" s="772" t="s">
        <v>227</v>
      </c>
      <c r="U22" s="774"/>
      <c r="V22" s="367"/>
      <c r="W22" s="389"/>
      <c r="Y22" s="390" t="str">
        <f>+G22</f>
        <v>PRD</v>
      </c>
      <c r="Z22" s="390" t="str">
        <f>+I22</f>
        <v>SMGR</v>
      </c>
      <c r="AA22" s="390">
        <f t="shared" ref="AA22" si="4">+K22</f>
        <v>27106</v>
      </c>
      <c r="AB22" s="390" t="str">
        <f t="shared" ref="AB22" si="5">+M22</f>
        <v>YUICHIRO SUZUKI</v>
      </c>
    </row>
    <row r="23" spans="2:28" s="387" customFormat="1" ht="84.95" customHeight="1">
      <c r="B23" s="442">
        <v>3</v>
      </c>
      <c r="C23" s="388">
        <f>+'TAHAP 1'!C17</f>
        <v>45264</v>
      </c>
      <c r="D23" s="754" t="s">
        <v>6</v>
      </c>
      <c r="E23" s="754"/>
      <c r="F23" s="391">
        <f>+'TAHAP 1'!E17:F17</f>
        <v>45268</v>
      </c>
      <c r="G23" s="755" t="str">
        <f>+'TAHAP 1'!G17:H17</f>
        <v>PRD</v>
      </c>
      <c r="H23" s="755"/>
      <c r="I23" s="755" t="str">
        <f>+'TAHAP 1'!I17:J17</f>
        <v>GL</v>
      </c>
      <c r="J23" s="755"/>
      <c r="K23" s="755">
        <f>+'TAHAP 1'!K17:L17</f>
        <v>20205</v>
      </c>
      <c r="L23" s="755"/>
      <c r="M23" s="756" t="str">
        <f>+'TAHAP 1'!M17</f>
        <v>ERWIN DWI PAMUNGKAS</v>
      </c>
      <c r="N23" s="756"/>
      <c r="O23" s="756"/>
      <c r="P23" s="482" t="s">
        <v>311</v>
      </c>
      <c r="Q23" s="482" t="s">
        <v>312</v>
      </c>
      <c r="R23" s="482" t="s">
        <v>310</v>
      </c>
      <c r="S23" s="873"/>
      <c r="T23" s="775"/>
      <c r="U23" s="777"/>
      <c r="V23" s="367"/>
      <c r="W23" s="389"/>
      <c r="Y23" s="390" t="str">
        <f>+G23</f>
        <v>PRD</v>
      </c>
      <c r="Z23" s="390" t="str">
        <f>+I23</f>
        <v>GL</v>
      </c>
      <c r="AA23" s="390">
        <f t="shared" ref="AA23" si="6">+K23</f>
        <v>20205</v>
      </c>
      <c r="AB23" s="390" t="str">
        <f t="shared" ref="AB23" si="7">+M23</f>
        <v>ERWIN DWI PAMUNGKAS</v>
      </c>
    </row>
    <row r="24" spans="2:28" s="378" customFormat="1">
      <c r="B24" s="376"/>
      <c r="C24" s="377"/>
      <c r="D24" s="377"/>
      <c r="E24" s="377"/>
      <c r="F24" s="377"/>
      <c r="W24" s="380"/>
    </row>
    <row r="25" spans="2:28" s="378" customFormat="1">
      <c r="B25" s="376"/>
      <c r="C25" s="377"/>
      <c r="D25" s="377"/>
      <c r="E25" s="377"/>
      <c r="F25" s="377"/>
      <c r="W25" s="380"/>
    </row>
    <row r="26" spans="2:28" s="378" customFormat="1">
      <c r="B26" s="376"/>
      <c r="C26" s="377"/>
      <c r="D26" s="377"/>
      <c r="E26" s="377"/>
      <c r="F26" s="377"/>
      <c r="W26" s="380"/>
    </row>
    <row r="27" spans="2:28" s="378" customFormat="1">
      <c r="B27" s="376"/>
      <c r="C27" s="377"/>
      <c r="D27" s="377"/>
      <c r="E27" s="377"/>
      <c r="F27" s="377"/>
      <c r="W27" s="380"/>
    </row>
    <row r="28" spans="2:28" s="382" customFormat="1" ht="21.95" customHeight="1">
      <c r="B28" s="817" t="s">
        <v>228</v>
      </c>
      <c r="C28" s="818"/>
      <c r="D28" s="818"/>
      <c r="E28" s="818"/>
      <c r="F28" s="818"/>
      <c r="G28" s="818"/>
      <c r="H28" s="818"/>
      <c r="I28" s="818"/>
      <c r="J28" s="818"/>
      <c r="K28" s="819"/>
      <c r="L28" s="832" t="s">
        <v>229</v>
      </c>
      <c r="M28" s="833"/>
      <c r="N28" s="834"/>
      <c r="O28" s="832" t="s">
        <v>272</v>
      </c>
      <c r="P28" s="834"/>
      <c r="Q28" s="832" t="s">
        <v>38</v>
      </c>
      <c r="R28" s="833"/>
      <c r="S28" s="392"/>
      <c r="T28" s="393"/>
      <c r="U28" s="393"/>
      <c r="V28" s="394"/>
      <c r="W28" s="395"/>
    </row>
    <row r="29" spans="2:28" s="382" customFormat="1" ht="21.95" customHeight="1">
      <c r="B29" s="817"/>
      <c r="C29" s="818"/>
      <c r="D29" s="818"/>
      <c r="E29" s="818"/>
      <c r="F29" s="818"/>
      <c r="G29" s="818"/>
      <c r="H29" s="818"/>
      <c r="I29" s="818"/>
      <c r="J29" s="818"/>
      <c r="K29" s="819"/>
      <c r="L29" s="835"/>
      <c r="M29" s="836"/>
      <c r="N29" s="837"/>
      <c r="O29" s="893" t="s">
        <v>271</v>
      </c>
      <c r="P29" s="894"/>
      <c r="Q29" s="895" t="str">
        <f>+'TAPAH 2.2 (Rincian)'!G109</f>
        <v>FAIRFIELD BY MARRIOTT SURABAYA
Jalan Mayjend Sungkono No 178, Surabaya City Center, Surabaya, 60225, Indonesia. 
CI/CO : 04 - 08 Dec (04 Malam)
Guest Room : IDR 851.000/room/night include breakfast</v>
      </c>
      <c r="R29" s="896"/>
      <c r="S29" s="396"/>
      <c r="T29" s="397"/>
      <c r="U29" s="397"/>
      <c r="V29" s="394"/>
      <c r="W29" s="395"/>
    </row>
    <row r="30" spans="2:28" s="382" customFormat="1" ht="21.95" customHeight="1">
      <c r="B30" s="817"/>
      <c r="C30" s="818"/>
      <c r="D30" s="818"/>
      <c r="E30" s="818"/>
      <c r="F30" s="818"/>
      <c r="G30" s="818"/>
      <c r="H30" s="818"/>
      <c r="I30" s="818"/>
      <c r="J30" s="818"/>
      <c r="K30" s="819"/>
      <c r="L30" s="835"/>
      <c r="M30" s="836"/>
      <c r="N30" s="837"/>
      <c r="O30" s="398" t="s">
        <v>288</v>
      </c>
      <c r="P30" s="399">
        <f>+C19</f>
        <v>45264</v>
      </c>
      <c r="Q30" s="895"/>
      <c r="R30" s="896"/>
      <c r="S30" s="396"/>
      <c r="T30" s="397"/>
      <c r="U30" s="397"/>
      <c r="V30" s="394"/>
      <c r="W30" s="395"/>
    </row>
    <row r="31" spans="2:28" s="382" customFormat="1" ht="21.95" customHeight="1">
      <c r="B31" s="817"/>
      <c r="C31" s="818"/>
      <c r="D31" s="818"/>
      <c r="E31" s="818"/>
      <c r="F31" s="818"/>
      <c r="G31" s="818"/>
      <c r="H31" s="818"/>
      <c r="I31" s="818"/>
      <c r="J31" s="818"/>
      <c r="K31" s="819"/>
      <c r="L31" s="835"/>
      <c r="M31" s="836"/>
      <c r="N31" s="837"/>
      <c r="O31" s="398"/>
      <c r="P31" s="400"/>
      <c r="Q31" s="895"/>
      <c r="R31" s="896"/>
      <c r="S31" s="396"/>
      <c r="T31" s="397"/>
      <c r="U31" s="397"/>
      <c r="V31" s="394"/>
      <c r="W31" s="395"/>
    </row>
    <row r="32" spans="2:28" s="382" customFormat="1" ht="21.95" customHeight="1">
      <c r="B32" s="817"/>
      <c r="C32" s="818"/>
      <c r="D32" s="818"/>
      <c r="E32" s="818"/>
      <c r="F32" s="818"/>
      <c r="G32" s="818"/>
      <c r="H32" s="818"/>
      <c r="I32" s="818"/>
      <c r="J32" s="818"/>
      <c r="K32" s="819"/>
      <c r="L32" s="835"/>
      <c r="M32" s="836"/>
      <c r="N32" s="837"/>
      <c r="O32" s="398" t="s">
        <v>287</v>
      </c>
      <c r="P32" s="399">
        <f>+F19</f>
        <v>45268</v>
      </c>
      <c r="Q32" s="895"/>
      <c r="R32" s="896"/>
      <c r="S32" s="396"/>
      <c r="T32" s="397"/>
      <c r="U32" s="397"/>
      <c r="V32" s="394"/>
      <c r="W32" s="395"/>
    </row>
    <row r="33" spans="2:23" s="382" customFormat="1" ht="21.95" customHeight="1">
      <c r="B33" s="820"/>
      <c r="C33" s="821"/>
      <c r="D33" s="821"/>
      <c r="E33" s="821"/>
      <c r="F33" s="821"/>
      <c r="G33" s="821"/>
      <c r="H33" s="821"/>
      <c r="I33" s="821"/>
      <c r="J33" s="821"/>
      <c r="K33" s="822"/>
      <c r="L33" s="838"/>
      <c r="M33" s="839"/>
      <c r="N33" s="840"/>
      <c r="O33" s="401"/>
      <c r="P33" s="402"/>
      <c r="Q33" s="897"/>
      <c r="R33" s="898"/>
      <c r="S33" s="396"/>
      <c r="T33" s="397"/>
      <c r="U33" s="397"/>
      <c r="V33" s="394"/>
      <c r="W33" s="395"/>
    </row>
    <row r="34" spans="2:23" s="382" customFormat="1" ht="50.1" customHeight="1">
      <c r="B34" s="403" t="s">
        <v>1</v>
      </c>
      <c r="C34" s="826" t="s">
        <v>3</v>
      </c>
      <c r="D34" s="827"/>
      <c r="E34" s="827"/>
      <c r="F34" s="828"/>
      <c r="G34" s="403" t="s">
        <v>2</v>
      </c>
      <c r="H34" s="835" t="s">
        <v>198</v>
      </c>
      <c r="I34" s="836"/>
      <c r="J34" s="836"/>
      <c r="K34" s="837"/>
      <c r="L34" s="891" t="s">
        <v>230</v>
      </c>
      <c r="M34" s="892"/>
      <c r="N34" s="404" t="s">
        <v>249</v>
      </c>
      <c r="O34" s="405" t="s">
        <v>231</v>
      </c>
      <c r="P34" s="405" t="s">
        <v>249</v>
      </c>
      <c r="Q34" s="405" t="s">
        <v>231</v>
      </c>
      <c r="R34" s="406" t="s">
        <v>249</v>
      </c>
      <c r="S34" s="407"/>
      <c r="T34" s="408"/>
      <c r="U34" s="408"/>
      <c r="V34" s="394"/>
      <c r="W34" s="395" t="s">
        <v>274</v>
      </c>
    </row>
    <row r="35" spans="2:23" s="409" customFormat="1" ht="50.1" customHeight="1">
      <c r="B35" s="456">
        <f>+'TAPAH 2.2 (Rincian)'!B50</f>
        <v>1</v>
      </c>
      <c r="C35" s="457" t="str">
        <f>+'TAPAH 2.2 (Rincian)'!C50:F50</f>
        <v>NUNING DIAN PERTIWI</v>
      </c>
      <c r="D35" s="458"/>
      <c r="E35" s="458"/>
      <c r="F35" s="459"/>
      <c r="G35" s="456">
        <f>+'TAHAP 1'!K13</f>
        <v>2412</v>
      </c>
      <c r="H35" s="823"/>
      <c r="I35" s="824"/>
      <c r="J35" s="824"/>
      <c r="K35" s="825"/>
      <c r="L35" s="746">
        <f>+'TAPAH 2.2 (Rincian)'!H50</f>
        <v>392500</v>
      </c>
      <c r="M35" s="747"/>
      <c r="N35" s="463"/>
      <c r="O35" s="748">
        <f>+'TAPAH 2.2 (Rincian)'!I81</f>
        <v>8500000</v>
      </c>
      <c r="P35" s="860"/>
      <c r="Q35" s="472">
        <f>+'TAPAH 2.2 (Rincian)'!J112</f>
        <v>3684000</v>
      </c>
      <c r="R35" s="463"/>
      <c r="S35" s="411"/>
      <c r="T35" s="412"/>
      <c r="U35" s="412"/>
      <c r="V35" s="385"/>
      <c r="W35" s="413"/>
    </row>
    <row r="36" spans="2:23" s="409" customFormat="1" ht="50.1" customHeight="1">
      <c r="B36" s="464">
        <v>2</v>
      </c>
      <c r="C36" s="457" t="str">
        <f>+'TAPAH 2.2 (Rincian)'!C51:F51</f>
        <v>DARMUJI</v>
      </c>
      <c r="D36" s="465"/>
      <c r="E36" s="465"/>
      <c r="F36" s="466"/>
      <c r="G36" s="456">
        <f>+'TAHAP 1'!K14</f>
        <v>1158</v>
      </c>
      <c r="H36" s="467"/>
      <c r="I36" s="468"/>
      <c r="J36" s="468"/>
      <c r="K36" s="469"/>
      <c r="L36" s="746">
        <f>+'TAPAH 2.2 (Rincian)'!H51</f>
        <v>392500</v>
      </c>
      <c r="M36" s="747"/>
      <c r="N36" s="463"/>
      <c r="O36" s="749"/>
      <c r="P36" s="861"/>
      <c r="Q36" s="472">
        <f>+'TAPAH 2.2 (Rincian)'!J113</f>
        <v>3684000</v>
      </c>
      <c r="R36" s="463"/>
      <c r="S36" s="411"/>
      <c r="T36" s="412"/>
      <c r="U36" s="412"/>
      <c r="V36" s="385"/>
      <c r="W36" s="413"/>
    </row>
    <row r="37" spans="2:23" s="409" customFormat="1" ht="50.1" customHeight="1">
      <c r="B37" s="456">
        <f>+'TAPAH 2.2 (Rincian)'!B52</f>
        <v>3</v>
      </c>
      <c r="C37" s="457" t="str">
        <f>+'TAPAH 2.2 (Rincian)'!C52:F52</f>
        <v>AHMAD MUBARAK</v>
      </c>
      <c r="D37" s="470"/>
      <c r="E37" s="470"/>
      <c r="F37" s="471"/>
      <c r="G37" s="456">
        <f>+'TAHAP 1'!K15</f>
        <v>1651</v>
      </c>
      <c r="H37" s="460"/>
      <c r="I37" s="461"/>
      <c r="J37" s="461"/>
      <c r="K37" s="462"/>
      <c r="L37" s="746">
        <f>+'TAPAH 2.2 (Rincian)'!H52</f>
        <v>392500</v>
      </c>
      <c r="M37" s="747"/>
      <c r="N37" s="463"/>
      <c r="O37" s="750"/>
      <c r="P37" s="862"/>
      <c r="Q37" s="472">
        <f>+'TAPAH 2.2 (Rincian)'!J114</f>
        <v>3684000</v>
      </c>
      <c r="R37" s="463"/>
      <c r="S37" s="411"/>
      <c r="T37" s="412"/>
      <c r="U37" s="412"/>
      <c r="V37" s="385"/>
      <c r="W37" s="413"/>
    </row>
    <row r="38" spans="2:23" s="409" customFormat="1" ht="50.1" customHeight="1">
      <c r="B38" s="414">
        <v>3</v>
      </c>
      <c r="C38" s="452" t="str">
        <f>+'TAPAH 2.2 (Rincian)'!C53:F53</f>
        <v>YUICHIRO SUZUKI</v>
      </c>
      <c r="D38" s="447"/>
      <c r="E38" s="447"/>
      <c r="F38" s="448"/>
      <c r="G38" s="453">
        <f>+'TAHAP 1'!K16</f>
        <v>27106</v>
      </c>
      <c r="H38" s="449"/>
      <c r="I38" s="450"/>
      <c r="J38" s="450"/>
      <c r="K38" s="451"/>
      <c r="L38" s="738">
        <f>+'TAPAH 2.2 (Rincian)'!H53</f>
        <v>460000</v>
      </c>
      <c r="M38" s="739"/>
      <c r="N38" s="454"/>
      <c r="O38" s="744">
        <f>+'TAPAH 2.2 (Rincian)'!I103</f>
        <v>11250000</v>
      </c>
      <c r="P38" s="742"/>
      <c r="Q38" s="410">
        <f>+'TAPAH 2.2 (Rincian)'!J115</f>
        <v>3684000</v>
      </c>
      <c r="R38" s="454"/>
      <c r="S38" s="411"/>
      <c r="T38" s="412"/>
      <c r="U38" s="412"/>
      <c r="V38" s="385"/>
      <c r="W38" s="413"/>
    </row>
    <row r="39" spans="2:23" s="409" customFormat="1" ht="50.1" customHeight="1" thickBot="1">
      <c r="B39" s="415">
        <f>+'TAPAH 2.2 (Rincian)'!B54</f>
        <v>5</v>
      </c>
      <c r="C39" s="416" t="str">
        <f>+'TAPAH 2.2 (Rincian)'!C54:F54</f>
        <v>ERWIN DWI PAMUNGKAS</v>
      </c>
      <c r="D39" s="439"/>
      <c r="E39" s="439"/>
      <c r="F39" s="440"/>
      <c r="G39" s="415">
        <f>+'TAHAP 1'!K17</f>
        <v>20205</v>
      </c>
      <c r="H39" s="417"/>
      <c r="I39" s="418"/>
      <c r="J39" s="418"/>
      <c r="K39" s="419"/>
      <c r="L39" s="740">
        <f>+'TAPAH 2.2 (Rincian)'!H54</f>
        <v>290000</v>
      </c>
      <c r="M39" s="741"/>
      <c r="N39" s="420"/>
      <c r="O39" s="745"/>
      <c r="P39" s="743"/>
      <c r="Q39" s="455">
        <f>+'TAPAH 2.2 (Rincian)'!J116</f>
        <v>3684000</v>
      </c>
      <c r="R39" s="420"/>
      <c r="S39" s="411"/>
      <c r="T39" s="412"/>
      <c r="U39" s="412"/>
      <c r="V39" s="385"/>
      <c r="W39" s="413"/>
    </row>
    <row r="40" spans="2:23" s="382" customFormat="1" ht="35.1" customHeight="1" thickTop="1">
      <c r="B40" s="781" t="s">
        <v>222</v>
      </c>
      <c r="C40" s="781"/>
      <c r="D40" s="781"/>
      <c r="E40" s="781"/>
      <c r="F40" s="781"/>
      <c r="G40" s="781"/>
      <c r="H40" s="781"/>
      <c r="I40" s="781"/>
      <c r="J40" s="781"/>
      <c r="K40" s="781"/>
      <c r="L40" s="782">
        <f>SUM(L35:M39)</f>
        <v>1927500</v>
      </c>
      <c r="M40" s="782"/>
      <c r="N40" s="782"/>
      <c r="O40" s="782">
        <f>SUM(O35:O39)</f>
        <v>19750000</v>
      </c>
      <c r="P40" s="782"/>
      <c r="Q40" s="782">
        <f>SUM(Q35:Q39)</f>
        <v>18420000</v>
      </c>
      <c r="R40" s="783"/>
      <c r="S40" s="421"/>
      <c r="T40" s="422"/>
      <c r="U40" s="422"/>
      <c r="W40" s="395"/>
    </row>
    <row r="41" spans="2:23" s="409" customFormat="1" ht="45" customHeight="1">
      <c r="B41" s="784" t="s">
        <v>12</v>
      </c>
      <c r="C41" s="784"/>
      <c r="D41" s="784"/>
      <c r="E41" s="784"/>
      <c r="F41" s="784"/>
      <c r="G41" s="784"/>
      <c r="H41" s="784"/>
      <c r="I41" s="784"/>
      <c r="J41" s="784"/>
      <c r="K41" s="784"/>
      <c r="L41" s="794">
        <f>SUM(L40:R40)</f>
        <v>40097500</v>
      </c>
      <c r="M41" s="795"/>
      <c r="N41" s="795"/>
      <c r="O41" s="795"/>
      <c r="P41" s="795"/>
      <c r="Q41" s="795"/>
      <c r="R41" s="796"/>
      <c r="S41" s="423"/>
      <c r="T41" s="424"/>
      <c r="U41" s="424"/>
      <c r="W41" s="413"/>
    </row>
    <row r="42" spans="2:23" s="378" customFormat="1" ht="20.100000000000001" customHeight="1">
      <c r="B42" s="376"/>
      <c r="C42" s="377"/>
      <c r="D42" s="377"/>
      <c r="E42" s="377"/>
      <c r="F42" s="377"/>
      <c r="W42" s="380"/>
    </row>
    <row r="43" spans="2:23" s="378" customFormat="1" ht="20.100000000000001" customHeight="1">
      <c r="B43" s="785" t="s">
        <v>291</v>
      </c>
      <c r="C43" s="786"/>
      <c r="D43" s="786"/>
      <c r="E43" s="786"/>
      <c r="F43" s="786"/>
      <c r="G43" s="786"/>
      <c r="H43" s="786"/>
      <c r="I43" s="786"/>
      <c r="J43" s="786"/>
      <c r="K43" s="786"/>
      <c r="L43" s="786"/>
      <c r="M43" s="786"/>
      <c r="N43" s="786"/>
      <c r="O43" s="786"/>
      <c r="P43" s="786"/>
      <c r="Q43" s="786"/>
      <c r="R43" s="787"/>
      <c r="S43" s="425"/>
      <c r="T43" s="760" t="s">
        <v>290</v>
      </c>
      <c r="U43" s="761"/>
      <c r="V43" s="762"/>
      <c r="W43" s="380"/>
    </row>
    <row r="44" spans="2:23" s="378" customFormat="1" ht="20.100000000000001" customHeight="1">
      <c r="B44" s="788"/>
      <c r="C44" s="789"/>
      <c r="D44" s="789"/>
      <c r="E44" s="789"/>
      <c r="F44" s="789"/>
      <c r="G44" s="789"/>
      <c r="H44" s="789"/>
      <c r="I44" s="789"/>
      <c r="J44" s="789"/>
      <c r="K44" s="789"/>
      <c r="L44" s="789"/>
      <c r="M44" s="789"/>
      <c r="N44" s="789"/>
      <c r="O44" s="789"/>
      <c r="P44" s="789"/>
      <c r="Q44" s="789"/>
      <c r="R44" s="790"/>
      <c r="S44" s="425"/>
      <c r="T44" s="763"/>
      <c r="U44" s="764"/>
      <c r="V44" s="765"/>
      <c r="W44" s="380"/>
    </row>
    <row r="45" spans="2:23" s="378" customFormat="1" ht="20.100000000000001" customHeight="1">
      <c r="B45" s="788"/>
      <c r="C45" s="789"/>
      <c r="D45" s="789"/>
      <c r="E45" s="789"/>
      <c r="F45" s="789"/>
      <c r="G45" s="789"/>
      <c r="H45" s="789"/>
      <c r="I45" s="789"/>
      <c r="J45" s="789"/>
      <c r="K45" s="789"/>
      <c r="L45" s="789"/>
      <c r="M45" s="789"/>
      <c r="N45" s="789"/>
      <c r="O45" s="789"/>
      <c r="P45" s="789"/>
      <c r="Q45" s="789"/>
      <c r="R45" s="790"/>
      <c r="S45" s="425"/>
      <c r="T45" s="766"/>
      <c r="U45" s="767"/>
      <c r="V45" s="768"/>
      <c r="W45" s="380"/>
    </row>
    <row r="46" spans="2:23" s="378" customFormat="1" ht="20.100000000000001" customHeight="1">
      <c r="B46" s="788"/>
      <c r="C46" s="789"/>
      <c r="D46" s="789"/>
      <c r="E46" s="789"/>
      <c r="F46" s="789"/>
      <c r="G46" s="789"/>
      <c r="H46" s="789"/>
      <c r="I46" s="789"/>
      <c r="J46" s="789"/>
      <c r="K46" s="789"/>
      <c r="L46" s="789"/>
      <c r="M46" s="789"/>
      <c r="N46" s="789"/>
      <c r="O46" s="789"/>
      <c r="P46" s="789"/>
      <c r="Q46" s="789"/>
      <c r="R46" s="790"/>
      <c r="S46" s="425"/>
      <c r="T46" s="769" t="s">
        <v>226</v>
      </c>
      <c r="U46" s="770"/>
      <c r="V46" s="771"/>
      <c r="W46" s="380"/>
    </row>
    <row r="47" spans="2:23" s="379" customFormat="1" ht="20.100000000000001" customHeight="1">
      <c r="B47" s="788"/>
      <c r="C47" s="789"/>
      <c r="D47" s="789"/>
      <c r="E47" s="789"/>
      <c r="F47" s="789"/>
      <c r="G47" s="789"/>
      <c r="H47" s="789"/>
      <c r="I47" s="789"/>
      <c r="J47" s="789"/>
      <c r="K47" s="789"/>
      <c r="L47" s="789"/>
      <c r="M47" s="789"/>
      <c r="N47" s="789"/>
      <c r="O47" s="789"/>
      <c r="P47" s="789"/>
      <c r="Q47" s="789"/>
      <c r="R47" s="790"/>
      <c r="S47" s="425"/>
      <c r="T47" s="772"/>
      <c r="U47" s="773"/>
      <c r="V47" s="774"/>
      <c r="W47" s="383"/>
    </row>
    <row r="48" spans="2:23" s="379" customFormat="1" ht="20.100000000000001" customHeight="1">
      <c r="B48" s="788"/>
      <c r="C48" s="789"/>
      <c r="D48" s="789"/>
      <c r="E48" s="789"/>
      <c r="F48" s="789"/>
      <c r="G48" s="789"/>
      <c r="H48" s="789"/>
      <c r="I48" s="789"/>
      <c r="J48" s="789"/>
      <c r="K48" s="789"/>
      <c r="L48" s="789"/>
      <c r="M48" s="789"/>
      <c r="N48" s="789"/>
      <c r="O48" s="789"/>
      <c r="P48" s="789"/>
      <c r="Q48" s="789"/>
      <c r="R48" s="790"/>
      <c r="S48" s="425"/>
      <c r="T48" s="772"/>
      <c r="U48" s="773"/>
      <c r="V48" s="774"/>
      <c r="W48" s="426"/>
    </row>
    <row r="49" spans="1:24" s="379" customFormat="1" ht="20.100000000000001" customHeight="1">
      <c r="B49" s="791"/>
      <c r="C49" s="792"/>
      <c r="D49" s="792"/>
      <c r="E49" s="792"/>
      <c r="F49" s="792"/>
      <c r="G49" s="792"/>
      <c r="H49" s="792"/>
      <c r="I49" s="792"/>
      <c r="J49" s="792"/>
      <c r="K49" s="792"/>
      <c r="L49" s="792"/>
      <c r="M49" s="792"/>
      <c r="N49" s="792"/>
      <c r="O49" s="792"/>
      <c r="P49" s="792"/>
      <c r="Q49" s="792"/>
      <c r="R49" s="793"/>
      <c r="S49" s="425"/>
      <c r="T49" s="775"/>
      <c r="U49" s="776"/>
      <c r="V49" s="777"/>
      <c r="W49" s="426"/>
    </row>
    <row r="50" spans="1:24" s="379" customFormat="1" ht="15.75">
      <c r="B50" s="427"/>
      <c r="C50" s="428"/>
      <c r="D50" s="428"/>
      <c r="E50" s="428"/>
      <c r="F50" s="428"/>
      <c r="G50" s="428"/>
      <c r="H50" s="428"/>
      <c r="I50" s="428"/>
      <c r="J50" s="428"/>
      <c r="K50" s="428"/>
      <c r="L50" s="428"/>
      <c r="M50" s="428"/>
      <c r="N50" s="428"/>
      <c r="O50" s="428"/>
      <c r="P50" s="428"/>
      <c r="Q50" s="428"/>
      <c r="R50" s="382"/>
      <c r="T50" s="429"/>
      <c r="U50" s="429"/>
      <c r="V50" s="429"/>
      <c r="W50" s="430"/>
    </row>
    <row r="51" spans="1:24" s="379" customFormat="1" ht="15.75">
      <c r="B51" s="427"/>
      <c r="C51" s="428"/>
      <c r="D51" s="428"/>
      <c r="E51" s="428"/>
      <c r="F51" s="428"/>
      <c r="G51" s="428"/>
      <c r="H51" s="428"/>
      <c r="I51" s="428"/>
      <c r="J51" s="428"/>
      <c r="K51" s="428"/>
      <c r="L51" s="428"/>
      <c r="M51" s="428"/>
      <c r="N51" s="428"/>
      <c r="O51" s="428"/>
      <c r="P51" s="428"/>
      <c r="Q51" s="428"/>
      <c r="R51" s="382"/>
      <c r="T51" s="429"/>
      <c r="U51" s="429"/>
      <c r="V51" s="429"/>
      <c r="W51" s="430"/>
    </row>
    <row r="52" spans="1:24" s="379" customFormat="1" ht="15.75">
      <c r="B52" s="427"/>
      <c r="C52" s="428"/>
      <c r="D52" s="428"/>
      <c r="E52" s="428"/>
      <c r="F52" s="428"/>
      <c r="G52" s="428"/>
      <c r="H52" s="428"/>
      <c r="I52" s="428"/>
      <c r="J52" s="428"/>
      <c r="K52" s="428"/>
      <c r="L52" s="428"/>
      <c r="M52" s="428"/>
      <c r="N52" s="428"/>
      <c r="O52" s="428"/>
      <c r="P52" s="428"/>
      <c r="Q52" s="428"/>
      <c r="R52" s="382"/>
      <c r="T52" s="429"/>
      <c r="U52" s="429"/>
      <c r="V52" s="429"/>
      <c r="W52" s="430"/>
    </row>
    <row r="53" spans="1:24" s="379" customFormat="1" ht="15.75">
      <c r="B53" s="427"/>
      <c r="C53" s="428"/>
      <c r="D53" s="428"/>
      <c r="E53" s="428"/>
      <c r="F53" s="428"/>
      <c r="G53" s="428"/>
      <c r="H53" s="428"/>
      <c r="I53" s="428"/>
      <c r="J53" s="428"/>
      <c r="K53" s="428"/>
      <c r="L53" s="428"/>
      <c r="M53" s="428"/>
      <c r="N53" s="428"/>
      <c r="O53" s="428"/>
      <c r="P53" s="428"/>
      <c r="Q53" s="428"/>
      <c r="R53" s="382"/>
      <c r="T53" s="429"/>
      <c r="U53" s="429"/>
      <c r="V53" s="429"/>
      <c r="W53" s="430"/>
    </row>
    <row r="54" spans="1:24" s="379" customFormat="1" ht="16.5" thickBot="1">
      <c r="B54" s="431"/>
      <c r="C54" s="432"/>
      <c r="D54" s="433"/>
      <c r="E54" s="432"/>
      <c r="F54" s="432"/>
      <c r="G54" s="434"/>
      <c r="H54" s="434"/>
      <c r="I54" s="434"/>
      <c r="J54" s="434"/>
      <c r="K54" s="434"/>
      <c r="L54" s="434"/>
      <c r="M54" s="434"/>
      <c r="N54" s="434"/>
      <c r="O54" s="434"/>
      <c r="P54" s="434"/>
      <c r="Q54" s="434"/>
      <c r="R54" s="434"/>
      <c r="S54" s="434"/>
      <c r="T54" s="435"/>
      <c r="U54" s="435"/>
      <c r="V54" s="435"/>
      <c r="W54" s="436"/>
    </row>
    <row r="55" spans="1:24" ht="20.100000000000001" customHeight="1" thickTop="1">
      <c r="B55" s="707" t="s">
        <v>151</v>
      </c>
      <c r="C55" s="708"/>
      <c r="D55" s="708"/>
      <c r="E55" s="708"/>
      <c r="F55" s="709"/>
      <c r="G55" s="714"/>
      <c r="H55" s="800"/>
      <c r="I55" s="718" t="s">
        <v>201</v>
      </c>
      <c r="J55" s="802"/>
      <c r="K55" s="802"/>
      <c r="L55" s="803"/>
      <c r="M55" s="182">
        <v>4</v>
      </c>
      <c r="N55" s="808" t="s">
        <v>212</v>
      </c>
      <c r="O55" s="809"/>
      <c r="P55" s="810"/>
      <c r="Q55" s="212">
        <v>45118</v>
      </c>
      <c r="R55" s="182" t="s">
        <v>92</v>
      </c>
      <c r="S55" s="182"/>
      <c r="T55" s="814"/>
      <c r="U55" s="815"/>
      <c r="V55" s="816"/>
      <c r="W55" s="182"/>
    </row>
    <row r="56" spans="1:24" ht="20.100000000000001" customHeight="1">
      <c r="B56" s="710"/>
      <c r="C56" s="708"/>
      <c r="D56" s="708"/>
      <c r="E56" s="708"/>
      <c r="F56" s="709"/>
      <c r="G56" s="714"/>
      <c r="H56" s="800"/>
      <c r="I56" s="804"/>
      <c r="J56" s="802"/>
      <c r="K56" s="802"/>
      <c r="L56" s="803"/>
      <c r="M56" s="4">
        <v>3</v>
      </c>
      <c r="N56" s="811" t="s">
        <v>209</v>
      </c>
      <c r="O56" s="812"/>
      <c r="P56" s="813"/>
      <c r="Q56" s="213">
        <v>44702</v>
      </c>
      <c r="R56" s="4" t="s">
        <v>92</v>
      </c>
      <c r="S56" s="4"/>
      <c r="T56" s="778"/>
      <c r="U56" s="779"/>
      <c r="V56" s="780"/>
      <c r="W56" s="4"/>
    </row>
    <row r="57" spans="1:24" ht="20.100000000000001" customHeight="1">
      <c r="B57" s="710"/>
      <c r="C57" s="708"/>
      <c r="D57" s="708"/>
      <c r="E57" s="708"/>
      <c r="F57" s="709"/>
      <c r="G57" s="714"/>
      <c r="H57" s="800"/>
      <c r="I57" s="804"/>
      <c r="J57" s="802"/>
      <c r="K57" s="802"/>
      <c r="L57" s="803"/>
      <c r="M57" s="4">
        <v>2</v>
      </c>
      <c r="N57" s="811" t="s">
        <v>208</v>
      </c>
      <c r="O57" s="812"/>
      <c r="P57" s="813"/>
      <c r="Q57" s="213">
        <v>44314</v>
      </c>
      <c r="R57" s="4" t="s">
        <v>92</v>
      </c>
      <c r="S57" s="4">
        <v>3</v>
      </c>
      <c r="T57" s="778">
        <f>+Q55</f>
        <v>45118</v>
      </c>
      <c r="U57" s="779"/>
      <c r="V57" s="780"/>
      <c r="W57" s="4" t="s">
        <v>94</v>
      </c>
    </row>
    <row r="58" spans="1:24" ht="20.100000000000001" customHeight="1">
      <c r="B58" s="710"/>
      <c r="C58" s="708"/>
      <c r="D58" s="708"/>
      <c r="E58" s="708"/>
      <c r="F58" s="709"/>
      <c r="G58" s="714"/>
      <c r="H58" s="800"/>
      <c r="I58" s="804"/>
      <c r="J58" s="802"/>
      <c r="K58" s="802"/>
      <c r="L58" s="803"/>
      <c r="M58" s="4">
        <v>1</v>
      </c>
      <c r="N58" s="811" t="s">
        <v>207</v>
      </c>
      <c r="O58" s="812"/>
      <c r="P58" s="813"/>
      <c r="Q58" s="213">
        <v>44147</v>
      </c>
      <c r="R58" s="4" t="s">
        <v>92</v>
      </c>
      <c r="S58" s="4">
        <v>2</v>
      </c>
      <c r="T58" s="778">
        <v>44702</v>
      </c>
      <c r="U58" s="779"/>
      <c r="V58" s="780"/>
      <c r="W58" s="4" t="s">
        <v>211</v>
      </c>
    </row>
    <row r="59" spans="1:24" ht="20.100000000000001" customHeight="1">
      <c r="B59" s="710"/>
      <c r="C59" s="708"/>
      <c r="D59" s="708"/>
      <c r="E59" s="708"/>
      <c r="F59" s="709"/>
      <c r="G59" s="714"/>
      <c r="H59" s="800"/>
      <c r="I59" s="804"/>
      <c r="J59" s="802"/>
      <c r="K59" s="802"/>
      <c r="L59" s="803"/>
      <c r="M59" s="4">
        <v>0</v>
      </c>
      <c r="N59" s="811" t="s">
        <v>150</v>
      </c>
      <c r="O59" s="812"/>
      <c r="P59" s="813"/>
      <c r="Q59" s="213">
        <v>45113</v>
      </c>
      <c r="R59" s="4" t="s">
        <v>210</v>
      </c>
      <c r="S59" s="4">
        <v>1</v>
      </c>
      <c r="T59" s="778">
        <v>44314</v>
      </c>
      <c r="U59" s="779"/>
      <c r="V59" s="780"/>
      <c r="W59" s="4" t="s">
        <v>94</v>
      </c>
    </row>
    <row r="60" spans="1:24" s="3" customFormat="1" ht="20.100000000000001" customHeight="1">
      <c r="B60" s="711"/>
      <c r="C60" s="712"/>
      <c r="D60" s="712"/>
      <c r="E60" s="712"/>
      <c r="F60" s="713"/>
      <c r="G60" s="715"/>
      <c r="H60" s="801"/>
      <c r="I60" s="805"/>
      <c r="J60" s="806"/>
      <c r="K60" s="806"/>
      <c r="L60" s="807"/>
      <c r="M60" s="93" t="s">
        <v>149</v>
      </c>
      <c r="N60" s="797" t="s">
        <v>148</v>
      </c>
      <c r="O60" s="798"/>
      <c r="P60" s="799"/>
      <c r="Q60" s="214" t="s">
        <v>5</v>
      </c>
      <c r="R60" s="93" t="s">
        <v>145</v>
      </c>
      <c r="S60" s="93" t="s">
        <v>146</v>
      </c>
      <c r="T60" s="626" t="s">
        <v>147</v>
      </c>
      <c r="U60" s="627"/>
      <c r="V60" s="628"/>
      <c r="W60" s="93" t="s">
        <v>145</v>
      </c>
    </row>
    <row r="61" spans="1:24" s="15" customFormat="1" ht="16.5" thickBot="1">
      <c r="A61" s="165"/>
      <c r="B61" s="165"/>
      <c r="C61" s="166"/>
      <c r="D61" s="166"/>
      <c r="E61" s="166"/>
      <c r="F61" s="166"/>
      <c r="G61" s="165"/>
      <c r="H61" s="165"/>
      <c r="I61" s="165"/>
      <c r="J61" s="165"/>
      <c r="K61" s="165"/>
      <c r="L61" s="165"/>
      <c r="M61" s="165"/>
      <c r="N61" s="165"/>
      <c r="O61" s="165"/>
      <c r="P61" s="165"/>
      <c r="Q61" s="165"/>
      <c r="R61" s="165"/>
      <c r="S61" s="165"/>
      <c r="T61" s="165"/>
      <c r="U61" s="165"/>
      <c r="V61" s="165"/>
      <c r="W61" s="165"/>
      <c r="X61" s="165"/>
    </row>
    <row r="62" spans="1:24" ht="15.75" thickTop="1">
      <c r="W62" s="180"/>
    </row>
  </sheetData>
  <mergeCells count="90">
    <mergeCell ref="I20:J20"/>
    <mergeCell ref="K20:L20"/>
    <mergeCell ref="M20:O20"/>
    <mergeCell ref="H34:K34"/>
    <mergeCell ref="B3:K6"/>
    <mergeCell ref="R3:W5"/>
    <mergeCell ref="D19:E19"/>
    <mergeCell ref="G19:H19"/>
    <mergeCell ref="I19:J19"/>
    <mergeCell ref="K19:L19"/>
    <mergeCell ref="M19:O19"/>
    <mergeCell ref="M15:O18"/>
    <mergeCell ref="L34:M34"/>
    <mergeCell ref="L28:N33"/>
    <mergeCell ref="O28:P28"/>
    <mergeCell ref="O29:P29"/>
    <mergeCell ref="Q29:R33"/>
    <mergeCell ref="D20:E20"/>
    <mergeCell ref="G20:H20"/>
    <mergeCell ref="S16:S18"/>
    <mergeCell ref="R16:R18"/>
    <mergeCell ref="T15:U15"/>
    <mergeCell ref="Q16:Q18"/>
    <mergeCell ref="P35:P37"/>
    <mergeCell ref="T22:U23"/>
    <mergeCell ref="P19:U21"/>
    <mergeCell ref="S22:S23"/>
    <mergeCell ref="B28:K33"/>
    <mergeCell ref="H35:K35"/>
    <mergeCell ref="C34:F34"/>
    <mergeCell ref="V2:W2"/>
    <mergeCell ref="V6:W6"/>
    <mergeCell ref="T6:U6"/>
    <mergeCell ref="T2:U2"/>
    <mergeCell ref="B15:B18"/>
    <mergeCell ref="C15:F18"/>
    <mergeCell ref="G15:H18"/>
    <mergeCell ref="I15:J18"/>
    <mergeCell ref="K15:L18"/>
    <mergeCell ref="W15:W18"/>
    <mergeCell ref="P16:P18"/>
    <mergeCell ref="T16:U18"/>
    <mergeCell ref="Q28:R28"/>
    <mergeCell ref="T60:V60"/>
    <mergeCell ref="N60:P60"/>
    <mergeCell ref="B55:F60"/>
    <mergeCell ref="G55:H60"/>
    <mergeCell ref="I55:L60"/>
    <mergeCell ref="N55:P55"/>
    <mergeCell ref="N56:P56"/>
    <mergeCell ref="N57:P57"/>
    <mergeCell ref="N58:P58"/>
    <mergeCell ref="N59:P59"/>
    <mergeCell ref="T55:V55"/>
    <mergeCell ref="T56:V56"/>
    <mergeCell ref="T43:V45"/>
    <mergeCell ref="T46:V49"/>
    <mergeCell ref="T58:V58"/>
    <mergeCell ref="T59:V59"/>
    <mergeCell ref="B40:K40"/>
    <mergeCell ref="L40:N40"/>
    <mergeCell ref="O40:P40"/>
    <mergeCell ref="Q40:R40"/>
    <mergeCell ref="B41:K41"/>
    <mergeCell ref="T57:V57"/>
    <mergeCell ref="B43:R49"/>
    <mergeCell ref="L41:R41"/>
    <mergeCell ref="D21:E21"/>
    <mergeCell ref="G21:H21"/>
    <mergeCell ref="I21:J21"/>
    <mergeCell ref="K21:L21"/>
    <mergeCell ref="M21:O21"/>
    <mergeCell ref="D23:E23"/>
    <mergeCell ref="G23:H23"/>
    <mergeCell ref="I23:J23"/>
    <mergeCell ref="K23:L23"/>
    <mergeCell ref="M23:O23"/>
    <mergeCell ref="D22:E22"/>
    <mergeCell ref="G22:H22"/>
    <mergeCell ref="I22:J22"/>
    <mergeCell ref="K22:L22"/>
    <mergeCell ref="M22:O22"/>
    <mergeCell ref="L38:M38"/>
    <mergeCell ref="L39:M39"/>
    <mergeCell ref="P38:P39"/>
    <mergeCell ref="O38:O39"/>
    <mergeCell ref="L36:M36"/>
    <mergeCell ref="L37:M37"/>
    <mergeCell ref="O35:O37"/>
    <mergeCell ref="L35:M35"/>
  </mergeCells>
  <printOptions horizontalCentered="1"/>
  <pageMargins left="0" right="0" top="0" bottom="0" header="0" footer="0"/>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5"/>
  <sheetViews>
    <sheetView workbookViewId="0">
      <selection activeCell="O12" sqref="O12:P12"/>
    </sheetView>
  </sheetViews>
  <sheetFormatPr defaultRowHeight="15"/>
  <cols>
    <col min="2" max="2" width="3.85546875" style="336" bestFit="1" customWidth="1"/>
    <col min="3" max="3" width="19.140625" bestFit="1" customWidth="1"/>
    <col min="4" max="4" width="6" style="336" bestFit="1" customWidth="1"/>
    <col min="5" max="5" width="14.140625" bestFit="1" customWidth="1"/>
    <col min="6" max="6" width="11.5703125" style="329" bestFit="1" customWidth="1"/>
  </cols>
  <sheetData>
    <row r="2" spans="2:6" s="334" customFormat="1">
      <c r="B2" s="332" t="s">
        <v>1</v>
      </c>
      <c r="C2" s="332" t="s">
        <v>3</v>
      </c>
      <c r="D2" s="332" t="s">
        <v>2</v>
      </c>
      <c r="E2" s="332" t="s">
        <v>198</v>
      </c>
      <c r="F2" s="333" t="s">
        <v>230</v>
      </c>
    </row>
    <row r="3" spans="2:6">
      <c r="B3" s="335">
        <v>1</v>
      </c>
      <c r="C3" s="330" t="s">
        <v>277</v>
      </c>
      <c r="D3" s="335">
        <v>6096</v>
      </c>
      <c r="E3" s="330" t="s">
        <v>278</v>
      </c>
      <c r="F3" s="331">
        <v>132500</v>
      </c>
    </row>
    <row r="4" spans="2:6" ht="15.75" thickBot="1">
      <c r="B4" s="338">
        <v>2</v>
      </c>
      <c r="C4" s="339" t="s">
        <v>276</v>
      </c>
      <c r="D4" s="338">
        <v>13138</v>
      </c>
      <c r="E4" s="339" t="s">
        <v>275</v>
      </c>
      <c r="F4" s="340">
        <v>132500</v>
      </c>
    </row>
    <row r="5" spans="2:6" ht="15.75" thickTop="1">
      <c r="B5" s="905" t="s">
        <v>12</v>
      </c>
      <c r="C5" s="905"/>
      <c r="D5" s="905"/>
      <c r="E5" s="905"/>
      <c r="F5" s="337">
        <f>SUM(F3:F4)</f>
        <v>265000</v>
      </c>
    </row>
  </sheetData>
  <mergeCells count="1">
    <mergeCell ref="B5:E5"/>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78"/>
  <sheetViews>
    <sheetView showGridLines="0" topLeftCell="A7" zoomScaleNormal="100" workbookViewId="0">
      <selection activeCell="E14" sqref="E14:E15"/>
    </sheetView>
  </sheetViews>
  <sheetFormatPr defaultRowHeight="15"/>
  <cols>
    <col min="1" max="1" width="2.140625" style="19" customWidth="1"/>
    <col min="2" max="2" width="10.7109375" style="20" customWidth="1"/>
    <col min="3" max="3" width="7.7109375" style="21" customWidth="1"/>
    <col min="4" max="4" width="7.5703125" style="22" bestFit="1" customWidth="1"/>
    <col min="5" max="8" width="5.7109375" style="23" customWidth="1"/>
    <col min="9" max="10" width="9.7109375" style="23" customWidth="1"/>
    <col min="11" max="11" width="7.7109375" style="19" customWidth="1"/>
    <col min="12" max="15" width="10.7109375" style="74" customWidth="1"/>
    <col min="16" max="16" width="15.7109375" style="76" customWidth="1"/>
    <col min="17" max="17" width="3.7109375" style="19" customWidth="1"/>
    <col min="18" max="18" width="12.7109375" style="27" customWidth="1"/>
    <col min="19" max="19" width="15.42578125" style="27" bestFit="1" customWidth="1"/>
    <col min="20" max="20" width="9.140625" style="27"/>
    <col min="21" max="16384" width="9.140625" style="19"/>
  </cols>
  <sheetData>
    <row r="1" spans="1:20" ht="9.9499999999999993" customHeight="1">
      <c r="I1" s="24"/>
      <c r="J1" s="24"/>
      <c r="L1" s="25"/>
      <c r="M1" s="25"/>
      <c r="N1" s="25"/>
      <c r="O1" s="25"/>
      <c r="P1" s="26"/>
    </row>
    <row r="2" spans="1:20" s="1" customFormat="1">
      <c r="B2" s="1" t="s">
        <v>0</v>
      </c>
      <c r="C2" s="2"/>
      <c r="D2" s="2"/>
      <c r="E2" s="2"/>
      <c r="F2" s="2"/>
    </row>
    <row r="3" spans="1:20" s="1" customFormat="1" ht="24.75">
      <c r="B3" s="12" t="s">
        <v>95</v>
      </c>
      <c r="C3" s="2"/>
      <c r="D3" s="2"/>
      <c r="E3" s="2"/>
      <c r="F3" s="2"/>
    </row>
    <row r="4" spans="1:20" s="1" customFormat="1" ht="18">
      <c r="B4" s="13" t="s">
        <v>34</v>
      </c>
      <c r="C4" s="2"/>
      <c r="D4" s="2"/>
      <c r="E4" s="2"/>
      <c r="F4" s="2"/>
    </row>
    <row r="5" spans="1:20" s="1" customFormat="1" ht="18">
      <c r="B5" s="13"/>
      <c r="C5" s="2"/>
      <c r="D5" s="2"/>
      <c r="E5" s="2"/>
      <c r="F5" s="2"/>
    </row>
    <row r="6" spans="1:20" ht="20.100000000000001" customHeight="1">
      <c r="B6" s="77" t="s">
        <v>40</v>
      </c>
      <c r="I6" s="24"/>
      <c r="J6" s="24"/>
      <c r="L6" s="25"/>
      <c r="M6" s="25"/>
      <c r="N6" s="25"/>
      <c r="O6" s="25"/>
      <c r="P6" s="26"/>
    </row>
    <row r="7" spans="1:20" ht="20.100000000000001" customHeight="1" thickBot="1">
      <c r="B7" s="28" t="e">
        <f>+#REF!</f>
        <v>#REF!</v>
      </c>
      <c r="I7" s="24"/>
      <c r="J7" s="24"/>
      <c r="L7" s="25"/>
      <c r="M7" s="25"/>
      <c r="N7" s="25"/>
      <c r="O7" s="25"/>
      <c r="P7" s="26"/>
    </row>
    <row r="8" spans="1:20" s="23" customFormat="1" ht="17.100000000000001" customHeight="1">
      <c r="B8" s="980" t="s">
        <v>58</v>
      </c>
      <c r="C8" s="981"/>
      <c r="D8" s="981"/>
      <c r="E8" s="981"/>
      <c r="F8" s="981"/>
      <c r="G8" s="981"/>
      <c r="H8" s="981"/>
      <c r="I8" s="981"/>
      <c r="J8" s="981"/>
      <c r="K8" s="981"/>
      <c r="L8" s="981"/>
      <c r="M8" s="982"/>
      <c r="N8" s="29"/>
      <c r="O8" s="30"/>
      <c r="P8" s="31"/>
      <c r="Q8" s="32"/>
      <c r="R8" s="27"/>
      <c r="S8" s="27"/>
      <c r="T8" s="27"/>
    </row>
    <row r="9" spans="1:20" s="23" customFormat="1" ht="17.100000000000001" customHeight="1" thickBot="1">
      <c r="B9" s="983"/>
      <c r="C9" s="984"/>
      <c r="D9" s="984"/>
      <c r="E9" s="984"/>
      <c r="F9" s="984"/>
      <c r="G9" s="984"/>
      <c r="H9" s="984"/>
      <c r="I9" s="984"/>
      <c r="J9" s="984"/>
      <c r="K9" s="984"/>
      <c r="L9" s="984"/>
      <c r="M9" s="985"/>
      <c r="N9" s="33"/>
      <c r="O9" s="34"/>
      <c r="P9" s="35"/>
      <c r="Q9" s="32"/>
      <c r="R9" s="27"/>
      <c r="S9" s="27"/>
      <c r="T9" s="27"/>
    </row>
    <row r="10" spans="1:20" s="23" customFormat="1" ht="17.100000000000001" customHeight="1" thickBot="1">
      <c r="A10" s="36"/>
      <c r="B10" s="37" t="s">
        <v>61</v>
      </c>
      <c r="C10" s="970">
        <v>3060349</v>
      </c>
      <c r="D10" s="970"/>
      <c r="E10" s="971"/>
      <c r="F10" s="972" t="s">
        <v>62</v>
      </c>
      <c r="G10" s="973"/>
      <c r="H10" s="973"/>
      <c r="I10" s="973"/>
      <c r="J10" s="973"/>
      <c r="K10" s="973"/>
      <c r="L10" s="973"/>
      <c r="M10" s="974"/>
      <c r="N10" s="38"/>
      <c r="O10" s="39"/>
      <c r="P10" s="40"/>
      <c r="R10" s="27"/>
      <c r="S10" s="27"/>
      <c r="T10" s="27"/>
    </row>
    <row r="11" spans="1:20" s="23" customFormat="1" ht="17.100000000000001" customHeight="1" thickBot="1">
      <c r="A11" s="36"/>
      <c r="B11" s="41" t="s">
        <v>63</v>
      </c>
      <c r="C11" s="42"/>
      <c r="D11" s="43"/>
      <c r="E11" s="975">
        <f>+C10/173</f>
        <v>17689.878612716762</v>
      </c>
      <c r="F11" s="976"/>
      <c r="G11" s="44"/>
      <c r="H11" s="45"/>
      <c r="I11" s="46"/>
      <c r="J11" s="46"/>
      <c r="K11" s="46"/>
      <c r="L11" s="46"/>
      <c r="M11" s="46"/>
      <c r="N11" s="46"/>
      <c r="O11" s="34"/>
      <c r="P11" s="47"/>
      <c r="R11" s="27"/>
      <c r="S11" s="27"/>
      <c r="T11" s="27"/>
    </row>
    <row r="12" spans="1:20" s="50" customFormat="1" ht="20.100000000000001" customHeight="1">
      <c r="A12" s="48"/>
      <c r="B12" s="963" t="s">
        <v>64</v>
      </c>
      <c r="C12" s="965" t="s">
        <v>5</v>
      </c>
      <c r="D12" s="965" t="s">
        <v>65</v>
      </c>
      <c r="E12" s="968" t="s">
        <v>66</v>
      </c>
      <c r="F12" s="969"/>
      <c r="G12" s="968" t="s">
        <v>67</v>
      </c>
      <c r="H12" s="969"/>
      <c r="I12" s="968" t="s">
        <v>68</v>
      </c>
      <c r="J12" s="969"/>
      <c r="K12" s="49" t="s">
        <v>57</v>
      </c>
      <c r="L12" s="977" t="s">
        <v>69</v>
      </c>
      <c r="M12" s="978"/>
      <c r="N12" s="978"/>
      <c r="O12" s="979"/>
      <c r="P12" s="961" t="s">
        <v>45</v>
      </c>
      <c r="R12" s="51"/>
      <c r="S12" s="51"/>
      <c r="T12" s="51"/>
    </row>
    <row r="13" spans="1:20" s="50" customFormat="1" ht="24.95" customHeight="1" thickBot="1">
      <c r="A13" s="48"/>
      <c r="B13" s="964"/>
      <c r="C13" s="966"/>
      <c r="D13" s="967"/>
      <c r="E13" s="52" t="s">
        <v>56</v>
      </c>
      <c r="F13" s="52" t="s">
        <v>42</v>
      </c>
      <c r="G13" s="52" t="s">
        <v>56</v>
      </c>
      <c r="H13" s="52" t="s">
        <v>42</v>
      </c>
      <c r="I13" s="53" t="s">
        <v>16</v>
      </c>
      <c r="J13" s="164" t="s">
        <v>70</v>
      </c>
      <c r="K13" s="54" t="s">
        <v>71</v>
      </c>
      <c r="L13" s="55">
        <v>1.5</v>
      </c>
      <c r="M13" s="55">
        <v>2</v>
      </c>
      <c r="N13" s="55">
        <v>3</v>
      </c>
      <c r="O13" s="56">
        <v>4</v>
      </c>
      <c r="P13" s="962"/>
      <c r="R13" s="51"/>
      <c r="S13" s="51"/>
      <c r="T13" s="51"/>
    </row>
    <row r="14" spans="1:20" s="78" customFormat="1">
      <c r="B14" s="906" t="str">
        <f>TEXT(C14,"aaaaaa")</f>
        <v>Senin</v>
      </c>
      <c r="C14" s="909">
        <f>+'TAHAP 1'!$C$13</f>
        <v>45264</v>
      </c>
      <c r="D14" s="912" t="s">
        <v>73</v>
      </c>
      <c r="E14" s="914">
        <v>0.29166666666666669</v>
      </c>
      <c r="F14" s="916">
        <v>0.29166666666666669</v>
      </c>
      <c r="G14" s="916">
        <v>0.66666666666666663</v>
      </c>
      <c r="H14" s="918">
        <v>0.91666666666666663</v>
      </c>
      <c r="I14" s="920">
        <f>E16+G16</f>
        <v>0.25</v>
      </c>
      <c r="J14" s="923">
        <f>((HOUR(I14)*60)+MINUTE(I14))/60</f>
        <v>6</v>
      </c>
      <c r="K14" s="57" t="s">
        <v>74</v>
      </c>
      <c r="L14" s="58">
        <v>1</v>
      </c>
      <c r="M14" s="59">
        <f>+J14-L14</f>
        <v>5</v>
      </c>
      <c r="N14" s="58"/>
      <c r="O14" s="58"/>
      <c r="P14" s="60"/>
      <c r="R14" s="162"/>
      <c r="S14" s="70"/>
      <c r="T14" s="70"/>
    </row>
    <row r="15" spans="1:20" s="163" customFormat="1" ht="15" customHeight="1">
      <c r="B15" s="907"/>
      <c r="C15" s="910"/>
      <c r="D15" s="913"/>
      <c r="E15" s="915"/>
      <c r="F15" s="917"/>
      <c r="G15" s="917"/>
      <c r="H15" s="919"/>
      <c r="I15" s="921"/>
      <c r="J15" s="924"/>
      <c r="K15" s="63" t="s">
        <v>75</v>
      </c>
      <c r="L15" s="64">
        <f>+L14*$L$13</f>
        <v>1.5</v>
      </c>
      <c r="M15" s="64">
        <f>+M14*$M$13</f>
        <v>10</v>
      </c>
      <c r="N15" s="64">
        <f>+N14*$N$13</f>
        <v>0</v>
      </c>
      <c r="O15" s="64">
        <f>+O14*$O$13</f>
        <v>0</v>
      </c>
      <c r="P15" s="65">
        <f>SUM(L15:O15)</f>
        <v>11.5</v>
      </c>
      <c r="R15" s="162"/>
      <c r="S15" s="70"/>
      <c r="T15" s="70"/>
    </row>
    <row r="16" spans="1:20" s="78" customFormat="1" ht="15.75" customHeight="1" thickBot="1">
      <c r="B16" s="908"/>
      <c r="C16" s="911"/>
      <c r="D16" s="66" t="s">
        <v>76</v>
      </c>
      <c r="E16" s="926">
        <f>+F14-E14</f>
        <v>0</v>
      </c>
      <c r="F16" s="926"/>
      <c r="G16" s="926">
        <f>+H14-G14</f>
        <v>0.25</v>
      </c>
      <c r="H16" s="927"/>
      <c r="I16" s="922"/>
      <c r="J16" s="925"/>
      <c r="K16" s="67" t="s">
        <v>77</v>
      </c>
      <c r="L16" s="68">
        <f>+L15*$C$10/173</f>
        <v>26534.817919075143</v>
      </c>
      <c r="M16" s="68">
        <f>+M15*$C$10/173</f>
        <v>176898.78612716764</v>
      </c>
      <c r="N16" s="68">
        <f>+N15*$C$10/173</f>
        <v>0</v>
      </c>
      <c r="O16" s="68">
        <f>+O15*$C$10/173</f>
        <v>0</v>
      </c>
      <c r="P16" s="69">
        <f>SUM(L16:O16)</f>
        <v>203433.60404624278</v>
      </c>
      <c r="R16" s="70"/>
      <c r="S16" s="70"/>
      <c r="T16" s="70"/>
    </row>
    <row r="17" spans="1:20">
      <c r="B17" s="906" t="str">
        <f t="shared" ref="B17" si="0">TEXT(C17,"aaaaaa")</f>
        <v>Selasa</v>
      </c>
      <c r="C17" s="909">
        <f>+C14+1</f>
        <v>45265</v>
      </c>
      <c r="D17" s="912" t="s">
        <v>73</v>
      </c>
      <c r="E17" s="914">
        <v>0.25</v>
      </c>
      <c r="F17" s="916">
        <v>0.29166666666666669</v>
      </c>
      <c r="G17" s="916">
        <v>0.66666666666666663</v>
      </c>
      <c r="H17" s="918">
        <v>0.91666666666666663</v>
      </c>
      <c r="I17" s="920">
        <f>E19+G19</f>
        <v>0.29166666666666669</v>
      </c>
      <c r="J17" s="923">
        <f>((HOUR(I17)*60)+MINUTE(I17))/60</f>
        <v>7</v>
      </c>
      <c r="K17" s="57" t="s">
        <v>74</v>
      </c>
      <c r="L17" s="58">
        <v>1</v>
      </c>
      <c r="M17" s="59">
        <f>+J17-L17</f>
        <v>6</v>
      </c>
      <c r="N17" s="58"/>
      <c r="O17" s="58"/>
      <c r="P17" s="60"/>
    </row>
    <row r="18" spans="1:20" ht="15" customHeight="1">
      <c r="B18" s="907"/>
      <c r="C18" s="910"/>
      <c r="D18" s="913"/>
      <c r="E18" s="915"/>
      <c r="F18" s="917"/>
      <c r="G18" s="917"/>
      <c r="H18" s="919"/>
      <c r="I18" s="921"/>
      <c r="J18" s="924"/>
      <c r="K18" s="63" t="s">
        <v>75</v>
      </c>
      <c r="L18" s="64">
        <f>+L17*$L$13</f>
        <v>1.5</v>
      </c>
      <c r="M18" s="64">
        <f>+M17*$M$13</f>
        <v>12</v>
      </c>
      <c r="N18" s="64">
        <f>+N17*$N$13</f>
        <v>0</v>
      </c>
      <c r="O18" s="64">
        <f>+O17*$O$13</f>
        <v>0</v>
      </c>
      <c r="P18" s="65">
        <f>SUM(L18:O18)</f>
        <v>13.5</v>
      </c>
      <c r="R18" s="70"/>
    </row>
    <row r="19" spans="1:20" ht="15.75" thickBot="1">
      <c r="B19" s="908"/>
      <c r="C19" s="911"/>
      <c r="D19" s="66" t="s">
        <v>76</v>
      </c>
      <c r="E19" s="926">
        <f>+F17-E17</f>
        <v>4.1666666666666685E-2</v>
      </c>
      <c r="F19" s="926"/>
      <c r="G19" s="926">
        <f>+H17-G17</f>
        <v>0.25</v>
      </c>
      <c r="H19" s="927"/>
      <c r="I19" s="922"/>
      <c r="J19" s="925"/>
      <c r="K19" s="67" t="s">
        <v>77</v>
      </c>
      <c r="L19" s="68">
        <f>+L18*$C$10/173</f>
        <v>26534.817919075143</v>
      </c>
      <c r="M19" s="68">
        <f>+M18*$C$10/173</f>
        <v>212278.54335260115</v>
      </c>
      <c r="N19" s="68">
        <f>+N18*$C$10/173</f>
        <v>0</v>
      </c>
      <c r="O19" s="68">
        <f>+O18*$C$10/173</f>
        <v>0</v>
      </c>
      <c r="P19" s="69">
        <f>SUM(L19:O19)</f>
        <v>238813.36127167629</v>
      </c>
      <c r="R19" s="71"/>
    </row>
    <row r="20" spans="1:20">
      <c r="B20" s="906" t="str">
        <f t="shared" ref="B20" si="1">TEXT(C20,"aaaaaa")</f>
        <v>Rabu</v>
      </c>
      <c r="C20" s="909">
        <f>+C17+1</f>
        <v>45266</v>
      </c>
      <c r="D20" s="912" t="s">
        <v>73</v>
      </c>
      <c r="E20" s="914">
        <v>0.25</v>
      </c>
      <c r="F20" s="916">
        <v>0.29166666666666669</v>
      </c>
      <c r="G20" s="916">
        <v>0.66666666666666663</v>
      </c>
      <c r="H20" s="918">
        <v>0.91666666666666663</v>
      </c>
      <c r="I20" s="920">
        <f>E22+G22</f>
        <v>0.29166666666666669</v>
      </c>
      <c r="J20" s="923">
        <f>((HOUR(I20)*60)+MINUTE(I20))/60</f>
        <v>7</v>
      </c>
      <c r="K20" s="57" t="s">
        <v>74</v>
      </c>
      <c r="L20" s="58">
        <v>1</v>
      </c>
      <c r="M20" s="59">
        <f>+J20-L20</f>
        <v>6</v>
      </c>
      <c r="N20" s="58"/>
      <c r="O20" s="58"/>
      <c r="P20" s="60"/>
    </row>
    <row r="21" spans="1:20" ht="15" customHeight="1">
      <c r="B21" s="907"/>
      <c r="C21" s="910"/>
      <c r="D21" s="913"/>
      <c r="E21" s="915"/>
      <c r="F21" s="917"/>
      <c r="G21" s="917"/>
      <c r="H21" s="919"/>
      <c r="I21" s="921"/>
      <c r="J21" s="924"/>
      <c r="K21" s="63" t="s">
        <v>75</v>
      </c>
      <c r="L21" s="64">
        <f>+L20*$L$13</f>
        <v>1.5</v>
      </c>
      <c r="M21" s="64">
        <f>+M20*$M$13</f>
        <v>12</v>
      </c>
      <c r="N21" s="64">
        <f>+N20*$N$13</f>
        <v>0</v>
      </c>
      <c r="O21" s="64">
        <f>+O20*$O$13</f>
        <v>0</v>
      </c>
      <c r="P21" s="65">
        <f>SUM(L21:O21)</f>
        <v>13.5</v>
      </c>
      <c r="R21" s="70"/>
    </row>
    <row r="22" spans="1:20" ht="15.75" thickBot="1">
      <c r="B22" s="908"/>
      <c r="C22" s="911"/>
      <c r="D22" s="66" t="s">
        <v>76</v>
      </c>
      <c r="E22" s="926">
        <f>+F20-E20</f>
        <v>4.1666666666666685E-2</v>
      </c>
      <c r="F22" s="926"/>
      <c r="G22" s="926">
        <f>+H20-G20</f>
        <v>0.25</v>
      </c>
      <c r="H22" s="927"/>
      <c r="I22" s="922"/>
      <c r="J22" s="925"/>
      <c r="K22" s="67" t="s">
        <v>77</v>
      </c>
      <c r="L22" s="68">
        <f>+L21*$C$10/173</f>
        <v>26534.817919075143</v>
      </c>
      <c r="M22" s="68">
        <f>+M21*$C$10/173</f>
        <v>212278.54335260115</v>
      </c>
      <c r="N22" s="68">
        <f>+N21*$C$10/173</f>
        <v>0</v>
      </c>
      <c r="O22" s="68">
        <f>+O21*$C$10/173</f>
        <v>0</v>
      </c>
      <c r="P22" s="69">
        <f>SUM(L22:O22)</f>
        <v>238813.36127167629</v>
      </c>
      <c r="R22" s="71"/>
    </row>
    <row r="23" spans="1:20" s="27" customFormat="1" ht="19.5" customHeight="1">
      <c r="A23" s="19"/>
      <c r="B23" s="958" t="s">
        <v>82</v>
      </c>
      <c r="C23" s="959"/>
      <c r="D23" s="959"/>
      <c r="E23" s="959"/>
      <c r="F23" s="959"/>
      <c r="G23" s="959"/>
      <c r="H23" s="959"/>
      <c r="I23" s="959"/>
      <c r="J23" s="959"/>
      <c r="K23" s="959"/>
      <c r="L23" s="959"/>
      <c r="M23" s="959"/>
      <c r="N23" s="959"/>
      <c r="O23" s="960"/>
      <c r="P23" s="72">
        <f>+P21+P18+P15</f>
        <v>38.5</v>
      </c>
      <c r="Q23" s="19"/>
      <c r="R23" s="27">
        <f>+AVERAGE(P16,P19,P22)</f>
        <v>227020.10886319843</v>
      </c>
    </row>
    <row r="24" spans="1:20" s="27" customFormat="1" ht="20.100000000000001" customHeight="1" thickBot="1">
      <c r="A24" s="19"/>
      <c r="B24" s="954" t="s">
        <v>83</v>
      </c>
      <c r="C24" s="955"/>
      <c r="D24" s="955"/>
      <c r="E24" s="955"/>
      <c r="F24" s="955"/>
      <c r="G24" s="955"/>
      <c r="H24" s="955"/>
      <c r="I24" s="955"/>
      <c r="J24" s="955"/>
      <c r="K24" s="955"/>
      <c r="L24" s="955"/>
      <c r="M24" s="955"/>
      <c r="N24" s="955"/>
      <c r="O24" s="956"/>
      <c r="P24" s="73">
        <f>+P22+P19+P16</f>
        <v>681060.32658959529</v>
      </c>
      <c r="Q24" s="19"/>
      <c r="R24" s="27">
        <f>+MROUND(R23,100)</f>
        <v>227000</v>
      </c>
    </row>
    <row r="25" spans="1:20" s="27" customFormat="1">
      <c r="A25" s="19"/>
      <c r="B25" s="20"/>
      <c r="C25" s="21"/>
      <c r="D25" s="22"/>
      <c r="E25" s="23"/>
      <c r="F25" s="23"/>
      <c r="G25" s="23"/>
      <c r="H25" s="23"/>
      <c r="I25" s="23"/>
      <c r="J25" s="23"/>
      <c r="K25" s="19"/>
      <c r="L25" s="74"/>
      <c r="M25" s="74"/>
      <c r="N25" s="74"/>
      <c r="O25" s="74"/>
      <c r="P25" s="75"/>
      <c r="Q25" s="19"/>
    </row>
    <row r="27" spans="1:20" ht="20.100000000000001" customHeight="1">
      <c r="B27" s="161" t="s">
        <v>41</v>
      </c>
      <c r="I27" s="24"/>
      <c r="J27" s="24"/>
      <c r="L27" s="25"/>
      <c r="M27" s="25"/>
      <c r="N27" s="25"/>
      <c r="O27" s="25"/>
      <c r="P27" s="26"/>
    </row>
    <row r="28" spans="1:20" ht="20.100000000000001" customHeight="1" thickBot="1">
      <c r="B28" s="28" t="e">
        <f>+#REF!</f>
        <v>#REF!</v>
      </c>
      <c r="I28" s="24"/>
      <c r="J28" s="24"/>
      <c r="L28" s="25"/>
      <c r="M28" s="25"/>
      <c r="N28" s="25"/>
      <c r="O28" s="25"/>
      <c r="P28" s="26"/>
    </row>
    <row r="29" spans="1:20" s="23" customFormat="1" ht="17.100000000000001" customHeight="1">
      <c r="B29" s="980" t="s">
        <v>58</v>
      </c>
      <c r="C29" s="981"/>
      <c r="D29" s="981"/>
      <c r="E29" s="981"/>
      <c r="F29" s="981"/>
      <c r="G29" s="981"/>
      <c r="H29" s="981"/>
      <c r="I29" s="981"/>
      <c r="J29" s="981"/>
      <c r="K29" s="981"/>
      <c r="L29" s="981"/>
      <c r="M29" s="982"/>
      <c r="N29" s="29" t="s">
        <v>59</v>
      </c>
      <c r="O29" s="30" t="s">
        <v>10</v>
      </c>
      <c r="P29" s="31"/>
      <c r="Q29" s="32"/>
      <c r="R29" s="27"/>
      <c r="S29" s="27"/>
      <c r="T29" s="27"/>
    </row>
    <row r="30" spans="1:20" s="23" customFormat="1" ht="17.100000000000001" customHeight="1" thickBot="1">
      <c r="B30" s="983"/>
      <c r="C30" s="984"/>
      <c r="D30" s="984"/>
      <c r="E30" s="984"/>
      <c r="F30" s="984"/>
      <c r="G30" s="984"/>
      <c r="H30" s="984"/>
      <c r="I30" s="984"/>
      <c r="J30" s="984"/>
      <c r="K30" s="984"/>
      <c r="L30" s="984"/>
      <c r="M30" s="985"/>
      <c r="N30" s="33" t="s">
        <v>60</v>
      </c>
      <c r="O30" s="34" t="s">
        <v>10</v>
      </c>
      <c r="P30" s="35"/>
      <c r="Q30" s="32"/>
      <c r="R30" s="27"/>
      <c r="S30" s="27"/>
      <c r="T30" s="27"/>
    </row>
    <row r="31" spans="1:20" s="23" customFormat="1" ht="17.100000000000001" customHeight="1" thickBot="1">
      <c r="A31" s="36"/>
      <c r="B31" s="37" t="s">
        <v>61</v>
      </c>
      <c r="C31" s="970">
        <v>3060349</v>
      </c>
      <c r="D31" s="970"/>
      <c r="E31" s="971"/>
      <c r="F31" s="972" t="s">
        <v>62</v>
      </c>
      <c r="G31" s="973"/>
      <c r="H31" s="973"/>
      <c r="I31" s="973"/>
      <c r="J31" s="973"/>
      <c r="K31" s="973"/>
      <c r="L31" s="973"/>
      <c r="M31" s="974"/>
      <c r="N31" s="38" t="s">
        <v>55</v>
      </c>
      <c r="O31" s="39" t="s">
        <v>10</v>
      </c>
      <c r="P31" s="40"/>
      <c r="R31" s="27"/>
      <c r="S31" s="27"/>
      <c r="T31" s="27"/>
    </row>
    <row r="32" spans="1:20" s="23" customFormat="1" ht="17.100000000000001" customHeight="1" thickBot="1">
      <c r="A32" s="36"/>
      <c r="B32" s="41" t="s">
        <v>63</v>
      </c>
      <c r="C32" s="42"/>
      <c r="D32" s="43"/>
      <c r="E32" s="975">
        <f>+C31/173</f>
        <v>17689.878612716762</v>
      </c>
      <c r="F32" s="976"/>
      <c r="G32" s="44"/>
      <c r="H32" s="45"/>
      <c r="I32" s="46"/>
      <c r="J32" s="46"/>
      <c r="K32" s="46"/>
      <c r="L32" s="46"/>
      <c r="M32" s="46"/>
      <c r="N32" s="46"/>
      <c r="O32" s="34"/>
      <c r="P32" s="47"/>
      <c r="R32" s="27"/>
      <c r="S32" s="27"/>
      <c r="T32" s="27"/>
    </row>
    <row r="33" spans="1:20" s="50" customFormat="1" ht="20.100000000000001" customHeight="1">
      <c r="A33" s="48"/>
      <c r="B33" s="963" t="s">
        <v>64</v>
      </c>
      <c r="C33" s="965" t="s">
        <v>5</v>
      </c>
      <c r="D33" s="965" t="s">
        <v>65</v>
      </c>
      <c r="E33" s="968" t="s">
        <v>66</v>
      </c>
      <c r="F33" s="969"/>
      <c r="G33" s="968" t="s">
        <v>67</v>
      </c>
      <c r="H33" s="969"/>
      <c r="I33" s="968" t="s">
        <v>68</v>
      </c>
      <c r="J33" s="969"/>
      <c r="K33" s="49" t="s">
        <v>57</v>
      </c>
      <c r="L33" s="977" t="s">
        <v>69</v>
      </c>
      <c r="M33" s="978"/>
      <c r="N33" s="978"/>
      <c r="O33" s="979"/>
      <c r="P33" s="961" t="s">
        <v>45</v>
      </c>
      <c r="R33" s="51"/>
      <c r="S33" s="51"/>
      <c r="T33" s="51"/>
    </row>
    <row r="34" spans="1:20" s="50" customFormat="1" ht="24.95" customHeight="1" thickBot="1">
      <c r="A34" s="48"/>
      <c r="B34" s="964"/>
      <c r="C34" s="966"/>
      <c r="D34" s="967"/>
      <c r="E34" s="52" t="s">
        <v>56</v>
      </c>
      <c r="F34" s="52" t="s">
        <v>42</v>
      </c>
      <c r="G34" s="52" t="s">
        <v>56</v>
      </c>
      <c r="H34" s="52" t="s">
        <v>42</v>
      </c>
      <c r="I34" s="53" t="s">
        <v>16</v>
      </c>
      <c r="J34" s="53" t="s">
        <v>70</v>
      </c>
      <c r="K34" s="54" t="s">
        <v>71</v>
      </c>
      <c r="L34" s="55">
        <v>1.5</v>
      </c>
      <c r="M34" s="55">
        <v>2</v>
      </c>
      <c r="N34" s="55">
        <v>3</v>
      </c>
      <c r="O34" s="56">
        <v>4</v>
      </c>
      <c r="P34" s="962"/>
      <c r="R34" s="51"/>
      <c r="S34" s="51"/>
      <c r="T34" s="51"/>
    </row>
    <row r="35" spans="1:20">
      <c r="B35" s="951" t="s">
        <v>84</v>
      </c>
      <c r="C35" s="909">
        <v>45123</v>
      </c>
      <c r="D35" s="912" t="s">
        <v>73</v>
      </c>
      <c r="E35" s="914">
        <v>0.25</v>
      </c>
      <c r="F35" s="916">
        <v>0.29166666666666669</v>
      </c>
      <c r="G35" s="916">
        <v>0.66666666666666663</v>
      </c>
      <c r="H35" s="918">
        <v>0.75</v>
      </c>
      <c r="I35" s="920">
        <f>E37+G37</f>
        <v>0.12500000000000006</v>
      </c>
      <c r="J35" s="923">
        <f>((HOUR(I35)*60)+MINUTE(I35))/60</f>
        <v>3</v>
      </c>
      <c r="K35" s="57" t="s">
        <v>74</v>
      </c>
      <c r="L35" s="58">
        <v>1</v>
      </c>
      <c r="M35" s="59">
        <f>+J35-L35</f>
        <v>2</v>
      </c>
      <c r="N35" s="58"/>
      <c r="O35" s="58"/>
      <c r="P35" s="60"/>
      <c r="R35" s="61"/>
    </row>
    <row r="36" spans="1:20" s="62" customFormat="1" ht="18" customHeight="1">
      <c r="B36" s="952"/>
      <c r="C36" s="910"/>
      <c r="D36" s="913"/>
      <c r="E36" s="915"/>
      <c r="F36" s="917"/>
      <c r="G36" s="917"/>
      <c r="H36" s="919"/>
      <c r="I36" s="921"/>
      <c r="J36" s="924"/>
      <c r="K36" s="63" t="s">
        <v>75</v>
      </c>
      <c r="L36" s="64">
        <f>+L35*$L$13</f>
        <v>1.5</v>
      </c>
      <c r="M36" s="64">
        <f>+M35*$M$13</f>
        <v>4</v>
      </c>
      <c r="N36" s="64">
        <f>+N35*$N$13</f>
        <v>0</v>
      </c>
      <c r="O36" s="64">
        <f>+O35*$O$13</f>
        <v>0</v>
      </c>
      <c r="P36" s="65">
        <f>SUM(L36:O36)</f>
        <v>5.5</v>
      </c>
      <c r="R36" s="61"/>
      <c r="S36" s="27"/>
      <c r="T36" s="27"/>
    </row>
    <row r="37" spans="1:20" ht="15.75" customHeight="1" thickBot="1">
      <c r="B37" s="953"/>
      <c r="C37" s="911"/>
      <c r="D37" s="66" t="s">
        <v>76</v>
      </c>
      <c r="E37" s="926">
        <f>+F35-E35</f>
        <v>4.1666666666666685E-2</v>
      </c>
      <c r="F37" s="926"/>
      <c r="G37" s="926">
        <f>+H35-G35</f>
        <v>8.333333333333337E-2</v>
      </c>
      <c r="H37" s="927"/>
      <c r="I37" s="922"/>
      <c r="J37" s="925"/>
      <c r="K37" s="67" t="s">
        <v>77</v>
      </c>
      <c r="L37" s="68">
        <f>+L36*$C$10/173</f>
        <v>26534.817919075143</v>
      </c>
      <c r="M37" s="68">
        <f>+M36*$C$10/173</f>
        <v>70759.514450867049</v>
      </c>
      <c r="N37" s="68">
        <f>+N36*$C$10/173</f>
        <v>0</v>
      </c>
      <c r="O37" s="68">
        <f>+O36*$C$10/173</f>
        <v>0</v>
      </c>
      <c r="P37" s="69">
        <f>SUM(L37:O37)</f>
        <v>97294.332369942189</v>
      </c>
    </row>
    <row r="38" spans="1:20">
      <c r="B38" s="951" t="s">
        <v>72</v>
      </c>
      <c r="C38" s="909">
        <f>+C35+1</f>
        <v>45124</v>
      </c>
      <c r="D38" s="912" t="s">
        <v>73</v>
      </c>
      <c r="E38" s="914">
        <v>0.27083333333333331</v>
      </c>
      <c r="F38" s="916">
        <v>0.29166666666666669</v>
      </c>
      <c r="G38" s="916">
        <v>0.66666666666666663</v>
      </c>
      <c r="H38" s="918">
        <v>0.75</v>
      </c>
      <c r="I38" s="920">
        <f>E40+G40</f>
        <v>0.10416666666666674</v>
      </c>
      <c r="J38" s="923">
        <f>((HOUR(I38)*60)+MINUTE(I38))/60</f>
        <v>2.5</v>
      </c>
      <c r="K38" s="57" t="s">
        <v>74</v>
      </c>
      <c r="L38" s="58">
        <v>1</v>
      </c>
      <c r="M38" s="59">
        <f>+J38-L38</f>
        <v>1.5</v>
      </c>
      <c r="N38" s="58"/>
      <c r="O38" s="58"/>
      <c r="P38" s="60"/>
    </row>
    <row r="39" spans="1:20" ht="15" customHeight="1">
      <c r="B39" s="952"/>
      <c r="C39" s="910"/>
      <c r="D39" s="913"/>
      <c r="E39" s="915"/>
      <c r="F39" s="917"/>
      <c r="G39" s="917"/>
      <c r="H39" s="919"/>
      <c r="I39" s="921"/>
      <c r="J39" s="924"/>
      <c r="K39" s="63" t="s">
        <v>75</v>
      </c>
      <c r="L39" s="64">
        <f>+L38*$L$13</f>
        <v>1.5</v>
      </c>
      <c r="M39" s="64">
        <f>+M38*$M$13</f>
        <v>3</v>
      </c>
      <c r="N39" s="64">
        <f>+N38*$N$13</f>
        <v>0</v>
      </c>
      <c r="O39" s="64">
        <f>+O38*$O$13</f>
        <v>0</v>
      </c>
      <c r="P39" s="65">
        <f>SUM(L39:O39)</f>
        <v>4.5</v>
      </c>
      <c r="R39" s="70"/>
    </row>
    <row r="40" spans="1:20" ht="15.75" thickBot="1">
      <c r="B40" s="953"/>
      <c r="C40" s="911"/>
      <c r="D40" s="66" t="s">
        <v>76</v>
      </c>
      <c r="E40" s="926">
        <f>+F38-E38</f>
        <v>2.083333333333337E-2</v>
      </c>
      <c r="F40" s="926"/>
      <c r="G40" s="926">
        <f>+H38-G38</f>
        <v>8.333333333333337E-2</v>
      </c>
      <c r="H40" s="927"/>
      <c r="I40" s="922"/>
      <c r="J40" s="925"/>
      <c r="K40" s="67" t="s">
        <v>77</v>
      </c>
      <c r="L40" s="68">
        <f>+L39*$C$10/173</f>
        <v>26534.817919075143</v>
      </c>
      <c r="M40" s="68">
        <f>+M39*$C$10/173</f>
        <v>53069.635838150287</v>
      </c>
      <c r="N40" s="68">
        <f>+N39*$C$10/173</f>
        <v>0</v>
      </c>
      <c r="O40" s="68">
        <f>+O39*$C$10/173</f>
        <v>0</v>
      </c>
      <c r="P40" s="69">
        <f>SUM(L40:O40)</f>
        <v>79604.453757225434</v>
      </c>
      <c r="R40" s="71"/>
    </row>
    <row r="41" spans="1:20">
      <c r="B41" s="951" t="s">
        <v>78</v>
      </c>
      <c r="C41" s="909">
        <f t="shared" ref="C41" si="2">+C38+1</f>
        <v>45125</v>
      </c>
      <c r="D41" s="912" t="s">
        <v>73</v>
      </c>
      <c r="E41" s="914">
        <v>0.27083333333333331</v>
      </c>
      <c r="F41" s="916">
        <v>0.29166666666666669</v>
      </c>
      <c r="G41" s="916">
        <v>0.66666666666666663</v>
      </c>
      <c r="H41" s="918">
        <v>0.75</v>
      </c>
      <c r="I41" s="920">
        <f>E43+G43</f>
        <v>0.10416666666666674</v>
      </c>
      <c r="J41" s="923">
        <f>((HOUR(I41)*60)+MINUTE(I41))/60</f>
        <v>2.5</v>
      </c>
      <c r="K41" s="57" t="s">
        <v>74</v>
      </c>
      <c r="L41" s="58">
        <v>1</v>
      </c>
      <c r="M41" s="59">
        <f>+J41-L41</f>
        <v>1.5</v>
      </c>
      <c r="N41" s="58"/>
      <c r="O41" s="58"/>
      <c r="P41" s="60"/>
    </row>
    <row r="42" spans="1:20" s="27" customFormat="1" ht="15" customHeight="1">
      <c r="A42" s="19"/>
      <c r="B42" s="952"/>
      <c r="C42" s="910"/>
      <c r="D42" s="913"/>
      <c r="E42" s="915"/>
      <c r="F42" s="917"/>
      <c r="G42" s="917"/>
      <c r="H42" s="919"/>
      <c r="I42" s="921"/>
      <c r="J42" s="924"/>
      <c r="K42" s="63" t="s">
        <v>75</v>
      </c>
      <c r="L42" s="64">
        <f>+L41*$L$13</f>
        <v>1.5</v>
      </c>
      <c r="M42" s="64">
        <f>+M41*$M$13</f>
        <v>3</v>
      </c>
      <c r="N42" s="64">
        <f>+N41*$N$13</f>
        <v>0</v>
      </c>
      <c r="O42" s="64">
        <f>+O41*$O$13</f>
        <v>0</v>
      </c>
      <c r="P42" s="65">
        <f>SUM(L42:O42)</f>
        <v>4.5</v>
      </c>
      <c r="Q42" s="19"/>
      <c r="R42" s="70"/>
    </row>
    <row r="43" spans="1:20" s="27" customFormat="1" ht="15.75" thickBot="1">
      <c r="A43" s="19"/>
      <c r="B43" s="953"/>
      <c r="C43" s="911"/>
      <c r="D43" s="66" t="s">
        <v>76</v>
      </c>
      <c r="E43" s="926">
        <f>+F41-E41</f>
        <v>2.083333333333337E-2</v>
      </c>
      <c r="F43" s="926"/>
      <c r="G43" s="926">
        <f>+H41-G41</f>
        <v>8.333333333333337E-2</v>
      </c>
      <c r="H43" s="927"/>
      <c r="I43" s="922"/>
      <c r="J43" s="925"/>
      <c r="K43" s="67" t="s">
        <v>77</v>
      </c>
      <c r="L43" s="68">
        <f>+L42*$C$10/173</f>
        <v>26534.817919075143</v>
      </c>
      <c r="M43" s="68">
        <f>+M42*$C$10/173</f>
        <v>53069.635838150287</v>
      </c>
      <c r="N43" s="68">
        <f>+N42*$C$10/173</f>
        <v>0</v>
      </c>
      <c r="O43" s="68">
        <f>+O42*$C$10/173</f>
        <v>0</v>
      </c>
      <c r="P43" s="69">
        <f>SUM(L43:O43)</f>
        <v>79604.453757225434</v>
      </c>
      <c r="Q43" s="19"/>
      <c r="R43" s="71"/>
    </row>
    <row r="44" spans="1:20" s="27" customFormat="1">
      <c r="A44" s="19"/>
      <c r="B44" s="951" t="s">
        <v>79</v>
      </c>
      <c r="C44" s="909">
        <f t="shared" ref="C44" si="3">+C41+1</f>
        <v>45126</v>
      </c>
      <c r="D44" s="912" t="s">
        <v>73</v>
      </c>
      <c r="E44" s="914">
        <v>0.27083333333333331</v>
      </c>
      <c r="F44" s="916">
        <v>0.29166666666666669</v>
      </c>
      <c r="G44" s="916">
        <v>0.66666666666666663</v>
      </c>
      <c r="H44" s="918">
        <v>0.75</v>
      </c>
      <c r="I44" s="920">
        <f>E46+G46</f>
        <v>0.10416666666666674</v>
      </c>
      <c r="J44" s="923">
        <f>((HOUR(I44)*60)+MINUTE(I44))/60</f>
        <v>2.5</v>
      </c>
      <c r="K44" s="57" t="s">
        <v>74</v>
      </c>
      <c r="L44" s="58">
        <v>1</v>
      </c>
      <c r="M44" s="59">
        <f>+J44-L44</f>
        <v>1.5</v>
      </c>
      <c r="N44" s="58"/>
      <c r="O44" s="58"/>
      <c r="P44" s="60"/>
      <c r="Q44" s="19"/>
    </row>
    <row r="45" spans="1:20" s="27" customFormat="1" ht="15" customHeight="1">
      <c r="A45" s="19"/>
      <c r="B45" s="952"/>
      <c r="C45" s="910"/>
      <c r="D45" s="913"/>
      <c r="E45" s="915"/>
      <c r="F45" s="917"/>
      <c r="G45" s="917"/>
      <c r="H45" s="919"/>
      <c r="I45" s="921"/>
      <c r="J45" s="924"/>
      <c r="K45" s="63" t="s">
        <v>75</v>
      </c>
      <c r="L45" s="64">
        <f>+L44*$L$13</f>
        <v>1.5</v>
      </c>
      <c r="M45" s="64">
        <f>+M44*$M$13</f>
        <v>3</v>
      </c>
      <c r="N45" s="64">
        <f>+N44*$N$13</f>
        <v>0</v>
      </c>
      <c r="O45" s="64">
        <f>+O44*$O$13</f>
        <v>0</v>
      </c>
      <c r="P45" s="65">
        <f>SUM(L45:O45)</f>
        <v>4.5</v>
      </c>
      <c r="Q45" s="19"/>
      <c r="R45" s="70"/>
    </row>
    <row r="46" spans="1:20" s="27" customFormat="1" ht="15.75" thickBot="1">
      <c r="A46" s="19"/>
      <c r="B46" s="953"/>
      <c r="C46" s="911"/>
      <c r="D46" s="66" t="s">
        <v>76</v>
      </c>
      <c r="E46" s="926">
        <f>+F44-E44</f>
        <v>2.083333333333337E-2</v>
      </c>
      <c r="F46" s="926"/>
      <c r="G46" s="926">
        <f>+H44-G44</f>
        <v>8.333333333333337E-2</v>
      </c>
      <c r="H46" s="927"/>
      <c r="I46" s="922"/>
      <c r="J46" s="925"/>
      <c r="K46" s="67" t="s">
        <v>77</v>
      </c>
      <c r="L46" s="68">
        <f>+L45*$C$10/173</f>
        <v>26534.817919075143</v>
      </c>
      <c r="M46" s="68">
        <f>+M45*$C$10/173</f>
        <v>53069.635838150287</v>
      </c>
      <c r="N46" s="68">
        <f>+N45*$C$10/173</f>
        <v>0</v>
      </c>
      <c r="O46" s="68">
        <f>+O45*$C$10/173</f>
        <v>0</v>
      </c>
      <c r="P46" s="69">
        <f>SUM(L46:O46)</f>
        <v>79604.453757225434</v>
      </c>
      <c r="Q46" s="19"/>
      <c r="R46" s="71"/>
    </row>
    <row r="47" spans="1:20" s="27" customFormat="1">
      <c r="A47" s="19"/>
      <c r="B47" s="951" t="s">
        <v>80</v>
      </c>
      <c r="C47" s="909">
        <f t="shared" ref="C47" si="4">+C44+1</f>
        <v>45127</v>
      </c>
      <c r="D47" s="912" t="s">
        <v>73</v>
      </c>
      <c r="E47" s="914">
        <v>0.27083333333333331</v>
      </c>
      <c r="F47" s="916">
        <v>0.29166666666666669</v>
      </c>
      <c r="G47" s="916">
        <v>0.66666666666666663</v>
      </c>
      <c r="H47" s="918">
        <v>0.75</v>
      </c>
      <c r="I47" s="920">
        <f>E49+G49</f>
        <v>0.10416666666666674</v>
      </c>
      <c r="J47" s="923">
        <f>((HOUR(I47)*60)+MINUTE(I47))/60</f>
        <v>2.5</v>
      </c>
      <c r="K47" s="57" t="s">
        <v>74</v>
      </c>
      <c r="L47" s="58">
        <v>1</v>
      </c>
      <c r="M47" s="59">
        <f>+J47-L47</f>
        <v>1.5</v>
      </c>
      <c r="N47" s="58"/>
      <c r="O47" s="58"/>
      <c r="P47" s="60"/>
      <c r="Q47" s="19"/>
    </row>
    <row r="48" spans="1:20" s="27" customFormat="1" ht="15" customHeight="1">
      <c r="A48" s="19"/>
      <c r="B48" s="952"/>
      <c r="C48" s="910"/>
      <c r="D48" s="913"/>
      <c r="E48" s="915"/>
      <c r="F48" s="917"/>
      <c r="G48" s="917"/>
      <c r="H48" s="919"/>
      <c r="I48" s="921"/>
      <c r="J48" s="924"/>
      <c r="K48" s="63" t="s">
        <v>75</v>
      </c>
      <c r="L48" s="64">
        <f>+L47*$L$13</f>
        <v>1.5</v>
      </c>
      <c r="M48" s="64">
        <f>+M47*$M$13</f>
        <v>3</v>
      </c>
      <c r="N48" s="64">
        <f>+N47*$N$13</f>
        <v>0</v>
      </c>
      <c r="O48" s="64">
        <f>+O47*$O$13</f>
        <v>0</v>
      </c>
      <c r="P48" s="65">
        <f>SUM(L48:O48)</f>
        <v>4.5</v>
      </c>
      <c r="Q48" s="19"/>
      <c r="R48" s="70"/>
    </row>
    <row r="49" spans="1:20" s="27" customFormat="1" ht="15.75" thickBot="1">
      <c r="A49" s="19"/>
      <c r="B49" s="953"/>
      <c r="C49" s="911"/>
      <c r="D49" s="66" t="s">
        <v>76</v>
      </c>
      <c r="E49" s="926">
        <f>+F47-E47</f>
        <v>2.083333333333337E-2</v>
      </c>
      <c r="F49" s="926"/>
      <c r="G49" s="926">
        <f>+H47-G47</f>
        <v>8.333333333333337E-2</v>
      </c>
      <c r="H49" s="927"/>
      <c r="I49" s="922"/>
      <c r="J49" s="925"/>
      <c r="K49" s="67" t="s">
        <v>77</v>
      </c>
      <c r="L49" s="68">
        <f>+L48*$C$10/173</f>
        <v>26534.817919075143</v>
      </c>
      <c r="M49" s="68">
        <f>+M48*$C$10/173</f>
        <v>53069.635838150287</v>
      </c>
      <c r="N49" s="68">
        <f>+N48*$C$10/173</f>
        <v>0</v>
      </c>
      <c r="O49" s="68">
        <f>+O48*$C$10/173</f>
        <v>0</v>
      </c>
      <c r="P49" s="69">
        <f>SUM(L49:O49)</f>
        <v>79604.453757225434</v>
      </c>
      <c r="Q49" s="19"/>
      <c r="R49" s="71"/>
    </row>
    <row r="50" spans="1:20">
      <c r="B50" s="951" t="s">
        <v>81</v>
      </c>
      <c r="C50" s="909">
        <f t="shared" ref="C50" si="5">+C47+1</f>
        <v>45128</v>
      </c>
      <c r="D50" s="912" t="s">
        <v>73</v>
      </c>
      <c r="E50" s="914">
        <v>0.27083333333333331</v>
      </c>
      <c r="F50" s="916">
        <v>0.29166666666666669</v>
      </c>
      <c r="G50" s="916">
        <v>0.66666666666666663</v>
      </c>
      <c r="H50" s="918">
        <v>0.75</v>
      </c>
      <c r="I50" s="920">
        <f>E52+G52</f>
        <v>0.10416666666666674</v>
      </c>
      <c r="J50" s="923">
        <f>((HOUR(I50)*60)+MINUTE(I50))/60</f>
        <v>2.5</v>
      </c>
      <c r="K50" s="57" t="s">
        <v>74</v>
      </c>
      <c r="L50" s="58">
        <v>1</v>
      </c>
      <c r="M50" s="59">
        <f>+J50-L50</f>
        <v>1.5</v>
      </c>
      <c r="N50" s="58"/>
      <c r="O50" s="58"/>
      <c r="P50" s="60"/>
      <c r="R50" s="61"/>
    </row>
    <row r="51" spans="1:20" s="62" customFormat="1" ht="18" customHeight="1">
      <c r="B51" s="952"/>
      <c r="C51" s="910"/>
      <c r="D51" s="913"/>
      <c r="E51" s="915"/>
      <c r="F51" s="917"/>
      <c r="G51" s="917"/>
      <c r="H51" s="919"/>
      <c r="I51" s="921"/>
      <c r="J51" s="924"/>
      <c r="K51" s="63" t="s">
        <v>75</v>
      </c>
      <c r="L51" s="64">
        <f>+L50*$L$13</f>
        <v>1.5</v>
      </c>
      <c r="M51" s="64">
        <f>+M50*$M$13</f>
        <v>3</v>
      </c>
      <c r="N51" s="64">
        <f>+N50*$N$13</f>
        <v>0</v>
      </c>
      <c r="O51" s="64">
        <f>+O50*$O$13</f>
        <v>0</v>
      </c>
      <c r="P51" s="65">
        <f>SUM(L51:O51)</f>
        <v>4.5</v>
      </c>
      <c r="R51" s="61"/>
      <c r="S51" s="27"/>
      <c r="T51" s="27"/>
    </row>
    <row r="52" spans="1:20" ht="15.75" customHeight="1" thickBot="1">
      <c r="B52" s="953"/>
      <c r="C52" s="911"/>
      <c r="D52" s="66" t="s">
        <v>76</v>
      </c>
      <c r="E52" s="926">
        <f>+F50-E50</f>
        <v>2.083333333333337E-2</v>
      </c>
      <c r="F52" s="926"/>
      <c r="G52" s="926">
        <f>+H50-G50</f>
        <v>8.333333333333337E-2</v>
      </c>
      <c r="H52" s="927"/>
      <c r="I52" s="922"/>
      <c r="J52" s="925"/>
      <c r="K52" s="67" t="s">
        <v>77</v>
      </c>
      <c r="L52" s="68">
        <f>+L51*$C$10/173</f>
        <v>26534.817919075143</v>
      </c>
      <c r="M52" s="68">
        <f>+M51*$C$10/173</f>
        <v>53069.635838150287</v>
      </c>
      <c r="N52" s="68">
        <f>+N51*$C$10/173</f>
        <v>0</v>
      </c>
      <c r="O52" s="68">
        <f>+O51*$C$10/173</f>
        <v>0</v>
      </c>
      <c r="P52" s="69">
        <f>SUM(L52:O52)</f>
        <v>79604.453757225434</v>
      </c>
    </row>
    <row r="53" spans="1:20" s="78" customFormat="1">
      <c r="B53" s="943" t="s">
        <v>85</v>
      </c>
      <c r="C53" s="946">
        <f t="shared" ref="C53" si="6">+C50+1</f>
        <v>45129</v>
      </c>
      <c r="D53" s="949" t="s">
        <v>73</v>
      </c>
      <c r="E53" s="929">
        <v>0.33333333333333331</v>
      </c>
      <c r="F53" s="930"/>
      <c r="G53" s="929">
        <v>0.70833333333333337</v>
      </c>
      <c r="H53" s="930"/>
      <c r="I53" s="938">
        <f>E55+G55</f>
        <v>0.37500000000000006</v>
      </c>
      <c r="J53" s="928">
        <f>((HOUR(I53)*60)+MINUTE(I53))/60-1</f>
        <v>8</v>
      </c>
      <c r="K53" s="79" t="s">
        <v>74</v>
      </c>
      <c r="L53" s="80"/>
      <c r="M53" s="80">
        <v>8</v>
      </c>
      <c r="N53" s="80">
        <f>+J53-M53</f>
        <v>0</v>
      </c>
      <c r="O53" s="80"/>
      <c r="P53" s="91"/>
      <c r="R53" s="70"/>
      <c r="S53" s="70"/>
      <c r="T53" s="70"/>
    </row>
    <row r="54" spans="1:20" s="78" customFormat="1" ht="15" customHeight="1">
      <c r="B54" s="944"/>
      <c r="C54" s="947"/>
      <c r="D54" s="950"/>
      <c r="E54" s="931"/>
      <c r="F54" s="932"/>
      <c r="G54" s="931"/>
      <c r="H54" s="932"/>
      <c r="I54" s="939"/>
      <c r="J54" s="928"/>
      <c r="K54" s="83" t="s">
        <v>75</v>
      </c>
      <c r="L54" s="84">
        <f>+L53*$L$13</f>
        <v>0</v>
      </c>
      <c r="M54" s="84">
        <f>+M53*$M$13</f>
        <v>16</v>
      </c>
      <c r="N54" s="84">
        <f>+N53*$N$13</f>
        <v>0</v>
      </c>
      <c r="O54" s="84">
        <f>+O53*$O$13</f>
        <v>0</v>
      </c>
      <c r="P54" s="85">
        <f>SUM(L54:O54)</f>
        <v>16</v>
      </c>
      <c r="R54" s="70"/>
      <c r="S54" s="70"/>
      <c r="T54" s="70"/>
    </row>
    <row r="55" spans="1:20" s="78" customFormat="1" ht="15.75" thickBot="1">
      <c r="B55" s="945"/>
      <c r="C55" s="948"/>
      <c r="D55" s="86" t="s">
        <v>76</v>
      </c>
      <c r="E55" s="933">
        <f>+G53-E53</f>
        <v>0.37500000000000006</v>
      </c>
      <c r="F55" s="934"/>
      <c r="G55" s="934"/>
      <c r="H55" s="935"/>
      <c r="I55" s="940"/>
      <c r="J55" s="90" t="s">
        <v>89</v>
      </c>
      <c r="K55" s="87" t="s">
        <v>77</v>
      </c>
      <c r="L55" s="88">
        <f>+L54*$C$10/173</f>
        <v>0</v>
      </c>
      <c r="M55" s="88">
        <f>+M54*$C$10/173</f>
        <v>283038.0578034682</v>
      </c>
      <c r="N55" s="88">
        <f>+N54*$C$10/173</f>
        <v>0</v>
      </c>
      <c r="O55" s="88">
        <f>+O54*$C$10/173</f>
        <v>0</v>
      </c>
      <c r="P55" s="89">
        <f>SUM(L55:O55)</f>
        <v>283038.0578034682</v>
      </c>
      <c r="R55" s="70"/>
      <c r="S55" s="70"/>
      <c r="T55" s="70"/>
    </row>
    <row r="56" spans="1:20" s="78" customFormat="1">
      <c r="B56" s="943" t="s">
        <v>84</v>
      </c>
      <c r="C56" s="946">
        <f t="shared" ref="C56" si="7">+C53+1</f>
        <v>45130</v>
      </c>
      <c r="D56" s="949" t="s">
        <v>73</v>
      </c>
      <c r="E56" s="929" t="s">
        <v>88</v>
      </c>
      <c r="F56" s="936"/>
      <c r="G56" s="936"/>
      <c r="H56" s="930"/>
      <c r="I56" s="938">
        <f>E58+G58</f>
        <v>0</v>
      </c>
      <c r="J56" s="957">
        <f>((HOUR(I56)*60)+MINUTE(I56))/60</f>
        <v>0</v>
      </c>
      <c r="K56" s="79" t="s">
        <v>74</v>
      </c>
      <c r="L56" s="80"/>
      <c r="M56" s="81"/>
      <c r="N56" s="80"/>
      <c r="O56" s="80"/>
      <c r="P56" s="82"/>
      <c r="R56" s="70"/>
      <c r="S56" s="70"/>
      <c r="T56" s="70"/>
    </row>
    <row r="57" spans="1:20" s="70" customFormat="1" ht="15" customHeight="1">
      <c r="A57" s="78"/>
      <c r="B57" s="944"/>
      <c r="C57" s="947"/>
      <c r="D57" s="950"/>
      <c r="E57" s="931"/>
      <c r="F57" s="937"/>
      <c r="G57" s="937"/>
      <c r="H57" s="932"/>
      <c r="I57" s="939"/>
      <c r="J57" s="941"/>
      <c r="K57" s="83" t="s">
        <v>75</v>
      </c>
      <c r="L57" s="84">
        <f>+L56*$L$13</f>
        <v>0</v>
      </c>
      <c r="M57" s="84">
        <f>+M56*$M$13</f>
        <v>0</v>
      </c>
      <c r="N57" s="84">
        <f>+N56*$N$13</f>
        <v>0</v>
      </c>
      <c r="O57" s="84">
        <f>+O56*$O$13</f>
        <v>0</v>
      </c>
      <c r="P57" s="85">
        <f>SUM(L57:O57)</f>
        <v>0</v>
      </c>
      <c r="Q57" s="78"/>
    </row>
    <row r="58" spans="1:20" s="70" customFormat="1" ht="15.75" thickBot="1">
      <c r="A58" s="78"/>
      <c r="B58" s="945"/>
      <c r="C58" s="948"/>
      <c r="D58" s="86" t="s">
        <v>76</v>
      </c>
      <c r="E58" s="933">
        <v>0</v>
      </c>
      <c r="F58" s="934"/>
      <c r="G58" s="934"/>
      <c r="H58" s="935"/>
      <c r="I58" s="940"/>
      <c r="J58" s="942"/>
      <c r="K58" s="87" t="s">
        <v>77</v>
      </c>
      <c r="L58" s="88">
        <f>+L57*$C$10/173</f>
        <v>0</v>
      </c>
      <c r="M58" s="88">
        <f>+M57*$C$10/173</f>
        <v>0</v>
      </c>
      <c r="N58" s="88">
        <f>+N57*$C$10/173</f>
        <v>0</v>
      </c>
      <c r="O58" s="88">
        <f>+O57*$C$10/173</f>
        <v>0</v>
      </c>
      <c r="P58" s="89">
        <f>SUM(L58:O58)</f>
        <v>0</v>
      </c>
      <c r="Q58" s="78"/>
    </row>
    <row r="59" spans="1:20" s="27" customFormat="1">
      <c r="A59" s="19"/>
      <c r="B59" s="951" t="s">
        <v>72</v>
      </c>
      <c r="C59" s="909">
        <f t="shared" ref="C59" si="8">+C56+1</f>
        <v>45131</v>
      </c>
      <c r="D59" s="912" t="s">
        <v>73</v>
      </c>
      <c r="E59" s="914">
        <v>0.27083333333333331</v>
      </c>
      <c r="F59" s="916">
        <v>0.29166666666666669</v>
      </c>
      <c r="G59" s="916">
        <v>0.66666666666666663</v>
      </c>
      <c r="H59" s="918">
        <v>0.75</v>
      </c>
      <c r="I59" s="920">
        <f>E61+G61</f>
        <v>0.10416666666666674</v>
      </c>
      <c r="J59" s="923">
        <f>((HOUR(I59)*60)+MINUTE(I59))/60</f>
        <v>2.5</v>
      </c>
      <c r="K59" s="57" t="s">
        <v>74</v>
      </c>
      <c r="L59" s="58">
        <v>1</v>
      </c>
      <c r="M59" s="59">
        <f>+J59-L59</f>
        <v>1.5</v>
      </c>
      <c r="N59" s="58"/>
      <c r="O59" s="58"/>
      <c r="P59" s="60"/>
      <c r="Q59" s="19"/>
    </row>
    <row r="60" spans="1:20" s="27" customFormat="1" ht="15" customHeight="1">
      <c r="A60" s="19"/>
      <c r="B60" s="952"/>
      <c r="C60" s="910"/>
      <c r="D60" s="913"/>
      <c r="E60" s="915"/>
      <c r="F60" s="917"/>
      <c r="G60" s="917"/>
      <c r="H60" s="919"/>
      <c r="I60" s="921"/>
      <c r="J60" s="924"/>
      <c r="K60" s="63" t="s">
        <v>75</v>
      </c>
      <c r="L60" s="64">
        <f>+L59*$L$13</f>
        <v>1.5</v>
      </c>
      <c r="M60" s="64">
        <f>+M59*$M$13</f>
        <v>3</v>
      </c>
      <c r="N60" s="64">
        <f>+N59*$N$13</f>
        <v>0</v>
      </c>
      <c r="O60" s="64">
        <f>+O59*$O$13</f>
        <v>0</v>
      </c>
      <c r="P60" s="65">
        <f>SUM(L60:O60)</f>
        <v>4.5</v>
      </c>
      <c r="Q60" s="19"/>
      <c r="R60" s="70"/>
    </row>
    <row r="61" spans="1:20" s="27" customFormat="1" ht="15.75" thickBot="1">
      <c r="A61" s="19"/>
      <c r="B61" s="953"/>
      <c r="C61" s="911"/>
      <c r="D61" s="66" t="s">
        <v>76</v>
      </c>
      <c r="E61" s="926">
        <f>+F59-E59</f>
        <v>2.083333333333337E-2</v>
      </c>
      <c r="F61" s="926"/>
      <c r="G61" s="926">
        <f>+H59-G59</f>
        <v>8.333333333333337E-2</v>
      </c>
      <c r="H61" s="927"/>
      <c r="I61" s="922"/>
      <c r="J61" s="925"/>
      <c r="K61" s="67" t="s">
        <v>77</v>
      </c>
      <c r="L61" s="68">
        <f>+L60*$C$10/173</f>
        <v>26534.817919075143</v>
      </c>
      <c r="M61" s="68">
        <f>+M60*$C$10/173</f>
        <v>53069.635838150287</v>
      </c>
      <c r="N61" s="68">
        <f>+N60*$C$10/173</f>
        <v>0</v>
      </c>
      <c r="O61" s="68">
        <f>+O60*$C$10/173</f>
        <v>0</v>
      </c>
      <c r="P61" s="69">
        <f>SUM(L61:O61)</f>
        <v>79604.453757225434</v>
      </c>
      <c r="Q61" s="19"/>
      <c r="R61" s="71"/>
    </row>
    <row r="62" spans="1:20" s="27" customFormat="1">
      <c r="A62" s="19"/>
      <c r="B62" s="951" t="s">
        <v>78</v>
      </c>
      <c r="C62" s="909">
        <f t="shared" ref="C62" si="9">+C59+1</f>
        <v>45132</v>
      </c>
      <c r="D62" s="912" t="s">
        <v>73</v>
      </c>
      <c r="E62" s="914">
        <v>0.27083333333333331</v>
      </c>
      <c r="F62" s="916">
        <v>0.29166666666666669</v>
      </c>
      <c r="G62" s="916">
        <v>0.66666666666666663</v>
      </c>
      <c r="H62" s="918">
        <v>0.75</v>
      </c>
      <c r="I62" s="920">
        <f>E64+G64</f>
        <v>0.10416666666666674</v>
      </c>
      <c r="J62" s="923">
        <f>((HOUR(I62)*60)+MINUTE(I62))/60</f>
        <v>2.5</v>
      </c>
      <c r="K62" s="57" t="s">
        <v>74</v>
      </c>
      <c r="L62" s="58">
        <v>1</v>
      </c>
      <c r="M62" s="59">
        <f>+J62-L62</f>
        <v>1.5</v>
      </c>
      <c r="N62" s="58"/>
      <c r="O62" s="58"/>
      <c r="P62" s="60"/>
      <c r="Q62" s="19"/>
    </row>
    <row r="63" spans="1:20" s="27" customFormat="1" ht="15" customHeight="1">
      <c r="A63" s="19"/>
      <c r="B63" s="952"/>
      <c r="C63" s="910"/>
      <c r="D63" s="913"/>
      <c r="E63" s="915"/>
      <c r="F63" s="917"/>
      <c r="G63" s="917"/>
      <c r="H63" s="919"/>
      <c r="I63" s="921"/>
      <c r="J63" s="924"/>
      <c r="K63" s="63" t="s">
        <v>75</v>
      </c>
      <c r="L63" s="64">
        <f>+L62*$L$13</f>
        <v>1.5</v>
      </c>
      <c r="M63" s="64">
        <f>+M62*$M$13</f>
        <v>3</v>
      </c>
      <c r="N63" s="64">
        <f>+N62*$N$13</f>
        <v>0</v>
      </c>
      <c r="O63" s="64">
        <f>+O62*$O$13</f>
        <v>0</v>
      </c>
      <c r="P63" s="65">
        <f>SUM(L63:O63)</f>
        <v>4.5</v>
      </c>
      <c r="Q63" s="19"/>
      <c r="R63" s="70"/>
    </row>
    <row r="64" spans="1:20" s="27" customFormat="1" ht="15.75" thickBot="1">
      <c r="A64" s="19"/>
      <c r="B64" s="953"/>
      <c r="C64" s="911"/>
      <c r="D64" s="66" t="s">
        <v>76</v>
      </c>
      <c r="E64" s="926">
        <f>+F62-E62</f>
        <v>2.083333333333337E-2</v>
      </c>
      <c r="F64" s="926"/>
      <c r="G64" s="926">
        <f>+H62-G62</f>
        <v>8.333333333333337E-2</v>
      </c>
      <c r="H64" s="927"/>
      <c r="I64" s="922"/>
      <c r="J64" s="925"/>
      <c r="K64" s="67" t="s">
        <v>77</v>
      </c>
      <c r="L64" s="68">
        <f>+L63*$C$10/173</f>
        <v>26534.817919075143</v>
      </c>
      <c r="M64" s="68">
        <f>+M63*$C$10/173</f>
        <v>53069.635838150287</v>
      </c>
      <c r="N64" s="68">
        <f>+N63*$C$10/173</f>
        <v>0</v>
      </c>
      <c r="O64" s="68">
        <f>+O63*$C$10/173</f>
        <v>0</v>
      </c>
      <c r="P64" s="69">
        <f>SUM(L64:O64)</f>
        <v>79604.453757225434</v>
      </c>
      <c r="Q64" s="19"/>
      <c r="R64" s="71"/>
    </row>
    <row r="65" spans="1:20">
      <c r="B65" s="951" t="s">
        <v>79</v>
      </c>
      <c r="C65" s="909">
        <f t="shared" ref="C65" si="10">+C62+1</f>
        <v>45133</v>
      </c>
      <c r="D65" s="912" t="s">
        <v>73</v>
      </c>
      <c r="E65" s="914">
        <v>0.27083333333333331</v>
      </c>
      <c r="F65" s="916">
        <v>0.29166666666666669</v>
      </c>
      <c r="G65" s="916">
        <v>0.66666666666666663</v>
      </c>
      <c r="H65" s="918">
        <v>0.75</v>
      </c>
      <c r="I65" s="920">
        <f>E67+G67</f>
        <v>0.10416666666666674</v>
      </c>
      <c r="J65" s="923">
        <f>((HOUR(I65)*60)+MINUTE(I65))/60</f>
        <v>2.5</v>
      </c>
      <c r="K65" s="57" t="s">
        <v>74</v>
      </c>
      <c r="L65" s="58">
        <v>1</v>
      </c>
      <c r="M65" s="59">
        <f>+J65-L65</f>
        <v>1.5</v>
      </c>
      <c r="N65" s="58"/>
      <c r="O65" s="58"/>
      <c r="P65" s="60"/>
      <c r="R65" s="61"/>
    </row>
    <row r="66" spans="1:20" s="62" customFormat="1" ht="18" customHeight="1">
      <c r="B66" s="952"/>
      <c r="C66" s="910"/>
      <c r="D66" s="913"/>
      <c r="E66" s="915"/>
      <c r="F66" s="917"/>
      <c r="G66" s="917"/>
      <c r="H66" s="919"/>
      <c r="I66" s="921"/>
      <c r="J66" s="924"/>
      <c r="K66" s="63" t="s">
        <v>75</v>
      </c>
      <c r="L66" s="64">
        <f>+L65*$L$13</f>
        <v>1.5</v>
      </c>
      <c r="M66" s="64">
        <f>+M65*$M$13</f>
        <v>3</v>
      </c>
      <c r="N66" s="64">
        <f>+N65*$N$13</f>
        <v>0</v>
      </c>
      <c r="O66" s="64">
        <f>+O65*$O$13</f>
        <v>0</v>
      </c>
      <c r="P66" s="65">
        <f>SUM(L66:O66)</f>
        <v>4.5</v>
      </c>
      <c r="R66" s="61"/>
      <c r="S66" s="27"/>
      <c r="T66" s="27"/>
    </row>
    <row r="67" spans="1:20" ht="15.75" customHeight="1" thickBot="1">
      <c r="B67" s="953"/>
      <c r="C67" s="911"/>
      <c r="D67" s="66" t="s">
        <v>76</v>
      </c>
      <c r="E67" s="926">
        <f>+F65-E65</f>
        <v>2.083333333333337E-2</v>
      </c>
      <c r="F67" s="926"/>
      <c r="G67" s="926">
        <f>+H65-G65</f>
        <v>8.333333333333337E-2</v>
      </c>
      <c r="H67" s="927"/>
      <c r="I67" s="922"/>
      <c r="J67" s="925"/>
      <c r="K67" s="67" t="s">
        <v>77</v>
      </c>
      <c r="L67" s="68">
        <f>+L66*$C$10/173</f>
        <v>26534.817919075143</v>
      </c>
      <c r="M67" s="68">
        <f>+M66*$C$10/173</f>
        <v>53069.635838150287</v>
      </c>
      <c r="N67" s="68">
        <f>+N66*$C$10/173</f>
        <v>0</v>
      </c>
      <c r="O67" s="68">
        <f>+O66*$C$10/173</f>
        <v>0</v>
      </c>
      <c r="P67" s="69">
        <f>SUM(L67:O67)</f>
        <v>79604.453757225434</v>
      </c>
    </row>
    <row r="68" spans="1:20">
      <c r="B68" s="951" t="s">
        <v>80</v>
      </c>
      <c r="C68" s="909">
        <f t="shared" ref="C68" si="11">+C65+1</f>
        <v>45134</v>
      </c>
      <c r="D68" s="912" t="s">
        <v>73</v>
      </c>
      <c r="E68" s="914">
        <v>0.27083333333333331</v>
      </c>
      <c r="F68" s="916">
        <v>0.29166666666666669</v>
      </c>
      <c r="G68" s="916">
        <v>0.66666666666666663</v>
      </c>
      <c r="H68" s="918">
        <v>0.75</v>
      </c>
      <c r="I68" s="920">
        <f>E70+G70</f>
        <v>0.10416666666666674</v>
      </c>
      <c r="J68" s="923">
        <f>((HOUR(I68)*60)+MINUTE(I68))/60</f>
        <v>2.5</v>
      </c>
      <c r="K68" s="57" t="s">
        <v>74</v>
      </c>
      <c r="L68" s="58">
        <v>1</v>
      </c>
      <c r="M68" s="59">
        <f>+J68-L68</f>
        <v>1.5</v>
      </c>
      <c r="N68" s="58"/>
      <c r="O68" s="58"/>
      <c r="P68" s="60"/>
    </row>
    <row r="69" spans="1:20" ht="15" customHeight="1">
      <c r="B69" s="952"/>
      <c r="C69" s="910"/>
      <c r="D69" s="913"/>
      <c r="E69" s="915"/>
      <c r="F69" s="917"/>
      <c r="G69" s="917"/>
      <c r="H69" s="919"/>
      <c r="I69" s="921"/>
      <c r="J69" s="924"/>
      <c r="K69" s="63" t="s">
        <v>75</v>
      </c>
      <c r="L69" s="64">
        <f>+L68*$L$13</f>
        <v>1.5</v>
      </c>
      <c r="M69" s="64">
        <f>+M68*$M$13</f>
        <v>3</v>
      </c>
      <c r="N69" s="64">
        <f>+N68*$N$13</f>
        <v>0</v>
      </c>
      <c r="O69" s="64">
        <f>+O68*$O$13</f>
        <v>0</v>
      </c>
      <c r="P69" s="65">
        <f>SUM(L69:O69)</f>
        <v>4.5</v>
      </c>
      <c r="R69" s="70"/>
    </row>
    <row r="70" spans="1:20" ht="15.75" thickBot="1">
      <c r="B70" s="953"/>
      <c r="C70" s="911"/>
      <c r="D70" s="66" t="s">
        <v>76</v>
      </c>
      <c r="E70" s="926">
        <f>+F68-E68</f>
        <v>2.083333333333337E-2</v>
      </c>
      <c r="F70" s="926"/>
      <c r="G70" s="926">
        <f>+H68-G68</f>
        <v>8.333333333333337E-2</v>
      </c>
      <c r="H70" s="927"/>
      <c r="I70" s="922"/>
      <c r="J70" s="925"/>
      <c r="K70" s="67" t="s">
        <v>77</v>
      </c>
      <c r="L70" s="68">
        <f>+L69*$C$10/173</f>
        <v>26534.817919075143</v>
      </c>
      <c r="M70" s="68">
        <f>+M69*$C$10/173</f>
        <v>53069.635838150287</v>
      </c>
      <c r="N70" s="68">
        <f>+N69*$C$10/173</f>
        <v>0</v>
      </c>
      <c r="O70" s="68">
        <f>+O69*$C$10/173</f>
        <v>0</v>
      </c>
      <c r="P70" s="69">
        <f>SUM(L70:O70)</f>
        <v>79604.453757225434</v>
      </c>
      <c r="R70" s="71"/>
    </row>
    <row r="71" spans="1:20">
      <c r="B71" s="951" t="s">
        <v>81</v>
      </c>
      <c r="C71" s="909">
        <f t="shared" ref="C71" si="12">+C68+1</f>
        <v>45135</v>
      </c>
      <c r="D71" s="912" t="s">
        <v>73</v>
      </c>
      <c r="E71" s="914">
        <v>0.27083333333333331</v>
      </c>
      <c r="F71" s="916">
        <v>0.29166666666666669</v>
      </c>
      <c r="G71" s="916">
        <v>0.66666666666666663</v>
      </c>
      <c r="H71" s="918">
        <v>0.75</v>
      </c>
      <c r="I71" s="920">
        <f>E73+G73</f>
        <v>0.10416666666666674</v>
      </c>
      <c r="J71" s="923">
        <f>((HOUR(I71)*60)+MINUTE(I71))/60</f>
        <v>2.5</v>
      </c>
      <c r="K71" s="57" t="s">
        <v>74</v>
      </c>
      <c r="L71" s="58">
        <v>1</v>
      </c>
      <c r="M71" s="59">
        <f>+J71-L71</f>
        <v>1.5</v>
      </c>
      <c r="N71" s="58"/>
      <c r="O71" s="58"/>
      <c r="P71" s="60"/>
    </row>
    <row r="72" spans="1:20" s="27" customFormat="1" ht="15" customHeight="1">
      <c r="A72" s="19"/>
      <c r="B72" s="952"/>
      <c r="C72" s="910"/>
      <c r="D72" s="913"/>
      <c r="E72" s="915"/>
      <c r="F72" s="917"/>
      <c r="G72" s="917"/>
      <c r="H72" s="919"/>
      <c r="I72" s="921"/>
      <c r="J72" s="924"/>
      <c r="K72" s="63" t="s">
        <v>75</v>
      </c>
      <c r="L72" s="64">
        <f>+L71*$L$13</f>
        <v>1.5</v>
      </c>
      <c r="M72" s="64">
        <f>+M71*$M$13</f>
        <v>3</v>
      </c>
      <c r="N72" s="64">
        <f>+N71*$N$13</f>
        <v>0</v>
      </c>
      <c r="O72" s="64">
        <f>+O71*$O$13</f>
        <v>0</v>
      </c>
      <c r="P72" s="65">
        <f>SUM(L72:O72)</f>
        <v>4.5</v>
      </c>
      <c r="Q72" s="19"/>
      <c r="R72" s="70"/>
    </row>
    <row r="73" spans="1:20" s="27" customFormat="1" ht="15.75" thickBot="1">
      <c r="A73" s="19"/>
      <c r="B73" s="953"/>
      <c r="C73" s="911"/>
      <c r="D73" s="66" t="s">
        <v>76</v>
      </c>
      <c r="E73" s="926">
        <f>+F71-E71</f>
        <v>2.083333333333337E-2</v>
      </c>
      <c r="F73" s="926"/>
      <c r="G73" s="926">
        <f>+H71-G71</f>
        <v>8.333333333333337E-2</v>
      </c>
      <c r="H73" s="927"/>
      <c r="I73" s="922"/>
      <c r="J73" s="925"/>
      <c r="K73" s="67" t="s">
        <v>77</v>
      </c>
      <c r="L73" s="68">
        <f>+L72*$C$10/173</f>
        <v>26534.817919075143</v>
      </c>
      <c r="M73" s="68">
        <f>+M72*$C$10/173</f>
        <v>53069.635838150287</v>
      </c>
      <c r="N73" s="68">
        <f>+N72*$C$10/173</f>
        <v>0</v>
      </c>
      <c r="O73" s="68">
        <f>+O72*$C$10/173</f>
        <v>0</v>
      </c>
      <c r="P73" s="69">
        <f>SUM(L73:O73)</f>
        <v>79604.453757225434</v>
      </c>
      <c r="Q73" s="19"/>
      <c r="R73" s="71"/>
    </row>
    <row r="74" spans="1:20" s="70" customFormat="1">
      <c r="A74" s="78"/>
      <c r="B74" s="943" t="s">
        <v>85</v>
      </c>
      <c r="C74" s="946">
        <f t="shared" ref="C74" si="13">+C71+1</f>
        <v>45136</v>
      </c>
      <c r="D74" s="949" t="s">
        <v>73</v>
      </c>
      <c r="E74" s="929">
        <v>0.29166666666666669</v>
      </c>
      <c r="F74" s="930"/>
      <c r="G74" s="929">
        <v>0.625</v>
      </c>
      <c r="H74" s="930"/>
      <c r="I74" s="938">
        <f>E76+G76</f>
        <v>0.33333333333333331</v>
      </c>
      <c r="J74" s="941">
        <f>((HOUR(I74)*60)+MINUTE(I74))/60</f>
        <v>8</v>
      </c>
      <c r="K74" s="79" t="s">
        <v>74</v>
      </c>
      <c r="L74" s="80"/>
      <c r="M74" s="80">
        <v>8</v>
      </c>
      <c r="N74" s="80"/>
      <c r="O74" s="80"/>
      <c r="P74" s="91"/>
      <c r="Q74" s="78"/>
    </row>
    <row r="75" spans="1:20" s="70" customFormat="1" ht="15" customHeight="1">
      <c r="A75" s="78"/>
      <c r="B75" s="944"/>
      <c r="C75" s="947"/>
      <c r="D75" s="950"/>
      <c r="E75" s="931"/>
      <c r="F75" s="932"/>
      <c r="G75" s="931"/>
      <c r="H75" s="932"/>
      <c r="I75" s="939"/>
      <c r="J75" s="941"/>
      <c r="K75" s="83" t="s">
        <v>75</v>
      </c>
      <c r="L75" s="84">
        <f>+L74*$L$13</f>
        <v>0</v>
      </c>
      <c r="M75" s="84">
        <f>+M74*$M$13</f>
        <v>16</v>
      </c>
      <c r="N75" s="84">
        <f>+N74*$N$13</f>
        <v>0</v>
      </c>
      <c r="O75" s="84">
        <f>+O74*$O$13</f>
        <v>0</v>
      </c>
      <c r="P75" s="85">
        <f>SUM(L75:O75)</f>
        <v>16</v>
      </c>
      <c r="Q75" s="78"/>
    </row>
    <row r="76" spans="1:20" s="70" customFormat="1" ht="15.75" thickBot="1">
      <c r="A76" s="78"/>
      <c r="B76" s="945"/>
      <c r="C76" s="948"/>
      <c r="D76" s="86" t="s">
        <v>76</v>
      </c>
      <c r="E76" s="933">
        <f>+G74-E74</f>
        <v>0.33333333333333331</v>
      </c>
      <c r="F76" s="934"/>
      <c r="G76" s="934"/>
      <c r="H76" s="935"/>
      <c r="I76" s="940"/>
      <c r="J76" s="942"/>
      <c r="K76" s="87" t="s">
        <v>77</v>
      </c>
      <c r="L76" s="88">
        <f>+L75*$C$10/173</f>
        <v>0</v>
      </c>
      <c r="M76" s="88">
        <f>+M75*$C$10/173</f>
        <v>283038.0578034682</v>
      </c>
      <c r="N76" s="88">
        <f>+N75*$C$10/173</f>
        <v>0</v>
      </c>
      <c r="O76" s="88">
        <f>+O75*$C$10/173</f>
        <v>0</v>
      </c>
      <c r="P76" s="89">
        <f>SUM(L76:O76)</f>
        <v>283038.0578034682</v>
      </c>
      <c r="Q76" s="78"/>
    </row>
    <row r="77" spans="1:20" s="27" customFormat="1" ht="20.100000000000001" customHeight="1">
      <c r="A77" s="19"/>
      <c r="B77" s="958" t="s">
        <v>82</v>
      </c>
      <c r="C77" s="959"/>
      <c r="D77" s="959"/>
      <c r="E77" s="959"/>
      <c r="F77" s="959"/>
      <c r="G77" s="959"/>
      <c r="H77" s="959"/>
      <c r="I77" s="959"/>
      <c r="J77" s="959"/>
      <c r="K77" s="959"/>
      <c r="L77" s="959"/>
      <c r="M77" s="959"/>
      <c r="N77" s="959"/>
      <c r="O77" s="960"/>
      <c r="P77" s="72">
        <f>+P36+P39+P42+P45+P48+P51+P54+P57+P60+P63+P66+P69+P72+P75</f>
        <v>82.5</v>
      </c>
      <c r="Q77" s="19"/>
    </row>
    <row r="78" spans="1:20" s="27" customFormat="1" ht="20.100000000000001" customHeight="1" thickBot="1">
      <c r="A78" s="19"/>
      <c r="B78" s="954" t="s">
        <v>83</v>
      </c>
      <c r="C78" s="955"/>
      <c r="D78" s="955"/>
      <c r="E78" s="955"/>
      <c r="F78" s="955"/>
      <c r="G78" s="955"/>
      <c r="H78" s="955"/>
      <c r="I78" s="955"/>
      <c r="J78" s="955"/>
      <c r="K78" s="955"/>
      <c r="L78" s="955"/>
      <c r="M78" s="955"/>
      <c r="N78" s="955"/>
      <c r="O78" s="956"/>
      <c r="P78" s="73">
        <f>+P37+P40+P43+P46+P49+P52+P55+P58+P61+P64+P67+P70+P73+P76</f>
        <v>1459414.9855491328</v>
      </c>
      <c r="Q78" s="19"/>
    </row>
  </sheetData>
  <mergeCells count="205">
    <mergeCell ref="B8:M9"/>
    <mergeCell ref="C10:E10"/>
    <mergeCell ref="F10:M10"/>
    <mergeCell ref="E11:F11"/>
    <mergeCell ref="B12:B13"/>
    <mergeCell ref="C12:C13"/>
    <mergeCell ref="D12:D13"/>
    <mergeCell ref="E12:F12"/>
    <mergeCell ref="G12:H12"/>
    <mergeCell ref="I12:J12"/>
    <mergeCell ref="L12:O12"/>
    <mergeCell ref="P12:P13"/>
    <mergeCell ref="B14:B16"/>
    <mergeCell ref="C14:C16"/>
    <mergeCell ref="D14:D15"/>
    <mergeCell ref="I14:I16"/>
    <mergeCell ref="E14:E15"/>
    <mergeCell ref="F14:F15"/>
    <mergeCell ref="G14:G15"/>
    <mergeCell ref="H14:H15"/>
    <mergeCell ref="J14:J16"/>
    <mergeCell ref="E16:F16"/>
    <mergeCell ref="G16:H16"/>
    <mergeCell ref="G37:H37"/>
    <mergeCell ref="C31:E31"/>
    <mergeCell ref="F31:M31"/>
    <mergeCell ref="E32:F32"/>
    <mergeCell ref="B23:O23"/>
    <mergeCell ref="I20:I22"/>
    <mergeCell ref="J20:J22"/>
    <mergeCell ref="E22:F22"/>
    <mergeCell ref="G22:H22"/>
    <mergeCell ref="L33:O33"/>
    <mergeCell ref="B20:B22"/>
    <mergeCell ref="C20:C22"/>
    <mergeCell ref="D20:D21"/>
    <mergeCell ref="E20:E21"/>
    <mergeCell ref="F20:F21"/>
    <mergeCell ref="G20:G21"/>
    <mergeCell ref="H20:H21"/>
    <mergeCell ref="B24:O24"/>
    <mergeCell ref="B29:M30"/>
    <mergeCell ref="B44:B46"/>
    <mergeCell ref="C44:C46"/>
    <mergeCell ref="D44:D45"/>
    <mergeCell ref="E44:E45"/>
    <mergeCell ref="F44:F45"/>
    <mergeCell ref="G44:G45"/>
    <mergeCell ref="H44:H45"/>
    <mergeCell ref="P33:P34"/>
    <mergeCell ref="B35:B37"/>
    <mergeCell ref="C35:C37"/>
    <mergeCell ref="D35:D36"/>
    <mergeCell ref="E35:E36"/>
    <mergeCell ref="F35:F36"/>
    <mergeCell ref="G35:G36"/>
    <mergeCell ref="H35:H36"/>
    <mergeCell ref="I35:I37"/>
    <mergeCell ref="B33:B34"/>
    <mergeCell ref="C33:C34"/>
    <mergeCell ref="D33:D34"/>
    <mergeCell ref="E33:F33"/>
    <mergeCell ref="G33:H33"/>
    <mergeCell ref="I33:J33"/>
    <mergeCell ref="J35:J37"/>
    <mergeCell ref="E37:F37"/>
    <mergeCell ref="I38:I40"/>
    <mergeCell ref="J38:J40"/>
    <mergeCell ref="E40:F40"/>
    <mergeCell ref="G40:H40"/>
    <mergeCell ref="B41:B43"/>
    <mergeCell ref="C41:C43"/>
    <mergeCell ref="D41:D42"/>
    <mergeCell ref="E41:E42"/>
    <mergeCell ref="F41:F42"/>
    <mergeCell ref="G41:G42"/>
    <mergeCell ref="B38:B40"/>
    <mergeCell ref="C38:C40"/>
    <mergeCell ref="D38:D39"/>
    <mergeCell ref="E38:E39"/>
    <mergeCell ref="F38:F39"/>
    <mergeCell ref="G38:G39"/>
    <mergeCell ref="H38:H39"/>
    <mergeCell ref="I44:I46"/>
    <mergeCell ref="J44:J46"/>
    <mergeCell ref="E46:F46"/>
    <mergeCell ref="G46:H46"/>
    <mergeCell ref="H41:H42"/>
    <mergeCell ref="I41:I43"/>
    <mergeCell ref="J41:J43"/>
    <mergeCell ref="E43:F43"/>
    <mergeCell ref="G43:H43"/>
    <mergeCell ref="H47:H48"/>
    <mergeCell ref="I47:I49"/>
    <mergeCell ref="J47:J49"/>
    <mergeCell ref="E49:F49"/>
    <mergeCell ref="G49:H49"/>
    <mergeCell ref="B77:O77"/>
    <mergeCell ref="E52:F52"/>
    <mergeCell ref="G52:H52"/>
    <mergeCell ref="B53:B55"/>
    <mergeCell ref="C53:C55"/>
    <mergeCell ref="B47:B49"/>
    <mergeCell ref="C47:C49"/>
    <mergeCell ref="D47:D48"/>
    <mergeCell ref="E47:E48"/>
    <mergeCell ref="F47:F48"/>
    <mergeCell ref="G47:G48"/>
    <mergeCell ref="D53:D54"/>
    <mergeCell ref="I53:I55"/>
    <mergeCell ref="C56:C58"/>
    <mergeCell ref="D56:D57"/>
    <mergeCell ref="G62:G63"/>
    <mergeCell ref="H62:H63"/>
    <mergeCell ref="I62:I64"/>
    <mergeCell ref="J62:J64"/>
    <mergeCell ref="B78:O78"/>
    <mergeCell ref="B50:B52"/>
    <mergeCell ref="C50:C52"/>
    <mergeCell ref="D50:D51"/>
    <mergeCell ref="E50:E51"/>
    <mergeCell ref="F50:F51"/>
    <mergeCell ref="G50:G51"/>
    <mergeCell ref="H50:H51"/>
    <mergeCell ref="I50:I52"/>
    <mergeCell ref="J50:J52"/>
    <mergeCell ref="B62:B64"/>
    <mergeCell ref="C62:C64"/>
    <mergeCell ref="D62:D63"/>
    <mergeCell ref="E62:E63"/>
    <mergeCell ref="F62:F63"/>
    <mergeCell ref="I56:I58"/>
    <mergeCell ref="J56:J58"/>
    <mergeCell ref="B59:B61"/>
    <mergeCell ref="C59:C61"/>
    <mergeCell ref="D59:D60"/>
    <mergeCell ref="E59:E60"/>
    <mergeCell ref="F59:F60"/>
    <mergeCell ref="G59:G60"/>
    <mergeCell ref="B56:B58"/>
    <mergeCell ref="E64:F64"/>
    <mergeCell ref="G64:H64"/>
    <mergeCell ref="H59:H60"/>
    <mergeCell ref="I59:I61"/>
    <mergeCell ref="J59:J61"/>
    <mergeCell ref="E61:F61"/>
    <mergeCell ref="G61:H61"/>
    <mergeCell ref="J65:J67"/>
    <mergeCell ref="E67:F67"/>
    <mergeCell ref="G67:H67"/>
    <mergeCell ref="G65:G66"/>
    <mergeCell ref="B68:B70"/>
    <mergeCell ref="C68:C70"/>
    <mergeCell ref="D68:D69"/>
    <mergeCell ref="E68:E69"/>
    <mergeCell ref="F68:F69"/>
    <mergeCell ref="B65:B67"/>
    <mergeCell ref="C65:C67"/>
    <mergeCell ref="D65:D66"/>
    <mergeCell ref="E65:E66"/>
    <mergeCell ref="F65:F66"/>
    <mergeCell ref="B74:B76"/>
    <mergeCell ref="C74:C76"/>
    <mergeCell ref="D74:D75"/>
    <mergeCell ref="B71:B73"/>
    <mergeCell ref="C71:C73"/>
    <mergeCell ref="D71:D72"/>
    <mergeCell ref="E71:E72"/>
    <mergeCell ref="F71:F72"/>
    <mergeCell ref="G71:G72"/>
    <mergeCell ref="J53:J54"/>
    <mergeCell ref="E74:F75"/>
    <mergeCell ref="G74:H75"/>
    <mergeCell ref="E76:H76"/>
    <mergeCell ref="E53:F54"/>
    <mergeCell ref="E56:H57"/>
    <mergeCell ref="E58:H58"/>
    <mergeCell ref="G53:H54"/>
    <mergeCell ref="E55:H55"/>
    <mergeCell ref="I74:I76"/>
    <mergeCell ref="J74:J76"/>
    <mergeCell ref="H71:H72"/>
    <mergeCell ref="I71:I73"/>
    <mergeCell ref="J71:J73"/>
    <mergeCell ref="E73:F73"/>
    <mergeCell ref="G73:H73"/>
    <mergeCell ref="G68:G69"/>
    <mergeCell ref="H68:H69"/>
    <mergeCell ref="I68:I70"/>
    <mergeCell ref="J68:J70"/>
    <mergeCell ref="E70:F70"/>
    <mergeCell ref="G70:H70"/>
    <mergeCell ref="H65:H66"/>
    <mergeCell ref="I65:I67"/>
    <mergeCell ref="B17:B19"/>
    <mergeCell ref="C17:C19"/>
    <mergeCell ref="D17:D18"/>
    <mergeCell ref="E17:E18"/>
    <mergeCell ref="F17:F18"/>
    <mergeCell ref="G17:G18"/>
    <mergeCell ref="H17:H18"/>
    <mergeCell ref="I17:I19"/>
    <mergeCell ref="J17:J19"/>
    <mergeCell ref="E19:F19"/>
    <mergeCell ref="G19:H19"/>
  </mergeCells>
  <printOptions horizontalCentered="1"/>
  <pageMargins left="0" right="0" top="0.5" bottom="0" header="0.5" footer="0"/>
  <pageSetup paperSize="9" scale="9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AF12"/>
  <sheetViews>
    <sheetView showGridLines="0" zoomScale="90" zoomScaleNormal="90" workbookViewId="0">
      <selection activeCell="U14" sqref="U14"/>
    </sheetView>
  </sheetViews>
  <sheetFormatPr defaultRowHeight="15"/>
  <cols>
    <col min="1" max="1" width="1.7109375" style="1" customWidth="1"/>
    <col min="2" max="2" width="8.7109375" style="1" customWidth="1"/>
    <col min="3" max="3" width="15.7109375" style="2" customWidth="1"/>
    <col min="4" max="4" width="3.7109375" style="2" customWidth="1"/>
    <col min="5" max="5" width="2.7109375" style="2" customWidth="1"/>
    <col min="6" max="6" width="15.7109375" style="2" customWidth="1"/>
    <col min="7" max="10" width="10.7109375" style="1" customWidth="1"/>
    <col min="11" max="12" width="8.7109375" style="1" hidden="1" customWidth="1"/>
    <col min="13" max="17" width="5.7109375" style="1" customWidth="1"/>
    <col min="18" max="21" width="13.7109375" style="1" customWidth="1"/>
    <col min="22" max="26" width="15.7109375" style="1" customWidth="1"/>
    <col min="27" max="27" width="8.7109375" style="1" customWidth="1"/>
    <col min="28" max="28" width="1.7109375" style="1" customWidth="1"/>
    <col min="29" max="32" width="15.7109375" style="1" customWidth="1"/>
    <col min="33" max="16384" width="9.140625" style="1"/>
  </cols>
  <sheetData>
    <row r="2" spans="2:32" ht="15" customHeight="1">
      <c r="B2" s="994" t="s">
        <v>39</v>
      </c>
      <c r="C2" s="994"/>
      <c r="D2" s="994"/>
      <c r="E2" s="994"/>
      <c r="F2" s="994"/>
      <c r="G2" s="994"/>
      <c r="H2" s="994"/>
      <c r="I2" s="994"/>
      <c r="J2" s="994"/>
    </row>
    <row r="3" spans="2:32" s="5" customFormat="1" ht="21.95" customHeight="1">
      <c r="B3" s="228" t="s">
        <v>8</v>
      </c>
      <c r="C3" s="120"/>
      <c r="D3" s="120"/>
      <c r="E3" s="120"/>
      <c r="F3" s="120"/>
      <c r="G3" s="122" t="s">
        <v>238</v>
      </c>
      <c r="H3" s="6"/>
      <c r="I3" s="6"/>
      <c r="J3" s="6"/>
    </row>
    <row r="4" spans="2:32" s="5" customFormat="1" ht="21.95" customHeight="1">
      <c r="B4" s="229" t="s">
        <v>9</v>
      </c>
      <c r="C4" s="121"/>
      <c r="D4" s="121"/>
      <c r="E4" s="121"/>
      <c r="F4" s="121"/>
      <c r="G4" s="123" t="s">
        <v>239</v>
      </c>
      <c r="H4" s="7"/>
      <c r="I4" s="7"/>
      <c r="J4" s="7"/>
    </row>
    <row r="5" spans="2:32" s="5" customFormat="1" ht="15" customHeight="1">
      <c r="C5" s="102"/>
      <c r="D5" s="102"/>
      <c r="E5" s="102"/>
      <c r="F5" s="102"/>
      <c r="G5" s="15"/>
    </row>
    <row r="6" spans="2:32" ht="24.95" customHeight="1">
      <c r="B6" s="230" t="s">
        <v>110</v>
      </c>
      <c r="C6" s="231"/>
      <c r="D6" s="231"/>
      <c r="E6" s="231"/>
      <c r="F6" s="231"/>
      <c r="V6" s="991" t="s">
        <v>38</v>
      </c>
      <c r="W6" s="992"/>
      <c r="X6" s="992"/>
      <c r="Y6" s="992"/>
      <c r="Z6" s="993"/>
    </row>
    <row r="7" spans="2:32" s="8" customFormat="1" ht="24.95" customHeight="1">
      <c r="B7" s="116" t="s">
        <v>1</v>
      </c>
      <c r="C7" s="526" t="s">
        <v>5</v>
      </c>
      <c r="D7" s="527"/>
      <c r="E7" s="527"/>
      <c r="F7" s="528"/>
      <c r="G7" s="522" t="s">
        <v>4</v>
      </c>
      <c r="H7" s="523"/>
      <c r="I7" s="522" t="s">
        <v>98</v>
      </c>
      <c r="J7" s="546"/>
      <c r="K7" s="522" t="s">
        <v>2</v>
      </c>
      <c r="L7" s="523"/>
      <c r="M7" s="567" t="s">
        <v>3</v>
      </c>
      <c r="N7" s="567"/>
      <c r="O7" s="567"/>
      <c r="P7" s="567"/>
      <c r="Q7" s="567"/>
      <c r="R7" s="986" t="s">
        <v>37</v>
      </c>
      <c r="S7" s="987"/>
      <c r="T7" s="986" t="s">
        <v>36</v>
      </c>
      <c r="U7" s="987"/>
      <c r="V7" s="234" t="s">
        <v>253</v>
      </c>
      <c r="W7" s="234" t="s">
        <v>254</v>
      </c>
      <c r="X7" s="234" t="s">
        <v>258</v>
      </c>
      <c r="Y7" s="234" t="s">
        <v>255</v>
      </c>
      <c r="Z7" s="234" t="s">
        <v>260</v>
      </c>
      <c r="AA7" s="92"/>
      <c r="AB7" s="92"/>
      <c r="AC7" s="92"/>
      <c r="AD7" s="92"/>
      <c r="AE7" s="532"/>
      <c r="AF7" s="532"/>
    </row>
    <row r="8" spans="2:32" ht="24.95" customHeight="1">
      <c r="B8" s="18">
        <v>1</v>
      </c>
      <c r="C8" s="232">
        <v>45139</v>
      </c>
      <c r="D8" s="483" t="s">
        <v>6</v>
      </c>
      <c r="E8" s="483"/>
      <c r="F8" s="233">
        <v>45141</v>
      </c>
      <c r="G8" s="594" t="s">
        <v>217</v>
      </c>
      <c r="H8" s="988"/>
      <c r="I8" s="594" t="s">
        <v>214</v>
      </c>
      <c r="J8" s="483"/>
      <c r="K8" s="594">
        <v>8038</v>
      </c>
      <c r="L8" s="483"/>
      <c r="M8" s="190" t="s">
        <v>215</v>
      </c>
      <c r="N8" s="191"/>
      <c r="O8" s="191"/>
      <c r="P8" s="191"/>
      <c r="Q8" s="191"/>
      <c r="R8" s="989">
        <f>+C8</f>
        <v>45139</v>
      </c>
      <c r="S8" s="990"/>
      <c r="T8" s="989">
        <f>+F8</f>
        <v>45141</v>
      </c>
      <c r="U8" s="990"/>
      <c r="V8" s="237" t="s">
        <v>259</v>
      </c>
      <c r="W8" s="235" t="s">
        <v>256</v>
      </c>
      <c r="X8" s="235" t="s">
        <v>257</v>
      </c>
      <c r="Y8" s="235" t="s">
        <v>216</v>
      </c>
      <c r="Z8" s="235">
        <v>1</v>
      </c>
    </row>
    <row r="9" spans="2:32" ht="24.95" customHeight="1">
      <c r="B9" s="18">
        <v>2</v>
      </c>
      <c r="C9" s="232">
        <v>45139</v>
      </c>
      <c r="D9" s="483" t="s">
        <v>6</v>
      </c>
      <c r="E9" s="483"/>
      <c r="F9" s="233">
        <v>45141</v>
      </c>
      <c r="G9" s="594" t="s">
        <v>240</v>
      </c>
      <c r="H9" s="988"/>
      <c r="I9" s="594" t="s">
        <v>241</v>
      </c>
      <c r="J9" s="483"/>
      <c r="K9" s="594">
        <v>6107</v>
      </c>
      <c r="L9" s="988"/>
      <c r="M9" s="209" t="s">
        <v>242</v>
      </c>
      <c r="N9" s="191"/>
      <c r="O9" s="191"/>
      <c r="P9" s="191"/>
      <c r="Q9" s="191"/>
      <c r="R9" s="995" t="s">
        <v>251</v>
      </c>
      <c r="S9" s="996"/>
      <c r="T9" s="999" t="s">
        <v>252</v>
      </c>
      <c r="U9" s="996"/>
      <c r="V9" s="237" t="s">
        <v>259</v>
      </c>
      <c r="W9" s="235" t="s">
        <v>256</v>
      </c>
      <c r="X9" s="235" t="s">
        <v>257</v>
      </c>
      <c r="Y9" s="235" t="s">
        <v>216</v>
      </c>
      <c r="Z9" s="235">
        <v>1</v>
      </c>
    </row>
    <row r="10" spans="2:32" ht="24.95" customHeight="1">
      <c r="B10" s="18">
        <v>3</v>
      </c>
      <c r="C10" s="232">
        <v>45139</v>
      </c>
      <c r="D10" s="483" t="s">
        <v>6</v>
      </c>
      <c r="E10" s="483"/>
      <c r="F10" s="233">
        <v>45141</v>
      </c>
      <c r="G10" s="594" t="s">
        <v>243</v>
      </c>
      <c r="H10" s="988"/>
      <c r="I10" s="594" t="s">
        <v>241</v>
      </c>
      <c r="J10" s="483"/>
      <c r="K10" s="594">
        <v>7094</v>
      </c>
      <c r="L10" s="988"/>
      <c r="M10" s="190" t="s">
        <v>244</v>
      </c>
      <c r="N10" s="191"/>
      <c r="O10" s="191"/>
      <c r="P10" s="191"/>
      <c r="Q10" s="191"/>
      <c r="R10" s="995"/>
      <c r="S10" s="996"/>
      <c r="T10" s="999"/>
      <c r="U10" s="996"/>
      <c r="V10" s="237" t="s">
        <v>259</v>
      </c>
      <c r="W10" s="235" t="s">
        <v>256</v>
      </c>
      <c r="X10" s="235" t="s">
        <v>257</v>
      </c>
      <c r="Y10" s="235" t="s">
        <v>216</v>
      </c>
      <c r="Z10" s="235">
        <v>1</v>
      </c>
    </row>
    <row r="11" spans="2:32" ht="24.95" customHeight="1">
      <c r="B11" s="18">
        <v>4</v>
      </c>
      <c r="C11" s="232">
        <v>45139</v>
      </c>
      <c r="D11" s="483" t="s">
        <v>6</v>
      </c>
      <c r="E11" s="483"/>
      <c r="F11" s="233">
        <v>45141</v>
      </c>
      <c r="G11" s="594" t="s">
        <v>245</v>
      </c>
      <c r="H11" s="988"/>
      <c r="I11" s="594" t="s">
        <v>246</v>
      </c>
      <c r="J11" s="483"/>
      <c r="K11" s="594">
        <v>6118</v>
      </c>
      <c r="L11" s="988"/>
      <c r="M11" s="190" t="s">
        <v>247</v>
      </c>
      <c r="N11" s="191"/>
      <c r="O11" s="191"/>
      <c r="P11" s="191"/>
      <c r="Q11" s="191"/>
      <c r="R11" s="997"/>
      <c r="S11" s="998"/>
      <c r="T11" s="1000"/>
      <c r="U11" s="998"/>
      <c r="V11" s="238" t="s">
        <v>259</v>
      </c>
      <c r="W11" s="236" t="s">
        <v>256</v>
      </c>
      <c r="X11" s="235" t="s">
        <v>257</v>
      </c>
      <c r="Y11" s="236" t="s">
        <v>216</v>
      </c>
      <c r="Z11" s="236">
        <v>1</v>
      </c>
      <c r="AA11" s="227"/>
    </row>
    <row r="12" spans="2:32" ht="15" customHeight="1">
      <c r="B12" s="155"/>
    </row>
  </sheetData>
  <mergeCells count="30">
    <mergeCell ref="T8:U8"/>
    <mergeCell ref="V6:Z6"/>
    <mergeCell ref="B2:J2"/>
    <mergeCell ref="R9:S11"/>
    <mergeCell ref="T9:U11"/>
    <mergeCell ref="R8:S8"/>
    <mergeCell ref="D10:E10"/>
    <mergeCell ref="G10:H10"/>
    <mergeCell ref="I10:J10"/>
    <mergeCell ref="K10:L10"/>
    <mergeCell ref="D11:E11"/>
    <mergeCell ref="G11:H11"/>
    <mergeCell ref="I11:J11"/>
    <mergeCell ref="K11:L11"/>
    <mergeCell ref="D8:E8"/>
    <mergeCell ref="G8:H8"/>
    <mergeCell ref="I8:J8"/>
    <mergeCell ref="K8:L8"/>
    <mergeCell ref="D9:E9"/>
    <mergeCell ref="G9:H9"/>
    <mergeCell ref="I9:J9"/>
    <mergeCell ref="K9:L9"/>
    <mergeCell ref="AE7:AF7"/>
    <mergeCell ref="R7:S7"/>
    <mergeCell ref="T7:U7"/>
    <mergeCell ref="C7:F7"/>
    <mergeCell ref="G7:H7"/>
    <mergeCell ref="I7:J7"/>
    <mergeCell ref="K7:L7"/>
    <mergeCell ref="M7:Q7"/>
  </mergeCells>
  <printOptions horizontalCentered="1" verticalCentered="1"/>
  <pageMargins left="0" right="0" top="0" bottom="0" header="0" footer="0"/>
  <pageSetup paperSize="9" scale="5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G18"/>
  <sheetViews>
    <sheetView workbookViewId="0">
      <selection activeCell="H24" sqref="H24"/>
    </sheetView>
  </sheetViews>
  <sheetFormatPr defaultRowHeight="12.75"/>
  <cols>
    <col min="1" max="1" width="1.7109375" style="14" customWidth="1"/>
    <col min="2" max="2" width="9.140625" style="14"/>
    <col min="3" max="6" width="12.7109375" style="243" customWidth="1"/>
    <col min="7" max="7" width="15.7109375" style="248" customWidth="1"/>
    <col min="8" max="16384" width="9.140625" style="14"/>
  </cols>
  <sheetData>
    <row r="3" spans="2:7">
      <c r="B3" s="240" t="s">
        <v>57</v>
      </c>
      <c r="C3" s="241" t="s">
        <v>248</v>
      </c>
      <c r="D3" s="241" t="s">
        <v>218</v>
      </c>
      <c r="E3" s="241" t="s">
        <v>250</v>
      </c>
      <c r="F3" s="241" t="s">
        <v>262</v>
      </c>
      <c r="G3" s="250" t="s">
        <v>12</v>
      </c>
    </row>
    <row r="4" spans="2:7">
      <c r="B4" s="239" t="s">
        <v>261</v>
      </c>
      <c r="C4" s="242">
        <v>1956500</v>
      </c>
      <c r="D4" s="242">
        <v>1956500</v>
      </c>
      <c r="E4" s="242">
        <v>1956500</v>
      </c>
      <c r="F4" s="242">
        <v>1956500</v>
      </c>
      <c r="G4" s="249">
        <f>SUM(C4:F4)</f>
        <v>7826000</v>
      </c>
    </row>
    <row r="5" spans="2:7" ht="13.5" thickBot="1">
      <c r="B5" s="246" t="s">
        <v>38</v>
      </c>
      <c r="C5" s="247">
        <v>1510000</v>
      </c>
      <c r="D5" s="247">
        <v>1510000</v>
      </c>
      <c r="E5" s="247">
        <v>1510000</v>
      </c>
      <c r="F5" s="247">
        <v>1110000</v>
      </c>
      <c r="G5" s="249">
        <f>SUM(C5:F5)</f>
        <v>5640000</v>
      </c>
    </row>
    <row r="6" spans="2:7" ht="13.5" thickTop="1">
      <c r="B6" s="244" t="s">
        <v>12</v>
      </c>
      <c r="C6" s="245">
        <f>SUM(C4:C5)</f>
        <v>3466500</v>
      </c>
      <c r="D6" s="245">
        <f t="shared" ref="D6:F6" si="0">SUM(D4:D5)</f>
        <v>3466500</v>
      </c>
      <c r="E6" s="245">
        <f t="shared" si="0"/>
        <v>3466500</v>
      </c>
      <c r="F6" s="245">
        <f t="shared" si="0"/>
        <v>3066500</v>
      </c>
    </row>
    <row r="13" spans="2:7">
      <c r="D13" s="243">
        <v>1000000</v>
      </c>
    </row>
    <row r="14" spans="2:7">
      <c r="D14" s="243">
        <v>1000000</v>
      </c>
    </row>
    <row r="15" spans="2:7">
      <c r="D15" s="243">
        <v>300000</v>
      </c>
    </row>
    <row r="16" spans="2:7">
      <c r="D16" s="243">
        <v>300000</v>
      </c>
    </row>
    <row r="17" spans="4:4">
      <c r="D17" s="243">
        <v>600000</v>
      </c>
    </row>
    <row r="18" spans="4:4">
      <c r="D18" s="243">
        <f>SUM(D13:D17)</f>
        <v>3200000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TAHAP 1</vt:lpstr>
      <vt:lpstr>TAPAH 2.2 (Rincian)</vt:lpstr>
      <vt:lpstr>TAHAP 2.1 (SPD)</vt:lpstr>
      <vt:lpstr>Sheet2</vt:lpstr>
      <vt:lpstr>Rincian OT Driver</vt:lpstr>
      <vt:lpstr>Info Affiliate tujuan</vt:lpstr>
      <vt:lpstr>Sheet1</vt:lpstr>
      <vt:lpstr>'Info Affiliate tujuan'!Print_Area</vt:lpstr>
      <vt:lpstr>'Rincian OT Driver'!Print_Area</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prd-10</cp:lastModifiedBy>
  <cp:lastPrinted>2023-11-29T03:59:25Z</cp:lastPrinted>
  <dcterms:created xsi:type="dcterms:W3CDTF">2023-06-18T02:33:15Z</dcterms:created>
  <dcterms:modified xsi:type="dcterms:W3CDTF">2023-11-29T04:01:15Z</dcterms:modified>
</cp:coreProperties>
</file>